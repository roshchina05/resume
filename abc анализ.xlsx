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29033EE-CA60-4178-B4F0-6AF3BE6E7CC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ИСХОД. ДАННЫЕ" sheetId="1" r:id="rId1"/>
    <sheet name="КОЛИЧЕСТВО" sheetId="4" r:id="rId2"/>
    <sheet name="СУММА ПРОДАЖ" sheetId="3" r:id="rId3"/>
    <sheet name="МЕСЯЧНАЯ ОБОР." sheetId="5" r:id="rId4"/>
    <sheet name="ИТОГ" sheetId="7" r:id="rId5"/>
  </sheets>
  <definedNames>
    <definedName name="_xlcn.WorksheetConnection_Лист1AB" hidden="1">КОЛИЧЕСТВО!$A:$B</definedName>
    <definedName name="_xlcn.WorksheetConnection_Лист2AE" hidden="1">'СУММА ПРОДАЖ'!$A:$E</definedName>
    <definedName name="_xlcn.WorksheetConnection_месячнаяоборачиваемостьAC" hidden="1">'МЕСЯЧНАЯ ОБОР.'!$A:$C</definedName>
    <definedName name="_xlnm._FilterDatabase" localSheetId="1" hidden="1">КОЛИЧЕСТВО!$D$3:$E$806</definedName>
    <definedName name="_xlnm._FilterDatabase" localSheetId="3" hidden="1">'МЕСЯЧНАЯ ОБОР.'!$O$3:$Q$806</definedName>
    <definedName name="_xlnm._FilterDatabase" localSheetId="2" hidden="1">'СУММА ПРОДАЖ'!$J$1:$K$804</definedName>
  </definedNames>
  <calcPr calcId="191029" iterateDelta="1E-4"/>
  <pivotCaches>
    <pivotCache cacheId="95" r:id="rId6"/>
    <pivotCache cacheId="96" r:id="rId7"/>
    <pivotCache cacheId="97" r:id="rId8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Лист1!$A:$B"/>
          <x15:modelTable id="Диапазон 1" name="Диапазон 1" connection="WorksheetConnection_Лист2!$A:$E"/>
          <x15:modelTable id="Диапазон 2" name="Диапазон 2" connection="WorksheetConnection_месячная оборачиваемость!$A:$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4" i="7"/>
  <c r="Q5" i="5"/>
  <c r="Q6" i="5"/>
  <c r="R4" i="5" s="1"/>
  <c r="S4" i="5" s="1"/>
  <c r="T4" i="5" s="1"/>
  <c r="Q7" i="5"/>
  <c r="R7" i="5" s="1"/>
  <c r="Q8" i="5"/>
  <c r="R25" i="5" s="1"/>
  <c r="Q9" i="5"/>
  <c r="R113" i="5" s="1"/>
  <c r="Q10" i="5"/>
  <c r="Q11" i="5"/>
  <c r="Q12" i="5"/>
  <c r="R12" i="5" s="1"/>
  <c r="Q13" i="5"/>
  <c r="R13" i="5" s="1"/>
  <c r="Q14" i="5"/>
  <c r="R236" i="5" s="1"/>
  <c r="Q15" i="5"/>
  <c r="Q16" i="5"/>
  <c r="Q17" i="5"/>
  <c r="Q18" i="5"/>
  <c r="Q19" i="5"/>
  <c r="Q20" i="5"/>
  <c r="Q21" i="5"/>
  <c r="Q22" i="5"/>
  <c r="Q23" i="5"/>
  <c r="Q24" i="5"/>
  <c r="Q25" i="5"/>
  <c r="Q26" i="5"/>
  <c r="R26" i="5" s="1"/>
  <c r="Q27" i="5"/>
  <c r="R27" i="5" s="1"/>
  <c r="Q28" i="5"/>
  <c r="Q29" i="5"/>
  <c r="Q30" i="5"/>
  <c r="Q31" i="5"/>
  <c r="Q32" i="5"/>
  <c r="R32" i="5" s="1"/>
  <c r="Q33" i="5"/>
  <c r="Q34" i="5"/>
  <c r="R34" i="5" s="1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R47" i="5" s="1"/>
  <c r="Q48" i="5"/>
  <c r="Q49" i="5"/>
  <c r="Q50" i="5"/>
  <c r="Q51" i="5"/>
  <c r="Q52" i="5"/>
  <c r="R52" i="5" s="1"/>
  <c r="Q53" i="5"/>
  <c r="R53" i="5" s="1"/>
  <c r="Q54" i="5"/>
  <c r="R54" i="5" s="1"/>
  <c r="Q55" i="5"/>
  <c r="Q56" i="5"/>
  <c r="Q57" i="5"/>
  <c r="Q58" i="5"/>
  <c r="Q59" i="5"/>
  <c r="Q60" i="5"/>
  <c r="Q61" i="5"/>
  <c r="Q62" i="5"/>
  <c r="Q63" i="5"/>
  <c r="Q64" i="5"/>
  <c r="Q65" i="5"/>
  <c r="Q66" i="5"/>
  <c r="R66" i="5" s="1"/>
  <c r="Q67" i="5"/>
  <c r="R67" i="5" s="1"/>
  <c r="Q68" i="5"/>
  <c r="Q69" i="5"/>
  <c r="Q70" i="5"/>
  <c r="Q71" i="5"/>
  <c r="Q72" i="5"/>
  <c r="R72" i="5" s="1"/>
  <c r="Q73" i="5"/>
  <c r="Q74" i="5"/>
  <c r="R74" i="5" s="1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R87" i="5" s="1"/>
  <c r="Q88" i="5"/>
  <c r="Q89" i="5"/>
  <c r="Q90" i="5"/>
  <c r="Q91" i="5"/>
  <c r="Q92" i="5"/>
  <c r="R92" i="5" s="1"/>
  <c r="Q93" i="5"/>
  <c r="R93" i="5" s="1"/>
  <c r="Q94" i="5"/>
  <c r="R94" i="5" s="1"/>
  <c r="Q95" i="5"/>
  <c r="Q96" i="5"/>
  <c r="Q97" i="5"/>
  <c r="Q98" i="5"/>
  <c r="Q99" i="5"/>
  <c r="Q100" i="5"/>
  <c r="Q101" i="5"/>
  <c r="Q102" i="5"/>
  <c r="Q103" i="5"/>
  <c r="Q104" i="5"/>
  <c r="Q105" i="5"/>
  <c r="Q106" i="5"/>
  <c r="R106" i="5" s="1"/>
  <c r="Q107" i="5"/>
  <c r="R107" i="5" s="1"/>
  <c r="Q108" i="5"/>
  <c r="Q109" i="5"/>
  <c r="Q110" i="5"/>
  <c r="Q111" i="5"/>
  <c r="Q112" i="5"/>
  <c r="R112" i="5" s="1"/>
  <c r="Q113" i="5"/>
  <c r="Q114" i="5"/>
  <c r="R114" i="5" s="1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R127" i="5" s="1"/>
  <c r="Q128" i="5"/>
  <c r="Q129" i="5"/>
  <c r="Q130" i="5"/>
  <c r="Q131" i="5"/>
  <c r="Q132" i="5"/>
  <c r="R132" i="5" s="1"/>
  <c r="Q133" i="5"/>
  <c r="R133" i="5" s="1"/>
  <c r="Q134" i="5"/>
  <c r="R134" i="5" s="1"/>
  <c r="Q135" i="5"/>
  <c r="Q136" i="5"/>
  <c r="Q137" i="5"/>
  <c r="Q138" i="5"/>
  <c r="Q139" i="5"/>
  <c r="Q140" i="5"/>
  <c r="Q141" i="5"/>
  <c r="Q142" i="5"/>
  <c r="Q143" i="5"/>
  <c r="Q144" i="5"/>
  <c r="Q145" i="5"/>
  <c r="Q146" i="5"/>
  <c r="R146" i="5" s="1"/>
  <c r="Q147" i="5"/>
  <c r="R147" i="5" s="1"/>
  <c r="Q148" i="5"/>
  <c r="Q149" i="5"/>
  <c r="Q150" i="5"/>
  <c r="Q151" i="5"/>
  <c r="Q152" i="5"/>
  <c r="R152" i="5" s="1"/>
  <c r="Q153" i="5"/>
  <c r="Q154" i="5"/>
  <c r="R154" i="5" s="1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R167" i="5" s="1"/>
  <c r="Q168" i="5"/>
  <c r="Q169" i="5"/>
  <c r="Q170" i="5"/>
  <c r="Q171" i="5"/>
  <c r="Q172" i="5"/>
  <c r="R172" i="5" s="1"/>
  <c r="Q173" i="5"/>
  <c r="R173" i="5" s="1"/>
  <c r="Q174" i="5"/>
  <c r="R174" i="5" s="1"/>
  <c r="Q175" i="5"/>
  <c r="Q176" i="5"/>
  <c r="Q177" i="5"/>
  <c r="Q178" i="5"/>
  <c r="Q179" i="5"/>
  <c r="Q180" i="5"/>
  <c r="Q181" i="5"/>
  <c r="Q182" i="5"/>
  <c r="Q183" i="5"/>
  <c r="Q184" i="5"/>
  <c r="Q185" i="5"/>
  <c r="Q186" i="5"/>
  <c r="R186" i="5" s="1"/>
  <c r="Q187" i="5"/>
  <c r="R187" i="5" s="1"/>
  <c r="Q188" i="5"/>
  <c r="Q189" i="5"/>
  <c r="Q190" i="5"/>
  <c r="Q191" i="5"/>
  <c r="Q192" i="5"/>
  <c r="R192" i="5" s="1"/>
  <c r="Q193" i="5"/>
  <c r="Q194" i="5"/>
  <c r="R194" i="5" s="1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R207" i="5" s="1"/>
  <c r="Q208" i="5"/>
  <c r="Q209" i="5"/>
  <c r="Q210" i="5"/>
  <c r="Q211" i="5"/>
  <c r="Q212" i="5"/>
  <c r="R212" i="5" s="1"/>
  <c r="Q213" i="5"/>
  <c r="R213" i="5" s="1"/>
  <c r="Q214" i="5"/>
  <c r="R214" i="5" s="1"/>
  <c r="Q215" i="5"/>
  <c r="Q216" i="5"/>
  <c r="Q217" i="5"/>
  <c r="Q218" i="5"/>
  <c r="Q219" i="5"/>
  <c r="Q220" i="5"/>
  <c r="Q221" i="5"/>
  <c r="Q222" i="5"/>
  <c r="Q223" i="5"/>
  <c r="Q224" i="5"/>
  <c r="Q225" i="5"/>
  <c r="Q226" i="5"/>
  <c r="R226" i="5" s="1"/>
  <c r="Q227" i="5"/>
  <c r="R227" i="5" s="1"/>
  <c r="Q228" i="5"/>
  <c r="Q229" i="5"/>
  <c r="Q230" i="5"/>
  <c r="Q231" i="5"/>
  <c r="Q232" i="5"/>
  <c r="R232" i="5" s="1"/>
  <c r="Q233" i="5"/>
  <c r="Q234" i="5"/>
  <c r="R234" i="5" s="1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R247" i="5" s="1"/>
  <c r="Q248" i="5"/>
  <c r="Q249" i="5"/>
  <c r="Q250" i="5"/>
  <c r="Q251" i="5"/>
  <c r="Q252" i="5"/>
  <c r="R252" i="5" s="1"/>
  <c r="Q253" i="5"/>
  <c r="R253" i="5" s="1"/>
  <c r="Q254" i="5"/>
  <c r="R254" i="5" s="1"/>
  <c r="Q255" i="5"/>
  <c r="Q256" i="5"/>
  <c r="Q257" i="5"/>
  <c r="Q258" i="5"/>
  <c r="Q259" i="5"/>
  <c r="Q260" i="5"/>
  <c r="Q261" i="5"/>
  <c r="Q262" i="5"/>
  <c r="Q263" i="5"/>
  <c r="Q264" i="5"/>
  <c r="Q265" i="5"/>
  <c r="Q266" i="5"/>
  <c r="R266" i="5" s="1"/>
  <c r="Q267" i="5"/>
  <c r="R267" i="5" s="1"/>
  <c r="Q268" i="5"/>
  <c r="Q269" i="5"/>
  <c r="Q270" i="5"/>
  <c r="Q271" i="5"/>
  <c r="Q272" i="5"/>
  <c r="R272" i="5" s="1"/>
  <c r="Q273" i="5"/>
  <c r="Q274" i="5"/>
  <c r="R274" i="5" s="1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R287" i="5" s="1"/>
  <c r="Q288" i="5"/>
  <c r="Q289" i="5"/>
  <c r="Q290" i="5"/>
  <c r="Q291" i="5"/>
  <c r="Q292" i="5"/>
  <c r="R292" i="5" s="1"/>
  <c r="Q293" i="5"/>
  <c r="R293" i="5" s="1"/>
  <c r="Q294" i="5"/>
  <c r="R294" i="5" s="1"/>
  <c r="Q295" i="5"/>
  <c r="Q296" i="5"/>
  <c r="Q297" i="5"/>
  <c r="Q298" i="5"/>
  <c r="Q299" i="5"/>
  <c r="Q300" i="5"/>
  <c r="Q301" i="5"/>
  <c r="Q302" i="5"/>
  <c r="Q303" i="5"/>
  <c r="Q304" i="5"/>
  <c r="Q305" i="5"/>
  <c r="Q306" i="5"/>
  <c r="R306" i="5" s="1"/>
  <c r="Q307" i="5"/>
  <c r="R307" i="5" s="1"/>
  <c r="Q308" i="5"/>
  <c r="Q309" i="5"/>
  <c r="Q310" i="5"/>
  <c r="Q311" i="5"/>
  <c r="Q312" i="5"/>
  <c r="R312" i="5" s="1"/>
  <c r="Q313" i="5"/>
  <c r="Q314" i="5"/>
  <c r="R314" i="5" s="1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R327" i="5" s="1"/>
  <c r="Q328" i="5"/>
  <c r="Q329" i="5"/>
  <c r="Q330" i="5"/>
  <c r="Q331" i="5"/>
  <c r="Q332" i="5"/>
  <c r="R332" i="5" s="1"/>
  <c r="Q333" i="5"/>
  <c r="R333" i="5" s="1"/>
  <c r="Q334" i="5"/>
  <c r="R334" i="5" s="1"/>
  <c r="Q335" i="5"/>
  <c r="Q336" i="5"/>
  <c r="Q337" i="5"/>
  <c r="Q338" i="5"/>
  <c r="Q339" i="5"/>
  <c r="Q340" i="5"/>
  <c r="Q341" i="5"/>
  <c r="Q342" i="5"/>
  <c r="Q343" i="5"/>
  <c r="Q344" i="5"/>
  <c r="Q345" i="5"/>
  <c r="Q346" i="5"/>
  <c r="R346" i="5" s="1"/>
  <c r="Q347" i="5"/>
  <c r="R347" i="5" s="1"/>
  <c r="Q348" i="5"/>
  <c r="Q349" i="5"/>
  <c r="Q350" i="5"/>
  <c r="Q351" i="5"/>
  <c r="Q352" i="5"/>
  <c r="R352" i="5" s="1"/>
  <c r="Q353" i="5"/>
  <c r="Q354" i="5"/>
  <c r="R354" i="5" s="1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R367" i="5" s="1"/>
  <c r="Q368" i="5"/>
  <c r="Q369" i="5"/>
  <c r="Q370" i="5"/>
  <c r="Q371" i="5"/>
  <c r="Q372" i="5"/>
  <c r="R372" i="5" s="1"/>
  <c r="Q373" i="5"/>
  <c r="R373" i="5" s="1"/>
  <c r="Q374" i="5"/>
  <c r="R374" i="5" s="1"/>
  <c r="Q375" i="5"/>
  <c r="Q376" i="5"/>
  <c r="Q377" i="5"/>
  <c r="Q378" i="5"/>
  <c r="Q379" i="5"/>
  <c r="Q380" i="5"/>
  <c r="Q381" i="5"/>
  <c r="Q382" i="5"/>
  <c r="Q383" i="5"/>
  <c r="Q384" i="5"/>
  <c r="Q385" i="5"/>
  <c r="Q386" i="5"/>
  <c r="R386" i="5" s="1"/>
  <c r="Q387" i="5"/>
  <c r="R387" i="5" s="1"/>
  <c r="Q388" i="5"/>
  <c r="Q389" i="5"/>
  <c r="Q390" i="5"/>
  <c r="Q391" i="5"/>
  <c r="Q392" i="5"/>
  <c r="R392" i="5" s="1"/>
  <c r="Q393" i="5"/>
  <c r="Q394" i="5"/>
  <c r="R394" i="5" s="1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R407" i="5" s="1"/>
  <c r="Q408" i="5"/>
  <c r="Q409" i="5"/>
  <c r="Q410" i="5"/>
  <c r="Q411" i="5"/>
  <c r="Q412" i="5"/>
  <c r="R412" i="5" s="1"/>
  <c r="Q413" i="5"/>
  <c r="R413" i="5" s="1"/>
  <c r="Q414" i="5"/>
  <c r="R414" i="5" s="1"/>
  <c r="Q415" i="5"/>
  <c r="Q416" i="5"/>
  <c r="Q417" i="5"/>
  <c r="Q418" i="5"/>
  <c r="Q419" i="5"/>
  <c r="Q420" i="5"/>
  <c r="Q421" i="5"/>
  <c r="Q422" i="5"/>
  <c r="Q423" i="5"/>
  <c r="Q424" i="5"/>
  <c r="Q425" i="5"/>
  <c r="Q426" i="5"/>
  <c r="R426" i="5" s="1"/>
  <c r="Q427" i="5"/>
  <c r="R427" i="5" s="1"/>
  <c r="Q428" i="5"/>
  <c r="Q429" i="5"/>
  <c r="Q430" i="5"/>
  <c r="Q431" i="5"/>
  <c r="Q432" i="5"/>
  <c r="R432" i="5" s="1"/>
  <c r="Q433" i="5"/>
  <c r="R433" i="5" s="1"/>
  <c r="Q434" i="5"/>
  <c r="R434" i="5" s="1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R447" i="5" s="1"/>
  <c r="Q448" i="5"/>
  <c r="Q449" i="5"/>
  <c r="Q450" i="5"/>
  <c r="Q451" i="5"/>
  <c r="Q452" i="5"/>
  <c r="R452" i="5" s="1"/>
  <c r="Q453" i="5"/>
  <c r="R453" i="5" s="1"/>
  <c r="Q454" i="5"/>
  <c r="R454" i="5" s="1"/>
  <c r="Q455" i="5"/>
  <c r="Q456" i="5"/>
  <c r="Q457" i="5"/>
  <c r="Q458" i="5"/>
  <c r="Q459" i="5"/>
  <c r="Q460" i="5"/>
  <c r="Q461" i="5"/>
  <c r="Q462" i="5"/>
  <c r="Q463" i="5"/>
  <c r="Q464" i="5"/>
  <c r="Q465" i="5"/>
  <c r="Q466" i="5"/>
  <c r="R466" i="5" s="1"/>
  <c r="Q467" i="5"/>
  <c r="R467" i="5" s="1"/>
  <c r="Q468" i="5"/>
  <c r="Q469" i="5"/>
  <c r="Q470" i="5"/>
  <c r="Q471" i="5"/>
  <c r="Q472" i="5"/>
  <c r="R472" i="5" s="1"/>
  <c r="Q473" i="5"/>
  <c r="R473" i="5" s="1"/>
  <c r="Q474" i="5"/>
  <c r="R474" i="5" s="1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R487" i="5" s="1"/>
  <c r="Q488" i="5"/>
  <c r="Q489" i="5"/>
  <c r="Q490" i="5"/>
  <c r="Q491" i="5"/>
  <c r="Q492" i="5"/>
  <c r="R492" i="5" s="1"/>
  <c r="Q493" i="5"/>
  <c r="R493" i="5" s="1"/>
  <c r="Q494" i="5"/>
  <c r="R494" i="5" s="1"/>
  <c r="Q495" i="5"/>
  <c r="Q496" i="5"/>
  <c r="Q497" i="5"/>
  <c r="Q498" i="5"/>
  <c r="Q499" i="5"/>
  <c r="Q500" i="5"/>
  <c r="Q501" i="5"/>
  <c r="Q502" i="5"/>
  <c r="Q503" i="5"/>
  <c r="Q504" i="5"/>
  <c r="Q505" i="5"/>
  <c r="Q506" i="5"/>
  <c r="R506" i="5" s="1"/>
  <c r="Q507" i="5"/>
  <c r="R507" i="5" s="1"/>
  <c r="Q508" i="5"/>
  <c r="Q509" i="5"/>
  <c r="Q510" i="5"/>
  <c r="Q511" i="5"/>
  <c r="Q512" i="5"/>
  <c r="R512" i="5" s="1"/>
  <c r="Q513" i="5"/>
  <c r="R513" i="5" s="1"/>
  <c r="Q514" i="5"/>
  <c r="R514" i="5" s="1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R527" i="5" s="1"/>
  <c r="Q528" i="5"/>
  <c r="Q529" i="5"/>
  <c r="Q530" i="5"/>
  <c r="Q531" i="5"/>
  <c r="Q532" i="5"/>
  <c r="R532" i="5" s="1"/>
  <c r="Q533" i="5"/>
  <c r="R533" i="5" s="1"/>
  <c r="Q534" i="5"/>
  <c r="R534" i="5" s="1"/>
  <c r="Q535" i="5"/>
  <c r="Q536" i="5"/>
  <c r="Q537" i="5"/>
  <c r="Q538" i="5"/>
  <c r="Q539" i="5"/>
  <c r="Q540" i="5"/>
  <c r="Q541" i="5"/>
  <c r="Q542" i="5"/>
  <c r="Q543" i="5"/>
  <c r="Q544" i="5"/>
  <c r="Q545" i="5"/>
  <c r="Q546" i="5"/>
  <c r="R546" i="5" s="1"/>
  <c r="Q547" i="5"/>
  <c r="R547" i="5" s="1"/>
  <c r="Q548" i="5"/>
  <c r="Q549" i="5"/>
  <c r="Q550" i="5"/>
  <c r="Q551" i="5"/>
  <c r="Q552" i="5"/>
  <c r="R552" i="5" s="1"/>
  <c r="Q553" i="5"/>
  <c r="R553" i="5" s="1"/>
  <c r="Q554" i="5"/>
  <c r="R554" i="5" s="1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R567" i="5" s="1"/>
  <c r="Q568" i="5"/>
  <c r="Q569" i="5"/>
  <c r="Q570" i="5"/>
  <c r="Q571" i="5"/>
  <c r="Q572" i="5"/>
  <c r="R572" i="5" s="1"/>
  <c r="Q573" i="5"/>
  <c r="R573" i="5" s="1"/>
  <c r="Q574" i="5"/>
  <c r="R574" i="5" s="1"/>
  <c r="Q575" i="5"/>
  <c r="Q576" i="5"/>
  <c r="Q577" i="5"/>
  <c r="Q578" i="5"/>
  <c r="Q579" i="5"/>
  <c r="Q580" i="5"/>
  <c r="Q581" i="5"/>
  <c r="Q582" i="5"/>
  <c r="Q583" i="5"/>
  <c r="Q584" i="5"/>
  <c r="Q585" i="5"/>
  <c r="Q586" i="5"/>
  <c r="R586" i="5" s="1"/>
  <c r="Q587" i="5"/>
  <c r="R587" i="5" s="1"/>
  <c r="Q588" i="5"/>
  <c r="Q589" i="5"/>
  <c r="Q590" i="5"/>
  <c r="Q591" i="5"/>
  <c r="Q592" i="5"/>
  <c r="R592" i="5" s="1"/>
  <c r="Q593" i="5"/>
  <c r="R593" i="5" s="1"/>
  <c r="Q594" i="5"/>
  <c r="R594" i="5" s="1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R607" i="5" s="1"/>
  <c r="Q608" i="5"/>
  <c r="Q609" i="5"/>
  <c r="Q610" i="5"/>
  <c r="Q611" i="5"/>
  <c r="Q612" i="5"/>
  <c r="R612" i="5" s="1"/>
  <c r="Q613" i="5"/>
  <c r="R613" i="5" s="1"/>
  <c r="Q614" i="5"/>
  <c r="R614" i="5" s="1"/>
  <c r="Q615" i="5"/>
  <c r="Q616" i="5"/>
  <c r="Q617" i="5"/>
  <c r="Q618" i="5"/>
  <c r="Q619" i="5"/>
  <c r="Q620" i="5"/>
  <c r="Q621" i="5"/>
  <c r="Q622" i="5"/>
  <c r="Q623" i="5"/>
  <c r="Q624" i="5"/>
  <c r="Q625" i="5"/>
  <c r="Q626" i="5"/>
  <c r="R626" i="5" s="1"/>
  <c r="Q627" i="5"/>
  <c r="R627" i="5" s="1"/>
  <c r="Q628" i="5"/>
  <c r="Q629" i="5"/>
  <c r="Q630" i="5"/>
  <c r="Q631" i="5"/>
  <c r="Q632" i="5"/>
  <c r="R632" i="5" s="1"/>
  <c r="Q633" i="5"/>
  <c r="R633" i="5" s="1"/>
  <c r="Q634" i="5"/>
  <c r="R634" i="5" s="1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R647" i="5" s="1"/>
  <c r="Q648" i="5"/>
  <c r="Q649" i="5"/>
  <c r="Q650" i="5"/>
  <c r="Q651" i="5"/>
  <c r="Q652" i="5"/>
  <c r="R652" i="5" s="1"/>
  <c r="Q653" i="5"/>
  <c r="R653" i="5" s="1"/>
  <c r="Q654" i="5"/>
  <c r="R654" i="5" s="1"/>
  <c r="Q655" i="5"/>
  <c r="Q656" i="5"/>
  <c r="Q657" i="5"/>
  <c r="Q658" i="5"/>
  <c r="Q659" i="5"/>
  <c r="Q660" i="5"/>
  <c r="Q661" i="5"/>
  <c r="Q662" i="5"/>
  <c r="Q663" i="5"/>
  <c r="Q664" i="5"/>
  <c r="Q665" i="5"/>
  <c r="Q666" i="5"/>
  <c r="R666" i="5" s="1"/>
  <c r="Q667" i="5"/>
  <c r="R667" i="5" s="1"/>
  <c r="Q668" i="5"/>
  <c r="Q669" i="5"/>
  <c r="Q670" i="5"/>
  <c r="Q671" i="5"/>
  <c r="Q672" i="5"/>
  <c r="R672" i="5" s="1"/>
  <c r="Q673" i="5"/>
  <c r="R673" i="5" s="1"/>
  <c r="Q674" i="5"/>
  <c r="R674" i="5" s="1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R687" i="5" s="1"/>
  <c r="Q688" i="5"/>
  <c r="Q689" i="5"/>
  <c r="Q690" i="5"/>
  <c r="Q691" i="5"/>
  <c r="Q692" i="5"/>
  <c r="R692" i="5" s="1"/>
  <c r="Q693" i="5"/>
  <c r="R693" i="5" s="1"/>
  <c r="Q694" i="5"/>
  <c r="R694" i="5" s="1"/>
  <c r="Q695" i="5"/>
  <c r="Q696" i="5"/>
  <c r="Q697" i="5"/>
  <c r="Q698" i="5"/>
  <c r="Q699" i="5"/>
  <c r="Q700" i="5"/>
  <c r="Q701" i="5"/>
  <c r="Q702" i="5"/>
  <c r="Q703" i="5"/>
  <c r="Q704" i="5"/>
  <c r="Q705" i="5"/>
  <c r="Q706" i="5"/>
  <c r="R706" i="5" s="1"/>
  <c r="Q707" i="5"/>
  <c r="R707" i="5" s="1"/>
  <c r="Q708" i="5"/>
  <c r="Q709" i="5"/>
  <c r="Q710" i="5"/>
  <c r="Q711" i="5"/>
  <c r="Q712" i="5"/>
  <c r="R712" i="5" s="1"/>
  <c r="Q713" i="5"/>
  <c r="Q714" i="5"/>
  <c r="R714" i="5" s="1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R727" i="5" s="1"/>
  <c r="Q728" i="5"/>
  <c r="Q729" i="5"/>
  <c r="Q730" i="5"/>
  <c r="Q731" i="5"/>
  <c r="Q732" i="5"/>
  <c r="R732" i="5" s="1"/>
  <c r="Q733" i="5"/>
  <c r="R733" i="5" s="1"/>
  <c r="Q734" i="5"/>
  <c r="R734" i="5" s="1"/>
  <c r="Q735" i="5"/>
  <c r="Q736" i="5"/>
  <c r="Q737" i="5"/>
  <c r="Q738" i="5"/>
  <c r="Q739" i="5"/>
  <c r="Q740" i="5"/>
  <c r="Q741" i="5"/>
  <c r="Q742" i="5"/>
  <c r="Q743" i="5"/>
  <c r="Q744" i="5"/>
  <c r="Q745" i="5"/>
  <c r="Q746" i="5"/>
  <c r="R746" i="5" s="1"/>
  <c r="Q747" i="5"/>
  <c r="R747" i="5" s="1"/>
  <c r="Q748" i="5"/>
  <c r="Q749" i="5"/>
  <c r="Q750" i="5"/>
  <c r="Q751" i="5"/>
  <c r="Q752" i="5"/>
  <c r="R752" i="5" s="1"/>
  <c r="Q753" i="5"/>
  <c r="R753" i="5" s="1"/>
  <c r="Q754" i="5"/>
  <c r="R754" i="5" s="1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R767" i="5" s="1"/>
  <c r="Q768" i="5"/>
  <c r="Q769" i="5"/>
  <c r="Q770" i="5"/>
  <c r="Q771" i="5"/>
  <c r="Q772" i="5"/>
  <c r="R772" i="5" s="1"/>
  <c r="Q773" i="5"/>
  <c r="R773" i="5" s="1"/>
  <c r="Q774" i="5"/>
  <c r="R774" i="5" s="1"/>
  <c r="Q775" i="5"/>
  <c r="Q776" i="5"/>
  <c r="Q777" i="5"/>
  <c r="Q778" i="5"/>
  <c r="Q779" i="5"/>
  <c r="Q780" i="5"/>
  <c r="Q781" i="5"/>
  <c r="Q782" i="5"/>
  <c r="Q783" i="5"/>
  <c r="Q784" i="5"/>
  <c r="Q785" i="5"/>
  <c r="Q786" i="5"/>
  <c r="R786" i="5" s="1"/>
  <c r="Q787" i="5"/>
  <c r="R787" i="5" s="1"/>
  <c r="Q788" i="5"/>
  <c r="Q789" i="5"/>
  <c r="Q790" i="5"/>
  <c r="Q791" i="5"/>
  <c r="Q792" i="5"/>
  <c r="R792" i="5" s="1"/>
  <c r="Q793" i="5"/>
  <c r="R793" i="5" s="1"/>
  <c r="Q794" i="5"/>
  <c r="R794" i="5" s="1"/>
  <c r="Q795" i="5"/>
  <c r="Q796" i="5"/>
  <c r="Q797" i="5"/>
  <c r="Q798" i="5"/>
  <c r="Q799" i="5"/>
  <c r="Q800" i="5"/>
  <c r="Q801" i="5"/>
  <c r="Q802" i="5"/>
  <c r="Q803" i="5"/>
  <c r="Q804" i="5"/>
  <c r="Q805" i="5"/>
  <c r="Q806" i="5"/>
  <c r="Q4" i="5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4" i="4"/>
  <c r="R5" i="5"/>
  <c r="R45" i="5"/>
  <c r="R85" i="5"/>
  <c r="R125" i="5"/>
  <c r="R165" i="5"/>
  <c r="R205" i="5"/>
  <c r="R245" i="5"/>
  <c r="R285" i="5"/>
  <c r="R325" i="5"/>
  <c r="R365" i="5"/>
  <c r="R405" i="5"/>
  <c r="R445" i="5"/>
  <c r="R485" i="5"/>
  <c r="R525" i="5"/>
  <c r="R565" i="5"/>
  <c r="R605" i="5"/>
  <c r="R645" i="5"/>
  <c r="R685" i="5"/>
  <c r="R725" i="5"/>
  <c r="R765" i="5"/>
  <c r="R805" i="5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2" i="3"/>
  <c r="M2" i="3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4" i="4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5" i="4"/>
  <c r="G4" i="4"/>
  <c r="F80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2" i="4"/>
  <c r="F803" i="4"/>
  <c r="F804" i="4"/>
  <c r="F805" i="4"/>
  <c r="F806" i="4"/>
  <c r="F4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2" i="3"/>
  <c r="R436" i="5" l="1"/>
  <c r="R76" i="5"/>
  <c r="R353" i="5"/>
  <c r="R153" i="5"/>
  <c r="R745" i="5"/>
  <c r="R625" i="5"/>
  <c r="R545" i="5"/>
  <c r="R465" i="5"/>
  <c r="R385" i="5"/>
  <c r="R305" i="5"/>
  <c r="R225" i="5"/>
  <c r="R145" i="5"/>
  <c r="R65" i="5"/>
  <c r="R783" i="5"/>
  <c r="R743" i="5"/>
  <c r="R703" i="5"/>
  <c r="R663" i="5"/>
  <c r="R623" i="5"/>
  <c r="R583" i="5"/>
  <c r="R543" i="5"/>
  <c r="R503" i="5"/>
  <c r="R463" i="5"/>
  <c r="R423" i="5"/>
  <c r="R383" i="5"/>
  <c r="R343" i="5"/>
  <c r="R303" i="5"/>
  <c r="R263" i="5"/>
  <c r="R223" i="5"/>
  <c r="R183" i="5"/>
  <c r="R143" i="5"/>
  <c r="R103" i="5"/>
  <c r="R63" i="5"/>
  <c r="R23" i="5"/>
  <c r="R782" i="5"/>
  <c r="R742" i="5"/>
  <c r="R702" i="5"/>
  <c r="R662" i="5"/>
  <c r="R622" i="5"/>
  <c r="R582" i="5"/>
  <c r="R542" i="5"/>
  <c r="R502" i="5"/>
  <c r="R462" i="5"/>
  <c r="R422" i="5"/>
  <c r="R382" i="5"/>
  <c r="R342" i="5"/>
  <c r="R302" i="5"/>
  <c r="R262" i="5"/>
  <c r="R222" i="5"/>
  <c r="R182" i="5"/>
  <c r="R142" i="5"/>
  <c r="R102" i="5"/>
  <c r="R62" i="5"/>
  <c r="R22" i="5"/>
  <c r="R476" i="5"/>
  <c r="R665" i="5"/>
  <c r="R116" i="5"/>
  <c r="R393" i="5"/>
  <c r="R193" i="5"/>
  <c r="R785" i="5"/>
  <c r="R705" i="5"/>
  <c r="R585" i="5"/>
  <c r="R505" i="5"/>
  <c r="R425" i="5"/>
  <c r="R345" i="5"/>
  <c r="R265" i="5"/>
  <c r="R185" i="5"/>
  <c r="R105" i="5"/>
  <c r="R777" i="5"/>
  <c r="R737" i="5"/>
  <c r="R697" i="5"/>
  <c r="R657" i="5"/>
  <c r="R617" i="5"/>
  <c r="R577" i="5"/>
  <c r="R537" i="5"/>
  <c r="R497" i="5"/>
  <c r="R457" i="5"/>
  <c r="R417" i="5"/>
  <c r="R377" i="5"/>
  <c r="R337" i="5"/>
  <c r="R297" i="5"/>
  <c r="R257" i="5"/>
  <c r="R217" i="5"/>
  <c r="R177" i="5"/>
  <c r="R137" i="5"/>
  <c r="R97" i="5"/>
  <c r="R57" i="5"/>
  <c r="R17" i="5"/>
  <c r="R776" i="5"/>
  <c r="R736" i="5"/>
  <c r="R696" i="5"/>
  <c r="R656" i="5"/>
  <c r="R616" i="5"/>
  <c r="R576" i="5"/>
  <c r="R536" i="5"/>
  <c r="R496" i="5"/>
  <c r="R456" i="5"/>
  <c r="R416" i="5"/>
  <c r="R376" i="5"/>
  <c r="R336" i="5"/>
  <c r="R296" i="5"/>
  <c r="R256" i="5"/>
  <c r="R216" i="5"/>
  <c r="R176" i="5"/>
  <c r="R136" i="5"/>
  <c r="R96" i="5"/>
  <c r="R56" i="5"/>
  <c r="R16" i="5"/>
  <c r="R716" i="5"/>
  <c r="R356" i="5"/>
  <c r="R713" i="5"/>
  <c r="R756" i="5"/>
  <c r="R316" i="5"/>
  <c r="R396" i="5"/>
  <c r="R14" i="5"/>
  <c r="R636" i="5"/>
  <c r="R806" i="5"/>
  <c r="R766" i="5"/>
  <c r="R726" i="5"/>
  <c r="R686" i="5"/>
  <c r="R646" i="5"/>
  <c r="R606" i="5"/>
  <c r="R566" i="5"/>
  <c r="R526" i="5"/>
  <c r="R486" i="5"/>
  <c r="R446" i="5"/>
  <c r="R406" i="5"/>
  <c r="R366" i="5"/>
  <c r="R326" i="5"/>
  <c r="R286" i="5"/>
  <c r="R246" i="5"/>
  <c r="R206" i="5"/>
  <c r="R166" i="5"/>
  <c r="R126" i="5"/>
  <c r="R86" i="5"/>
  <c r="R46" i="5"/>
  <c r="R6" i="5"/>
  <c r="R803" i="5"/>
  <c r="R763" i="5"/>
  <c r="R723" i="5"/>
  <c r="R683" i="5"/>
  <c r="R643" i="5"/>
  <c r="R603" i="5"/>
  <c r="R563" i="5"/>
  <c r="R523" i="5"/>
  <c r="R483" i="5"/>
  <c r="R443" i="5"/>
  <c r="R403" i="5"/>
  <c r="R363" i="5"/>
  <c r="R323" i="5"/>
  <c r="R283" i="5"/>
  <c r="R243" i="5"/>
  <c r="R203" i="5"/>
  <c r="R163" i="5"/>
  <c r="R123" i="5"/>
  <c r="R83" i="5"/>
  <c r="R43" i="5"/>
  <c r="R802" i="5"/>
  <c r="R762" i="5"/>
  <c r="R682" i="5"/>
  <c r="R642" i="5"/>
  <c r="R602" i="5"/>
  <c r="R562" i="5"/>
  <c r="R522" i="5"/>
  <c r="R482" i="5"/>
  <c r="R442" i="5"/>
  <c r="R402" i="5"/>
  <c r="R362" i="5"/>
  <c r="R322" i="5"/>
  <c r="R282" i="5"/>
  <c r="R242" i="5"/>
  <c r="R202" i="5"/>
  <c r="R162" i="5"/>
  <c r="R122" i="5"/>
  <c r="R82" i="5"/>
  <c r="R42" i="5"/>
  <c r="R722" i="5"/>
  <c r="R797" i="5"/>
  <c r="R757" i="5"/>
  <c r="R717" i="5"/>
  <c r="R677" i="5"/>
  <c r="R637" i="5"/>
  <c r="R597" i="5"/>
  <c r="R557" i="5"/>
  <c r="R517" i="5"/>
  <c r="R477" i="5"/>
  <c r="R437" i="5"/>
  <c r="R397" i="5"/>
  <c r="R357" i="5"/>
  <c r="R317" i="5"/>
  <c r="R277" i="5"/>
  <c r="R237" i="5"/>
  <c r="R197" i="5"/>
  <c r="R157" i="5"/>
  <c r="R117" i="5"/>
  <c r="R77" i="5"/>
  <c r="R37" i="5"/>
  <c r="R796" i="5"/>
  <c r="R676" i="5"/>
  <c r="R596" i="5"/>
  <c r="R556" i="5"/>
  <c r="R516" i="5"/>
  <c r="R276" i="5"/>
  <c r="R36" i="5"/>
  <c r="R196" i="5"/>
  <c r="R233" i="5"/>
  <c r="R33" i="5"/>
  <c r="R15" i="5"/>
  <c r="R156" i="5"/>
  <c r="R273" i="5"/>
  <c r="R73" i="5"/>
  <c r="R313" i="5"/>
  <c r="S5" i="5"/>
  <c r="T5" i="5" s="1"/>
  <c r="R791" i="5"/>
  <c r="R771" i="5"/>
  <c r="R751" i="5"/>
  <c r="R731" i="5"/>
  <c r="R711" i="5"/>
  <c r="R691" i="5"/>
  <c r="R671" i="5"/>
  <c r="R651" i="5"/>
  <c r="R631" i="5"/>
  <c r="R611" i="5"/>
  <c r="R591" i="5"/>
  <c r="R571" i="5"/>
  <c r="R551" i="5"/>
  <c r="R531" i="5"/>
  <c r="R511" i="5"/>
  <c r="R491" i="5"/>
  <c r="R471" i="5"/>
  <c r="R451" i="5"/>
  <c r="R431" i="5"/>
  <c r="R411" i="5"/>
  <c r="R391" i="5"/>
  <c r="R371" i="5"/>
  <c r="R351" i="5"/>
  <c r="R331" i="5"/>
  <c r="R311" i="5"/>
  <c r="R291" i="5"/>
  <c r="R271" i="5"/>
  <c r="R251" i="5"/>
  <c r="R231" i="5"/>
  <c r="R211" i="5"/>
  <c r="R191" i="5"/>
  <c r="R171" i="5"/>
  <c r="R151" i="5"/>
  <c r="R131" i="5"/>
  <c r="R111" i="5"/>
  <c r="R91" i="5"/>
  <c r="R71" i="5"/>
  <c r="R51" i="5"/>
  <c r="R31" i="5"/>
  <c r="R11" i="5"/>
  <c r="R790" i="5"/>
  <c r="R770" i="5"/>
  <c r="R750" i="5"/>
  <c r="R730" i="5"/>
  <c r="R710" i="5"/>
  <c r="R690" i="5"/>
  <c r="R670" i="5"/>
  <c r="R650" i="5"/>
  <c r="R630" i="5"/>
  <c r="R610" i="5"/>
  <c r="R590" i="5"/>
  <c r="R570" i="5"/>
  <c r="R550" i="5"/>
  <c r="R530" i="5"/>
  <c r="R510" i="5"/>
  <c r="R490" i="5"/>
  <c r="R470" i="5"/>
  <c r="R450" i="5"/>
  <c r="R430" i="5"/>
  <c r="R410" i="5"/>
  <c r="R390" i="5"/>
  <c r="R370" i="5"/>
  <c r="R350" i="5"/>
  <c r="R330" i="5"/>
  <c r="R310" i="5"/>
  <c r="R290" i="5"/>
  <c r="R270" i="5"/>
  <c r="R250" i="5"/>
  <c r="R230" i="5"/>
  <c r="R210" i="5"/>
  <c r="R190" i="5"/>
  <c r="R170" i="5"/>
  <c r="R150" i="5"/>
  <c r="R130" i="5"/>
  <c r="R110" i="5"/>
  <c r="R90" i="5"/>
  <c r="R70" i="5"/>
  <c r="R50" i="5"/>
  <c r="R30" i="5"/>
  <c r="R10" i="5"/>
  <c r="R789" i="5"/>
  <c r="R769" i="5"/>
  <c r="R749" i="5"/>
  <c r="R729" i="5"/>
  <c r="R709" i="5"/>
  <c r="R689" i="5"/>
  <c r="R669" i="5"/>
  <c r="R649" i="5"/>
  <c r="R629" i="5"/>
  <c r="R609" i="5"/>
  <c r="R589" i="5"/>
  <c r="R569" i="5"/>
  <c r="R549" i="5"/>
  <c r="R529" i="5"/>
  <c r="R509" i="5"/>
  <c r="R489" i="5"/>
  <c r="R469" i="5"/>
  <c r="R449" i="5"/>
  <c r="R429" i="5"/>
  <c r="R409" i="5"/>
  <c r="R389" i="5"/>
  <c r="R369" i="5"/>
  <c r="R349" i="5"/>
  <c r="R329" i="5"/>
  <c r="R309" i="5"/>
  <c r="R289" i="5"/>
  <c r="R269" i="5"/>
  <c r="R249" i="5"/>
  <c r="R229" i="5"/>
  <c r="R209" i="5"/>
  <c r="R189" i="5"/>
  <c r="R169" i="5"/>
  <c r="R149" i="5"/>
  <c r="R129" i="5"/>
  <c r="R109" i="5"/>
  <c r="R89" i="5"/>
  <c r="R69" i="5"/>
  <c r="R49" i="5"/>
  <c r="R29" i="5"/>
  <c r="R9" i="5"/>
  <c r="R788" i="5"/>
  <c r="R768" i="5"/>
  <c r="R748" i="5"/>
  <c r="R728" i="5"/>
  <c r="R708" i="5"/>
  <c r="R688" i="5"/>
  <c r="R668" i="5"/>
  <c r="R648" i="5"/>
  <c r="R628" i="5"/>
  <c r="R608" i="5"/>
  <c r="R588" i="5"/>
  <c r="R568" i="5"/>
  <c r="R548" i="5"/>
  <c r="R528" i="5"/>
  <c r="R508" i="5"/>
  <c r="R488" i="5"/>
  <c r="R468" i="5"/>
  <c r="R448" i="5"/>
  <c r="R428" i="5"/>
  <c r="R408" i="5"/>
  <c r="R388" i="5"/>
  <c r="R368" i="5"/>
  <c r="R348" i="5"/>
  <c r="R328" i="5"/>
  <c r="R308" i="5"/>
  <c r="R288" i="5"/>
  <c r="R268" i="5"/>
  <c r="R248" i="5"/>
  <c r="R228" i="5"/>
  <c r="R208" i="5"/>
  <c r="R188" i="5"/>
  <c r="R168" i="5"/>
  <c r="R148" i="5"/>
  <c r="R128" i="5"/>
  <c r="R108" i="5"/>
  <c r="R88" i="5"/>
  <c r="R68" i="5"/>
  <c r="R48" i="5"/>
  <c r="R28" i="5"/>
  <c r="R8" i="5"/>
  <c r="R804" i="5"/>
  <c r="R784" i="5"/>
  <c r="R764" i="5"/>
  <c r="R744" i="5"/>
  <c r="R724" i="5"/>
  <c r="R704" i="5"/>
  <c r="R684" i="5"/>
  <c r="R664" i="5"/>
  <c r="R644" i="5"/>
  <c r="R624" i="5"/>
  <c r="R604" i="5"/>
  <c r="R584" i="5"/>
  <c r="R564" i="5"/>
  <c r="R544" i="5"/>
  <c r="R524" i="5"/>
  <c r="R504" i="5"/>
  <c r="R484" i="5"/>
  <c r="R464" i="5"/>
  <c r="R444" i="5"/>
  <c r="R424" i="5"/>
  <c r="R404" i="5"/>
  <c r="R384" i="5"/>
  <c r="R364" i="5"/>
  <c r="R344" i="5"/>
  <c r="R324" i="5"/>
  <c r="R304" i="5"/>
  <c r="R284" i="5"/>
  <c r="R264" i="5"/>
  <c r="R244" i="5"/>
  <c r="R224" i="5"/>
  <c r="R204" i="5"/>
  <c r="R184" i="5"/>
  <c r="R164" i="5"/>
  <c r="R144" i="5"/>
  <c r="R124" i="5"/>
  <c r="R104" i="5"/>
  <c r="R84" i="5"/>
  <c r="R64" i="5"/>
  <c r="R44" i="5"/>
  <c r="R24" i="5"/>
  <c r="R801" i="5"/>
  <c r="R781" i="5"/>
  <c r="R761" i="5"/>
  <c r="R741" i="5"/>
  <c r="R721" i="5"/>
  <c r="R701" i="5"/>
  <c r="R681" i="5"/>
  <c r="R661" i="5"/>
  <c r="R641" i="5"/>
  <c r="R621" i="5"/>
  <c r="R601" i="5"/>
  <c r="R581" i="5"/>
  <c r="R561" i="5"/>
  <c r="R541" i="5"/>
  <c r="R521" i="5"/>
  <c r="R501" i="5"/>
  <c r="R481" i="5"/>
  <c r="R461" i="5"/>
  <c r="R441" i="5"/>
  <c r="R421" i="5"/>
  <c r="R401" i="5"/>
  <c r="R381" i="5"/>
  <c r="R361" i="5"/>
  <c r="R341" i="5"/>
  <c r="R321" i="5"/>
  <c r="R301" i="5"/>
  <c r="R281" i="5"/>
  <c r="R261" i="5"/>
  <c r="R241" i="5"/>
  <c r="R221" i="5"/>
  <c r="R201" i="5"/>
  <c r="R181" i="5"/>
  <c r="R161" i="5"/>
  <c r="R141" i="5"/>
  <c r="R121" i="5"/>
  <c r="R101" i="5"/>
  <c r="R81" i="5"/>
  <c r="R61" i="5"/>
  <c r="R41" i="5"/>
  <c r="R21" i="5"/>
  <c r="R800" i="5"/>
  <c r="R780" i="5"/>
  <c r="R760" i="5"/>
  <c r="R740" i="5"/>
  <c r="R720" i="5"/>
  <c r="R700" i="5"/>
  <c r="R680" i="5"/>
  <c r="R660" i="5"/>
  <c r="R640" i="5"/>
  <c r="R620" i="5"/>
  <c r="R600" i="5"/>
  <c r="R580" i="5"/>
  <c r="R560" i="5"/>
  <c r="R540" i="5"/>
  <c r="R520" i="5"/>
  <c r="R500" i="5"/>
  <c r="R480" i="5"/>
  <c r="R460" i="5"/>
  <c r="R440" i="5"/>
  <c r="R420" i="5"/>
  <c r="R400" i="5"/>
  <c r="R380" i="5"/>
  <c r="R360" i="5"/>
  <c r="R340" i="5"/>
  <c r="R320" i="5"/>
  <c r="R300" i="5"/>
  <c r="R280" i="5"/>
  <c r="R260" i="5"/>
  <c r="R240" i="5"/>
  <c r="R220" i="5"/>
  <c r="R200" i="5"/>
  <c r="R180" i="5"/>
  <c r="R160" i="5"/>
  <c r="R140" i="5"/>
  <c r="R120" i="5"/>
  <c r="R100" i="5"/>
  <c r="R80" i="5"/>
  <c r="R60" i="5"/>
  <c r="R40" i="5"/>
  <c r="R20" i="5"/>
  <c r="R799" i="5"/>
  <c r="R779" i="5"/>
  <c r="R759" i="5"/>
  <c r="R739" i="5"/>
  <c r="R719" i="5"/>
  <c r="R699" i="5"/>
  <c r="R679" i="5"/>
  <c r="R659" i="5"/>
  <c r="R639" i="5"/>
  <c r="R619" i="5"/>
  <c r="R599" i="5"/>
  <c r="R579" i="5"/>
  <c r="R559" i="5"/>
  <c r="R539" i="5"/>
  <c r="R519" i="5"/>
  <c r="R499" i="5"/>
  <c r="R479" i="5"/>
  <c r="R459" i="5"/>
  <c r="R439" i="5"/>
  <c r="R419" i="5"/>
  <c r="R399" i="5"/>
  <c r="R379" i="5"/>
  <c r="R359" i="5"/>
  <c r="R339" i="5"/>
  <c r="R319" i="5"/>
  <c r="R299" i="5"/>
  <c r="R279" i="5"/>
  <c r="R259" i="5"/>
  <c r="R239" i="5"/>
  <c r="R219" i="5"/>
  <c r="R199" i="5"/>
  <c r="R179" i="5"/>
  <c r="R159" i="5"/>
  <c r="R139" i="5"/>
  <c r="R119" i="5"/>
  <c r="R99" i="5"/>
  <c r="R79" i="5"/>
  <c r="R59" i="5"/>
  <c r="R39" i="5"/>
  <c r="R19" i="5"/>
  <c r="R798" i="5"/>
  <c r="R778" i="5"/>
  <c r="R758" i="5"/>
  <c r="R738" i="5"/>
  <c r="R718" i="5"/>
  <c r="R698" i="5"/>
  <c r="R678" i="5"/>
  <c r="R658" i="5"/>
  <c r="R638" i="5"/>
  <c r="R618" i="5"/>
  <c r="R598" i="5"/>
  <c r="R578" i="5"/>
  <c r="R558" i="5"/>
  <c r="R538" i="5"/>
  <c r="R518" i="5"/>
  <c r="R498" i="5"/>
  <c r="R478" i="5"/>
  <c r="R458" i="5"/>
  <c r="R438" i="5"/>
  <c r="R418" i="5"/>
  <c r="R398" i="5"/>
  <c r="R378" i="5"/>
  <c r="R358" i="5"/>
  <c r="R338" i="5"/>
  <c r="R318" i="5"/>
  <c r="R298" i="5"/>
  <c r="R278" i="5"/>
  <c r="R258" i="5"/>
  <c r="R238" i="5"/>
  <c r="R218" i="5"/>
  <c r="R198" i="5"/>
  <c r="R178" i="5"/>
  <c r="R158" i="5"/>
  <c r="R138" i="5"/>
  <c r="R118" i="5"/>
  <c r="R98" i="5"/>
  <c r="R78" i="5"/>
  <c r="R58" i="5"/>
  <c r="R38" i="5"/>
  <c r="R18" i="5"/>
  <c r="R795" i="5"/>
  <c r="R775" i="5"/>
  <c r="R755" i="5"/>
  <c r="R735" i="5"/>
  <c r="R715" i="5"/>
  <c r="R695" i="5"/>
  <c r="R675" i="5"/>
  <c r="R655" i="5"/>
  <c r="R635" i="5"/>
  <c r="R615" i="5"/>
  <c r="R595" i="5"/>
  <c r="R575" i="5"/>
  <c r="R555" i="5"/>
  <c r="R535" i="5"/>
  <c r="R515" i="5"/>
  <c r="R495" i="5"/>
  <c r="R475" i="5"/>
  <c r="R455" i="5"/>
  <c r="R435" i="5"/>
  <c r="R415" i="5"/>
  <c r="R395" i="5"/>
  <c r="R375" i="5"/>
  <c r="R355" i="5"/>
  <c r="R335" i="5"/>
  <c r="R315" i="5"/>
  <c r="R295" i="5"/>
  <c r="R275" i="5"/>
  <c r="R255" i="5"/>
  <c r="R235" i="5"/>
  <c r="R215" i="5"/>
  <c r="R195" i="5"/>
  <c r="R175" i="5"/>
  <c r="R155" i="5"/>
  <c r="R135" i="5"/>
  <c r="R115" i="5"/>
  <c r="R95" i="5"/>
  <c r="R75" i="5"/>
  <c r="R55" i="5"/>
  <c r="R35" i="5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S6" i="5" l="1"/>
  <c r="S7" i="5" l="1"/>
  <c r="T6" i="5"/>
  <c r="S8" i="5" l="1"/>
  <c r="T7" i="5"/>
  <c r="S9" i="5" l="1"/>
  <c r="T8" i="5"/>
  <c r="S10" i="5" l="1"/>
  <c r="T9" i="5"/>
  <c r="S11" i="5" l="1"/>
  <c r="T10" i="5"/>
  <c r="S12" i="5" l="1"/>
  <c r="T11" i="5"/>
  <c r="S13" i="5" l="1"/>
  <c r="T12" i="5"/>
  <c r="S14" i="5" l="1"/>
  <c r="T13" i="5"/>
  <c r="S15" i="5" l="1"/>
  <c r="T14" i="5"/>
  <c r="S16" i="5" l="1"/>
  <c r="T15" i="5"/>
  <c r="S17" i="5" l="1"/>
  <c r="T16" i="5"/>
  <c r="S18" i="5" l="1"/>
  <c r="T17" i="5"/>
  <c r="S19" i="5" l="1"/>
  <c r="T18" i="5"/>
  <c r="S20" i="5" l="1"/>
  <c r="T19" i="5"/>
  <c r="S21" i="5" l="1"/>
  <c r="T20" i="5"/>
  <c r="S22" i="5" l="1"/>
  <c r="T21" i="5"/>
  <c r="S23" i="5" l="1"/>
  <c r="T22" i="5"/>
  <c r="S24" i="5" l="1"/>
  <c r="T23" i="5"/>
  <c r="S25" i="5" l="1"/>
  <c r="T24" i="5"/>
  <c r="S26" i="5" l="1"/>
  <c r="T25" i="5"/>
  <c r="S27" i="5" l="1"/>
  <c r="T26" i="5"/>
  <c r="S28" i="5" l="1"/>
  <c r="T27" i="5"/>
  <c r="S29" i="5" l="1"/>
  <c r="T28" i="5"/>
  <c r="S30" i="5" l="1"/>
  <c r="T29" i="5"/>
  <c r="S31" i="5" l="1"/>
  <c r="T30" i="5"/>
  <c r="S32" i="5" l="1"/>
  <c r="T31" i="5"/>
  <c r="S33" i="5" l="1"/>
  <c r="T32" i="5"/>
  <c r="S34" i="5" l="1"/>
  <c r="T33" i="5"/>
  <c r="S35" i="5" l="1"/>
  <c r="T34" i="5"/>
  <c r="S36" i="5" l="1"/>
  <c r="T35" i="5"/>
  <c r="S37" i="5" l="1"/>
  <c r="T36" i="5"/>
  <c r="S38" i="5" l="1"/>
  <c r="T37" i="5"/>
  <c r="S39" i="5" l="1"/>
  <c r="T38" i="5"/>
  <c r="S40" i="5" l="1"/>
  <c r="T39" i="5"/>
  <c r="S41" i="5" l="1"/>
  <c r="T40" i="5"/>
  <c r="S42" i="5" l="1"/>
  <c r="T41" i="5"/>
  <c r="S43" i="5" l="1"/>
  <c r="T42" i="5"/>
  <c r="S44" i="5" l="1"/>
  <c r="T43" i="5"/>
  <c r="S45" i="5" l="1"/>
  <c r="T44" i="5"/>
  <c r="S46" i="5" l="1"/>
  <c r="T45" i="5"/>
  <c r="S47" i="5" l="1"/>
  <c r="T46" i="5"/>
  <c r="S48" i="5" l="1"/>
  <c r="T47" i="5"/>
  <c r="S49" i="5" l="1"/>
  <c r="T48" i="5"/>
  <c r="S50" i="5" l="1"/>
  <c r="T49" i="5"/>
  <c r="S51" i="5" l="1"/>
  <c r="T50" i="5"/>
  <c r="S52" i="5" l="1"/>
  <c r="T51" i="5"/>
  <c r="S53" i="5" l="1"/>
  <c r="T52" i="5"/>
  <c r="S54" i="5" l="1"/>
  <c r="T53" i="5"/>
  <c r="S55" i="5" l="1"/>
  <c r="T54" i="5"/>
  <c r="S56" i="5" l="1"/>
  <c r="T55" i="5"/>
  <c r="S57" i="5" l="1"/>
  <c r="T56" i="5"/>
  <c r="S58" i="5" l="1"/>
  <c r="T57" i="5"/>
  <c r="S59" i="5" l="1"/>
  <c r="T58" i="5"/>
  <c r="S60" i="5" l="1"/>
  <c r="T59" i="5"/>
  <c r="S61" i="5" l="1"/>
  <c r="T60" i="5"/>
  <c r="S62" i="5" l="1"/>
  <c r="T61" i="5"/>
  <c r="S63" i="5" l="1"/>
  <c r="T62" i="5"/>
  <c r="S64" i="5" l="1"/>
  <c r="T63" i="5"/>
  <c r="S65" i="5" l="1"/>
  <c r="T64" i="5"/>
  <c r="S66" i="5" l="1"/>
  <c r="T65" i="5"/>
  <c r="S67" i="5" l="1"/>
  <c r="T66" i="5"/>
  <c r="S68" i="5" l="1"/>
  <c r="T67" i="5"/>
  <c r="S69" i="5" l="1"/>
  <c r="T68" i="5"/>
  <c r="S70" i="5" l="1"/>
  <c r="T69" i="5"/>
  <c r="S71" i="5" l="1"/>
  <c r="T70" i="5"/>
  <c r="S72" i="5" l="1"/>
  <c r="T71" i="5"/>
  <c r="S73" i="5" l="1"/>
  <c r="T72" i="5"/>
  <c r="S74" i="5" l="1"/>
  <c r="T73" i="5"/>
  <c r="S75" i="5" l="1"/>
  <c r="T74" i="5"/>
  <c r="S76" i="5" l="1"/>
  <c r="T75" i="5"/>
  <c r="S77" i="5" l="1"/>
  <c r="T76" i="5"/>
  <c r="S78" i="5" l="1"/>
  <c r="T77" i="5"/>
  <c r="S79" i="5" l="1"/>
  <c r="T78" i="5"/>
  <c r="S80" i="5" l="1"/>
  <c r="T79" i="5"/>
  <c r="S81" i="5" l="1"/>
  <c r="T80" i="5"/>
  <c r="S82" i="5" l="1"/>
  <c r="T81" i="5"/>
  <c r="S83" i="5" l="1"/>
  <c r="T82" i="5"/>
  <c r="S84" i="5" l="1"/>
  <c r="T83" i="5"/>
  <c r="S85" i="5" l="1"/>
  <c r="T84" i="5"/>
  <c r="S86" i="5" l="1"/>
  <c r="T85" i="5"/>
  <c r="S87" i="5" l="1"/>
  <c r="T86" i="5"/>
  <c r="S88" i="5" l="1"/>
  <c r="T87" i="5"/>
  <c r="S89" i="5" l="1"/>
  <c r="T88" i="5"/>
  <c r="S90" i="5" l="1"/>
  <c r="T89" i="5"/>
  <c r="S91" i="5" l="1"/>
  <c r="T90" i="5"/>
  <c r="S92" i="5" l="1"/>
  <c r="T91" i="5"/>
  <c r="S93" i="5" l="1"/>
  <c r="T92" i="5"/>
  <c r="S94" i="5" l="1"/>
  <c r="T93" i="5"/>
  <c r="S95" i="5" l="1"/>
  <c r="T94" i="5"/>
  <c r="S96" i="5" l="1"/>
  <c r="T95" i="5"/>
  <c r="S97" i="5" l="1"/>
  <c r="T96" i="5"/>
  <c r="S98" i="5" l="1"/>
  <c r="T97" i="5"/>
  <c r="S99" i="5" l="1"/>
  <c r="T98" i="5"/>
  <c r="S100" i="5" l="1"/>
  <c r="T99" i="5"/>
  <c r="S101" i="5" l="1"/>
  <c r="T100" i="5"/>
  <c r="S102" i="5" l="1"/>
  <c r="T101" i="5"/>
  <c r="S103" i="5" l="1"/>
  <c r="T102" i="5"/>
  <c r="S104" i="5" l="1"/>
  <c r="T103" i="5"/>
  <c r="S105" i="5" l="1"/>
  <c r="T104" i="5"/>
  <c r="S106" i="5" l="1"/>
  <c r="T105" i="5"/>
  <c r="S107" i="5" l="1"/>
  <c r="T106" i="5"/>
  <c r="S108" i="5" l="1"/>
  <c r="T107" i="5"/>
  <c r="S109" i="5" l="1"/>
  <c r="T108" i="5"/>
  <c r="S110" i="5" l="1"/>
  <c r="T109" i="5"/>
  <c r="S111" i="5" l="1"/>
  <c r="T110" i="5"/>
  <c r="S112" i="5" l="1"/>
  <c r="T111" i="5"/>
  <c r="S113" i="5" l="1"/>
  <c r="T112" i="5"/>
  <c r="S114" i="5" l="1"/>
  <c r="T113" i="5"/>
  <c r="S115" i="5" l="1"/>
  <c r="T114" i="5"/>
  <c r="S116" i="5" l="1"/>
  <c r="T115" i="5"/>
  <c r="S117" i="5" l="1"/>
  <c r="T116" i="5"/>
  <c r="S118" i="5" l="1"/>
  <c r="T117" i="5"/>
  <c r="S119" i="5" l="1"/>
  <c r="T118" i="5"/>
  <c r="S120" i="5" l="1"/>
  <c r="T119" i="5"/>
  <c r="S121" i="5" l="1"/>
  <c r="T120" i="5"/>
  <c r="S122" i="5" l="1"/>
  <c r="T121" i="5"/>
  <c r="S123" i="5" l="1"/>
  <c r="T122" i="5"/>
  <c r="S124" i="5" l="1"/>
  <c r="T123" i="5"/>
  <c r="S125" i="5" l="1"/>
  <c r="T124" i="5"/>
  <c r="S126" i="5" l="1"/>
  <c r="T125" i="5"/>
  <c r="S127" i="5" l="1"/>
  <c r="T126" i="5"/>
  <c r="S128" i="5" l="1"/>
  <c r="T127" i="5"/>
  <c r="S129" i="5" l="1"/>
  <c r="T128" i="5"/>
  <c r="S130" i="5" l="1"/>
  <c r="T129" i="5"/>
  <c r="S131" i="5" l="1"/>
  <c r="T130" i="5"/>
  <c r="S132" i="5" l="1"/>
  <c r="T131" i="5"/>
  <c r="S133" i="5" l="1"/>
  <c r="T132" i="5"/>
  <c r="S134" i="5" l="1"/>
  <c r="T133" i="5"/>
  <c r="S135" i="5" l="1"/>
  <c r="T134" i="5"/>
  <c r="S136" i="5" l="1"/>
  <c r="T135" i="5"/>
  <c r="S137" i="5" l="1"/>
  <c r="T136" i="5"/>
  <c r="S138" i="5" l="1"/>
  <c r="T137" i="5"/>
  <c r="S139" i="5" l="1"/>
  <c r="T138" i="5"/>
  <c r="S140" i="5" l="1"/>
  <c r="T139" i="5"/>
  <c r="S141" i="5" l="1"/>
  <c r="T140" i="5"/>
  <c r="S142" i="5" l="1"/>
  <c r="T141" i="5"/>
  <c r="S143" i="5" l="1"/>
  <c r="T142" i="5"/>
  <c r="S144" i="5" l="1"/>
  <c r="T143" i="5"/>
  <c r="S145" i="5" l="1"/>
  <c r="T144" i="5"/>
  <c r="S146" i="5" l="1"/>
  <c r="T145" i="5"/>
  <c r="S147" i="5" l="1"/>
  <c r="T146" i="5"/>
  <c r="S148" i="5" l="1"/>
  <c r="T147" i="5"/>
  <c r="S149" i="5" l="1"/>
  <c r="T148" i="5"/>
  <c r="S150" i="5" l="1"/>
  <c r="T149" i="5"/>
  <c r="S151" i="5" l="1"/>
  <c r="T150" i="5"/>
  <c r="S152" i="5" l="1"/>
  <c r="T151" i="5"/>
  <c r="S153" i="5" l="1"/>
  <c r="T152" i="5"/>
  <c r="S154" i="5" l="1"/>
  <c r="T153" i="5"/>
  <c r="S155" i="5" l="1"/>
  <c r="T154" i="5"/>
  <c r="S156" i="5" l="1"/>
  <c r="T155" i="5"/>
  <c r="S157" i="5" l="1"/>
  <c r="T156" i="5"/>
  <c r="S158" i="5" l="1"/>
  <c r="T157" i="5"/>
  <c r="S159" i="5" l="1"/>
  <c r="T158" i="5"/>
  <c r="S160" i="5" l="1"/>
  <c r="T159" i="5"/>
  <c r="S161" i="5" l="1"/>
  <c r="T160" i="5"/>
  <c r="S162" i="5" l="1"/>
  <c r="T161" i="5"/>
  <c r="S163" i="5" l="1"/>
  <c r="T162" i="5"/>
  <c r="S164" i="5" l="1"/>
  <c r="T163" i="5"/>
  <c r="S165" i="5" l="1"/>
  <c r="T164" i="5"/>
  <c r="S166" i="5" l="1"/>
  <c r="T165" i="5"/>
  <c r="S167" i="5" l="1"/>
  <c r="T166" i="5"/>
  <c r="S168" i="5" l="1"/>
  <c r="T167" i="5"/>
  <c r="S169" i="5" l="1"/>
  <c r="T168" i="5"/>
  <c r="S170" i="5" l="1"/>
  <c r="T169" i="5"/>
  <c r="S171" i="5" l="1"/>
  <c r="T170" i="5"/>
  <c r="S172" i="5" l="1"/>
  <c r="T171" i="5"/>
  <c r="S173" i="5" l="1"/>
  <c r="T172" i="5"/>
  <c r="S174" i="5" l="1"/>
  <c r="T173" i="5"/>
  <c r="S175" i="5" l="1"/>
  <c r="T174" i="5"/>
  <c r="S176" i="5" l="1"/>
  <c r="T175" i="5"/>
  <c r="S177" i="5" l="1"/>
  <c r="T176" i="5"/>
  <c r="S178" i="5" l="1"/>
  <c r="T177" i="5"/>
  <c r="S179" i="5" l="1"/>
  <c r="T178" i="5"/>
  <c r="S180" i="5" l="1"/>
  <c r="T179" i="5"/>
  <c r="S181" i="5" l="1"/>
  <c r="T180" i="5"/>
  <c r="S182" i="5" l="1"/>
  <c r="T181" i="5"/>
  <c r="S183" i="5" l="1"/>
  <c r="T182" i="5"/>
  <c r="S184" i="5" l="1"/>
  <c r="T183" i="5"/>
  <c r="S185" i="5" l="1"/>
  <c r="T184" i="5"/>
  <c r="S186" i="5" l="1"/>
  <c r="T185" i="5"/>
  <c r="S187" i="5" l="1"/>
  <c r="T186" i="5"/>
  <c r="S188" i="5" l="1"/>
  <c r="T187" i="5"/>
  <c r="S189" i="5" l="1"/>
  <c r="T188" i="5"/>
  <c r="S190" i="5" l="1"/>
  <c r="T189" i="5"/>
  <c r="S191" i="5" l="1"/>
  <c r="T190" i="5"/>
  <c r="S192" i="5" l="1"/>
  <c r="T191" i="5"/>
  <c r="S193" i="5" l="1"/>
  <c r="T192" i="5"/>
  <c r="S194" i="5" l="1"/>
  <c r="T193" i="5"/>
  <c r="S195" i="5" l="1"/>
  <c r="T194" i="5"/>
  <c r="S196" i="5" l="1"/>
  <c r="T195" i="5"/>
  <c r="S197" i="5" l="1"/>
  <c r="T196" i="5"/>
  <c r="S198" i="5" l="1"/>
  <c r="T197" i="5"/>
  <c r="S199" i="5" l="1"/>
  <c r="T198" i="5"/>
  <c r="S200" i="5" l="1"/>
  <c r="T199" i="5"/>
  <c r="S201" i="5" l="1"/>
  <c r="T200" i="5"/>
  <c r="S202" i="5" l="1"/>
  <c r="T201" i="5"/>
  <c r="S203" i="5" l="1"/>
  <c r="T202" i="5"/>
  <c r="S204" i="5" l="1"/>
  <c r="T203" i="5"/>
  <c r="S205" i="5" l="1"/>
  <c r="T204" i="5"/>
  <c r="S206" i="5" l="1"/>
  <c r="T205" i="5"/>
  <c r="S207" i="5" l="1"/>
  <c r="T206" i="5"/>
  <c r="S208" i="5" l="1"/>
  <c r="T207" i="5"/>
  <c r="S209" i="5" l="1"/>
  <c r="T208" i="5"/>
  <c r="S210" i="5" l="1"/>
  <c r="T209" i="5"/>
  <c r="S211" i="5" l="1"/>
  <c r="T210" i="5"/>
  <c r="S212" i="5" l="1"/>
  <c r="T211" i="5"/>
  <c r="S213" i="5" l="1"/>
  <c r="T212" i="5"/>
  <c r="S214" i="5" l="1"/>
  <c r="T213" i="5"/>
  <c r="S215" i="5" l="1"/>
  <c r="T214" i="5"/>
  <c r="S216" i="5" l="1"/>
  <c r="T215" i="5"/>
  <c r="S217" i="5" l="1"/>
  <c r="T216" i="5"/>
  <c r="S218" i="5" l="1"/>
  <c r="T217" i="5"/>
  <c r="S219" i="5" l="1"/>
  <c r="T218" i="5"/>
  <c r="S220" i="5" l="1"/>
  <c r="T219" i="5"/>
  <c r="S221" i="5" l="1"/>
  <c r="T220" i="5"/>
  <c r="S222" i="5" l="1"/>
  <c r="T221" i="5"/>
  <c r="S223" i="5" l="1"/>
  <c r="T222" i="5"/>
  <c r="S224" i="5" l="1"/>
  <c r="T223" i="5"/>
  <c r="S225" i="5" l="1"/>
  <c r="T224" i="5"/>
  <c r="S226" i="5" l="1"/>
  <c r="T225" i="5"/>
  <c r="S227" i="5" l="1"/>
  <c r="T226" i="5"/>
  <c r="S228" i="5" l="1"/>
  <c r="T227" i="5"/>
  <c r="S229" i="5" l="1"/>
  <c r="T228" i="5"/>
  <c r="S230" i="5" l="1"/>
  <c r="T229" i="5"/>
  <c r="S231" i="5" l="1"/>
  <c r="T230" i="5"/>
  <c r="S232" i="5" l="1"/>
  <c r="T231" i="5"/>
  <c r="S233" i="5" l="1"/>
  <c r="T232" i="5"/>
  <c r="S234" i="5" l="1"/>
  <c r="T233" i="5"/>
  <c r="S235" i="5" l="1"/>
  <c r="T234" i="5"/>
  <c r="S236" i="5" l="1"/>
  <c r="T235" i="5"/>
  <c r="S237" i="5" l="1"/>
  <c r="T236" i="5"/>
  <c r="S238" i="5" l="1"/>
  <c r="T237" i="5"/>
  <c r="S239" i="5" l="1"/>
  <c r="T238" i="5"/>
  <c r="S240" i="5" l="1"/>
  <c r="T239" i="5"/>
  <c r="S241" i="5" l="1"/>
  <c r="T240" i="5"/>
  <c r="S242" i="5" l="1"/>
  <c r="T241" i="5"/>
  <c r="S243" i="5" l="1"/>
  <c r="T242" i="5"/>
  <c r="S244" i="5" l="1"/>
  <c r="T243" i="5"/>
  <c r="S245" i="5" l="1"/>
  <c r="T244" i="5"/>
  <c r="S246" i="5" l="1"/>
  <c r="T245" i="5"/>
  <c r="S247" i="5" l="1"/>
  <c r="T246" i="5"/>
  <c r="S248" i="5" l="1"/>
  <c r="T247" i="5"/>
  <c r="S249" i="5" l="1"/>
  <c r="T248" i="5"/>
  <c r="S250" i="5" l="1"/>
  <c r="T249" i="5"/>
  <c r="S251" i="5" l="1"/>
  <c r="T250" i="5"/>
  <c r="S252" i="5" l="1"/>
  <c r="T251" i="5"/>
  <c r="S253" i="5" l="1"/>
  <c r="T252" i="5"/>
  <c r="S254" i="5" l="1"/>
  <c r="T253" i="5"/>
  <c r="S255" i="5" l="1"/>
  <c r="T254" i="5"/>
  <c r="S256" i="5" l="1"/>
  <c r="T255" i="5"/>
  <c r="S257" i="5" l="1"/>
  <c r="T256" i="5"/>
  <c r="S258" i="5" l="1"/>
  <c r="T257" i="5"/>
  <c r="S259" i="5" l="1"/>
  <c r="T258" i="5"/>
  <c r="S260" i="5" l="1"/>
  <c r="T259" i="5"/>
  <c r="S261" i="5" l="1"/>
  <c r="T260" i="5"/>
  <c r="S262" i="5" l="1"/>
  <c r="T261" i="5"/>
  <c r="S263" i="5" l="1"/>
  <c r="T262" i="5"/>
  <c r="S264" i="5" l="1"/>
  <c r="T263" i="5"/>
  <c r="S265" i="5" l="1"/>
  <c r="T264" i="5"/>
  <c r="S266" i="5" l="1"/>
  <c r="T265" i="5"/>
  <c r="S267" i="5" l="1"/>
  <c r="T266" i="5"/>
  <c r="S268" i="5" l="1"/>
  <c r="T267" i="5"/>
  <c r="S269" i="5" l="1"/>
  <c r="T268" i="5"/>
  <c r="S270" i="5" l="1"/>
  <c r="T269" i="5"/>
  <c r="S271" i="5" l="1"/>
  <c r="T270" i="5"/>
  <c r="S272" i="5" l="1"/>
  <c r="T271" i="5"/>
  <c r="S273" i="5" l="1"/>
  <c r="T272" i="5"/>
  <c r="S274" i="5" l="1"/>
  <c r="T273" i="5"/>
  <c r="S275" i="5" l="1"/>
  <c r="T274" i="5"/>
  <c r="S276" i="5" l="1"/>
  <c r="T275" i="5"/>
  <c r="S277" i="5" l="1"/>
  <c r="T276" i="5"/>
  <c r="S278" i="5" l="1"/>
  <c r="T277" i="5"/>
  <c r="S279" i="5" l="1"/>
  <c r="T278" i="5"/>
  <c r="S280" i="5" l="1"/>
  <c r="T279" i="5"/>
  <c r="S281" i="5" l="1"/>
  <c r="T280" i="5"/>
  <c r="S282" i="5" l="1"/>
  <c r="T281" i="5"/>
  <c r="S283" i="5" l="1"/>
  <c r="T282" i="5"/>
  <c r="S284" i="5" l="1"/>
  <c r="T283" i="5"/>
  <c r="S285" i="5" l="1"/>
  <c r="T284" i="5"/>
  <c r="S286" i="5" l="1"/>
  <c r="T285" i="5"/>
  <c r="S287" i="5" l="1"/>
  <c r="T286" i="5"/>
  <c r="S288" i="5" l="1"/>
  <c r="T287" i="5"/>
  <c r="S289" i="5" l="1"/>
  <c r="T288" i="5"/>
  <c r="S290" i="5" l="1"/>
  <c r="T289" i="5"/>
  <c r="S291" i="5" l="1"/>
  <c r="T290" i="5"/>
  <c r="S292" i="5" l="1"/>
  <c r="T291" i="5"/>
  <c r="S293" i="5" l="1"/>
  <c r="T292" i="5"/>
  <c r="S294" i="5" l="1"/>
  <c r="T293" i="5"/>
  <c r="S295" i="5" l="1"/>
  <c r="T294" i="5"/>
  <c r="S296" i="5" l="1"/>
  <c r="T295" i="5"/>
  <c r="S297" i="5" l="1"/>
  <c r="T296" i="5"/>
  <c r="S298" i="5" l="1"/>
  <c r="T297" i="5"/>
  <c r="S299" i="5" l="1"/>
  <c r="T298" i="5"/>
  <c r="S300" i="5" l="1"/>
  <c r="T299" i="5"/>
  <c r="S301" i="5" l="1"/>
  <c r="T300" i="5"/>
  <c r="S302" i="5" l="1"/>
  <c r="T301" i="5"/>
  <c r="S303" i="5" l="1"/>
  <c r="T302" i="5"/>
  <c r="S304" i="5" l="1"/>
  <c r="T303" i="5"/>
  <c r="S305" i="5" l="1"/>
  <c r="T304" i="5"/>
  <c r="S306" i="5" l="1"/>
  <c r="T305" i="5"/>
  <c r="S307" i="5" l="1"/>
  <c r="T306" i="5"/>
  <c r="S308" i="5" l="1"/>
  <c r="T307" i="5"/>
  <c r="S309" i="5" l="1"/>
  <c r="T308" i="5"/>
  <c r="S310" i="5" l="1"/>
  <c r="T309" i="5"/>
  <c r="S311" i="5" l="1"/>
  <c r="T310" i="5"/>
  <c r="S312" i="5" l="1"/>
  <c r="T311" i="5"/>
  <c r="S313" i="5" l="1"/>
  <c r="T312" i="5"/>
  <c r="S314" i="5" l="1"/>
  <c r="T313" i="5"/>
  <c r="S315" i="5" l="1"/>
  <c r="T314" i="5"/>
  <c r="S316" i="5" l="1"/>
  <c r="T315" i="5"/>
  <c r="S317" i="5" l="1"/>
  <c r="T316" i="5"/>
  <c r="S318" i="5" l="1"/>
  <c r="T317" i="5"/>
  <c r="S319" i="5" l="1"/>
  <c r="T318" i="5"/>
  <c r="S320" i="5" l="1"/>
  <c r="T319" i="5"/>
  <c r="S321" i="5" l="1"/>
  <c r="T320" i="5"/>
  <c r="S322" i="5" l="1"/>
  <c r="T321" i="5"/>
  <c r="S323" i="5" l="1"/>
  <c r="T322" i="5"/>
  <c r="S324" i="5" l="1"/>
  <c r="T323" i="5"/>
  <c r="S325" i="5" l="1"/>
  <c r="T324" i="5"/>
  <c r="S326" i="5" l="1"/>
  <c r="T325" i="5"/>
  <c r="S327" i="5" l="1"/>
  <c r="T326" i="5"/>
  <c r="S328" i="5" l="1"/>
  <c r="T327" i="5"/>
  <c r="S329" i="5" l="1"/>
  <c r="T328" i="5"/>
  <c r="S330" i="5" l="1"/>
  <c r="T329" i="5"/>
  <c r="S331" i="5" l="1"/>
  <c r="T330" i="5"/>
  <c r="S332" i="5" l="1"/>
  <c r="T331" i="5"/>
  <c r="S333" i="5" l="1"/>
  <c r="T332" i="5"/>
  <c r="S334" i="5" l="1"/>
  <c r="T333" i="5"/>
  <c r="S335" i="5" l="1"/>
  <c r="T334" i="5"/>
  <c r="S336" i="5" l="1"/>
  <c r="T335" i="5"/>
  <c r="S337" i="5" l="1"/>
  <c r="T336" i="5"/>
  <c r="S338" i="5" l="1"/>
  <c r="T337" i="5"/>
  <c r="S339" i="5" l="1"/>
  <c r="T338" i="5"/>
  <c r="S340" i="5" l="1"/>
  <c r="T339" i="5"/>
  <c r="S341" i="5" l="1"/>
  <c r="T340" i="5"/>
  <c r="S342" i="5" l="1"/>
  <c r="T341" i="5"/>
  <c r="S343" i="5" l="1"/>
  <c r="T342" i="5"/>
  <c r="S344" i="5" l="1"/>
  <c r="T343" i="5"/>
  <c r="S345" i="5" l="1"/>
  <c r="T344" i="5"/>
  <c r="S346" i="5" l="1"/>
  <c r="T345" i="5"/>
  <c r="S347" i="5" l="1"/>
  <c r="T346" i="5"/>
  <c r="S348" i="5" l="1"/>
  <c r="T347" i="5"/>
  <c r="S349" i="5" l="1"/>
  <c r="T348" i="5"/>
  <c r="S350" i="5" l="1"/>
  <c r="T349" i="5"/>
  <c r="S351" i="5" l="1"/>
  <c r="T350" i="5"/>
  <c r="S352" i="5" l="1"/>
  <c r="T351" i="5"/>
  <c r="S353" i="5" l="1"/>
  <c r="T352" i="5"/>
  <c r="S354" i="5" l="1"/>
  <c r="T353" i="5"/>
  <c r="S355" i="5" l="1"/>
  <c r="T354" i="5"/>
  <c r="S356" i="5" l="1"/>
  <c r="T355" i="5"/>
  <c r="S357" i="5" l="1"/>
  <c r="T356" i="5"/>
  <c r="S358" i="5" l="1"/>
  <c r="T357" i="5"/>
  <c r="S359" i="5" l="1"/>
  <c r="T358" i="5"/>
  <c r="S360" i="5" l="1"/>
  <c r="T359" i="5"/>
  <c r="S361" i="5" l="1"/>
  <c r="T360" i="5"/>
  <c r="S362" i="5" l="1"/>
  <c r="T361" i="5"/>
  <c r="S363" i="5" l="1"/>
  <c r="T362" i="5"/>
  <c r="S364" i="5" l="1"/>
  <c r="T363" i="5"/>
  <c r="S365" i="5" l="1"/>
  <c r="T364" i="5"/>
  <c r="S366" i="5" l="1"/>
  <c r="T365" i="5"/>
  <c r="S367" i="5" l="1"/>
  <c r="T366" i="5"/>
  <c r="S368" i="5" l="1"/>
  <c r="T367" i="5"/>
  <c r="S369" i="5" l="1"/>
  <c r="T368" i="5"/>
  <c r="S370" i="5" l="1"/>
  <c r="T369" i="5"/>
  <c r="S371" i="5" l="1"/>
  <c r="T370" i="5"/>
  <c r="S372" i="5" l="1"/>
  <c r="T371" i="5"/>
  <c r="S373" i="5" l="1"/>
  <c r="T372" i="5"/>
  <c r="S374" i="5" l="1"/>
  <c r="T373" i="5"/>
  <c r="S375" i="5" l="1"/>
  <c r="T374" i="5"/>
  <c r="S376" i="5" l="1"/>
  <c r="T375" i="5"/>
  <c r="S377" i="5" l="1"/>
  <c r="T376" i="5"/>
  <c r="S378" i="5" l="1"/>
  <c r="T377" i="5"/>
  <c r="S379" i="5" l="1"/>
  <c r="T378" i="5"/>
  <c r="S380" i="5" l="1"/>
  <c r="T379" i="5"/>
  <c r="S381" i="5" l="1"/>
  <c r="T380" i="5"/>
  <c r="S382" i="5" l="1"/>
  <c r="T381" i="5"/>
  <c r="S383" i="5" l="1"/>
  <c r="T382" i="5"/>
  <c r="S384" i="5" l="1"/>
  <c r="T383" i="5"/>
  <c r="S385" i="5" l="1"/>
  <c r="T384" i="5"/>
  <c r="S386" i="5" l="1"/>
  <c r="T385" i="5"/>
  <c r="S387" i="5" l="1"/>
  <c r="T386" i="5"/>
  <c r="S388" i="5" l="1"/>
  <c r="T387" i="5"/>
  <c r="S389" i="5" l="1"/>
  <c r="T388" i="5"/>
  <c r="S390" i="5" l="1"/>
  <c r="T389" i="5"/>
  <c r="S391" i="5" l="1"/>
  <c r="T390" i="5"/>
  <c r="S392" i="5" l="1"/>
  <c r="T391" i="5"/>
  <c r="S393" i="5" l="1"/>
  <c r="T392" i="5"/>
  <c r="S394" i="5" l="1"/>
  <c r="T393" i="5"/>
  <c r="S395" i="5" l="1"/>
  <c r="T394" i="5"/>
  <c r="S396" i="5" l="1"/>
  <c r="T395" i="5"/>
  <c r="S397" i="5" l="1"/>
  <c r="T396" i="5"/>
  <c r="S398" i="5" l="1"/>
  <c r="T397" i="5"/>
  <c r="S399" i="5" l="1"/>
  <c r="T398" i="5"/>
  <c r="S400" i="5" l="1"/>
  <c r="T399" i="5"/>
  <c r="S401" i="5" l="1"/>
  <c r="T400" i="5"/>
  <c r="S402" i="5" l="1"/>
  <c r="T401" i="5"/>
  <c r="S403" i="5" l="1"/>
  <c r="T402" i="5"/>
  <c r="S404" i="5" l="1"/>
  <c r="T403" i="5"/>
  <c r="S405" i="5" l="1"/>
  <c r="T404" i="5"/>
  <c r="S406" i="5" l="1"/>
  <c r="T405" i="5"/>
  <c r="S407" i="5" l="1"/>
  <c r="T406" i="5"/>
  <c r="S408" i="5" l="1"/>
  <c r="T407" i="5"/>
  <c r="S409" i="5" l="1"/>
  <c r="T408" i="5"/>
  <c r="S410" i="5" l="1"/>
  <c r="T409" i="5"/>
  <c r="S411" i="5" l="1"/>
  <c r="T410" i="5"/>
  <c r="S412" i="5" l="1"/>
  <c r="T411" i="5"/>
  <c r="S413" i="5" l="1"/>
  <c r="T412" i="5"/>
  <c r="S414" i="5" l="1"/>
  <c r="T413" i="5"/>
  <c r="S415" i="5" l="1"/>
  <c r="T414" i="5"/>
  <c r="S416" i="5" l="1"/>
  <c r="T415" i="5"/>
  <c r="S417" i="5" l="1"/>
  <c r="T416" i="5"/>
  <c r="S418" i="5" l="1"/>
  <c r="T417" i="5"/>
  <c r="S419" i="5" l="1"/>
  <c r="T418" i="5"/>
  <c r="S420" i="5" l="1"/>
  <c r="T419" i="5"/>
  <c r="S421" i="5" l="1"/>
  <c r="T420" i="5"/>
  <c r="S422" i="5" l="1"/>
  <c r="T421" i="5"/>
  <c r="S423" i="5" l="1"/>
  <c r="T422" i="5"/>
  <c r="S424" i="5" l="1"/>
  <c r="T423" i="5"/>
  <c r="S425" i="5" l="1"/>
  <c r="T424" i="5"/>
  <c r="S426" i="5" l="1"/>
  <c r="T425" i="5"/>
  <c r="S427" i="5" l="1"/>
  <c r="T426" i="5"/>
  <c r="S428" i="5" l="1"/>
  <c r="T427" i="5"/>
  <c r="S429" i="5" l="1"/>
  <c r="T428" i="5"/>
  <c r="S430" i="5" l="1"/>
  <c r="T429" i="5"/>
  <c r="S431" i="5" l="1"/>
  <c r="T430" i="5"/>
  <c r="S432" i="5" l="1"/>
  <c r="T431" i="5"/>
  <c r="S433" i="5" l="1"/>
  <c r="T432" i="5"/>
  <c r="S434" i="5" l="1"/>
  <c r="T433" i="5"/>
  <c r="S435" i="5" l="1"/>
  <c r="T434" i="5"/>
  <c r="S436" i="5" l="1"/>
  <c r="T435" i="5"/>
  <c r="S437" i="5" l="1"/>
  <c r="T436" i="5"/>
  <c r="S438" i="5" l="1"/>
  <c r="T437" i="5"/>
  <c r="S439" i="5" l="1"/>
  <c r="T438" i="5"/>
  <c r="S440" i="5" l="1"/>
  <c r="T439" i="5"/>
  <c r="S441" i="5" l="1"/>
  <c r="T440" i="5"/>
  <c r="S442" i="5" l="1"/>
  <c r="T441" i="5"/>
  <c r="S443" i="5" l="1"/>
  <c r="T442" i="5"/>
  <c r="S444" i="5" l="1"/>
  <c r="T443" i="5"/>
  <c r="S445" i="5" l="1"/>
  <c r="T444" i="5"/>
  <c r="S446" i="5" l="1"/>
  <c r="T445" i="5"/>
  <c r="S447" i="5" l="1"/>
  <c r="T446" i="5"/>
  <c r="S448" i="5" l="1"/>
  <c r="T447" i="5"/>
  <c r="S449" i="5" l="1"/>
  <c r="T448" i="5"/>
  <c r="S450" i="5" l="1"/>
  <c r="T449" i="5"/>
  <c r="S451" i="5" l="1"/>
  <c r="T450" i="5"/>
  <c r="S452" i="5" l="1"/>
  <c r="T451" i="5"/>
  <c r="S453" i="5" l="1"/>
  <c r="T452" i="5"/>
  <c r="S454" i="5" l="1"/>
  <c r="T453" i="5"/>
  <c r="S455" i="5" l="1"/>
  <c r="T454" i="5"/>
  <c r="S456" i="5" l="1"/>
  <c r="T455" i="5"/>
  <c r="S457" i="5" l="1"/>
  <c r="T456" i="5"/>
  <c r="S458" i="5" l="1"/>
  <c r="T457" i="5"/>
  <c r="S459" i="5" l="1"/>
  <c r="T458" i="5"/>
  <c r="S460" i="5" l="1"/>
  <c r="T459" i="5"/>
  <c r="S461" i="5" l="1"/>
  <c r="T460" i="5"/>
  <c r="S462" i="5" l="1"/>
  <c r="T461" i="5"/>
  <c r="S463" i="5" l="1"/>
  <c r="T462" i="5"/>
  <c r="S464" i="5" l="1"/>
  <c r="T463" i="5"/>
  <c r="S465" i="5" l="1"/>
  <c r="T464" i="5"/>
  <c r="S466" i="5" l="1"/>
  <c r="T465" i="5"/>
  <c r="S467" i="5" l="1"/>
  <c r="T466" i="5"/>
  <c r="S468" i="5" l="1"/>
  <c r="T467" i="5"/>
  <c r="S469" i="5" l="1"/>
  <c r="T468" i="5"/>
  <c r="S470" i="5" l="1"/>
  <c r="T469" i="5"/>
  <c r="S471" i="5" l="1"/>
  <c r="T470" i="5"/>
  <c r="S472" i="5" l="1"/>
  <c r="T471" i="5"/>
  <c r="S473" i="5" l="1"/>
  <c r="T472" i="5"/>
  <c r="S474" i="5" l="1"/>
  <c r="T473" i="5"/>
  <c r="S475" i="5" l="1"/>
  <c r="T474" i="5"/>
  <c r="S476" i="5" l="1"/>
  <c r="T475" i="5"/>
  <c r="S477" i="5" l="1"/>
  <c r="T476" i="5"/>
  <c r="S478" i="5" l="1"/>
  <c r="T477" i="5"/>
  <c r="S479" i="5" l="1"/>
  <c r="T478" i="5"/>
  <c r="S480" i="5" l="1"/>
  <c r="T479" i="5"/>
  <c r="S481" i="5" l="1"/>
  <c r="T480" i="5"/>
  <c r="S482" i="5" l="1"/>
  <c r="T481" i="5"/>
  <c r="S483" i="5" l="1"/>
  <c r="T482" i="5"/>
  <c r="S484" i="5" l="1"/>
  <c r="T483" i="5"/>
  <c r="S485" i="5" l="1"/>
  <c r="T484" i="5"/>
  <c r="S486" i="5" l="1"/>
  <c r="T485" i="5"/>
  <c r="S487" i="5" l="1"/>
  <c r="T486" i="5"/>
  <c r="S488" i="5" l="1"/>
  <c r="T487" i="5"/>
  <c r="S489" i="5" l="1"/>
  <c r="T488" i="5"/>
  <c r="S490" i="5" l="1"/>
  <c r="T489" i="5"/>
  <c r="S491" i="5" l="1"/>
  <c r="T490" i="5"/>
  <c r="S492" i="5" l="1"/>
  <c r="T491" i="5"/>
  <c r="S493" i="5" l="1"/>
  <c r="T492" i="5"/>
  <c r="S494" i="5" l="1"/>
  <c r="T493" i="5"/>
  <c r="S495" i="5" l="1"/>
  <c r="T494" i="5"/>
  <c r="S496" i="5" l="1"/>
  <c r="T495" i="5"/>
  <c r="S497" i="5" l="1"/>
  <c r="T496" i="5"/>
  <c r="S498" i="5" l="1"/>
  <c r="T497" i="5"/>
  <c r="S499" i="5" l="1"/>
  <c r="T498" i="5"/>
  <c r="S500" i="5" l="1"/>
  <c r="T499" i="5"/>
  <c r="S501" i="5" l="1"/>
  <c r="T500" i="5"/>
  <c r="S502" i="5" l="1"/>
  <c r="T501" i="5"/>
  <c r="S503" i="5" l="1"/>
  <c r="T502" i="5"/>
  <c r="S504" i="5" l="1"/>
  <c r="T503" i="5"/>
  <c r="S505" i="5" l="1"/>
  <c r="T504" i="5"/>
  <c r="S506" i="5" l="1"/>
  <c r="T505" i="5"/>
  <c r="S507" i="5" l="1"/>
  <c r="T506" i="5"/>
  <c r="S508" i="5" l="1"/>
  <c r="T507" i="5"/>
  <c r="S509" i="5" l="1"/>
  <c r="T508" i="5"/>
  <c r="S510" i="5" l="1"/>
  <c r="T509" i="5"/>
  <c r="S511" i="5" l="1"/>
  <c r="T510" i="5"/>
  <c r="S512" i="5" l="1"/>
  <c r="T511" i="5"/>
  <c r="S513" i="5" l="1"/>
  <c r="T512" i="5"/>
  <c r="S514" i="5" l="1"/>
  <c r="T513" i="5"/>
  <c r="S515" i="5" l="1"/>
  <c r="T514" i="5"/>
  <c r="S516" i="5" l="1"/>
  <c r="T515" i="5"/>
  <c r="S517" i="5" l="1"/>
  <c r="T516" i="5"/>
  <c r="S518" i="5" l="1"/>
  <c r="T517" i="5"/>
  <c r="S519" i="5" l="1"/>
  <c r="T518" i="5"/>
  <c r="S520" i="5" l="1"/>
  <c r="T519" i="5"/>
  <c r="S521" i="5" l="1"/>
  <c r="T520" i="5"/>
  <c r="S522" i="5" l="1"/>
  <c r="T521" i="5"/>
  <c r="S523" i="5" l="1"/>
  <c r="T522" i="5"/>
  <c r="S524" i="5" l="1"/>
  <c r="T523" i="5"/>
  <c r="S525" i="5" l="1"/>
  <c r="T524" i="5"/>
  <c r="S526" i="5" l="1"/>
  <c r="T525" i="5"/>
  <c r="S527" i="5" l="1"/>
  <c r="T526" i="5"/>
  <c r="S528" i="5" l="1"/>
  <c r="T527" i="5"/>
  <c r="S529" i="5" l="1"/>
  <c r="T528" i="5"/>
  <c r="S530" i="5" l="1"/>
  <c r="T529" i="5"/>
  <c r="S531" i="5" l="1"/>
  <c r="T530" i="5"/>
  <c r="S532" i="5" l="1"/>
  <c r="T531" i="5"/>
  <c r="S533" i="5" l="1"/>
  <c r="T532" i="5"/>
  <c r="S534" i="5" l="1"/>
  <c r="T533" i="5"/>
  <c r="S535" i="5" l="1"/>
  <c r="T534" i="5"/>
  <c r="S536" i="5" l="1"/>
  <c r="T535" i="5"/>
  <c r="S537" i="5" l="1"/>
  <c r="T536" i="5"/>
  <c r="S538" i="5" l="1"/>
  <c r="T537" i="5"/>
  <c r="S539" i="5" l="1"/>
  <c r="T538" i="5"/>
  <c r="S540" i="5" l="1"/>
  <c r="T539" i="5"/>
  <c r="S541" i="5" l="1"/>
  <c r="T540" i="5"/>
  <c r="S542" i="5" l="1"/>
  <c r="T541" i="5"/>
  <c r="S543" i="5" l="1"/>
  <c r="T542" i="5"/>
  <c r="S544" i="5" l="1"/>
  <c r="T543" i="5"/>
  <c r="S545" i="5" l="1"/>
  <c r="T544" i="5"/>
  <c r="S546" i="5" l="1"/>
  <c r="T545" i="5"/>
  <c r="S547" i="5" l="1"/>
  <c r="T546" i="5"/>
  <c r="S548" i="5" l="1"/>
  <c r="T547" i="5"/>
  <c r="S549" i="5" l="1"/>
  <c r="T548" i="5"/>
  <c r="S550" i="5" l="1"/>
  <c r="T549" i="5"/>
  <c r="S551" i="5" l="1"/>
  <c r="T550" i="5"/>
  <c r="S552" i="5" l="1"/>
  <c r="T551" i="5"/>
  <c r="S553" i="5" l="1"/>
  <c r="T552" i="5"/>
  <c r="S554" i="5" l="1"/>
  <c r="T553" i="5"/>
  <c r="S555" i="5" l="1"/>
  <c r="T554" i="5"/>
  <c r="S556" i="5" l="1"/>
  <c r="T555" i="5"/>
  <c r="S557" i="5" l="1"/>
  <c r="T556" i="5"/>
  <c r="S558" i="5" l="1"/>
  <c r="T557" i="5"/>
  <c r="S559" i="5" l="1"/>
  <c r="T558" i="5"/>
  <c r="S560" i="5" l="1"/>
  <c r="T559" i="5"/>
  <c r="S561" i="5" l="1"/>
  <c r="T560" i="5"/>
  <c r="S562" i="5" l="1"/>
  <c r="T561" i="5"/>
  <c r="S563" i="5" l="1"/>
  <c r="T562" i="5"/>
  <c r="S564" i="5" l="1"/>
  <c r="T563" i="5"/>
  <c r="S565" i="5" l="1"/>
  <c r="T564" i="5"/>
  <c r="S566" i="5" l="1"/>
  <c r="T565" i="5"/>
  <c r="S567" i="5" l="1"/>
  <c r="T566" i="5"/>
  <c r="S568" i="5" l="1"/>
  <c r="T567" i="5"/>
  <c r="S569" i="5" l="1"/>
  <c r="T568" i="5"/>
  <c r="S570" i="5" l="1"/>
  <c r="T569" i="5"/>
  <c r="S571" i="5" l="1"/>
  <c r="T570" i="5"/>
  <c r="S572" i="5" l="1"/>
  <c r="T571" i="5"/>
  <c r="S573" i="5" l="1"/>
  <c r="T572" i="5"/>
  <c r="S574" i="5" l="1"/>
  <c r="T573" i="5"/>
  <c r="S575" i="5" l="1"/>
  <c r="T574" i="5"/>
  <c r="S576" i="5" l="1"/>
  <c r="T575" i="5"/>
  <c r="S577" i="5" l="1"/>
  <c r="T576" i="5"/>
  <c r="S578" i="5" l="1"/>
  <c r="T577" i="5"/>
  <c r="S579" i="5" l="1"/>
  <c r="T578" i="5"/>
  <c r="S580" i="5" l="1"/>
  <c r="T579" i="5"/>
  <c r="S581" i="5" l="1"/>
  <c r="T580" i="5"/>
  <c r="S582" i="5" l="1"/>
  <c r="T581" i="5"/>
  <c r="S583" i="5" l="1"/>
  <c r="T582" i="5"/>
  <c r="S584" i="5" l="1"/>
  <c r="T583" i="5"/>
  <c r="S585" i="5" l="1"/>
  <c r="T584" i="5"/>
  <c r="S586" i="5" l="1"/>
  <c r="T585" i="5"/>
  <c r="S587" i="5" l="1"/>
  <c r="T586" i="5"/>
  <c r="S588" i="5" l="1"/>
  <c r="T587" i="5"/>
  <c r="S589" i="5" l="1"/>
  <c r="T588" i="5"/>
  <c r="S590" i="5" l="1"/>
  <c r="T589" i="5"/>
  <c r="S591" i="5" l="1"/>
  <c r="T590" i="5"/>
  <c r="S592" i="5" l="1"/>
  <c r="T591" i="5"/>
  <c r="S593" i="5" l="1"/>
  <c r="T592" i="5"/>
  <c r="S594" i="5" l="1"/>
  <c r="T593" i="5"/>
  <c r="S595" i="5" l="1"/>
  <c r="T594" i="5"/>
  <c r="S596" i="5" l="1"/>
  <c r="T595" i="5"/>
  <c r="S597" i="5" l="1"/>
  <c r="T596" i="5"/>
  <c r="S598" i="5" l="1"/>
  <c r="T597" i="5"/>
  <c r="S599" i="5" l="1"/>
  <c r="T598" i="5"/>
  <c r="S600" i="5" l="1"/>
  <c r="T599" i="5"/>
  <c r="S601" i="5" l="1"/>
  <c r="T600" i="5"/>
  <c r="S602" i="5" l="1"/>
  <c r="T601" i="5"/>
  <c r="S603" i="5" l="1"/>
  <c r="T602" i="5"/>
  <c r="S604" i="5" l="1"/>
  <c r="T603" i="5"/>
  <c r="S605" i="5" l="1"/>
  <c r="T604" i="5"/>
  <c r="S606" i="5" l="1"/>
  <c r="T605" i="5"/>
  <c r="S607" i="5" l="1"/>
  <c r="T606" i="5"/>
  <c r="S608" i="5" l="1"/>
  <c r="T607" i="5"/>
  <c r="S609" i="5" l="1"/>
  <c r="T608" i="5"/>
  <c r="S610" i="5" l="1"/>
  <c r="T609" i="5"/>
  <c r="S611" i="5" l="1"/>
  <c r="T610" i="5"/>
  <c r="S612" i="5" l="1"/>
  <c r="T611" i="5"/>
  <c r="S613" i="5" l="1"/>
  <c r="T612" i="5"/>
  <c r="S614" i="5" l="1"/>
  <c r="T613" i="5"/>
  <c r="S615" i="5" l="1"/>
  <c r="T614" i="5"/>
  <c r="S616" i="5" l="1"/>
  <c r="T615" i="5"/>
  <c r="S617" i="5" l="1"/>
  <c r="T616" i="5"/>
  <c r="S618" i="5" l="1"/>
  <c r="T617" i="5"/>
  <c r="S619" i="5" l="1"/>
  <c r="T618" i="5"/>
  <c r="S620" i="5" l="1"/>
  <c r="T619" i="5"/>
  <c r="S621" i="5" l="1"/>
  <c r="T620" i="5"/>
  <c r="S622" i="5" l="1"/>
  <c r="T621" i="5"/>
  <c r="S623" i="5" l="1"/>
  <c r="T622" i="5"/>
  <c r="S624" i="5" l="1"/>
  <c r="T623" i="5"/>
  <c r="S625" i="5" l="1"/>
  <c r="T624" i="5"/>
  <c r="S626" i="5" l="1"/>
  <c r="T625" i="5"/>
  <c r="S627" i="5" l="1"/>
  <c r="T626" i="5"/>
  <c r="S628" i="5" l="1"/>
  <c r="T627" i="5"/>
  <c r="S629" i="5" l="1"/>
  <c r="T628" i="5"/>
  <c r="S630" i="5" l="1"/>
  <c r="T629" i="5"/>
  <c r="S631" i="5" l="1"/>
  <c r="T630" i="5"/>
  <c r="S632" i="5" l="1"/>
  <c r="T631" i="5"/>
  <c r="S633" i="5" l="1"/>
  <c r="T632" i="5"/>
  <c r="S634" i="5" l="1"/>
  <c r="T633" i="5"/>
  <c r="S635" i="5" l="1"/>
  <c r="T634" i="5"/>
  <c r="S636" i="5" l="1"/>
  <c r="T635" i="5"/>
  <c r="S637" i="5" l="1"/>
  <c r="T636" i="5"/>
  <c r="S638" i="5" l="1"/>
  <c r="T637" i="5"/>
  <c r="S639" i="5" l="1"/>
  <c r="T638" i="5"/>
  <c r="S640" i="5" l="1"/>
  <c r="T639" i="5"/>
  <c r="S641" i="5" l="1"/>
  <c r="T640" i="5"/>
  <c r="S642" i="5" l="1"/>
  <c r="T641" i="5"/>
  <c r="S643" i="5" l="1"/>
  <c r="T642" i="5"/>
  <c r="S644" i="5" l="1"/>
  <c r="T643" i="5"/>
  <c r="S645" i="5" l="1"/>
  <c r="T644" i="5"/>
  <c r="S646" i="5" l="1"/>
  <c r="T645" i="5"/>
  <c r="S647" i="5" l="1"/>
  <c r="T646" i="5"/>
  <c r="S648" i="5" l="1"/>
  <c r="T647" i="5"/>
  <c r="S649" i="5" l="1"/>
  <c r="T648" i="5"/>
  <c r="S650" i="5" l="1"/>
  <c r="T649" i="5"/>
  <c r="S651" i="5" l="1"/>
  <c r="T650" i="5"/>
  <c r="S652" i="5" l="1"/>
  <c r="T651" i="5"/>
  <c r="S653" i="5" l="1"/>
  <c r="T652" i="5"/>
  <c r="S654" i="5" l="1"/>
  <c r="T653" i="5"/>
  <c r="S655" i="5" l="1"/>
  <c r="T654" i="5"/>
  <c r="S656" i="5" l="1"/>
  <c r="T655" i="5"/>
  <c r="S657" i="5" l="1"/>
  <c r="T656" i="5"/>
  <c r="S658" i="5" l="1"/>
  <c r="T657" i="5"/>
  <c r="S659" i="5" l="1"/>
  <c r="T658" i="5"/>
  <c r="S660" i="5" l="1"/>
  <c r="T659" i="5"/>
  <c r="S661" i="5" l="1"/>
  <c r="T660" i="5"/>
  <c r="S662" i="5" l="1"/>
  <c r="T661" i="5"/>
  <c r="S663" i="5" l="1"/>
  <c r="T662" i="5"/>
  <c r="S664" i="5" l="1"/>
  <c r="T663" i="5"/>
  <c r="S665" i="5" l="1"/>
  <c r="T664" i="5"/>
  <c r="S666" i="5" l="1"/>
  <c r="T665" i="5"/>
  <c r="S667" i="5" l="1"/>
  <c r="T666" i="5"/>
  <c r="S668" i="5" l="1"/>
  <c r="T667" i="5"/>
  <c r="S669" i="5" l="1"/>
  <c r="T668" i="5"/>
  <c r="S670" i="5" l="1"/>
  <c r="T669" i="5"/>
  <c r="S671" i="5" l="1"/>
  <c r="T670" i="5"/>
  <c r="S672" i="5" l="1"/>
  <c r="T671" i="5"/>
  <c r="S673" i="5" l="1"/>
  <c r="T672" i="5"/>
  <c r="S674" i="5" l="1"/>
  <c r="T673" i="5"/>
  <c r="S675" i="5" l="1"/>
  <c r="T674" i="5"/>
  <c r="S676" i="5" l="1"/>
  <c r="T675" i="5"/>
  <c r="S677" i="5" l="1"/>
  <c r="T676" i="5"/>
  <c r="S678" i="5" l="1"/>
  <c r="T677" i="5"/>
  <c r="S679" i="5" l="1"/>
  <c r="T678" i="5"/>
  <c r="S680" i="5" l="1"/>
  <c r="T679" i="5"/>
  <c r="S681" i="5" l="1"/>
  <c r="T680" i="5"/>
  <c r="S682" i="5" l="1"/>
  <c r="T681" i="5"/>
  <c r="S683" i="5" l="1"/>
  <c r="T682" i="5"/>
  <c r="S684" i="5" l="1"/>
  <c r="T683" i="5"/>
  <c r="S685" i="5" l="1"/>
  <c r="T684" i="5"/>
  <c r="S686" i="5" l="1"/>
  <c r="T685" i="5"/>
  <c r="S687" i="5" l="1"/>
  <c r="T686" i="5"/>
  <c r="S688" i="5" l="1"/>
  <c r="T687" i="5"/>
  <c r="S689" i="5" l="1"/>
  <c r="T688" i="5"/>
  <c r="S690" i="5" l="1"/>
  <c r="T689" i="5"/>
  <c r="S691" i="5" l="1"/>
  <c r="T690" i="5"/>
  <c r="S692" i="5" l="1"/>
  <c r="T691" i="5"/>
  <c r="S693" i="5" l="1"/>
  <c r="T692" i="5"/>
  <c r="S694" i="5" l="1"/>
  <c r="T693" i="5"/>
  <c r="S695" i="5" l="1"/>
  <c r="T694" i="5"/>
  <c r="S696" i="5" l="1"/>
  <c r="T695" i="5"/>
  <c r="S697" i="5" l="1"/>
  <c r="T696" i="5"/>
  <c r="S698" i="5" l="1"/>
  <c r="T697" i="5"/>
  <c r="S699" i="5" l="1"/>
  <c r="T698" i="5"/>
  <c r="S700" i="5" l="1"/>
  <c r="T699" i="5"/>
  <c r="S701" i="5" l="1"/>
  <c r="T700" i="5"/>
  <c r="S702" i="5" l="1"/>
  <c r="T701" i="5"/>
  <c r="S703" i="5" l="1"/>
  <c r="T702" i="5"/>
  <c r="S704" i="5" l="1"/>
  <c r="T703" i="5"/>
  <c r="S705" i="5" l="1"/>
  <c r="T704" i="5"/>
  <c r="S706" i="5" l="1"/>
  <c r="T705" i="5"/>
  <c r="S707" i="5" l="1"/>
  <c r="T706" i="5"/>
  <c r="S708" i="5" l="1"/>
  <c r="T707" i="5"/>
  <c r="S709" i="5" l="1"/>
  <c r="T708" i="5"/>
  <c r="S710" i="5" l="1"/>
  <c r="T709" i="5"/>
  <c r="S711" i="5" l="1"/>
  <c r="T710" i="5"/>
  <c r="S712" i="5" l="1"/>
  <c r="T711" i="5"/>
  <c r="S713" i="5" l="1"/>
  <c r="T712" i="5"/>
  <c r="S714" i="5" l="1"/>
  <c r="T713" i="5"/>
  <c r="S715" i="5" l="1"/>
  <c r="T714" i="5"/>
  <c r="S716" i="5" l="1"/>
  <c r="T715" i="5"/>
  <c r="S717" i="5" l="1"/>
  <c r="T716" i="5"/>
  <c r="S718" i="5" l="1"/>
  <c r="T717" i="5"/>
  <c r="S719" i="5" l="1"/>
  <c r="T718" i="5"/>
  <c r="S720" i="5" l="1"/>
  <c r="T719" i="5"/>
  <c r="S721" i="5" l="1"/>
  <c r="T720" i="5"/>
  <c r="S722" i="5" l="1"/>
  <c r="T721" i="5"/>
  <c r="S723" i="5" l="1"/>
  <c r="T722" i="5"/>
  <c r="S724" i="5" l="1"/>
  <c r="T723" i="5"/>
  <c r="S725" i="5" l="1"/>
  <c r="T724" i="5"/>
  <c r="S726" i="5" l="1"/>
  <c r="T725" i="5"/>
  <c r="S727" i="5" l="1"/>
  <c r="T726" i="5"/>
  <c r="S728" i="5" l="1"/>
  <c r="T727" i="5"/>
  <c r="S729" i="5" l="1"/>
  <c r="T728" i="5"/>
  <c r="S730" i="5" l="1"/>
  <c r="T729" i="5"/>
  <c r="S731" i="5" l="1"/>
  <c r="T730" i="5"/>
  <c r="S732" i="5" l="1"/>
  <c r="T731" i="5"/>
  <c r="S733" i="5" l="1"/>
  <c r="T732" i="5"/>
  <c r="S734" i="5" l="1"/>
  <c r="T733" i="5"/>
  <c r="S735" i="5" l="1"/>
  <c r="T734" i="5"/>
  <c r="S736" i="5" l="1"/>
  <c r="T735" i="5"/>
  <c r="S737" i="5" l="1"/>
  <c r="T736" i="5"/>
  <c r="S738" i="5" l="1"/>
  <c r="T737" i="5"/>
  <c r="S739" i="5" l="1"/>
  <c r="T738" i="5"/>
  <c r="S740" i="5" l="1"/>
  <c r="T739" i="5"/>
  <c r="S741" i="5" l="1"/>
  <c r="T740" i="5"/>
  <c r="S742" i="5" l="1"/>
  <c r="T741" i="5"/>
  <c r="S743" i="5" l="1"/>
  <c r="T742" i="5"/>
  <c r="S744" i="5" l="1"/>
  <c r="T743" i="5"/>
  <c r="S745" i="5" l="1"/>
  <c r="T744" i="5"/>
  <c r="S746" i="5" l="1"/>
  <c r="T745" i="5"/>
  <c r="S747" i="5" l="1"/>
  <c r="T746" i="5"/>
  <c r="S748" i="5" l="1"/>
  <c r="T747" i="5"/>
  <c r="S749" i="5" l="1"/>
  <c r="T748" i="5"/>
  <c r="S750" i="5" l="1"/>
  <c r="T749" i="5"/>
  <c r="S751" i="5" l="1"/>
  <c r="T750" i="5"/>
  <c r="S752" i="5" l="1"/>
  <c r="T751" i="5"/>
  <c r="S753" i="5" l="1"/>
  <c r="T752" i="5"/>
  <c r="S754" i="5" l="1"/>
  <c r="T753" i="5"/>
  <c r="S755" i="5" l="1"/>
  <c r="T754" i="5"/>
  <c r="S756" i="5" l="1"/>
  <c r="T755" i="5"/>
  <c r="S757" i="5" l="1"/>
  <c r="T756" i="5"/>
  <c r="S758" i="5" l="1"/>
  <c r="T757" i="5"/>
  <c r="S759" i="5" l="1"/>
  <c r="T758" i="5"/>
  <c r="S760" i="5" l="1"/>
  <c r="T759" i="5"/>
  <c r="S761" i="5" l="1"/>
  <c r="T760" i="5"/>
  <c r="S762" i="5" l="1"/>
  <c r="T761" i="5"/>
  <c r="S763" i="5" l="1"/>
  <c r="T762" i="5"/>
  <c r="S764" i="5" l="1"/>
  <c r="T763" i="5"/>
  <c r="S765" i="5" l="1"/>
  <c r="T764" i="5"/>
  <c r="S766" i="5" l="1"/>
  <c r="T765" i="5"/>
  <c r="S767" i="5" l="1"/>
  <c r="T766" i="5"/>
  <c r="S768" i="5" l="1"/>
  <c r="T767" i="5"/>
  <c r="S769" i="5" l="1"/>
  <c r="T768" i="5"/>
  <c r="S770" i="5" l="1"/>
  <c r="T769" i="5"/>
  <c r="S771" i="5" l="1"/>
  <c r="T770" i="5"/>
  <c r="S772" i="5" l="1"/>
  <c r="T771" i="5"/>
  <c r="S773" i="5" l="1"/>
  <c r="T772" i="5"/>
  <c r="S774" i="5" l="1"/>
  <c r="T773" i="5"/>
  <c r="S775" i="5" l="1"/>
  <c r="T774" i="5"/>
  <c r="S776" i="5" l="1"/>
  <c r="T775" i="5"/>
  <c r="S777" i="5" l="1"/>
  <c r="T776" i="5"/>
  <c r="S778" i="5" l="1"/>
  <c r="T777" i="5"/>
  <c r="S779" i="5" l="1"/>
  <c r="T778" i="5"/>
  <c r="S780" i="5" l="1"/>
  <c r="T779" i="5"/>
  <c r="S781" i="5" l="1"/>
  <c r="T780" i="5"/>
  <c r="S782" i="5" l="1"/>
  <c r="T781" i="5"/>
  <c r="S783" i="5" l="1"/>
  <c r="T782" i="5"/>
  <c r="S784" i="5" l="1"/>
  <c r="T783" i="5"/>
  <c r="S785" i="5" l="1"/>
  <c r="T784" i="5"/>
  <c r="S786" i="5" l="1"/>
  <c r="T785" i="5"/>
  <c r="S787" i="5" l="1"/>
  <c r="T786" i="5"/>
  <c r="S788" i="5" l="1"/>
  <c r="T787" i="5"/>
  <c r="S789" i="5" l="1"/>
  <c r="T788" i="5"/>
  <c r="S790" i="5" l="1"/>
  <c r="T789" i="5"/>
  <c r="S791" i="5" l="1"/>
  <c r="T790" i="5"/>
  <c r="S792" i="5" l="1"/>
  <c r="T791" i="5"/>
  <c r="S793" i="5" l="1"/>
  <c r="T792" i="5"/>
  <c r="S794" i="5" l="1"/>
  <c r="T793" i="5"/>
  <c r="S795" i="5" l="1"/>
  <c r="T794" i="5"/>
  <c r="S796" i="5" l="1"/>
  <c r="T795" i="5"/>
  <c r="S797" i="5" l="1"/>
  <c r="T796" i="5"/>
  <c r="S798" i="5" l="1"/>
  <c r="T797" i="5"/>
  <c r="S799" i="5" l="1"/>
  <c r="T798" i="5"/>
  <c r="S800" i="5" l="1"/>
  <c r="T799" i="5"/>
  <c r="S801" i="5" l="1"/>
  <c r="T800" i="5"/>
  <c r="S802" i="5" l="1"/>
  <c r="T801" i="5"/>
  <c r="S803" i="5" l="1"/>
  <c r="T802" i="5"/>
  <c r="S804" i="5" l="1"/>
  <c r="T803" i="5"/>
  <c r="S805" i="5" l="1"/>
  <c r="T804" i="5"/>
  <c r="S806" i="5" l="1"/>
  <c r="T806" i="5" s="1"/>
  <c r="T80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AF7357-0275-48FF-BFF8-A1A1C5737841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9FCAEC7-000F-4B7C-82D3-15187EB8B337}" name="WorksheetConnection_Лист1!$A:$B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Лист1AB"/>
        </x15:connection>
      </ext>
    </extLst>
  </connection>
  <connection id="3" xr16:uid="{F41D0EB5-1D9D-4A81-838D-8CD047F0A157}" name="WorksheetConnection_Лист2!$A:$E" type="102" refreshedVersion="8" minRefreshableVersion="5">
    <extLst>
      <ext xmlns:x15="http://schemas.microsoft.com/office/spreadsheetml/2010/11/main" uri="{DE250136-89BD-433C-8126-D09CA5730AF9}">
        <x15:connection id="Диапазон 1" autoDelete="1">
          <x15:rangePr sourceName="_xlcn.WorksheetConnection_Лист2AE"/>
        </x15:connection>
      </ext>
    </extLst>
  </connection>
  <connection id="4" xr16:uid="{07277E25-1340-492E-82D7-F461A43D59EE}" name="WorksheetConnection_месячная оборачиваемость!$A:$C" type="102" refreshedVersion="8" minRefreshableVersion="5">
    <extLst>
      <ext xmlns:x15="http://schemas.microsoft.com/office/spreadsheetml/2010/11/main" uri="{DE250136-89BD-433C-8126-D09CA5730AF9}">
        <x15:connection id="Диапазон 2" autoDelete="1">
          <x15:rangePr sourceName="_xlcn.WorksheetConnection_месячнаяоборачиваемостьAC"/>
        </x15:connection>
      </ext>
    </extLst>
  </connection>
</connections>
</file>

<file path=xl/sharedStrings.xml><?xml version="1.0" encoding="utf-8"?>
<sst xmlns="http://schemas.openxmlformats.org/spreadsheetml/2006/main" count="19513" uniqueCount="1254">
  <si>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</si>
  <si>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</si>
  <si>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</si>
  <si>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</si>
  <si>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</si>
  <si>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</si>
  <si>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</si>
  <si>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</si>
  <si>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</si>
  <si>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</si>
  <si>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</si>
  <si>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</si>
  <si>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</si>
  <si>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</si>
  <si>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</si>
  <si>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</si>
  <si>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</si>
  <si>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</si>
  <si>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</si>
  <si>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</si>
  <si>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</si>
  <si>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</si>
  <si>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</si>
  <si>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</si>
  <si>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</si>
  <si>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</si>
  <si>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</si>
  <si>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</si>
  <si>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</si>
  <si>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</si>
  <si>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</si>
  <si>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</si>
  <si>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</si>
  <si>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</si>
  <si>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</si>
  <si>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</si>
  <si>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</si>
  <si>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</si>
  <si>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</si>
  <si>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</si>
  <si>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</si>
  <si>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</si>
  <si>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</si>
  <si>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</si>
  <si>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</si>
  <si>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</si>
  <si>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</si>
  <si>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</si>
  <si>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</si>
  <si>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</si>
  <si>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</si>
  <si>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</si>
  <si>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</si>
  <si>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</si>
  <si>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</si>
  <si>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</si>
  <si>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</si>
  <si>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</si>
  <si>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</si>
  <si>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</si>
  <si>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</si>
  <si>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</si>
  <si>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</si>
  <si>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</si>
  <si>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</si>
  <si>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</si>
  <si>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</si>
  <si>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</si>
  <si>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</si>
  <si>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</si>
  <si>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</si>
  <si>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</si>
  <si>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</si>
  <si>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</si>
  <si>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</si>
  <si>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</si>
  <si>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</si>
  <si>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</si>
  <si>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</si>
  <si>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</si>
  <si>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</si>
  <si>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</si>
  <si>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</si>
  <si>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</si>
  <si>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</si>
  <si>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</si>
  <si>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</si>
  <si>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</si>
  <si>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</si>
  <si>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</si>
  <si>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</si>
  <si>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</si>
  <si>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</si>
  <si>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</si>
  <si>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</si>
  <si>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</si>
  <si>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</si>
  <si>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</si>
  <si>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</si>
  <si>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</si>
  <si>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</si>
  <si>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</si>
  <si>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</si>
  <si>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</si>
  <si>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</si>
  <si>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</si>
  <si>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</si>
  <si>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</si>
  <si>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</si>
  <si>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</si>
  <si>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</si>
  <si>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</si>
  <si>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</si>
  <si>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</si>
  <si>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</si>
  <si>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</si>
  <si>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</si>
  <si>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</si>
  <si>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</si>
  <si>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</si>
  <si>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</si>
  <si>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</si>
  <si>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</si>
  <si>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</si>
  <si>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</si>
  <si>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</si>
  <si>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</si>
  <si>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</si>
  <si>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</si>
  <si>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</si>
  <si>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</si>
  <si>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</si>
  <si>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</si>
  <si>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</si>
  <si>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</si>
  <si>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</si>
  <si>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</si>
  <si>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</si>
  <si>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</si>
  <si>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</si>
  <si>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</si>
  <si>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</si>
  <si>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</si>
  <si>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</si>
  <si>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</si>
  <si>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</si>
  <si>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</si>
  <si>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</si>
  <si>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</si>
  <si>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</si>
  <si>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</si>
  <si>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</si>
  <si>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</si>
  <si>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</si>
  <si>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</si>
  <si>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</si>
  <si>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</si>
  <si>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</si>
  <si>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</si>
  <si>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</si>
  <si>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</si>
  <si>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</si>
  <si>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</si>
  <si>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</si>
  <si>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</si>
  <si>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</si>
  <si>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</si>
  <si>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</si>
  <si>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</si>
  <si>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</si>
  <si>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</si>
  <si>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</si>
  <si>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</si>
  <si>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</si>
  <si>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</si>
  <si>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</si>
  <si>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</si>
  <si>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</si>
  <si>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</si>
  <si>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</si>
  <si>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</si>
  <si>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</si>
  <si>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</si>
  <si>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</si>
  <si>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</si>
  <si>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</si>
  <si>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</si>
  <si>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</si>
  <si>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</si>
  <si>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</si>
  <si>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</si>
  <si>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</si>
  <si>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</si>
  <si>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</si>
  <si>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</si>
  <si>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</si>
  <si>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</si>
  <si>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</si>
  <si>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</si>
  <si>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</si>
  <si>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</si>
  <si>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</si>
  <si>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</si>
  <si>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</si>
  <si>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</si>
  <si>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</si>
  <si>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</si>
  <si>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</si>
  <si>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</si>
  <si>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</si>
  <si>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</si>
  <si>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</si>
  <si>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</si>
  <si>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</si>
  <si>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</si>
  <si>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</si>
  <si>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</si>
  <si>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</si>
  <si>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</si>
  <si>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</si>
  <si>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</si>
  <si>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</si>
  <si>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</si>
  <si>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</si>
  <si>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</si>
  <si>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</si>
  <si>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</si>
  <si>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</si>
  <si>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</si>
  <si>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</si>
  <si>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</si>
  <si>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</si>
  <si>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</si>
  <si>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</si>
  <si>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</si>
  <si>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</si>
  <si>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</si>
  <si>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</si>
  <si>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</si>
  <si>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</si>
  <si>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</si>
  <si>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</si>
  <si>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</si>
  <si>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</si>
  <si>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</si>
  <si>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</si>
  <si>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</si>
  <si>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</si>
  <si>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</si>
  <si>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</si>
  <si>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</si>
  <si>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</si>
  <si>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</si>
  <si>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</si>
  <si>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</si>
  <si>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</si>
  <si>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</si>
  <si>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</si>
  <si>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</si>
  <si>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</si>
  <si>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</si>
  <si>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</si>
  <si>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</si>
  <si>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</si>
  <si>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</si>
  <si>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</si>
  <si>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</si>
  <si>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</si>
  <si>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</si>
  <si>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</si>
  <si>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</si>
  <si>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</si>
  <si>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</si>
  <si>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</si>
  <si>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</si>
  <si>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</si>
  <si>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</si>
  <si>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</si>
  <si>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</si>
  <si>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</si>
  <si>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</si>
  <si>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</si>
  <si>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</si>
  <si>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</si>
  <si>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</si>
  <si>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</si>
  <si>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</si>
  <si>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</si>
  <si>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</si>
  <si>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</si>
  <si>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</si>
  <si>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</si>
  <si>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</si>
  <si>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</si>
  <si>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</si>
  <si>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</si>
  <si>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</si>
  <si>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</si>
  <si>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</si>
  <si>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</si>
  <si>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</si>
  <si>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</si>
  <si>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</si>
  <si>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</si>
  <si>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</si>
  <si>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</si>
  <si>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</si>
  <si>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</si>
  <si>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</si>
  <si>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</si>
  <si>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</si>
  <si>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</si>
  <si>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</si>
  <si>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</si>
  <si>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</si>
  <si>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</si>
  <si>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</si>
  <si>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</si>
  <si>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</si>
  <si>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</si>
  <si>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</si>
  <si>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</si>
  <si>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</si>
  <si>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</si>
  <si>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</si>
  <si>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</si>
  <si>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</si>
  <si>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</si>
  <si>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</si>
  <si>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</si>
  <si>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</si>
  <si>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</si>
  <si>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</si>
  <si>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</si>
  <si>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</si>
  <si>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</si>
  <si>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</si>
  <si>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</si>
  <si>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</si>
  <si>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</si>
  <si>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</si>
  <si>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</si>
  <si>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</si>
  <si>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</si>
  <si>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</si>
  <si>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</si>
  <si>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</si>
  <si>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</si>
  <si>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</si>
  <si>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</si>
  <si>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</si>
  <si>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</si>
  <si>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</si>
  <si>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</si>
  <si>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</si>
  <si>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</si>
  <si>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</si>
  <si>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</si>
  <si>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</si>
  <si>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</si>
  <si>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</si>
  <si>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</si>
  <si>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</si>
  <si>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</si>
  <si>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</si>
  <si>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</si>
  <si>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</si>
  <si>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</si>
  <si>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</si>
  <si>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</si>
  <si>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</si>
  <si>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</si>
  <si>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</si>
  <si>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</si>
  <si>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</si>
  <si>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</si>
  <si>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</si>
  <si>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</si>
  <si>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</si>
  <si>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</si>
  <si>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</si>
  <si>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</si>
  <si>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</si>
  <si>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</si>
  <si>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</si>
  <si>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</si>
  <si>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</si>
  <si>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</si>
  <si>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</si>
  <si>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</si>
  <si>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</si>
  <si>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</si>
  <si>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</si>
  <si>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</si>
  <si>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</si>
  <si>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</si>
  <si>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</si>
  <si>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</si>
  <si>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</si>
  <si>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</si>
  <si>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</si>
  <si>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</si>
  <si>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</si>
  <si>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</si>
  <si>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</si>
  <si>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</si>
  <si>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</si>
  <si>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</si>
  <si>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</si>
  <si>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</si>
  <si>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</si>
  <si>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</si>
  <si>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</si>
  <si>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</si>
  <si>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</si>
  <si>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</si>
  <si>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</si>
  <si>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</si>
  <si>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</si>
  <si>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</si>
  <si>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</si>
  <si>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</si>
  <si>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</si>
  <si>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</si>
  <si>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</si>
  <si>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</si>
  <si>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</si>
  <si>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</si>
  <si>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</si>
  <si>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</si>
  <si>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</si>
  <si>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</si>
  <si>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</si>
  <si>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</si>
  <si>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</si>
  <si>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</si>
  <si>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</si>
  <si>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</si>
  <si>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</si>
  <si>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</si>
  <si>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</si>
  <si>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</si>
  <si>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</si>
  <si>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</si>
  <si>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</si>
  <si>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</si>
  <si>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</si>
  <si>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</si>
  <si>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</si>
  <si>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</si>
  <si>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</si>
  <si>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</si>
  <si>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</si>
  <si>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</si>
  <si>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</si>
  <si>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</si>
  <si>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</si>
  <si>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</si>
  <si>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</si>
  <si>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</si>
  <si>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</si>
  <si>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</si>
  <si>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</si>
  <si>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</si>
  <si>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</si>
  <si>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</si>
  <si>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</si>
  <si>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</si>
  <si>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</si>
  <si>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</si>
  <si>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</si>
  <si>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</si>
  <si>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</si>
  <si>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</si>
  <si>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</si>
  <si>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</si>
  <si>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</si>
  <si>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</si>
  <si>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</si>
  <si>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</si>
  <si>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</si>
  <si>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</si>
  <si>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</si>
  <si>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</si>
  <si>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</si>
  <si>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</si>
  <si>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</si>
  <si>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</si>
  <si>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</si>
  <si>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</si>
  <si>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</si>
  <si>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</si>
  <si>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</si>
  <si>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</si>
  <si>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</si>
  <si>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</si>
  <si>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</si>
  <si>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</si>
  <si>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</si>
  <si>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</si>
  <si>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</si>
  <si>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</si>
  <si>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</si>
  <si>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</si>
  <si>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</si>
  <si>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</si>
  <si>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</si>
  <si>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</si>
  <si>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</si>
  <si>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</si>
  <si>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</si>
  <si>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</si>
  <si>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</si>
  <si>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</si>
  <si>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</si>
  <si>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</si>
  <si>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</si>
  <si>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</si>
  <si>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</si>
  <si>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</si>
  <si>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</si>
  <si>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</si>
  <si>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</si>
  <si>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</si>
  <si>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</si>
  <si>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</si>
  <si>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</si>
  <si>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</si>
  <si>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</si>
  <si>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</si>
  <si>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</si>
  <si>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</si>
  <si>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</si>
  <si>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</si>
  <si>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</si>
  <si>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</si>
  <si>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</si>
  <si>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</si>
  <si>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</si>
  <si>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</si>
  <si>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</si>
  <si>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</si>
  <si>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</si>
  <si>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</si>
  <si>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</si>
  <si>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</si>
  <si>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</si>
  <si>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</si>
  <si>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</si>
  <si>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</si>
  <si>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</si>
  <si>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</si>
  <si>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</si>
  <si>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</si>
  <si>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</si>
  <si>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</si>
  <si>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</si>
  <si>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</si>
  <si>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</si>
  <si>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</si>
  <si>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</si>
  <si>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</si>
  <si>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</si>
  <si>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</si>
  <si>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</si>
  <si>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</si>
  <si>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</si>
  <si>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</si>
  <si>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</si>
  <si>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</si>
  <si>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</si>
  <si>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</si>
  <si>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</si>
  <si>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</si>
  <si>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</si>
  <si>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</si>
  <si>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</si>
  <si>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</si>
  <si>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</si>
  <si>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</si>
  <si>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</si>
  <si>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</si>
  <si>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</si>
  <si>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</si>
  <si>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</si>
  <si>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</si>
  <si>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</si>
  <si>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</si>
  <si>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</si>
  <si>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</si>
  <si>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</si>
  <si>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</si>
  <si>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</si>
  <si>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</si>
  <si>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</si>
  <si>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</si>
  <si>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</si>
  <si>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</si>
  <si>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</si>
  <si>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</si>
  <si>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</si>
  <si>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</si>
  <si>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</si>
  <si>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</si>
  <si>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</si>
  <si>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</si>
  <si>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</si>
  <si>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</si>
  <si>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</si>
  <si>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</si>
  <si>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</si>
  <si>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</si>
  <si>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</si>
  <si>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</si>
  <si>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</si>
  <si>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</si>
  <si>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</si>
  <si>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</si>
  <si>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</si>
  <si>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</si>
  <si>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</si>
  <si>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</si>
  <si>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</si>
  <si>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</si>
  <si>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</si>
  <si>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</si>
  <si>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</si>
  <si>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</si>
  <si>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</si>
  <si>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</si>
  <si>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</si>
  <si>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</si>
  <si>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</si>
  <si>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</si>
  <si>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</si>
  <si>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</si>
  <si>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</si>
  <si>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</si>
  <si>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</si>
  <si>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</si>
  <si>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</si>
  <si>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</si>
  <si>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</si>
  <si>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</si>
  <si>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</si>
  <si>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</si>
  <si>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</si>
  <si>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</si>
  <si>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</si>
  <si>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</si>
  <si>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</si>
  <si>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</si>
  <si>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</si>
  <si>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</si>
  <si>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</si>
  <si>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</si>
  <si>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</si>
  <si>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</si>
  <si>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</si>
  <si>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</si>
  <si>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</si>
  <si>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</si>
  <si>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</si>
  <si>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</si>
  <si>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</si>
  <si>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</si>
  <si>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</si>
  <si>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</si>
  <si>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</si>
  <si>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</si>
  <si>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</si>
  <si>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</si>
  <si>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</si>
  <si>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</si>
  <si>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</si>
  <si>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</si>
  <si>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</si>
  <si>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</si>
  <si>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</si>
  <si>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</si>
  <si>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</si>
  <si>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</si>
  <si>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</si>
  <si>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</si>
  <si>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</si>
  <si>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</si>
  <si>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</si>
  <si>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</si>
  <si>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</si>
  <si>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</si>
  <si>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</si>
  <si>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</si>
  <si>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</si>
  <si>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</si>
  <si>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</si>
  <si>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</si>
  <si>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</si>
  <si>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</si>
  <si>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</si>
  <si>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</si>
  <si>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</si>
  <si>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</si>
  <si>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</si>
  <si>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</si>
  <si>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</si>
  <si>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</si>
  <si>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</si>
  <si>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</si>
  <si>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</si>
  <si>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</si>
  <si>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</si>
  <si>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</si>
  <si>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</si>
  <si>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</si>
  <si>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</si>
  <si>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</si>
  <si>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</si>
  <si>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</si>
  <si>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</si>
  <si>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</si>
  <si>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</si>
  <si>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</si>
  <si>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</si>
  <si>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</si>
  <si>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</si>
  <si>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</si>
  <si>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</si>
  <si>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</si>
  <si>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</si>
  <si>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</si>
  <si>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</si>
  <si>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</si>
  <si>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</si>
  <si>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</si>
  <si>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</si>
  <si>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</si>
  <si>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</si>
  <si>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</si>
  <si>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</si>
  <si>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</si>
  <si>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</si>
  <si>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</si>
  <si>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</si>
  <si>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</si>
  <si>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</si>
  <si>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</si>
  <si>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</si>
  <si>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</si>
  <si>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</si>
  <si>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</si>
  <si>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</si>
  <si>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</si>
  <si>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</si>
  <si>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</si>
  <si>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</si>
  <si>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</si>
  <si>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</si>
  <si>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</si>
  <si>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</si>
  <si>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</si>
  <si>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</si>
  <si>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</si>
  <si>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</si>
  <si>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</si>
  <si>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</si>
  <si>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</si>
  <si>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</si>
  <si>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</si>
  <si>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</si>
  <si>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</si>
  <si>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</si>
  <si>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</si>
  <si>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</si>
  <si>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</si>
  <si>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</si>
  <si>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</si>
  <si>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</si>
  <si>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</si>
  <si>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</si>
  <si>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</si>
  <si>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</si>
  <si>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</si>
  <si>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</si>
  <si>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</si>
  <si>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</si>
  <si>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</si>
  <si>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</si>
  <si>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</si>
  <si>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</si>
  <si>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</si>
  <si>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</si>
  <si>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</si>
  <si>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</si>
  <si>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</si>
  <si>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</si>
  <si>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</si>
  <si>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</si>
  <si>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</si>
  <si>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</si>
  <si>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</si>
  <si>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</si>
  <si>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</si>
  <si>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</si>
  <si>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</si>
  <si>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</si>
  <si>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</si>
  <si>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</si>
  <si>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</si>
  <si>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</si>
  <si>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</si>
  <si>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</si>
  <si>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</si>
  <si>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</si>
  <si>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</si>
  <si>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</si>
  <si>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</si>
  <si>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</si>
  <si>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</si>
  <si>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</si>
  <si>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</si>
  <si>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</si>
  <si>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</si>
  <si>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</si>
  <si>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</si>
  <si>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</si>
  <si>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</si>
  <si>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</si>
  <si>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</si>
  <si>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</si>
  <si>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</si>
  <si>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</si>
  <si>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</si>
  <si>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</si>
  <si>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</si>
  <si>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</si>
  <si>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</si>
  <si>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</si>
  <si>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</si>
  <si>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</si>
  <si>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</si>
  <si>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</si>
  <si>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</si>
  <si>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</si>
  <si>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</si>
  <si>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</si>
  <si>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</si>
  <si>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</si>
  <si>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</si>
  <si>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</si>
  <si>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</si>
  <si>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</si>
  <si>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</si>
  <si>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</si>
  <si>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</si>
  <si>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</si>
  <si>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</si>
  <si>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</si>
  <si>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</si>
  <si>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</si>
  <si>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</si>
  <si>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</si>
  <si>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</si>
  <si>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</si>
  <si>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</si>
  <si>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</si>
  <si>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</si>
  <si>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</si>
  <si>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</si>
  <si>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</si>
  <si>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</si>
  <si>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</si>
  <si>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</si>
  <si>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</si>
  <si>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</si>
  <si>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</si>
  <si>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</si>
  <si>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</si>
  <si>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</si>
  <si>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</si>
  <si>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</si>
  <si>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</si>
  <si>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</si>
  <si>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</si>
  <si>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</si>
  <si>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</si>
  <si>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</si>
  <si>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</si>
  <si>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</si>
  <si>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</si>
  <si>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</si>
  <si>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</si>
  <si>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</si>
  <si>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</si>
  <si>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</si>
  <si>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</si>
  <si>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</si>
  <si>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</si>
  <si>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</si>
  <si>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</si>
  <si>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</si>
  <si>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</si>
  <si>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</si>
  <si>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</si>
  <si>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</si>
  <si>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</si>
  <si>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</si>
  <si>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</si>
  <si>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</si>
  <si>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</si>
  <si>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</si>
  <si>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</si>
  <si>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</si>
  <si>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</si>
  <si>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</si>
  <si>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</si>
  <si>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</si>
  <si>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</si>
  <si>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</si>
  <si>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</si>
  <si>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</si>
  <si>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</si>
  <si>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</si>
  <si>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</si>
  <si>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</si>
  <si>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</si>
  <si>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</si>
  <si>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</si>
  <si>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</si>
  <si>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</si>
  <si>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</si>
  <si>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</si>
  <si>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</si>
  <si>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</si>
  <si>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</si>
  <si>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</si>
  <si>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</si>
  <si>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</si>
  <si>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</si>
  <si>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</si>
  <si>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</si>
  <si>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</si>
  <si>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</si>
  <si>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</si>
  <si>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</si>
  <si>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</si>
  <si>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</si>
  <si>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</si>
  <si>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</si>
  <si>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</si>
  <si>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</si>
  <si>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</si>
  <si>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</si>
  <si>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</si>
  <si>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</si>
  <si>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</si>
  <si>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</si>
  <si>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</si>
  <si>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</si>
  <si>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</si>
  <si>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</si>
  <si>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</si>
  <si>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</si>
  <si>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</si>
  <si>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</si>
  <si>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</si>
  <si>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</si>
  <si>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</si>
  <si>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</si>
  <si>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</si>
  <si>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</si>
  <si>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</si>
  <si>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</si>
  <si>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</si>
  <si>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</si>
  <si>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</si>
  <si>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</si>
  <si>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</si>
  <si>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</si>
  <si>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</si>
  <si>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</si>
  <si>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</si>
  <si>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</si>
  <si>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</si>
  <si>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</si>
  <si>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</si>
  <si>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</si>
  <si>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</si>
  <si>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</si>
  <si>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</si>
  <si>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</si>
  <si>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</si>
  <si>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</si>
  <si>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</si>
  <si>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</si>
  <si>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</si>
  <si>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</si>
  <si>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</si>
  <si>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</si>
  <si>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</si>
  <si>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</si>
  <si>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</si>
  <si>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</si>
  <si>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</si>
  <si>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</si>
  <si>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</si>
  <si>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</si>
  <si>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</si>
  <si>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</si>
  <si>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</si>
  <si>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</si>
  <si>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</si>
  <si>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</si>
  <si>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</si>
  <si>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</si>
  <si>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</si>
  <si>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</si>
  <si>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</si>
  <si>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</si>
  <si>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</si>
  <si>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</si>
  <si>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</si>
  <si>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</si>
  <si>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</si>
  <si>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</si>
  <si>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</si>
  <si>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</si>
  <si>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</si>
  <si>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</si>
  <si>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</si>
  <si>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</si>
  <si>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</si>
  <si>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</si>
  <si>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</si>
  <si>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</si>
  <si>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</si>
  <si>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</si>
  <si>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</si>
  <si>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</si>
  <si>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</si>
  <si>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</si>
  <si>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</si>
  <si>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</si>
  <si>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</si>
  <si>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</si>
  <si>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</si>
  <si>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</si>
  <si>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</si>
  <si>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</si>
  <si>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</si>
  <si>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</si>
  <si>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</si>
  <si>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</si>
  <si>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</si>
  <si>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</si>
  <si>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</si>
  <si>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</si>
  <si>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</si>
  <si>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</si>
  <si>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</si>
  <si>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</si>
  <si>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</si>
  <si>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</si>
  <si>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</si>
  <si>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</si>
  <si>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</si>
  <si>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</si>
  <si>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</si>
  <si>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</si>
  <si>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</si>
  <si>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</si>
  <si>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</si>
  <si>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</si>
  <si>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</si>
  <si>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</si>
  <si>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</si>
  <si>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</si>
  <si>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</si>
  <si>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</si>
  <si>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</si>
  <si>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</si>
  <si>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</si>
  <si>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</si>
  <si>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</si>
  <si>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</si>
  <si>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</si>
  <si>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</si>
  <si>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</si>
  <si>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</si>
  <si>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</si>
  <si>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</si>
  <si>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</si>
  <si>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</si>
  <si>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</si>
  <si>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</si>
  <si>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</si>
  <si>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</si>
  <si>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</si>
  <si>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</si>
  <si>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</si>
  <si>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</si>
  <si>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</si>
  <si>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</si>
  <si>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</si>
  <si>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</si>
  <si>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</si>
  <si>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</si>
  <si>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</si>
  <si>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</si>
  <si>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</si>
  <si>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</si>
  <si>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</si>
  <si>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</si>
  <si>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</si>
  <si>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</si>
  <si>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</si>
  <si>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</si>
  <si>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</si>
  <si>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</si>
  <si>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</si>
  <si>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</si>
  <si>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</si>
  <si>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</si>
  <si>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</si>
  <si>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</si>
  <si>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</si>
  <si>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</si>
  <si>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</si>
  <si>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</si>
  <si>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</si>
  <si>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</si>
  <si>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</si>
  <si>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</si>
  <si>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</si>
  <si>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</si>
  <si>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</si>
  <si>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</si>
  <si>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</si>
  <si>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</si>
  <si>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</si>
  <si>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</si>
  <si>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</si>
  <si>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</si>
  <si>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</si>
  <si>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</si>
  <si>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</si>
  <si>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</si>
  <si>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</si>
  <si>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</si>
  <si>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</si>
  <si>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</si>
  <si>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</si>
  <si>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</si>
  <si>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</si>
  <si>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</si>
  <si>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</si>
  <si>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</si>
  <si>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</si>
  <si>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</si>
  <si>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</si>
  <si>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</si>
  <si>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</si>
  <si>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</si>
  <si>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</si>
  <si>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</si>
  <si>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</si>
  <si>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</si>
  <si>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</si>
  <si>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</si>
  <si>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</si>
  <si>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</si>
  <si>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</si>
  <si>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</si>
  <si>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</si>
  <si>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</si>
  <si>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</si>
  <si>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</si>
  <si>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</si>
  <si>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</si>
  <si>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</si>
  <si>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</si>
  <si>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</si>
  <si>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</si>
  <si>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</si>
  <si>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</si>
  <si>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</si>
  <si>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</si>
  <si>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</si>
  <si>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</si>
  <si>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</si>
  <si>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</si>
  <si>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</si>
  <si>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</si>
  <si>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</si>
  <si>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</si>
  <si>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</si>
  <si>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</si>
  <si>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</si>
  <si>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</si>
  <si>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</si>
  <si>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</si>
  <si>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</si>
  <si>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</si>
  <si>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</si>
  <si>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</si>
  <si>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</si>
  <si>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</si>
  <si>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</si>
  <si>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</si>
  <si>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</si>
  <si>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</si>
  <si>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</si>
  <si>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</si>
  <si>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</si>
  <si>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</si>
  <si>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</si>
  <si>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</si>
  <si>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</si>
  <si>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</si>
  <si>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</si>
  <si>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</si>
  <si>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</si>
  <si>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</si>
  <si>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</si>
  <si>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</si>
  <si>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</si>
  <si>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</si>
  <si>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</si>
  <si>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Названия строк</t>
  </si>
  <si>
    <t>Общий итог</t>
  </si>
  <si>
    <t>Сумма по столбцу DR_Kol</t>
  </si>
  <si>
    <t>DR_Czak(закуп цена)</t>
  </si>
  <si>
    <t>DR_Croz (розничная цена)</t>
  </si>
  <si>
    <t>DR_Sdisc (сумма скидки)</t>
  </si>
  <si>
    <t>Сумма продаж</t>
  </si>
  <si>
    <t>Сумма по столбцу Сумма продаж</t>
  </si>
  <si>
    <t>Названия</t>
  </si>
  <si>
    <t>Доля</t>
  </si>
  <si>
    <t>Накопит.</t>
  </si>
  <si>
    <t>Накоп. Доля</t>
  </si>
  <si>
    <t>1. месячная оборачиваемость</t>
  </si>
  <si>
    <t>Обратите внимание, у вас появилась новая метрика для анализа - месячная оборачиваемость. Считайте ее как среднедневное количество продаж умноженное на 30 дней. Эта метрика показывает, сколько штук товара в месяц мы потенциально можем продать.</t>
  </si>
  <si>
    <t>Названия столбцов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</si>
  <si>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</si>
  <si>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Месяч. Обор</t>
  </si>
  <si>
    <t>A</t>
  </si>
  <si>
    <t>B</t>
  </si>
  <si>
    <t>C</t>
  </si>
  <si>
    <t>КОЛ</t>
  </si>
  <si>
    <t>СУМ ПРОД</t>
  </si>
  <si>
    <t>МЕСЯЧ. Рент</t>
  </si>
  <si>
    <t>Итог</t>
  </si>
  <si>
    <t xml:space="preserve">Сумма продаж </t>
  </si>
  <si>
    <t>Количество</t>
  </si>
  <si>
    <t>Месячная рент.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</si>
</sst>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60D3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  <xf numFmtId="4" fontId="1" fillId="0" borderId="0" xfId="0" applyNumberFormat="1" applyFont="1"/>
    <xf numFmtId="3" fontId="1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0" fontId="3" fillId="0" borderId="0" xfId="0" applyNumberFormat="1" applyFont="1" applyAlignme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1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Обычный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6292.635146296299" backgroundQuery="1" createdVersion="8" refreshedVersion="8" minRefreshableVersion="3" recordCount="0" supportSubquery="1" supportAdvancedDrill="1" xr:uid="{09923148-2815-4ED0-A3D4-F20DDE065576}">
  <cacheSource type="external" connectionId="1"/>
  <cacheFields count="2">
    <cacheField name="[Диапазон 1].[DR_NDrugs].[DR_NDrugs]" caption="DR_NDrugs" numFmtId="0" hierarchy="2" level="1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ПОЛИЦАЙ №4 КАРАМЕЛЬ ЛЕДЕНЦОВАЯ Б/САХ."/>
        <s v="АНТИ-ЭЙДЖ ВИТАМИН Д3 500МЕ 10МЛ. №1 МАСЛ. Р-Р Д/ПРИЕМА ВНУТРЬ ФЛ./КАП. /ЭВАЛАР/ [ANTI-AGE]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-НОЛ 120МГ. №32 ТАБ. П/П/О /АСТЕЛЛАС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О-ШПА 20МГ/МЛ. 2МЛ. №25 Р-Р Д/В/В,В/М АМП. /ХИНОИН/"/>
        <s v="НО-ШПА 40МГ. №24 ТАБ. /ХИНОИН/"/>
        <s v="НО-ШПА 40МГ. №64 ТАБ. ФЛ. ДОЗАТОР /ХИНОИН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[Measures].[Сумма по столбцу Сумма продаж]" caption="Сумма по столбцу Сумма продаж" numFmtId="0" hierarchy="15" level="32767"/>
  </cacheFields>
  <cacheHierarchies count="19"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 1].[DR_NDrugs]" caption="DR_NDrugs" attribute="1" defaultMemberUniqueName="[Диапазон 1].[DR_NDrugs].[All]" allUniqueName="[Диапазон 1].[DR_NDrugs].[All]" dimensionUniqueName="[Диапазон 1]" displayFolder="" count="2" memberValueDatatype="130" unbalanced="0">
      <fieldsUsage count="2">
        <fieldUsage x="-1"/>
        <fieldUsage x="0"/>
      </fieldsUsage>
    </cacheHierarchy>
    <cacheHierarchy uniqueName="[Диапазон 1].[DR_Croz (розничная цена)]" caption="DR_Croz (розничная цена)" attribute="1" defaultMemberUniqueName="[Диапазон 1].[DR_Croz (розничная цена)].[All]" allUniqueName="[Диапазон 1].[DR_Croz (розничная цена)].[All]" dimensionUniqueName="[Диапазон 1]" displayFolder="" count="0" memberValueDatatype="5" unbalanced="0"/>
    <cacheHierarchy uniqueName="[Диапазон 1].[DR_Kol]" caption="DR_Kol" attribute="1" defaultMemberUniqueName="[Диапазон 1].[DR_Kol].[All]" allUniqueName="[Диапазон 1].[DR_Kol].[All]" dimensionUniqueName="[Диапазон 1]" displayFolder="" count="0" memberValueDatatype="5" unbalanced="0"/>
    <cacheHierarchy uniqueName="[Диапазон 1].[DR_Sdisc (сумма скидки)]" caption="DR_Sdisc (сумма скидки)" attribute="1" defaultMemberUniqueName="[Диапазон 1].[DR_Sdisc (сумма скидки)].[All]" allUniqueName="[Диапазон 1].[DR_Sdisc (сумма скидки)].[All]" dimensionUniqueName="[Диапазон 1]" displayFolder="" count="0" memberValueDatatype="5" unbalanced="0"/>
    <cacheHierarchy uniqueName="[Диапазон 1].[Сумма продаж]" caption="Сумма продаж" attribute="1" defaultMemberUniqueName="[Диапазон 1].[Сумма продаж].[All]" allUniqueName="[Диапазон 1].[Сумма продаж].[All]" dimensionUniqueName="[Диапазон 1]" displayFolder="" count="0" memberValueDatatype="5" unbalanced="0"/>
    <cacheHierarchy uniqueName="[Диапазон 2].[DR_Dat]" caption="DR_Dat" attribute="1" time="1" defaultMemberUniqueName="[Диапазон 2].[DR_Dat].[All]" allUniqueName="[Диапазон 2].[DR_Dat].[All]" dimensionUniqueName="[Диапазон 2]" displayFolder="" count="0" memberValueDatatype="7" unbalanced="0"/>
    <cacheHierarchy uniqueName="[Диапазон 2].[DR_NDrugs]" caption="DR_NDrugs" attribute="1" defaultMemberUniqueName="[Диапазон 2].[DR_NDrugs].[All]" allUniqueName="[Диапазон 2].[DR_NDrugs].[All]" dimensionUniqueName="[Диапазон 2]" displayFolder="" count="0" memberValueDatatype="130" unbalanced="0"/>
    <cacheHierarchy uniqueName="[Диапазон 2].[DR_Kol]" caption="DR_Kol" attribute="1" defaultMemberUniqueName="[Диапазон 2].[DR_Kol].[All]" allUniqueName="[Диапазон 2].[DR_Kol].[All]" dimensionUniqueName="[Диапазон 2]" displayFolder="" count="0" memberValueDatatype="5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DR_Sdisc (сумма скидки)]" caption="Сумма по столбцу DR_Sdisc (сумма скидки)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DR_Kol 2]" caption="Сумма по столбцу DR_Kol 2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6292.639341087961" backgroundQuery="1" createdVersion="8" refreshedVersion="8" minRefreshableVersion="3" recordCount="0" supportSubquery="1" supportAdvancedDrill="1" xr:uid="{0D06B975-C119-4F5C-8B6A-E119C3F740A7}">
  <cacheSource type="external" connectionId="1"/>
  <cacheFields count="2">
    <cacheField name="[Диапазон].[DR_NDrugs].[DR_NDrugs]" caption="DR_NDrugs" numFmtId="0" level="1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ПОЛИЦАЙ №4 КАРАМЕЛЬ ЛЕДЕНЦОВАЯ Б/САХ."/>
        <s v="АНТИ-ЭЙДЖ ВИТАМИН Д3 500МЕ 10МЛ. №1 МАСЛ. Р-Р Д/ПРИЕМА ВНУТРЬ ФЛ./КАП. /ЭВАЛАР/ [ANTI-AGE]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-НОЛ 120МГ. №32 ТАБ. П/П/О /АСТЕЛЛАС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О-ШПА 20МГ/МЛ. 2МЛ. №25 Р-Р Д/В/В,В/М АМП. /ХИНОИН/"/>
        <s v="НО-ШПА 40МГ. №24 ТАБ. /ХИНОИН/"/>
        <s v="НО-ШПА 40МГ. №64 ТАБ. ФЛ. ДОЗАТОР /ХИНОИН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[Measures].[Сумма по столбцу DR_Kol]" caption="Сумма по столбцу DR_Kol" numFmtId="0" hierarchy="14" level="32767"/>
  </cacheFields>
  <cacheHierarchies count="19"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 1].[DR_NDrugs]" caption="DR_NDrugs" attribute="1" defaultMemberUniqueName="[Диапазон 1].[DR_NDrugs].[All]" allUniqueName="[Диапазон 1].[DR_NDrugs].[All]" dimensionUniqueName="[Диапазон 1]" displayFolder="" count="0" memberValueDatatype="130" unbalanced="0"/>
    <cacheHierarchy uniqueName="[Диапазон 1].[DR_Croz (розничная цена)]" caption="DR_Croz (розничная цена)" attribute="1" defaultMemberUniqueName="[Диапазон 1].[DR_Croz (розничная цена)].[All]" allUniqueName="[Диапазон 1].[DR_Croz (розничная цена)].[All]" dimensionUniqueName="[Диапазон 1]" displayFolder="" count="0" memberValueDatatype="5" unbalanced="0"/>
    <cacheHierarchy uniqueName="[Диапазон 1].[DR_Kol]" caption="DR_Kol" attribute="1" defaultMemberUniqueName="[Диапазон 1].[DR_Kol].[All]" allUniqueName="[Диапазон 1].[DR_Kol].[All]" dimensionUniqueName="[Диапазон 1]" displayFolder="" count="0" memberValueDatatype="5" unbalanced="0"/>
    <cacheHierarchy uniqueName="[Диапазон 1].[DR_Sdisc (сумма скидки)]" caption="DR_Sdisc (сумма скидки)" attribute="1" defaultMemberUniqueName="[Диапазон 1].[DR_Sdisc (сумма скидки)].[All]" allUniqueName="[Диапазон 1].[DR_Sdisc (сумма скидки)].[All]" dimensionUniqueName="[Диапазон 1]" displayFolder="" count="0" memberValueDatatype="5" unbalanced="0"/>
    <cacheHierarchy uniqueName="[Диапазон 1].[Сумма продаж]" caption="Сумма продаж" attribute="1" defaultMemberUniqueName="[Диапазон 1].[Сумма продаж].[All]" allUniqueName="[Диапазон 1].[Сумма продаж].[All]" dimensionUniqueName="[Диапазон 1]" displayFolder="" count="0" memberValueDatatype="5" unbalanced="0"/>
    <cacheHierarchy uniqueName="[Диапазон 2].[DR_Dat]" caption="DR_Dat" attribute="1" time="1" defaultMemberUniqueName="[Диапазон 2].[DR_Dat].[All]" allUniqueName="[Диапазон 2].[DR_Dat].[All]" dimensionUniqueName="[Диапазон 2]" displayFolder="" count="0" memberValueDatatype="7" unbalanced="0"/>
    <cacheHierarchy uniqueName="[Диапазон 2].[DR_NDrugs]" caption="DR_NDrugs" attribute="1" defaultMemberUniqueName="[Диапазон 2].[DR_NDrugs].[All]" allUniqueName="[Диапазон 2].[DR_NDrugs].[All]" dimensionUniqueName="[Диапазон 2]" displayFolder="" count="0" memberValueDatatype="130" unbalanced="0"/>
    <cacheHierarchy uniqueName="[Диапазон 2].[DR_Kol]" caption="DR_Kol" attribute="1" defaultMemberUniqueName="[Диапазон 2].[DR_Kol].[All]" allUniqueName="[Диапазон 2].[DR_Kol].[All]" dimensionUniqueName="[Диапазон 2]" displayFolder="" count="0" memberValueDatatype="5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DR_Sdisc (сумма скидки)]" caption="Сумма по столбцу DR_Sdisc (сумма скидки)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DR_Kol 2]" caption="Сумма по столбцу DR_Kol 2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6292.651975925924" backgroundQuery="1" createdVersion="8" refreshedVersion="8" minRefreshableVersion="3" recordCount="0" supportSubquery="1" supportAdvancedDrill="1" xr:uid="{E3233C1A-ACCA-4968-AF78-BE1F9D4C3340}">
  <cacheSource type="external" connectionId="1"/>
  <cacheFields count="3">
    <cacheField name="[Диапазон 2].[DR_NDrugs].[DR_NDrugs]" caption="DR_NDrugs" numFmtId="0" hierarchy="8" level="1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ПОЛИЦАЙ №4 КАРАМЕЛЬ ЛЕДЕНЦОВАЯ Б/САХ."/>
        <s v="АНТИ-ЭЙДЖ ВИТАМИН Д3 500МЕ 10МЛ. №1 МАСЛ. Р-Р Д/ПРИЕМА ВНУТРЬ ФЛ./КАП. /ЭВАЛАР/ [ANTI-AGE]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-НОЛ 120МГ. №32 ТАБ. П/П/О /АСТЕЛЛАС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О-ШПА 20МГ/МЛ. 2МЛ. №25 Р-Р Д/В/В,В/М АМП. /ХИНОИН/"/>
        <s v="НО-ШПА 40МГ. №24 ТАБ. /ХИНОИН/"/>
        <s v="НО-ШПА 40МГ. №64 ТАБ. ФЛ. ДОЗАТОР /ХИНОИН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[Measures].[Сумма по столбцу DR_Kol 2]" caption="Сумма по столбцу DR_Kol 2" numFmtId="0" hierarchy="17" level="32767"/>
    <cacheField name="[Диапазон 2].[DR_Dat].[DR_Dat]" caption="DR_Dat" numFmtId="0" hierarchy="7" level="1">
      <sharedItems containsSemiMixedTypes="0" containsNonDate="0" containsDate="1" containsString="0" minDate="2022-08-01T00:00:00" maxDate="2022-08-06T00:00:00" count="5">
        <d v="2022-08-01T00:00:00"/>
        <d v="2022-08-02T00:00:00"/>
        <d v="2022-08-03T00:00:00"/>
        <d v="2022-08-04T00:00:00"/>
        <d v="2022-08-05T00:00:00"/>
      </sharedItems>
    </cacheField>
  </cacheFields>
  <cacheHierarchies count="19"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 1].[DR_NDrugs]" caption="DR_NDrugs" attribute="1" defaultMemberUniqueName="[Диапазон 1].[DR_NDrugs].[All]" allUniqueName="[Диапазон 1].[DR_NDrugs].[All]" dimensionUniqueName="[Диапазон 1]" displayFolder="" count="0" memberValueDatatype="130" unbalanced="0"/>
    <cacheHierarchy uniqueName="[Диапазон 1].[DR_Croz (розничная цена)]" caption="DR_Croz (розничная цена)" attribute="1" defaultMemberUniqueName="[Диапазон 1].[DR_Croz (розничная цена)].[All]" allUniqueName="[Диапазон 1].[DR_Croz (розничная цена)].[All]" dimensionUniqueName="[Диапазон 1]" displayFolder="" count="0" memberValueDatatype="5" unbalanced="0"/>
    <cacheHierarchy uniqueName="[Диапазон 1].[DR_Kol]" caption="DR_Kol" attribute="1" defaultMemberUniqueName="[Диапазон 1].[DR_Kol].[All]" allUniqueName="[Диапазон 1].[DR_Kol].[All]" dimensionUniqueName="[Диапазон 1]" displayFolder="" count="0" memberValueDatatype="5" unbalanced="0"/>
    <cacheHierarchy uniqueName="[Диапазон 1].[DR_Sdisc (сумма скидки)]" caption="DR_Sdisc (сумма скидки)" attribute="1" defaultMemberUniqueName="[Диапазон 1].[DR_Sdisc (сумма скидки)].[All]" allUniqueName="[Диапазон 1].[DR_Sdisc (сумма скидки)].[All]" dimensionUniqueName="[Диапазон 1]" displayFolder="" count="0" memberValueDatatype="5" unbalanced="0"/>
    <cacheHierarchy uniqueName="[Диапазон 1].[Сумма продаж]" caption="Сумма продаж" attribute="1" defaultMemberUniqueName="[Диапазон 1].[Сумма продаж].[All]" allUniqueName="[Диапазон 1].[Сумма продаж].[All]" dimensionUniqueName="[Диапазон 1]" displayFolder="" count="0" memberValueDatatype="5" unbalanced="0"/>
    <cacheHierarchy uniqueName="[Диапазон 2].[DR_Dat]" caption="DR_Dat" attribute="1" time="1" defaultMemberUniqueName="[Диапазон 2].[DR_Dat].[All]" allUniqueName="[Диапазон 2].[DR_Dat].[All]" dimensionUniqueName="[Диапазон 2]" displayFolder="" count="2" memberValueDatatype="7" unbalanced="0">
      <fieldsUsage count="2">
        <fieldUsage x="-1"/>
        <fieldUsage x="2"/>
      </fieldsUsage>
    </cacheHierarchy>
    <cacheHierarchy uniqueName="[Диапазон 2].[DR_NDrugs]" caption="DR_NDrugs" attribute="1" defaultMemberUniqueName="[Диапазон 2].[DR_NDrugs].[All]" allUniqueName="[Диапазон 2].[DR_NDrugs].[All]" dimensionUniqueName="[Диапазон 2]" displayFolder="" count="2" memberValueDatatype="130" unbalanced="0">
      <fieldsUsage count="2">
        <fieldUsage x="-1"/>
        <fieldUsage x="0"/>
      </fieldsUsage>
    </cacheHierarchy>
    <cacheHierarchy uniqueName="[Диапазон 2].[DR_Kol]" caption="DR_Kol" attribute="1" defaultMemberUniqueName="[Диапазон 2].[DR_Kol].[All]" allUniqueName="[Диапазон 2].[DR_Kol].[All]" dimensionUniqueName="[Диапазон 2]" displayFolder="" count="0" memberValueDatatype="5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DR_Sdisc (сумма скидки)]" caption="Сумма по столбцу DR_Sdisc (сумма скидки)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DR_Kol 2]" caption="Сумма по столбцу DR_Kol 2" measure="1" displayFolder="" measureGroup="Диапазон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72B04-184F-4A29-8977-8A3222A3FD45}" name="Сводная таблица5" cacheId="9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807" firstHeaderRow="1" firstDataRow="1" firstDataCol="1"/>
  <pivotFields count="2">
    <pivotField axis="axisRow" allDrilled="1" subtotalTop="0" showAll="0" dataSourceSort="1" defaultSubtotal="0" defaultAttributeDrillState="1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dataField="1" subtotalTop="0" showAll="0" defaultSubtotal="0"/>
  </pivotFields>
  <rowFields count="1">
    <field x="0"/>
  </rowFields>
  <rowItems count="8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 t="grand">
      <x/>
    </i>
  </rowItems>
  <colItems count="1">
    <i/>
  </colItems>
  <dataFields count="1">
    <dataField name="Сумма по столбцу DR_Kol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Лист1!$A:$B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95B24-5DDF-4EF8-9A6E-9CD6A54AE152}" name="Сводная таблица4" cacheId="9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1:H805" firstHeaderRow="1" firstDataRow="1" firstDataCol="1"/>
  <pivotFields count="2">
    <pivotField axis="axisRow" allDrilled="1" subtotalTop="0" showAll="0" dataSourceSort="1" defaultSubtotal="0" defaultAttributeDrillState="1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dataField="1" subtotalTop="0" showAll="0" defaultSubtotal="0"/>
  </pivotFields>
  <rowFields count="1">
    <field x="0"/>
  </rowFields>
  <rowItems count="8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 t="grand">
      <x/>
    </i>
  </rowItems>
  <colItems count="1">
    <i/>
  </colItems>
  <dataFields count="1">
    <dataField name="Сумма по столбцу Сумма продаж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Лист2!$A:$E">
        <x15:activeTabTopLevelEntity name="[Диапазон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F8977-3574-4808-A74D-2D2CE7006939}" name="Сводная таблица7" cacheId="9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                                                                                                                                                                                                                                                              ">
  <location ref="F2:L807" firstHeaderRow="1" firstDataRow="2" firstDataCol="1"/>
  <pivotFields count="3">
    <pivotField axis="axisRow" allDrilled="1" subtotalTop="0" showAll="0" dataSourceSort="1" defaultSubtotal="0" defaultAttributeDrillState="1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8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столбцу DR_Kol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месячная оборачиваемость!$A:$C">
        <x15:activeTabTopLevelEntity name="[Диапазон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DB2CA-1BB9-4C38-B76F-627BCC192407}" name="Таблица1" displayName="Таблица1" ref="A3:E806" totalsRowShown="0" headerRowDxfId="0">
  <autoFilter ref="A3:E806" xr:uid="{C05DB2CA-1BB9-4C38-B76F-627BCC192407}"/>
  <tableColumns count="5">
    <tableColumn id="1" xr3:uid="{B4490D2E-6843-4256-97D2-468C365E20D8}" name="Названия"/>
    <tableColumn id="2" xr3:uid="{9E0D75BA-2782-4B57-8EC2-2B9F2F148DAC}" name="Количество"/>
    <tableColumn id="3" xr3:uid="{CEFC7F8B-F1E3-4F4B-BB89-887E18F859A9}" name="Сумма продаж "/>
    <tableColumn id="4" xr3:uid="{7F32B099-5353-4D85-83A6-6C3FC2C26370}" name="Месячная рент."/>
    <tableColumn id="5" xr3:uid="{5CE9CA8C-3903-4BBD-A624-942363D87DA6}" name="Итог">
      <calculatedColumnFormula>B4&amp;C4&amp;D4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51"/>
  <sheetViews>
    <sheetView topLeftCell="C1413" zoomScale="82" workbookViewId="0">
      <selection activeCell="N1440" sqref="N1440"/>
    </sheetView>
  </sheetViews>
  <sheetFormatPr defaultColWidth="12.6640625" defaultRowHeight="15.75" customHeight="1" x14ac:dyDescent="0.25"/>
  <cols>
    <col min="10" max="10" width="27" customWidth="1"/>
    <col min="12" max="12" width="15.33203125" customWidth="1"/>
    <col min="14" max="14" width="25.33203125" customWidth="1"/>
    <col min="15" max="15" width="31.6640625" customWidth="1"/>
    <col min="16" max="16" width="24" customWidth="1"/>
    <col min="18" max="18" width="18.88671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1230</v>
      </c>
      <c r="O1" s="3" t="s">
        <v>1231</v>
      </c>
      <c r="P1" s="1" t="s">
        <v>1232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3" x14ac:dyDescent="0.25">
      <c r="A2" s="4">
        <v>44774</v>
      </c>
      <c r="B2" s="5">
        <v>0.33770833333333333</v>
      </c>
      <c r="C2" s="1">
        <v>1272</v>
      </c>
      <c r="D2" s="1">
        <v>13002561</v>
      </c>
      <c r="E2" s="1">
        <v>13</v>
      </c>
      <c r="F2" s="1">
        <v>22589</v>
      </c>
      <c r="G2" s="1" t="s">
        <v>18</v>
      </c>
      <c r="H2" s="1">
        <v>18</v>
      </c>
      <c r="I2" s="1">
        <v>144734</v>
      </c>
      <c r="J2" s="1" t="s">
        <v>19</v>
      </c>
      <c r="K2" s="1" t="s">
        <v>20</v>
      </c>
      <c r="L2" s="1" t="s">
        <v>21</v>
      </c>
      <c r="M2" s="1">
        <v>1</v>
      </c>
      <c r="N2" s="2">
        <v>196.71</v>
      </c>
      <c r="O2" s="3">
        <v>270</v>
      </c>
      <c r="P2" s="1">
        <v>0</v>
      </c>
      <c r="Q2" s="1" t="s">
        <v>22</v>
      </c>
      <c r="R2" s="1" t="s">
        <v>22</v>
      </c>
      <c r="S2" s="1">
        <v>29</v>
      </c>
      <c r="T2" s="1">
        <v>1</v>
      </c>
      <c r="U2" s="1">
        <v>1</v>
      </c>
      <c r="W2" s="15" t="s">
        <v>1239</v>
      </c>
    </row>
    <row r="3" spans="1:23" x14ac:dyDescent="0.25">
      <c r="A3" s="4">
        <v>44774</v>
      </c>
      <c r="B3" s="5">
        <v>0.36033564814814817</v>
      </c>
      <c r="C3" s="1">
        <v>1273</v>
      </c>
      <c r="D3" s="1">
        <v>13002561</v>
      </c>
      <c r="E3" s="1">
        <v>13</v>
      </c>
      <c r="F3" s="1">
        <v>22589</v>
      </c>
      <c r="G3" s="1" t="s">
        <v>18</v>
      </c>
      <c r="H3" s="1">
        <v>15</v>
      </c>
      <c r="I3" s="1">
        <v>69661</v>
      </c>
      <c r="J3" s="1" t="s">
        <v>23</v>
      </c>
      <c r="K3" s="1" t="s">
        <v>20</v>
      </c>
      <c r="L3" s="1" t="s">
        <v>24</v>
      </c>
      <c r="M3" s="1">
        <v>1</v>
      </c>
      <c r="N3" s="2">
        <v>106.21</v>
      </c>
      <c r="O3" s="3">
        <v>127</v>
      </c>
      <c r="P3" s="1">
        <v>6</v>
      </c>
      <c r="Q3" s="1">
        <v>9</v>
      </c>
      <c r="R3" s="1">
        <v>200010004357</v>
      </c>
      <c r="S3" s="1">
        <v>29</v>
      </c>
      <c r="T3" s="1">
        <v>1</v>
      </c>
      <c r="U3" s="1">
        <v>1</v>
      </c>
    </row>
    <row r="4" spans="1:23" x14ac:dyDescent="0.25">
      <c r="A4" s="4">
        <v>44774</v>
      </c>
      <c r="B4" s="5">
        <v>0.3719675925925926</v>
      </c>
      <c r="C4" s="1">
        <v>1274</v>
      </c>
      <c r="D4" s="1">
        <v>13002561</v>
      </c>
      <c r="E4" s="1">
        <v>13</v>
      </c>
      <c r="F4" s="1">
        <v>22589</v>
      </c>
      <c r="G4" s="1" t="s">
        <v>18</v>
      </c>
      <c r="H4" s="1">
        <v>18</v>
      </c>
      <c r="I4" s="1">
        <v>190635</v>
      </c>
      <c r="J4" s="1" t="s">
        <v>25</v>
      </c>
      <c r="K4" s="1" t="s">
        <v>26</v>
      </c>
      <c r="L4" s="1" t="s">
        <v>27</v>
      </c>
      <c r="M4" s="1">
        <v>1</v>
      </c>
      <c r="N4" s="2">
        <v>2320.9899999999998</v>
      </c>
      <c r="O4" s="3">
        <v>2563</v>
      </c>
      <c r="P4" s="1">
        <v>76</v>
      </c>
      <c r="Q4" s="1">
        <v>9</v>
      </c>
      <c r="R4" s="1">
        <v>200010018491</v>
      </c>
      <c r="S4" s="1">
        <v>29</v>
      </c>
      <c r="T4" s="1">
        <v>1</v>
      </c>
      <c r="U4" s="1">
        <v>1</v>
      </c>
      <c r="W4" s="16" t="s">
        <v>1240</v>
      </c>
    </row>
    <row r="5" spans="1:23" x14ac:dyDescent="0.25">
      <c r="A5" s="4">
        <v>44774</v>
      </c>
      <c r="B5" s="5">
        <v>0.37546296296296294</v>
      </c>
      <c r="C5" s="1">
        <v>1275</v>
      </c>
      <c r="D5" s="1">
        <v>13002561</v>
      </c>
      <c r="E5" s="1">
        <v>13</v>
      </c>
      <c r="F5" s="1">
        <v>22589</v>
      </c>
      <c r="G5" s="1" t="s">
        <v>18</v>
      </c>
      <c r="H5" s="1">
        <v>18</v>
      </c>
      <c r="I5" s="1">
        <v>276370</v>
      </c>
      <c r="J5" s="1" t="s">
        <v>28</v>
      </c>
      <c r="K5" s="1" t="s">
        <v>20</v>
      </c>
      <c r="L5" s="1" t="s">
        <v>29</v>
      </c>
      <c r="M5" s="1">
        <v>1</v>
      </c>
      <c r="N5" s="2">
        <v>445.39</v>
      </c>
      <c r="O5" s="3">
        <v>541</v>
      </c>
      <c r="P5" s="1">
        <v>0</v>
      </c>
      <c r="Q5" s="1" t="s">
        <v>22</v>
      </c>
      <c r="R5" s="1" t="s">
        <v>22</v>
      </c>
      <c r="S5" s="1">
        <v>29</v>
      </c>
      <c r="T5" s="1">
        <v>1</v>
      </c>
      <c r="U5" s="1">
        <v>1</v>
      </c>
    </row>
    <row r="6" spans="1:23" x14ac:dyDescent="0.25">
      <c r="A6" s="4">
        <v>44774</v>
      </c>
      <c r="B6" s="5">
        <v>0.37783564814814813</v>
      </c>
      <c r="C6" s="1">
        <v>1276</v>
      </c>
      <c r="D6" s="1">
        <v>13002561</v>
      </c>
      <c r="E6" s="1">
        <v>13</v>
      </c>
      <c r="F6" s="1">
        <v>22589</v>
      </c>
      <c r="G6" s="1" t="s">
        <v>18</v>
      </c>
      <c r="H6" s="1">
        <v>15</v>
      </c>
      <c r="I6" s="1">
        <v>2303</v>
      </c>
      <c r="J6" s="1" t="s">
        <v>30</v>
      </c>
      <c r="K6" s="1" t="s">
        <v>31</v>
      </c>
      <c r="L6" s="1" t="s">
        <v>32</v>
      </c>
      <c r="M6" s="1">
        <v>1</v>
      </c>
      <c r="N6" s="2">
        <v>18.04</v>
      </c>
      <c r="O6" s="3">
        <v>22</v>
      </c>
      <c r="P6" s="1">
        <v>1</v>
      </c>
      <c r="Q6" s="1">
        <v>9</v>
      </c>
      <c r="R6" s="1">
        <v>200010000734</v>
      </c>
      <c r="S6" s="1">
        <v>29</v>
      </c>
      <c r="T6" s="1">
        <v>1</v>
      </c>
      <c r="U6" s="1">
        <v>5</v>
      </c>
    </row>
    <row r="7" spans="1:23" x14ac:dyDescent="0.25">
      <c r="A7" s="4">
        <v>44774</v>
      </c>
      <c r="B7" s="5">
        <v>0.37783564814814813</v>
      </c>
      <c r="C7" s="1">
        <v>1276</v>
      </c>
      <c r="D7" s="1">
        <v>13002561</v>
      </c>
      <c r="E7" s="1">
        <v>13</v>
      </c>
      <c r="F7" s="1">
        <v>22589</v>
      </c>
      <c r="G7" s="1" t="s">
        <v>18</v>
      </c>
      <c r="H7" s="1">
        <v>15</v>
      </c>
      <c r="I7" s="1">
        <v>2303</v>
      </c>
      <c r="J7" s="1" t="s">
        <v>30</v>
      </c>
      <c r="K7" s="1" t="s">
        <v>31</v>
      </c>
      <c r="L7" s="1" t="s">
        <v>32</v>
      </c>
      <c r="M7" s="1">
        <v>1</v>
      </c>
      <c r="N7" s="2">
        <v>18.04</v>
      </c>
      <c r="O7" s="3">
        <v>22</v>
      </c>
      <c r="P7" s="1">
        <v>1</v>
      </c>
      <c r="Q7" s="1">
        <v>9</v>
      </c>
      <c r="R7" s="1">
        <v>200010000734</v>
      </c>
      <c r="S7" s="1">
        <v>29</v>
      </c>
      <c r="T7" s="1">
        <v>1</v>
      </c>
      <c r="U7" s="1">
        <v>6</v>
      </c>
    </row>
    <row r="8" spans="1:23" x14ac:dyDescent="0.25">
      <c r="A8" s="4">
        <v>44774</v>
      </c>
      <c r="B8" s="5">
        <v>0.37783564814814813</v>
      </c>
      <c r="C8" s="1">
        <v>1276</v>
      </c>
      <c r="D8" s="1">
        <v>13002561</v>
      </c>
      <c r="E8" s="1">
        <v>13</v>
      </c>
      <c r="F8" s="1">
        <v>22589</v>
      </c>
      <c r="G8" s="1" t="s">
        <v>18</v>
      </c>
      <c r="H8" s="1">
        <v>15</v>
      </c>
      <c r="I8" s="1">
        <v>338588</v>
      </c>
      <c r="J8" s="1" t="s">
        <v>33</v>
      </c>
      <c r="K8" s="1" t="s">
        <v>20</v>
      </c>
      <c r="L8" s="1" t="s">
        <v>34</v>
      </c>
      <c r="M8" s="1">
        <v>1</v>
      </c>
      <c r="N8" s="2">
        <v>383.7</v>
      </c>
      <c r="O8" s="3">
        <v>475</v>
      </c>
      <c r="P8" s="1">
        <v>23</v>
      </c>
      <c r="Q8" s="1">
        <v>9</v>
      </c>
      <c r="R8" s="1">
        <v>200010000734</v>
      </c>
      <c r="S8" s="1">
        <v>29</v>
      </c>
      <c r="T8" s="1">
        <v>1</v>
      </c>
      <c r="U8" s="1">
        <v>3</v>
      </c>
    </row>
    <row r="9" spans="1:23" x14ac:dyDescent="0.25">
      <c r="A9" s="4">
        <v>44774</v>
      </c>
      <c r="B9" s="5">
        <v>0.37783564814814813</v>
      </c>
      <c r="C9" s="1">
        <v>1276</v>
      </c>
      <c r="D9" s="1">
        <v>13002561</v>
      </c>
      <c r="E9" s="1">
        <v>13</v>
      </c>
      <c r="F9" s="1">
        <v>22589</v>
      </c>
      <c r="G9" s="1" t="s">
        <v>18</v>
      </c>
      <c r="H9" s="1">
        <v>15</v>
      </c>
      <c r="I9" s="1">
        <v>397616</v>
      </c>
      <c r="J9" s="1" t="s">
        <v>35</v>
      </c>
      <c r="K9" s="1" t="s">
        <v>31</v>
      </c>
      <c r="L9" s="1" t="s">
        <v>36</v>
      </c>
      <c r="M9" s="1">
        <v>1</v>
      </c>
      <c r="N9" s="2">
        <v>536.82000000000005</v>
      </c>
      <c r="O9" s="3">
        <v>693</v>
      </c>
      <c r="P9" s="1">
        <v>48</v>
      </c>
      <c r="Q9" s="1">
        <v>9</v>
      </c>
      <c r="R9" s="1">
        <v>200010000734</v>
      </c>
      <c r="S9" s="1">
        <v>29</v>
      </c>
      <c r="T9" s="1">
        <v>1</v>
      </c>
      <c r="U9" s="1">
        <v>4</v>
      </c>
    </row>
    <row r="10" spans="1:23" x14ac:dyDescent="0.25">
      <c r="A10" s="4">
        <v>44774</v>
      </c>
      <c r="B10" s="5">
        <v>0.37783564814814813</v>
      </c>
      <c r="C10" s="1">
        <v>1276</v>
      </c>
      <c r="D10" s="1">
        <v>13002561</v>
      </c>
      <c r="E10" s="1">
        <v>13</v>
      </c>
      <c r="F10" s="1">
        <v>22589</v>
      </c>
      <c r="G10" s="1" t="s">
        <v>18</v>
      </c>
      <c r="H10" s="1">
        <v>15</v>
      </c>
      <c r="I10" s="1">
        <v>338492</v>
      </c>
      <c r="J10" s="1" t="s">
        <v>37</v>
      </c>
      <c r="K10" s="1" t="s">
        <v>31</v>
      </c>
      <c r="L10" s="1" t="s">
        <v>34</v>
      </c>
      <c r="M10" s="1">
        <v>1</v>
      </c>
      <c r="N10" s="2">
        <v>334.29</v>
      </c>
      <c r="O10" s="3">
        <v>418</v>
      </c>
      <c r="P10" s="1">
        <v>20</v>
      </c>
      <c r="Q10" s="1">
        <v>9</v>
      </c>
      <c r="R10" s="1">
        <v>200010000734</v>
      </c>
      <c r="S10" s="1">
        <v>29</v>
      </c>
      <c r="T10" s="1">
        <v>1</v>
      </c>
      <c r="U10" s="1">
        <v>1</v>
      </c>
    </row>
    <row r="11" spans="1:23" x14ac:dyDescent="0.25">
      <c r="A11" s="4">
        <v>44774</v>
      </c>
      <c r="B11" s="5">
        <v>0.37783564814814813</v>
      </c>
      <c r="C11" s="1">
        <v>1276</v>
      </c>
      <c r="D11" s="1">
        <v>13002561</v>
      </c>
      <c r="E11" s="1">
        <v>13</v>
      </c>
      <c r="F11" s="1">
        <v>22589</v>
      </c>
      <c r="G11" s="1" t="s">
        <v>18</v>
      </c>
      <c r="H11" s="1">
        <v>15</v>
      </c>
      <c r="I11" s="1">
        <v>338479</v>
      </c>
      <c r="J11" s="1" t="s">
        <v>38</v>
      </c>
      <c r="K11" s="1" t="s">
        <v>20</v>
      </c>
      <c r="L11" s="1" t="s">
        <v>34</v>
      </c>
      <c r="M11" s="1">
        <v>1</v>
      </c>
      <c r="N11" s="2">
        <v>282.52</v>
      </c>
      <c r="O11" s="3">
        <v>340</v>
      </c>
      <c r="P11" s="1">
        <v>17</v>
      </c>
      <c r="Q11" s="1">
        <v>9</v>
      </c>
      <c r="R11" s="1">
        <v>200010000734</v>
      </c>
      <c r="S11" s="1">
        <v>29</v>
      </c>
      <c r="T11" s="1">
        <v>1</v>
      </c>
      <c r="U11" s="1">
        <v>2</v>
      </c>
    </row>
    <row r="12" spans="1:23" x14ac:dyDescent="0.25">
      <c r="A12" s="4">
        <v>44774</v>
      </c>
      <c r="B12" s="5">
        <v>0.37849537037037034</v>
      </c>
      <c r="C12" s="1">
        <v>1277</v>
      </c>
      <c r="D12" s="1">
        <v>13002561</v>
      </c>
      <c r="E12" s="1">
        <v>13</v>
      </c>
      <c r="F12" s="1">
        <v>22589</v>
      </c>
      <c r="G12" s="1" t="s">
        <v>18</v>
      </c>
      <c r="H12" s="1">
        <v>18</v>
      </c>
      <c r="I12" s="1">
        <v>122156</v>
      </c>
      <c r="J12" s="1" t="s">
        <v>39</v>
      </c>
      <c r="K12" s="1" t="s">
        <v>20</v>
      </c>
      <c r="L12" s="1" t="s">
        <v>40</v>
      </c>
      <c r="M12" s="1">
        <v>1</v>
      </c>
      <c r="N12" s="2">
        <v>210.25</v>
      </c>
      <c r="O12" s="3">
        <v>284</v>
      </c>
      <c r="P12" s="1">
        <v>0</v>
      </c>
      <c r="Q12" s="1" t="s">
        <v>22</v>
      </c>
      <c r="R12" s="1" t="s">
        <v>22</v>
      </c>
      <c r="S12" s="1">
        <v>29</v>
      </c>
      <c r="T12" s="1">
        <v>1</v>
      </c>
      <c r="U12" s="1">
        <v>1</v>
      </c>
    </row>
    <row r="13" spans="1:23" x14ac:dyDescent="0.25">
      <c r="A13" s="4">
        <v>44774</v>
      </c>
      <c r="B13" s="5">
        <v>0.38320601851851854</v>
      </c>
      <c r="C13" s="1">
        <v>1278</v>
      </c>
      <c r="D13" s="1">
        <v>13002561</v>
      </c>
      <c r="E13" s="1">
        <v>13</v>
      </c>
      <c r="F13" s="1">
        <v>22589</v>
      </c>
      <c r="G13" s="1" t="s">
        <v>18</v>
      </c>
      <c r="H13" s="1">
        <v>15</v>
      </c>
      <c r="I13" s="1">
        <v>608487</v>
      </c>
      <c r="J13" s="1" t="s">
        <v>41</v>
      </c>
      <c r="K13" s="1" t="s">
        <v>42</v>
      </c>
      <c r="L13" s="1" t="s">
        <v>43</v>
      </c>
      <c r="M13" s="1">
        <v>1</v>
      </c>
      <c r="N13" s="2">
        <v>43.29</v>
      </c>
      <c r="O13" s="3">
        <v>71</v>
      </c>
      <c r="P13" s="1">
        <v>7</v>
      </c>
      <c r="Q13" s="1">
        <v>9</v>
      </c>
      <c r="R13" s="1">
        <v>200010001758</v>
      </c>
      <c r="S13" s="1">
        <v>29</v>
      </c>
      <c r="T13" s="1">
        <v>1</v>
      </c>
      <c r="U13" s="1">
        <v>1</v>
      </c>
    </row>
    <row r="14" spans="1:23" x14ac:dyDescent="0.25">
      <c r="A14" s="4">
        <v>44774</v>
      </c>
      <c r="B14" s="5">
        <v>0.38320601851851854</v>
      </c>
      <c r="C14" s="1">
        <v>1278</v>
      </c>
      <c r="D14" s="1">
        <v>13002561</v>
      </c>
      <c r="E14" s="1">
        <v>13</v>
      </c>
      <c r="F14" s="1">
        <v>22589</v>
      </c>
      <c r="G14" s="1" t="s">
        <v>18</v>
      </c>
      <c r="H14" s="1">
        <v>15</v>
      </c>
      <c r="I14" s="1">
        <v>528004</v>
      </c>
      <c r="J14" s="1" t="s">
        <v>44</v>
      </c>
      <c r="K14" s="1" t="s">
        <v>45</v>
      </c>
      <c r="L14" s="1" t="s">
        <v>46</v>
      </c>
      <c r="M14" s="1">
        <v>1</v>
      </c>
      <c r="N14" s="2">
        <v>35.520000000000003</v>
      </c>
      <c r="O14" s="3">
        <v>58</v>
      </c>
      <c r="P14" s="1">
        <v>5</v>
      </c>
      <c r="Q14" s="1">
        <v>9</v>
      </c>
      <c r="R14" s="1">
        <v>200010001758</v>
      </c>
      <c r="S14" s="1">
        <v>29</v>
      </c>
      <c r="T14" s="1">
        <v>1</v>
      </c>
      <c r="U14" s="1">
        <v>2</v>
      </c>
    </row>
    <row r="15" spans="1:23" x14ac:dyDescent="0.25">
      <c r="A15" s="4">
        <v>44774</v>
      </c>
      <c r="B15" s="5">
        <v>0.38756944444444447</v>
      </c>
      <c r="C15" s="1">
        <v>1279</v>
      </c>
      <c r="D15" s="1">
        <v>13002561</v>
      </c>
      <c r="E15" s="1">
        <v>13</v>
      </c>
      <c r="F15" s="1">
        <v>22589</v>
      </c>
      <c r="G15" s="1" t="s">
        <v>18</v>
      </c>
      <c r="H15" s="1">
        <v>15</v>
      </c>
      <c r="I15" s="1">
        <v>443174</v>
      </c>
      <c r="J15" s="1" t="s">
        <v>47</v>
      </c>
      <c r="K15" s="1" t="s">
        <v>48</v>
      </c>
      <c r="L15" s="1" t="s">
        <v>49</v>
      </c>
      <c r="M15" s="1">
        <v>1</v>
      </c>
      <c r="N15" s="2">
        <v>65.13</v>
      </c>
      <c r="O15" s="3">
        <v>103</v>
      </c>
      <c r="P15" s="1">
        <v>0</v>
      </c>
      <c r="Q15" s="1" t="s">
        <v>22</v>
      </c>
      <c r="R15" s="1" t="s">
        <v>22</v>
      </c>
      <c r="S15" s="1">
        <v>29</v>
      </c>
      <c r="T15" s="1">
        <v>1</v>
      </c>
      <c r="U15" s="1">
        <v>1</v>
      </c>
    </row>
    <row r="16" spans="1:23" x14ac:dyDescent="0.25">
      <c r="A16" s="4">
        <v>44774</v>
      </c>
      <c r="B16" s="5">
        <v>0.4432638888888889</v>
      </c>
      <c r="C16" s="1">
        <v>1294</v>
      </c>
      <c r="D16" s="1">
        <v>13002561</v>
      </c>
      <c r="E16" s="1">
        <v>13</v>
      </c>
      <c r="F16" s="1">
        <v>22589</v>
      </c>
      <c r="G16" s="1" t="s">
        <v>18</v>
      </c>
      <c r="H16" s="1">
        <v>18</v>
      </c>
      <c r="I16" s="1">
        <v>443174</v>
      </c>
      <c r="J16" s="1" t="s">
        <v>47</v>
      </c>
      <c r="K16" s="1" t="s">
        <v>48</v>
      </c>
      <c r="L16" s="1" t="s">
        <v>49</v>
      </c>
      <c r="M16" s="1">
        <v>1</v>
      </c>
      <c r="N16" s="2">
        <v>65.13</v>
      </c>
      <c r="O16" s="3">
        <v>103</v>
      </c>
      <c r="P16" s="1">
        <v>0</v>
      </c>
      <c r="Q16" s="1" t="s">
        <v>22</v>
      </c>
      <c r="R16" s="1" t="s">
        <v>22</v>
      </c>
      <c r="S16" s="1">
        <v>29</v>
      </c>
      <c r="T16" s="1">
        <v>1</v>
      </c>
      <c r="U16" s="1">
        <v>3</v>
      </c>
    </row>
    <row r="17" spans="1:21" x14ac:dyDescent="0.25">
      <c r="A17" s="4">
        <v>44774</v>
      </c>
      <c r="B17" s="5">
        <v>0.39586805555555554</v>
      </c>
      <c r="C17" s="1">
        <v>1280</v>
      </c>
      <c r="D17" s="1">
        <v>13002561</v>
      </c>
      <c r="E17" s="1">
        <v>13</v>
      </c>
      <c r="F17" s="1">
        <v>22589</v>
      </c>
      <c r="G17" s="1" t="s">
        <v>18</v>
      </c>
      <c r="H17" s="1">
        <v>15</v>
      </c>
      <c r="I17" s="1">
        <v>21372</v>
      </c>
      <c r="J17" s="1" t="s">
        <v>50</v>
      </c>
      <c r="K17" s="1" t="s">
        <v>20</v>
      </c>
      <c r="L17" s="1" t="s">
        <v>51</v>
      </c>
      <c r="M17" s="1">
        <v>1</v>
      </c>
      <c r="N17" s="2">
        <v>86.28</v>
      </c>
      <c r="O17" s="3">
        <v>123</v>
      </c>
      <c r="P17" s="1">
        <v>0</v>
      </c>
      <c r="Q17" s="1" t="s">
        <v>22</v>
      </c>
      <c r="R17" s="1" t="s">
        <v>22</v>
      </c>
      <c r="S17" s="1">
        <v>29</v>
      </c>
      <c r="T17" s="1">
        <v>1</v>
      </c>
      <c r="U17" s="1">
        <v>1</v>
      </c>
    </row>
    <row r="18" spans="1:21" x14ac:dyDescent="0.25">
      <c r="A18" s="4">
        <v>44774</v>
      </c>
      <c r="B18" s="5">
        <v>0.39586805555555554</v>
      </c>
      <c r="C18" s="1">
        <v>1280</v>
      </c>
      <c r="D18" s="1">
        <v>13002561</v>
      </c>
      <c r="E18" s="1">
        <v>13</v>
      </c>
      <c r="F18" s="1">
        <v>22589</v>
      </c>
      <c r="G18" s="1" t="s">
        <v>18</v>
      </c>
      <c r="H18" s="1">
        <v>15</v>
      </c>
      <c r="I18" s="1">
        <v>365627</v>
      </c>
      <c r="J18" s="1" t="s">
        <v>52</v>
      </c>
      <c r="K18" s="1" t="s">
        <v>26</v>
      </c>
      <c r="L18" s="1" t="s">
        <v>53</v>
      </c>
      <c r="M18" s="1">
        <v>1</v>
      </c>
      <c r="N18" s="2">
        <v>78.239999999999995</v>
      </c>
      <c r="O18" s="3">
        <v>96</v>
      </c>
      <c r="P18" s="1">
        <v>0</v>
      </c>
      <c r="Q18" s="1" t="s">
        <v>22</v>
      </c>
      <c r="R18" s="1" t="s">
        <v>22</v>
      </c>
      <c r="S18" s="1">
        <v>29</v>
      </c>
      <c r="T18" s="1">
        <v>1</v>
      </c>
      <c r="U18" s="1">
        <v>2</v>
      </c>
    </row>
    <row r="19" spans="1:21" x14ac:dyDescent="0.25">
      <c r="A19" s="4">
        <v>44774</v>
      </c>
      <c r="B19" s="5">
        <v>0.68071759259259257</v>
      </c>
      <c r="C19" s="1">
        <v>1373</v>
      </c>
      <c r="D19" s="1">
        <v>13002561</v>
      </c>
      <c r="E19" s="1">
        <v>13</v>
      </c>
      <c r="F19" s="1">
        <v>22589</v>
      </c>
      <c r="G19" s="1" t="s">
        <v>18</v>
      </c>
      <c r="H19" s="1">
        <v>18</v>
      </c>
      <c r="I19" s="1">
        <v>365627</v>
      </c>
      <c r="J19" s="1" t="s">
        <v>52</v>
      </c>
      <c r="K19" s="1" t="s">
        <v>26</v>
      </c>
      <c r="L19" s="1" t="s">
        <v>53</v>
      </c>
      <c r="M19" s="1">
        <v>1</v>
      </c>
      <c r="N19" s="2">
        <v>78.239999999999995</v>
      </c>
      <c r="O19" s="3">
        <v>96</v>
      </c>
      <c r="P19" s="1">
        <v>0</v>
      </c>
      <c r="Q19" s="1" t="s">
        <v>22</v>
      </c>
      <c r="R19" s="1" t="s">
        <v>22</v>
      </c>
      <c r="S19" s="1">
        <v>29</v>
      </c>
      <c r="T19" s="1">
        <v>1</v>
      </c>
      <c r="U19" s="1">
        <v>1</v>
      </c>
    </row>
    <row r="20" spans="1:21" x14ac:dyDescent="0.25">
      <c r="A20" s="4">
        <v>44774</v>
      </c>
      <c r="B20" s="5">
        <v>0.40825231481481483</v>
      </c>
      <c r="C20" s="1">
        <v>1281</v>
      </c>
      <c r="D20" s="1">
        <v>13002561</v>
      </c>
      <c r="E20" s="1">
        <v>13</v>
      </c>
      <c r="F20" s="1">
        <v>22589</v>
      </c>
      <c r="G20" s="1" t="s">
        <v>18</v>
      </c>
      <c r="H20" s="1">
        <v>15</v>
      </c>
      <c r="I20" s="1">
        <v>12625</v>
      </c>
      <c r="J20" s="1" t="s">
        <v>54</v>
      </c>
      <c r="K20" s="1" t="s">
        <v>55</v>
      </c>
      <c r="L20" s="1" t="s">
        <v>56</v>
      </c>
      <c r="M20" s="1">
        <v>1</v>
      </c>
      <c r="N20" s="2">
        <v>455.9</v>
      </c>
      <c r="O20" s="3">
        <v>553</v>
      </c>
      <c r="P20" s="1">
        <v>16</v>
      </c>
      <c r="Q20" s="1">
        <v>9</v>
      </c>
      <c r="R20" s="1">
        <v>200010001617</v>
      </c>
      <c r="S20" s="1">
        <v>29</v>
      </c>
      <c r="T20" s="1">
        <v>1</v>
      </c>
      <c r="U20" s="1">
        <v>1</v>
      </c>
    </row>
    <row r="21" spans="1:21" x14ac:dyDescent="0.25">
      <c r="A21" s="4">
        <v>44774</v>
      </c>
      <c r="B21" s="5">
        <v>0.41150462962962964</v>
      </c>
      <c r="C21" s="1">
        <v>1282</v>
      </c>
      <c r="D21" s="1">
        <v>13002561</v>
      </c>
      <c r="E21" s="1">
        <v>13</v>
      </c>
      <c r="F21" s="1">
        <v>22589</v>
      </c>
      <c r="G21" s="1" t="s">
        <v>18</v>
      </c>
      <c r="H21" s="1">
        <v>18</v>
      </c>
      <c r="I21" s="1">
        <v>67565</v>
      </c>
      <c r="J21" s="1" t="s">
        <v>57</v>
      </c>
      <c r="K21" s="1" t="s">
        <v>58</v>
      </c>
      <c r="L21" s="1" t="s">
        <v>59</v>
      </c>
      <c r="M21" s="1">
        <v>1</v>
      </c>
      <c r="N21" s="2">
        <v>3638.1</v>
      </c>
      <c r="O21" s="3">
        <v>4985</v>
      </c>
      <c r="P21" s="1">
        <v>498</v>
      </c>
      <c r="Q21" s="1">
        <v>9</v>
      </c>
      <c r="R21" s="1">
        <v>200010004830</v>
      </c>
      <c r="S21" s="1">
        <v>29</v>
      </c>
      <c r="T21" s="1">
        <v>1</v>
      </c>
      <c r="U21" s="1">
        <v>1</v>
      </c>
    </row>
    <row r="22" spans="1:21" x14ac:dyDescent="0.25">
      <c r="A22" s="4">
        <v>44774</v>
      </c>
      <c r="B22" s="5">
        <v>0.41150462962962964</v>
      </c>
      <c r="C22" s="1">
        <v>1282</v>
      </c>
      <c r="D22" s="1">
        <v>13002561</v>
      </c>
      <c r="E22" s="1">
        <v>13</v>
      </c>
      <c r="F22" s="1">
        <v>22589</v>
      </c>
      <c r="G22" s="1" t="s">
        <v>18</v>
      </c>
      <c r="H22" s="1">
        <v>18</v>
      </c>
      <c r="I22" s="1">
        <v>507949</v>
      </c>
      <c r="J22" s="1" t="s">
        <v>60</v>
      </c>
      <c r="K22" s="1" t="s">
        <v>61</v>
      </c>
      <c r="L22" s="1" t="s">
        <v>62</v>
      </c>
      <c r="M22" s="1">
        <v>1</v>
      </c>
      <c r="N22" s="2">
        <v>60.22</v>
      </c>
      <c r="O22" s="3">
        <v>73</v>
      </c>
      <c r="P22" s="1">
        <v>3</v>
      </c>
      <c r="Q22" s="1">
        <v>9</v>
      </c>
      <c r="R22" s="1">
        <v>200010004830</v>
      </c>
      <c r="S22" s="1">
        <v>29</v>
      </c>
      <c r="T22" s="1">
        <v>1</v>
      </c>
      <c r="U22" s="1">
        <v>2</v>
      </c>
    </row>
    <row r="23" spans="1:21" x14ac:dyDescent="0.25">
      <c r="A23" s="4">
        <v>44774</v>
      </c>
      <c r="B23" s="5">
        <v>0.41401620370370368</v>
      </c>
      <c r="C23" s="1">
        <v>1283</v>
      </c>
      <c r="D23" s="1">
        <v>13002561</v>
      </c>
      <c r="E23" s="1">
        <v>13</v>
      </c>
      <c r="F23" s="1">
        <v>22589</v>
      </c>
      <c r="G23" s="1" t="s">
        <v>18</v>
      </c>
      <c r="H23" s="1">
        <v>15</v>
      </c>
      <c r="I23" s="1">
        <v>461654</v>
      </c>
      <c r="J23" s="1" t="s">
        <v>63</v>
      </c>
      <c r="K23" s="1" t="s">
        <v>48</v>
      </c>
      <c r="L23" s="1" t="s">
        <v>64</v>
      </c>
      <c r="M23" s="1">
        <v>1</v>
      </c>
      <c r="N23" s="2">
        <v>677.2</v>
      </c>
      <c r="O23" s="3">
        <v>779</v>
      </c>
      <c r="P23" s="1">
        <v>54</v>
      </c>
      <c r="Q23" s="1">
        <v>9</v>
      </c>
      <c r="R23" s="1">
        <v>200010020913</v>
      </c>
      <c r="S23" s="1">
        <v>29</v>
      </c>
      <c r="T23" s="1">
        <v>1</v>
      </c>
      <c r="U23" s="1">
        <v>2</v>
      </c>
    </row>
    <row r="24" spans="1:21" x14ac:dyDescent="0.25">
      <c r="A24" s="4">
        <v>44774</v>
      </c>
      <c r="B24" s="5">
        <v>0.41401620370370368</v>
      </c>
      <c r="C24" s="1">
        <v>1283</v>
      </c>
      <c r="D24" s="1">
        <v>13002561</v>
      </c>
      <c r="E24" s="1">
        <v>13</v>
      </c>
      <c r="F24" s="1">
        <v>22589</v>
      </c>
      <c r="G24" s="1" t="s">
        <v>18</v>
      </c>
      <c r="H24" s="1">
        <v>15</v>
      </c>
      <c r="I24" s="1">
        <v>7697</v>
      </c>
      <c r="J24" s="1" t="s">
        <v>65</v>
      </c>
      <c r="K24" s="1" t="s">
        <v>20</v>
      </c>
      <c r="L24" s="1" t="s">
        <v>66</v>
      </c>
      <c r="M24" s="1">
        <v>1</v>
      </c>
      <c r="N24" s="2">
        <v>248.34</v>
      </c>
      <c r="O24" s="3">
        <v>302</v>
      </c>
      <c r="P24" s="1">
        <v>15</v>
      </c>
      <c r="Q24" s="1">
        <v>9</v>
      </c>
      <c r="R24" s="1">
        <v>200010020913</v>
      </c>
      <c r="S24" s="1">
        <v>29</v>
      </c>
      <c r="T24" s="1">
        <v>1</v>
      </c>
      <c r="U24" s="1">
        <v>3</v>
      </c>
    </row>
    <row r="25" spans="1:21" x14ac:dyDescent="0.25">
      <c r="A25" s="4">
        <v>44774</v>
      </c>
      <c r="B25" s="5">
        <v>0.41401620370370368</v>
      </c>
      <c r="C25" s="1">
        <v>1283</v>
      </c>
      <c r="D25" s="1">
        <v>13002561</v>
      </c>
      <c r="E25" s="1">
        <v>13</v>
      </c>
      <c r="F25" s="1">
        <v>22589</v>
      </c>
      <c r="G25" s="1" t="s">
        <v>18</v>
      </c>
      <c r="H25" s="1">
        <v>15</v>
      </c>
      <c r="I25" s="1">
        <v>340968</v>
      </c>
      <c r="J25" s="1" t="s">
        <v>67</v>
      </c>
      <c r="K25" s="1" t="s">
        <v>20</v>
      </c>
      <c r="L25" s="1" t="s">
        <v>40</v>
      </c>
      <c r="M25" s="1">
        <v>1</v>
      </c>
      <c r="N25" s="2">
        <v>403.68</v>
      </c>
      <c r="O25" s="3">
        <v>533</v>
      </c>
      <c r="P25" s="1">
        <v>37</v>
      </c>
      <c r="Q25" s="1">
        <v>9</v>
      </c>
      <c r="R25" s="1">
        <v>200010020913</v>
      </c>
      <c r="S25" s="1">
        <v>29</v>
      </c>
      <c r="T25" s="1">
        <v>1</v>
      </c>
      <c r="U25" s="1">
        <v>1</v>
      </c>
    </row>
    <row r="26" spans="1:21" x14ac:dyDescent="0.25">
      <c r="A26" s="4">
        <v>44774</v>
      </c>
      <c r="B26" s="5">
        <v>0.41548611111111111</v>
      </c>
      <c r="C26" s="1">
        <v>1284</v>
      </c>
      <c r="D26" s="1">
        <v>13002561</v>
      </c>
      <c r="E26" s="1">
        <v>13</v>
      </c>
      <c r="F26" s="1">
        <v>22589</v>
      </c>
      <c r="G26" s="1" t="s">
        <v>18</v>
      </c>
      <c r="H26" s="1">
        <v>15</v>
      </c>
      <c r="I26" s="1">
        <v>530607</v>
      </c>
      <c r="J26" s="1" t="s">
        <v>68</v>
      </c>
      <c r="K26" s="1" t="s">
        <v>55</v>
      </c>
      <c r="L26" s="1" t="s">
        <v>69</v>
      </c>
      <c r="M26" s="1">
        <v>2</v>
      </c>
      <c r="N26" s="2">
        <v>619.88</v>
      </c>
      <c r="O26" s="3">
        <v>862</v>
      </c>
      <c r="P26" s="1">
        <v>172</v>
      </c>
      <c r="Q26" s="1">
        <v>9</v>
      </c>
      <c r="R26" s="1">
        <v>200010017394</v>
      </c>
      <c r="S26" s="1">
        <v>29</v>
      </c>
      <c r="T26" s="1">
        <v>1</v>
      </c>
      <c r="U26" s="1">
        <v>1</v>
      </c>
    </row>
    <row r="27" spans="1:21" x14ac:dyDescent="0.25">
      <c r="A27" s="4">
        <v>44774</v>
      </c>
      <c r="B27" s="5">
        <v>0.41795138888888889</v>
      </c>
      <c r="C27" s="1">
        <v>1285</v>
      </c>
      <c r="D27" s="1">
        <v>13002561</v>
      </c>
      <c r="E27" s="1">
        <v>13</v>
      </c>
      <c r="F27" s="1">
        <v>22589</v>
      </c>
      <c r="G27" s="1" t="s">
        <v>18</v>
      </c>
      <c r="H27" s="1">
        <v>18</v>
      </c>
      <c r="I27" s="1">
        <v>330172</v>
      </c>
      <c r="J27" s="1" t="s">
        <v>70</v>
      </c>
      <c r="K27" s="1" t="s">
        <v>31</v>
      </c>
      <c r="L27" s="1" t="s">
        <v>71</v>
      </c>
      <c r="M27" s="1">
        <v>1</v>
      </c>
      <c r="N27" s="2">
        <v>23.98</v>
      </c>
      <c r="O27" s="3">
        <v>39</v>
      </c>
      <c r="P27" s="1">
        <v>0</v>
      </c>
      <c r="Q27" s="1" t="s">
        <v>22</v>
      </c>
      <c r="R27" s="1" t="s">
        <v>22</v>
      </c>
      <c r="S27" s="1">
        <v>29</v>
      </c>
      <c r="T27" s="1">
        <v>1</v>
      </c>
      <c r="U27" s="1">
        <v>1</v>
      </c>
    </row>
    <row r="28" spans="1:21" x14ac:dyDescent="0.25">
      <c r="A28" s="4">
        <v>44774</v>
      </c>
      <c r="B28" s="5">
        <v>0.41947916666666668</v>
      </c>
      <c r="C28" s="1">
        <v>1286</v>
      </c>
      <c r="D28" s="1">
        <v>13002561</v>
      </c>
      <c r="E28" s="1">
        <v>13</v>
      </c>
      <c r="F28" s="1">
        <v>22589</v>
      </c>
      <c r="G28" s="1" t="s">
        <v>18</v>
      </c>
      <c r="H28" s="1">
        <v>18</v>
      </c>
      <c r="I28" s="1">
        <v>393315</v>
      </c>
      <c r="J28" s="1" t="s">
        <v>72</v>
      </c>
      <c r="K28" s="1" t="s">
        <v>48</v>
      </c>
      <c r="L28" s="1" t="s">
        <v>73</v>
      </c>
      <c r="M28" s="1">
        <v>1</v>
      </c>
      <c r="N28" s="2">
        <v>16.21</v>
      </c>
      <c r="O28" s="3">
        <v>25</v>
      </c>
      <c r="P28" s="1">
        <v>0</v>
      </c>
      <c r="Q28" s="1" t="s">
        <v>22</v>
      </c>
      <c r="R28" s="1" t="s">
        <v>22</v>
      </c>
      <c r="S28" s="1">
        <v>29</v>
      </c>
      <c r="T28" s="1">
        <v>1</v>
      </c>
      <c r="U28" s="1">
        <v>1</v>
      </c>
    </row>
    <row r="29" spans="1:21" x14ac:dyDescent="0.25">
      <c r="A29" s="4">
        <v>44774</v>
      </c>
      <c r="B29" s="5">
        <v>0.41947916666666668</v>
      </c>
      <c r="C29" s="1">
        <v>1286</v>
      </c>
      <c r="D29" s="1">
        <v>13002561</v>
      </c>
      <c r="E29" s="1">
        <v>13</v>
      </c>
      <c r="F29" s="1">
        <v>22589</v>
      </c>
      <c r="G29" s="1" t="s">
        <v>18</v>
      </c>
      <c r="H29" s="1">
        <v>18</v>
      </c>
      <c r="I29" s="1">
        <v>393315</v>
      </c>
      <c r="J29" s="1" t="s">
        <v>72</v>
      </c>
      <c r="K29" s="1" t="s">
        <v>48</v>
      </c>
      <c r="L29" s="1" t="s">
        <v>73</v>
      </c>
      <c r="M29" s="1">
        <v>1</v>
      </c>
      <c r="N29" s="2">
        <v>16.21</v>
      </c>
      <c r="O29" s="3">
        <v>25</v>
      </c>
      <c r="P29" s="1">
        <v>0</v>
      </c>
      <c r="Q29" s="1" t="s">
        <v>22</v>
      </c>
      <c r="R29" s="1" t="s">
        <v>22</v>
      </c>
      <c r="S29" s="1">
        <v>29</v>
      </c>
      <c r="T29" s="1">
        <v>1</v>
      </c>
      <c r="U29" s="1">
        <v>2</v>
      </c>
    </row>
    <row r="30" spans="1:21" x14ac:dyDescent="0.25">
      <c r="A30" s="4">
        <v>44774</v>
      </c>
      <c r="B30" s="5">
        <v>0.62164351851851851</v>
      </c>
      <c r="C30" s="1">
        <v>1362</v>
      </c>
      <c r="D30" s="1">
        <v>13002561</v>
      </c>
      <c r="E30" s="1">
        <v>13</v>
      </c>
      <c r="F30" s="1">
        <v>22589</v>
      </c>
      <c r="G30" s="1" t="s">
        <v>18</v>
      </c>
      <c r="H30" s="1">
        <v>18</v>
      </c>
      <c r="I30" s="1">
        <v>393315</v>
      </c>
      <c r="J30" s="1" t="s">
        <v>72</v>
      </c>
      <c r="K30" s="1" t="s">
        <v>48</v>
      </c>
      <c r="L30" s="1" t="s">
        <v>73</v>
      </c>
      <c r="M30" s="1">
        <v>1</v>
      </c>
      <c r="N30" s="2">
        <v>16.21</v>
      </c>
      <c r="O30" s="3">
        <v>25</v>
      </c>
      <c r="P30" s="1">
        <v>0</v>
      </c>
      <c r="Q30" s="1" t="s">
        <v>22</v>
      </c>
      <c r="R30" s="1" t="s">
        <v>22</v>
      </c>
      <c r="S30" s="1">
        <v>29</v>
      </c>
      <c r="T30" s="1">
        <v>1</v>
      </c>
      <c r="U30" s="1">
        <v>3</v>
      </c>
    </row>
    <row r="31" spans="1:21" x14ac:dyDescent="0.25">
      <c r="A31" s="4">
        <v>44774</v>
      </c>
      <c r="B31" s="5">
        <v>0.42930555555555555</v>
      </c>
      <c r="C31" s="1">
        <v>1287</v>
      </c>
      <c r="D31" s="1">
        <v>13002561</v>
      </c>
      <c r="E31" s="1">
        <v>13</v>
      </c>
      <c r="F31" s="1">
        <v>22589</v>
      </c>
      <c r="G31" s="1" t="s">
        <v>18</v>
      </c>
      <c r="H31" s="1">
        <v>18</v>
      </c>
      <c r="I31" s="1">
        <v>377588</v>
      </c>
      <c r="J31" s="1" t="s">
        <v>74</v>
      </c>
      <c r="K31" s="1" t="s">
        <v>48</v>
      </c>
      <c r="L31" s="1" t="s">
        <v>75</v>
      </c>
      <c r="M31" s="1">
        <v>1</v>
      </c>
      <c r="N31" s="2">
        <v>84.17</v>
      </c>
      <c r="O31" s="3">
        <v>100</v>
      </c>
      <c r="P31" s="1">
        <v>41.09</v>
      </c>
      <c r="Q31" s="1">
        <v>925</v>
      </c>
      <c r="R31" s="1">
        <v>200000000492</v>
      </c>
      <c r="S31" s="1">
        <v>29</v>
      </c>
      <c r="T31" s="1">
        <v>1</v>
      </c>
      <c r="U31" s="1">
        <v>3</v>
      </c>
    </row>
    <row r="32" spans="1:21" x14ac:dyDescent="0.25">
      <c r="A32" s="4">
        <v>44774</v>
      </c>
      <c r="B32" s="5">
        <v>0.42930555555555555</v>
      </c>
      <c r="C32" s="1">
        <v>1287</v>
      </c>
      <c r="D32" s="1">
        <v>13002561</v>
      </c>
      <c r="E32" s="1">
        <v>13</v>
      </c>
      <c r="F32" s="1">
        <v>22589</v>
      </c>
      <c r="G32" s="1" t="s">
        <v>18</v>
      </c>
      <c r="H32" s="1">
        <v>18</v>
      </c>
      <c r="I32" s="1">
        <v>297336</v>
      </c>
      <c r="J32" s="1" t="s">
        <v>76</v>
      </c>
      <c r="K32" s="1" t="s">
        <v>31</v>
      </c>
      <c r="L32" s="1" t="s">
        <v>77</v>
      </c>
      <c r="M32" s="1">
        <v>1</v>
      </c>
      <c r="N32" s="2">
        <v>45.17</v>
      </c>
      <c r="O32" s="3">
        <v>74</v>
      </c>
      <c r="P32" s="1">
        <v>30.41</v>
      </c>
      <c r="Q32" s="1">
        <v>925</v>
      </c>
      <c r="R32" s="1">
        <v>200000000492</v>
      </c>
      <c r="S32" s="1">
        <v>29</v>
      </c>
      <c r="T32" s="1">
        <v>1</v>
      </c>
      <c r="U32" s="1">
        <v>1</v>
      </c>
    </row>
    <row r="33" spans="1:21" x14ac:dyDescent="0.25">
      <c r="A33" s="4">
        <v>44774</v>
      </c>
      <c r="B33" s="5">
        <v>0.42930555555555555</v>
      </c>
      <c r="C33" s="1">
        <v>1287</v>
      </c>
      <c r="D33" s="1">
        <v>13002561</v>
      </c>
      <c r="E33" s="1">
        <v>13</v>
      </c>
      <c r="F33" s="1">
        <v>22589</v>
      </c>
      <c r="G33" s="1" t="s">
        <v>18</v>
      </c>
      <c r="H33" s="1">
        <v>18</v>
      </c>
      <c r="I33" s="1">
        <v>2302</v>
      </c>
      <c r="J33" s="1" t="s">
        <v>78</v>
      </c>
      <c r="K33" s="1" t="s">
        <v>58</v>
      </c>
      <c r="L33" s="1" t="s">
        <v>79</v>
      </c>
      <c r="M33" s="1">
        <v>1</v>
      </c>
      <c r="N33" s="2">
        <v>148.28</v>
      </c>
      <c r="O33" s="3">
        <v>174</v>
      </c>
      <c r="P33" s="1">
        <v>71.5</v>
      </c>
      <c r="Q33" s="1">
        <v>925</v>
      </c>
      <c r="R33" s="1">
        <v>200000000492</v>
      </c>
      <c r="S33" s="1">
        <v>29</v>
      </c>
      <c r="T33" s="1">
        <v>1</v>
      </c>
      <c r="U33" s="1">
        <v>2</v>
      </c>
    </row>
    <row r="34" spans="1:21" x14ac:dyDescent="0.25">
      <c r="A34" s="4">
        <v>44774</v>
      </c>
      <c r="B34" s="5">
        <v>0.43451388888888887</v>
      </c>
      <c r="C34" s="1">
        <v>1288</v>
      </c>
      <c r="D34" s="1">
        <v>13002561</v>
      </c>
      <c r="E34" s="1">
        <v>13</v>
      </c>
      <c r="F34" s="1">
        <v>22589</v>
      </c>
      <c r="G34" s="1" t="s">
        <v>18</v>
      </c>
      <c r="H34" s="1">
        <v>15</v>
      </c>
      <c r="I34" s="1">
        <v>23396</v>
      </c>
      <c r="J34" s="1" t="s">
        <v>80</v>
      </c>
      <c r="K34" s="1" t="s">
        <v>81</v>
      </c>
      <c r="L34" s="1" t="s">
        <v>82</v>
      </c>
      <c r="M34" s="1">
        <v>2</v>
      </c>
      <c r="N34" s="2">
        <v>248.26</v>
      </c>
      <c r="O34" s="3">
        <v>336</v>
      </c>
      <c r="P34" s="1">
        <v>0</v>
      </c>
      <c r="Q34" s="1" t="s">
        <v>22</v>
      </c>
      <c r="R34" s="1" t="s">
        <v>22</v>
      </c>
      <c r="S34" s="1">
        <v>29</v>
      </c>
      <c r="T34" s="1">
        <v>1</v>
      </c>
      <c r="U34" s="1">
        <v>1</v>
      </c>
    </row>
    <row r="35" spans="1:21" x14ac:dyDescent="0.25">
      <c r="A35" s="4">
        <v>44774</v>
      </c>
      <c r="B35" s="5">
        <v>0.43633101851851852</v>
      </c>
      <c r="C35" s="1">
        <v>1289</v>
      </c>
      <c r="D35" s="1">
        <v>13002561</v>
      </c>
      <c r="E35" s="1">
        <v>13</v>
      </c>
      <c r="F35" s="1">
        <v>22589</v>
      </c>
      <c r="G35" s="1" t="s">
        <v>18</v>
      </c>
      <c r="H35" s="1">
        <v>15</v>
      </c>
      <c r="I35" s="1">
        <v>143150</v>
      </c>
      <c r="J35" s="1" t="s">
        <v>83</v>
      </c>
      <c r="K35" s="1" t="s">
        <v>58</v>
      </c>
      <c r="L35" s="1" t="s">
        <v>84</v>
      </c>
      <c r="M35" s="1">
        <v>1</v>
      </c>
      <c r="N35" s="2">
        <v>1042.25</v>
      </c>
      <c r="O35" s="3">
        <v>1314</v>
      </c>
      <c r="P35" s="1">
        <v>91</v>
      </c>
      <c r="Q35" s="1">
        <v>9</v>
      </c>
      <c r="R35" s="1">
        <v>200010000065</v>
      </c>
      <c r="S35" s="1">
        <v>29</v>
      </c>
      <c r="T35" s="1">
        <v>1</v>
      </c>
      <c r="U35" s="1">
        <v>1</v>
      </c>
    </row>
    <row r="36" spans="1:21" x14ac:dyDescent="0.25">
      <c r="A36" s="4">
        <v>44774</v>
      </c>
      <c r="B36" s="5">
        <v>0.43633101851851852</v>
      </c>
      <c r="C36" s="1">
        <v>1289</v>
      </c>
      <c r="D36" s="1">
        <v>13002561</v>
      </c>
      <c r="E36" s="1">
        <v>13</v>
      </c>
      <c r="F36" s="1">
        <v>22589</v>
      </c>
      <c r="G36" s="1" t="s">
        <v>18</v>
      </c>
      <c r="H36" s="1">
        <v>15</v>
      </c>
      <c r="I36" s="1">
        <v>263189</v>
      </c>
      <c r="J36" s="1" t="s">
        <v>85</v>
      </c>
      <c r="K36" s="1" t="s">
        <v>48</v>
      </c>
      <c r="L36" s="1" t="s">
        <v>86</v>
      </c>
      <c r="M36" s="1">
        <v>1</v>
      </c>
      <c r="N36" s="2">
        <v>1576.65</v>
      </c>
      <c r="O36" s="3">
        <v>1971</v>
      </c>
      <c r="P36" s="1">
        <v>137</v>
      </c>
      <c r="Q36" s="1">
        <v>9</v>
      </c>
      <c r="R36" s="1">
        <v>200010000065</v>
      </c>
      <c r="S36" s="1">
        <v>29</v>
      </c>
      <c r="T36" s="1">
        <v>1</v>
      </c>
      <c r="U36" s="1">
        <v>5</v>
      </c>
    </row>
    <row r="37" spans="1:21" x14ac:dyDescent="0.25">
      <c r="A37" s="4">
        <v>44774</v>
      </c>
      <c r="B37" s="5">
        <v>0.43633101851851852</v>
      </c>
      <c r="C37" s="1">
        <v>1289</v>
      </c>
      <c r="D37" s="1">
        <v>13002561</v>
      </c>
      <c r="E37" s="1">
        <v>13</v>
      </c>
      <c r="F37" s="1">
        <v>22589</v>
      </c>
      <c r="G37" s="1" t="s">
        <v>18</v>
      </c>
      <c r="H37" s="1">
        <v>15</v>
      </c>
      <c r="I37" s="1">
        <v>519407</v>
      </c>
      <c r="J37" s="1" t="s">
        <v>87</v>
      </c>
      <c r="K37" s="1" t="s">
        <v>48</v>
      </c>
      <c r="L37" s="1" t="s">
        <v>88</v>
      </c>
      <c r="M37" s="1">
        <v>1</v>
      </c>
      <c r="N37" s="2">
        <v>34.25</v>
      </c>
      <c r="O37" s="3">
        <v>53</v>
      </c>
      <c r="P37" s="1">
        <v>3</v>
      </c>
      <c r="Q37" s="1">
        <v>9</v>
      </c>
      <c r="R37" s="1">
        <v>200010000065</v>
      </c>
      <c r="S37" s="1">
        <v>29</v>
      </c>
      <c r="T37" s="1">
        <v>1</v>
      </c>
      <c r="U37" s="1">
        <v>2</v>
      </c>
    </row>
    <row r="38" spans="1:21" x14ac:dyDescent="0.25">
      <c r="A38" s="4">
        <v>44774</v>
      </c>
      <c r="B38" s="5">
        <v>0.43633101851851852</v>
      </c>
      <c r="C38" s="1">
        <v>1289</v>
      </c>
      <c r="D38" s="1">
        <v>13002561</v>
      </c>
      <c r="E38" s="1">
        <v>13</v>
      </c>
      <c r="F38" s="1">
        <v>22589</v>
      </c>
      <c r="G38" s="1" t="s">
        <v>18</v>
      </c>
      <c r="H38" s="1">
        <v>15</v>
      </c>
      <c r="I38" s="1">
        <v>345211</v>
      </c>
      <c r="J38" s="1" t="s">
        <v>89</v>
      </c>
      <c r="K38" s="1" t="s">
        <v>26</v>
      </c>
      <c r="L38" s="1" t="s">
        <v>90</v>
      </c>
      <c r="M38" s="1">
        <v>1</v>
      </c>
      <c r="N38" s="2">
        <v>25.28</v>
      </c>
      <c r="O38" s="3">
        <v>30</v>
      </c>
      <c r="P38" s="1">
        <v>1</v>
      </c>
      <c r="Q38" s="1">
        <v>9</v>
      </c>
      <c r="R38" s="1">
        <v>200010000065</v>
      </c>
      <c r="S38" s="1">
        <v>29</v>
      </c>
      <c r="T38" s="1">
        <v>1</v>
      </c>
      <c r="U38" s="1">
        <v>3</v>
      </c>
    </row>
    <row r="39" spans="1:21" x14ac:dyDescent="0.25">
      <c r="A39" s="4">
        <v>44774</v>
      </c>
      <c r="B39" s="5">
        <v>0.47800925925925924</v>
      </c>
      <c r="C39" s="1">
        <v>1307</v>
      </c>
      <c r="D39" s="1">
        <v>13002561</v>
      </c>
      <c r="E39" s="1">
        <v>13</v>
      </c>
      <c r="F39" s="1">
        <v>22589</v>
      </c>
      <c r="G39" s="1" t="s">
        <v>18</v>
      </c>
      <c r="H39" s="1">
        <v>18</v>
      </c>
      <c r="I39" s="1">
        <v>345211</v>
      </c>
      <c r="J39" s="1" t="s">
        <v>89</v>
      </c>
      <c r="K39" s="1" t="s">
        <v>26</v>
      </c>
      <c r="L39" s="1" t="s">
        <v>90</v>
      </c>
      <c r="M39" s="1">
        <v>1</v>
      </c>
      <c r="N39" s="2">
        <v>25.28</v>
      </c>
      <c r="O39" s="3">
        <v>30</v>
      </c>
      <c r="P39" s="1">
        <v>1</v>
      </c>
      <c r="Q39" s="1">
        <v>9</v>
      </c>
      <c r="R39" s="1">
        <v>200010000452</v>
      </c>
      <c r="S39" s="1">
        <v>29</v>
      </c>
      <c r="T39" s="1">
        <v>1</v>
      </c>
      <c r="U39" s="1">
        <v>1</v>
      </c>
    </row>
    <row r="40" spans="1:21" x14ac:dyDescent="0.25">
      <c r="A40" s="4">
        <v>44774</v>
      </c>
      <c r="B40" s="5">
        <v>0.50565972222222222</v>
      </c>
      <c r="C40" s="1">
        <v>1319</v>
      </c>
      <c r="D40" s="1">
        <v>13002561</v>
      </c>
      <c r="E40" s="1">
        <v>13</v>
      </c>
      <c r="F40" s="1">
        <v>22589</v>
      </c>
      <c r="G40" s="1" t="s">
        <v>18</v>
      </c>
      <c r="H40" s="1">
        <v>18</v>
      </c>
      <c r="I40" s="1">
        <v>345211</v>
      </c>
      <c r="J40" s="1" t="s">
        <v>89</v>
      </c>
      <c r="K40" s="1" t="s">
        <v>26</v>
      </c>
      <c r="L40" s="1" t="s">
        <v>90</v>
      </c>
      <c r="M40" s="1">
        <v>1</v>
      </c>
      <c r="N40" s="2">
        <v>25.28</v>
      </c>
      <c r="O40" s="3">
        <v>30</v>
      </c>
      <c r="P40" s="1">
        <v>1</v>
      </c>
      <c r="Q40" s="1">
        <v>9</v>
      </c>
      <c r="R40" s="1">
        <v>200010015482</v>
      </c>
      <c r="S40" s="1">
        <v>29</v>
      </c>
      <c r="T40" s="1">
        <v>1</v>
      </c>
      <c r="U40" s="1">
        <v>3</v>
      </c>
    </row>
    <row r="41" spans="1:21" x14ac:dyDescent="0.25">
      <c r="A41" s="4">
        <v>44774</v>
      </c>
      <c r="B41" s="5">
        <v>0.43633101851851852</v>
      </c>
      <c r="C41" s="1">
        <v>1289</v>
      </c>
      <c r="D41" s="1">
        <v>13002561</v>
      </c>
      <c r="E41" s="1">
        <v>13</v>
      </c>
      <c r="F41" s="1">
        <v>22589</v>
      </c>
      <c r="G41" s="1" t="s">
        <v>18</v>
      </c>
      <c r="H41" s="1">
        <v>15</v>
      </c>
      <c r="I41" s="1">
        <v>1504015</v>
      </c>
      <c r="J41" s="1" t="s">
        <v>91</v>
      </c>
      <c r="K41" s="1" t="s">
        <v>92</v>
      </c>
      <c r="L41" s="1" t="s">
        <v>90</v>
      </c>
      <c r="M41" s="1">
        <v>1</v>
      </c>
      <c r="N41" s="2">
        <v>1.1499999999999999</v>
      </c>
      <c r="O41" s="3">
        <v>2</v>
      </c>
      <c r="P41" s="1">
        <v>0</v>
      </c>
      <c r="Q41" s="1" t="s">
        <v>22</v>
      </c>
      <c r="R41" s="1" t="s">
        <v>22</v>
      </c>
      <c r="S41" s="1">
        <v>29</v>
      </c>
      <c r="T41" s="1">
        <v>1</v>
      </c>
      <c r="U41" s="1">
        <v>4</v>
      </c>
    </row>
    <row r="42" spans="1:21" x14ac:dyDescent="0.25">
      <c r="A42" s="4">
        <v>44774</v>
      </c>
      <c r="B42" s="5">
        <v>0.43896990740740743</v>
      </c>
      <c r="C42" s="1">
        <v>1290</v>
      </c>
      <c r="D42" s="1">
        <v>13002561</v>
      </c>
      <c r="E42" s="1">
        <v>13</v>
      </c>
      <c r="F42" s="1">
        <v>22589</v>
      </c>
      <c r="G42" s="1" t="s">
        <v>18</v>
      </c>
      <c r="H42" s="1">
        <v>15</v>
      </c>
      <c r="I42" s="1">
        <v>1504015</v>
      </c>
      <c r="J42" s="1" t="s">
        <v>91</v>
      </c>
      <c r="K42" s="1" t="s">
        <v>92</v>
      </c>
      <c r="L42" s="1" t="s">
        <v>90</v>
      </c>
      <c r="M42" s="1">
        <v>1</v>
      </c>
      <c r="N42" s="2">
        <v>1.1499999999999999</v>
      </c>
      <c r="O42" s="3">
        <v>2</v>
      </c>
      <c r="P42" s="1">
        <v>0</v>
      </c>
      <c r="Q42" s="1" t="s">
        <v>22</v>
      </c>
      <c r="R42" s="1" t="s">
        <v>22</v>
      </c>
      <c r="S42" s="1">
        <v>29</v>
      </c>
      <c r="T42" s="1">
        <v>1</v>
      </c>
      <c r="U42" s="1">
        <v>4</v>
      </c>
    </row>
    <row r="43" spans="1:21" x14ac:dyDescent="0.25">
      <c r="A43" s="4">
        <v>44774</v>
      </c>
      <c r="B43" s="5">
        <v>0.44123842592592594</v>
      </c>
      <c r="C43" s="1">
        <v>1292</v>
      </c>
      <c r="D43" s="1">
        <v>13002561</v>
      </c>
      <c r="E43" s="1">
        <v>13</v>
      </c>
      <c r="F43" s="1">
        <v>22589</v>
      </c>
      <c r="G43" s="1" t="s">
        <v>18</v>
      </c>
      <c r="H43" s="1">
        <v>18</v>
      </c>
      <c r="I43" s="1">
        <v>1504015</v>
      </c>
      <c r="J43" s="1" t="s">
        <v>91</v>
      </c>
      <c r="K43" s="1" t="s">
        <v>92</v>
      </c>
      <c r="L43" s="1" t="s">
        <v>90</v>
      </c>
      <c r="M43" s="1">
        <v>1</v>
      </c>
      <c r="N43" s="2">
        <v>1.1499999999999999</v>
      </c>
      <c r="O43" s="3">
        <v>2</v>
      </c>
      <c r="P43" s="1">
        <v>0</v>
      </c>
      <c r="Q43" s="1" t="s">
        <v>22</v>
      </c>
      <c r="R43" s="1" t="s">
        <v>22</v>
      </c>
      <c r="S43" s="1">
        <v>29</v>
      </c>
      <c r="T43" s="1">
        <v>1</v>
      </c>
      <c r="U43" s="1">
        <v>3</v>
      </c>
    </row>
    <row r="44" spans="1:21" x14ac:dyDescent="0.25">
      <c r="A44" s="4">
        <v>44774</v>
      </c>
      <c r="B44" s="5">
        <v>0.44861111111111113</v>
      </c>
      <c r="C44" s="1">
        <v>1297</v>
      </c>
      <c r="D44" s="1">
        <v>13002561</v>
      </c>
      <c r="E44" s="1">
        <v>13</v>
      </c>
      <c r="F44" s="1">
        <v>22589</v>
      </c>
      <c r="G44" s="1" t="s">
        <v>18</v>
      </c>
      <c r="H44" s="1">
        <v>15</v>
      </c>
      <c r="I44" s="1">
        <v>1504015</v>
      </c>
      <c r="J44" s="1" t="s">
        <v>91</v>
      </c>
      <c r="K44" s="1" t="s">
        <v>92</v>
      </c>
      <c r="L44" s="1" t="s">
        <v>90</v>
      </c>
      <c r="M44" s="1">
        <v>1</v>
      </c>
      <c r="N44" s="2">
        <v>1.1499999999999999</v>
      </c>
      <c r="O44" s="3">
        <v>2</v>
      </c>
      <c r="P44" s="1">
        <v>0</v>
      </c>
      <c r="Q44" s="1" t="s">
        <v>22</v>
      </c>
      <c r="R44" s="1" t="s">
        <v>22</v>
      </c>
      <c r="S44" s="1">
        <v>29</v>
      </c>
      <c r="T44" s="1">
        <v>1</v>
      </c>
      <c r="U44" s="1">
        <v>4</v>
      </c>
    </row>
    <row r="45" spans="1:21" x14ac:dyDescent="0.25">
      <c r="A45" s="4">
        <v>44774</v>
      </c>
      <c r="B45" s="5">
        <v>0.45111111111111113</v>
      </c>
      <c r="C45" s="1">
        <v>1298</v>
      </c>
      <c r="D45" s="1">
        <v>13002561</v>
      </c>
      <c r="E45" s="1">
        <v>13</v>
      </c>
      <c r="F45" s="1">
        <v>22589</v>
      </c>
      <c r="G45" s="1" t="s">
        <v>18</v>
      </c>
      <c r="H45" s="1">
        <v>18</v>
      </c>
      <c r="I45" s="1">
        <v>1504015</v>
      </c>
      <c r="J45" s="1" t="s">
        <v>91</v>
      </c>
      <c r="K45" s="1" t="s">
        <v>92</v>
      </c>
      <c r="L45" s="1" t="s">
        <v>90</v>
      </c>
      <c r="M45" s="1">
        <v>1</v>
      </c>
      <c r="N45" s="2">
        <v>1.1499999999999999</v>
      </c>
      <c r="O45" s="3">
        <v>2</v>
      </c>
      <c r="P45" s="1">
        <v>0</v>
      </c>
      <c r="Q45" s="1" t="s">
        <v>22</v>
      </c>
      <c r="R45" s="1" t="s">
        <v>22</v>
      </c>
      <c r="S45" s="1">
        <v>29</v>
      </c>
      <c r="T45" s="1">
        <v>1</v>
      </c>
      <c r="U45" s="1">
        <v>4</v>
      </c>
    </row>
    <row r="46" spans="1:21" x14ac:dyDescent="0.25">
      <c r="A46" s="4">
        <v>44774</v>
      </c>
      <c r="B46" s="5">
        <v>0.51331018518518523</v>
      </c>
      <c r="C46" s="1">
        <v>1324</v>
      </c>
      <c r="D46" s="1">
        <v>13002561</v>
      </c>
      <c r="E46" s="1">
        <v>13</v>
      </c>
      <c r="F46" s="1">
        <v>22589</v>
      </c>
      <c r="G46" s="1" t="s">
        <v>18</v>
      </c>
      <c r="H46" s="1">
        <v>15</v>
      </c>
      <c r="I46" s="1">
        <v>1504015</v>
      </c>
      <c r="J46" s="1" t="s">
        <v>91</v>
      </c>
      <c r="K46" s="1" t="s">
        <v>92</v>
      </c>
      <c r="L46" s="1" t="s">
        <v>90</v>
      </c>
      <c r="M46" s="1">
        <v>1</v>
      </c>
      <c r="N46" s="2">
        <v>1.1499999999999999</v>
      </c>
      <c r="O46" s="3">
        <v>2</v>
      </c>
      <c r="P46" s="1">
        <v>0</v>
      </c>
      <c r="Q46" s="1" t="s">
        <v>22</v>
      </c>
      <c r="R46" s="1" t="s">
        <v>22</v>
      </c>
      <c r="S46" s="1">
        <v>29</v>
      </c>
      <c r="T46" s="1">
        <v>1</v>
      </c>
      <c r="U46" s="1">
        <v>2</v>
      </c>
    </row>
    <row r="47" spans="1:21" x14ac:dyDescent="0.25">
      <c r="A47" s="4">
        <v>44774</v>
      </c>
      <c r="B47" s="5">
        <v>0.52379629629629632</v>
      </c>
      <c r="C47" s="1">
        <v>1327</v>
      </c>
      <c r="D47" s="1">
        <v>13002561</v>
      </c>
      <c r="E47" s="1">
        <v>13</v>
      </c>
      <c r="F47" s="1">
        <v>22589</v>
      </c>
      <c r="G47" s="1" t="s">
        <v>18</v>
      </c>
      <c r="H47" s="1">
        <v>18</v>
      </c>
      <c r="I47" s="1">
        <v>1504015</v>
      </c>
      <c r="J47" s="1" t="s">
        <v>91</v>
      </c>
      <c r="K47" s="1" t="s">
        <v>92</v>
      </c>
      <c r="L47" s="1" t="s">
        <v>90</v>
      </c>
      <c r="M47" s="1">
        <v>1</v>
      </c>
      <c r="N47" s="2">
        <v>1.1499999999999999</v>
      </c>
      <c r="O47" s="3">
        <v>2</v>
      </c>
      <c r="P47" s="1">
        <v>0</v>
      </c>
      <c r="Q47" s="1" t="s">
        <v>22</v>
      </c>
      <c r="R47" s="1" t="s">
        <v>22</v>
      </c>
      <c r="S47" s="1">
        <v>29</v>
      </c>
      <c r="T47" s="1">
        <v>1</v>
      </c>
      <c r="U47" s="1">
        <v>4</v>
      </c>
    </row>
    <row r="48" spans="1:21" x14ac:dyDescent="0.25">
      <c r="A48" s="4">
        <v>44774</v>
      </c>
      <c r="B48" s="5">
        <v>0.64307870370370368</v>
      </c>
      <c r="C48" s="1">
        <v>1367</v>
      </c>
      <c r="D48" s="1">
        <v>13002561</v>
      </c>
      <c r="E48" s="1">
        <v>13</v>
      </c>
      <c r="F48" s="1">
        <v>22589</v>
      </c>
      <c r="G48" s="1" t="s">
        <v>18</v>
      </c>
      <c r="H48" s="1">
        <v>18</v>
      </c>
      <c r="I48" s="1">
        <v>1504015</v>
      </c>
      <c r="J48" s="1" t="s">
        <v>91</v>
      </c>
      <c r="K48" s="1" t="s">
        <v>92</v>
      </c>
      <c r="L48" s="1" t="s">
        <v>90</v>
      </c>
      <c r="M48" s="1">
        <v>1</v>
      </c>
      <c r="N48" s="2">
        <v>1.1499999999999999</v>
      </c>
      <c r="O48" s="3">
        <v>2</v>
      </c>
      <c r="P48" s="1">
        <v>0</v>
      </c>
      <c r="Q48" s="1" t="s">
        <v>22</v>
      </c>
      <c r="R48" s="1" t="s">
        <v>22</v>
      </c>
      <c r="S48" s="1">
        <v>29</v>
      </c>
      <c r="T48" s="1">
        <v>1</v>
      </c>
      <c r="U48" s="1">
        <v>3</v>
      </c>
    </row>
    <row r="49" spans="1:21" x14ac:dyDescent="0.25">
      <c r="A49" s="4">
        <v>44774</v>
      </c>
      <c r="B49" s="5">
        <v>0.70020833333333332</v>
      </c>
      <c r="C49" s="1">
        <v>1380</v>
      </c>
      <c r="D49" s="1">
        <v>13002561</v>
      </c>
      <c r="E49" s="1">
        <v>13</v>
      </c>
      <c r="F49" s="1">
        <v>22589</v>
      </c>
      <c r="G49" s="1" t="s">
        <v>18</v>
      </c>
      <c r="H49" s="1">
        <v>18</v>
      </c>
      <c r="I49" s="1">
        <v>1504015</v>
      </c>
      <c r="J49" s="1" t="s">
        <v>91</v>
      </c>
      <c r="K49" s="1" t="s">
        <v>92</v>
      </c>
      <c r="L49" s="1" t="s">
        <v>90</v>
      </c>
      <c r="M49" s="1">
        <v>1</v>
      </c>
      <c r="N49" s="2">
        <v>1.1499999999999999</v>
      </c>
      <c r="O49" s="3">
        <v>2</v>
      </c>
      <c r="P49" s="1">
        <v>0</v>
      </c>
      <c r="Q49" s="1" t="s">
        <v>22</v>
      </c>
      <c r="R49" s="1" t="s">
        <v>22</v>
      </c>
      <c r="S49" s="1">
        <v>29</v>
      </c>
      <c r="T49" s="1">
        <v>1</v>
      </c>
      <c r="U49" s="1">
        <v>5</v>
      </c>
    </row>
    <row r="50" spans="1:21" x14ac:dyDescent="0.25">
      <c r="A50" s="4">
        <v>44774</v>
      </c>
      <c r="B50" s="5">
        <v>0.78233796296296299</v>
      </c>
      <c r="C50" s="1">
        <v>1402</v>
      </c>
      <c r="D50" s="1">
        <v>13002561</v>
      </c>
      <c r="E50" s="1">
        <v>13</v>
      </c>
      <c r="F50" s="1">
        <v>22589</v>
      </c>
      <c r="G50" s="1" t="s">
        <v>18</v>
      </c>
      <c r="H50" s="1">
        <v>18</v>
      </c>
      <c r="I50" s="1">
        <v>1504015</v>
      </c>
      <c r="J50" s="1" t="s">
        <v>91</v>
      </c>
      <c r="K50" s="1" t="s">
        <v>92</v>
      </c>
      <c r="L50" s="1" t="s">
        <v>90</v>
      </c>
      <c r="M50" s="1">
        <v>1</v>
      </c>
      <c r="N50" s="2">
        <v>1.1499999999999999</v>
      </c>
      <c r="O50" s="3">
        <v>2</v>
      </c>
      <c r="P50" s="1">
        <v>0</v>
      </c>
      <c r="Q50" s="1" t="s">
        <v>22</v>
      </c>
      <c r="R50" s="1" t="s">
        <v>22</v>
      </c>
      <c r="S50" s="1">
        <v>29</v>
      </c>
      <c r="T50" s="1">
        <v>1</v>
      </c>
      <c r="U50" s="1">
        <v>5</v>
      </c>
    </row>
    <row r="51" spans="1:21" x14ac:dyDescent="0.25">
      <c r="A51" s="4">
        <v>44774</v>
      </c>
      <c r="B51" s="5">
        <v>0.43896990740740743</v>
      </c>
      <c r="C51" s="1">
        <v>1290</v>
      </c>
      <c r="D51" s="1">
        <v>13002561</v>
      </c>
      <c r="E51" s="1">
        <v>13</v>
      </c>
      <c r="F51" s="1">
        <v>22589</v>
      </c>
      <c r="G51" s="1" t="s">
        <v>18</v>
      </c>
      <c r="H51" s="1">
        <v>15</v>
      </c>
      <c r="I51" s="1">
        <v>497302</v>
      </c>
      <c r="J51" s="1" t="s">
        <v>93</v>
      </c>
      <c r="K51" s="1" t="s">
        <v>48</v>
      </c>
      <c r="L51" s="1" t="s">
        <v>94</v>
      </c>
      <c r="M51" s="1">
        <v>2</v>
      </c>
      <c r="N51" s="2">
        <v>9.7899999999999991</v>
      </c>
      <c r="O51" s="3">
        <v>16</v>
      </c>
      <c r="P51" s="1">
        <v>3</v>
      </c>
      <c r="Q51" s="1">
        <v>9</v>
      </c>
      <c r="R51" s="1">
        <v>200010000065</v>
      </c>
      <c r="S51" s="1">
        <v>29</v>
      </c>
      <c r="T51" s="1">
        <v>1</v>
      </c>
      <c r="U51" s="1">
        <v>6</v>
      </c>
    </row>
    <row r="52" spans="1:21" x14ac:dyDescent="0.25">
      <c r="A52" s="4">
        <v>44774</v>
      </c>
      <c r="B52" s="5">
        <v>0.43896990740740743</v>
      </c>
      <c r="C52" s="1">
        <v>1290</v>
      </c>
      <c r="D52" s="1">
        <v>13002561</v>
      </c>
      <c r="E52" s="1">
        <v>13</v>
      </c>
      <c r="F52" s="1">
        <v>22589</v>
      </c>
      <c r="G52" s="1" t="s">
        <v>18</v>
      </c>
      <c r="H52" s="1">
        <v>15</v>
      </c>
      <c r="I52" s="1">
        <v>278599</v>
      </c>
      <c r="J52" s="1" t="s">
        <v>95</v>
      </c>
      <c r="K52" s="1" t="s">
        <v>20</v>
      </c>
      <c r="L52" s="1" t="s">
        <v>96</v>
      </c>
      <c r="M52" s="1">
        <v>2</v>
      </c>
      <c r="N52" s="2">
        <v>30.62</v>
      </c>
      <c r="O52" s="3">
        <v>50</v>
      </c>
      <c r="P52" s="1">
        <v>10</v>
      </c>
      <c r="Q52" s="1">
        <v>9</v>
      </c>
      <c r="R52" s="1">
        <v>200010000065</v>
      </c>
      <c r="S52" s="1">
        <v>29</v>
      </c>
      <c r="T52" s="1">
        <v>1</v>
      </c>
      <c r="U52" s="1">
        <v>8</v>
      </c>
    </row>
    <row r="53" spans="1:21" x14ac:dyDescent="0.25">
      <c r="A53" s="4">
        <v>44774</v>
      </c>
      <c r="B53" s="5">
        <v>0.43896990740740743</v>
      </c>
      <c r="C53" s="1">
        <v>1290</v>
      </c>
      <c r="D53" s="1">
        <v>13002561</v>
      </c>
      <c r="E53" s="1">
        <v>13</v>
      </c>
      <c r="F53" s="1">
        <v>22589</v>
      </c>
      <c r="G53" s="1" t="s">
        <v>18</v>
      </c>
      <c r="H53" s="1">
        <v>15</v>
      </c>
      <c r="I53" s="1">
        <v>50279</v>
      </c>
      <c r="J53" s="1" t="s">
        <v>97</v>
      </c>
      <c r="K53" s="1" t="s">
        <v>48</v>
      </c>
      <c r="L53" s="1" t="s">
        <v>96</v>
      </c>
      <c r="M53" s="1">
        <v>1</v>
      </c>
      <c r="N53" s="2">
        <v>45.13</v>
      </c>
      <c r="O53" s="3">
        <v>74</v>
      </c>
      <c r="P53" s="1">
        <v>7</v>
      </c>
      <c r="Q53" s="1">
        <v>9</v>
      </c>
      <c r="R53" s="1">
        <v>200010000065</v>
      </c>
      <c r="S53" s="1">
        <v>29</v>
      </c>
      <c r="T53" s="1">
        <v>1</v>
      </c>
      <c r="U53" s="1">
        <v>1</v>
      </c>
    </row>
    <row r="54" spans="1:21" x14ac:dyDescent="0.25">
      <c r="A54" s="4">
        <v>44774</v>
      </c>
      <c r="B54" s="5">
        <v>0.43896990740740743</v>
      </c>
      <c r="C54" s="1">
        <v>1290</v>
      </c>
      <c r="D54" s="1">
        <v>13002561</v>
      </c>
      <c r="E54" s="1">
        <v>13</v>
      </c>
      <c r="F54" s="1">
        <v>22589</v>
      </c>
      <c r="G54" s="1" t="s">
        <v>18</v>
      </c>
      <c r="H54" s="1">
        <v>15</v>
      </c>
      <c r="I54" s="1">
        <v>142036</v>
      </c>
      <c r="J54" s="1" t="s">
        <v>98</v>
      </c>
      <c r="K54" s="1" t="s">
        <v>20</v>
      </c>
      <c r="L54" s="1" t="s">
        <v>73</v>
      </c>
      <c r="M54" s="1">
        <v>1</v>
      </c>
      <c r="N54" s="2">
        <v>187.36</v>
      </c>
      <c r="O54" s="3">
        <v>220</v>
      </c>
      <c r="P54" s="1">
        <v>15</v>
      </c>
      <c r="Q54" s="1">
        <v>9</v>
      </c>
      <c r="R54" s="1">
        <v>200010000065</v>
      </c>
      <c r="S54" s="1">
        <v>29</v>
      </c>
      <c r="T54" s="1">
        <v>1</v>
      </c>
      <c r="U54" s="1">
        <v>5</v>
      </c>
    </row>
    <row r="55" spans="1:21" x14ac:dyDescent="0.25">
      <c r="A55" s="4">
        <v>44774</v>
      </c>
      <c r="B55" s="5">
        <v>0.52601851851851855</v>
      </c>
      <c r="C55" s="1">
        <v>1328</v>
      </c>
      <c r="D55" s="1">
        <v>13002561</v>
      </c>
      <c r="E55" s="1">
        <v>13</v>
      </c>
      <c r="F55" s="1">
        <v>22589</v>
      </c>
      <c r="G55" s="1" t="s">
        <v>18</v>
      </c>
      <c r="H55" s="1">
        <v>15</v>
      </c>
      <c r="I55" s="1">
        <v>142036</v>
      </c>
      <c r="J55" s="1" t="s">
        <v>98</v>
      </c>
      <c r="K55" s="1" t="s">
        <v>20</v>
      </c>
      <c r="L55" s="1" t="s">
        <v>73</v>
      </c>
      <c r="M55" s="1">
        <v>1</v>
      </c>
      <c r="N55" s="2">
        <v>187.36</v>
      </c>
      <c r="O55" s="3">
        <v>220</v>
      </c>
      <c r="P55" s="1">
        <v>0</v>
      </c>
      <c r="Q55" s="1" t="s">
        <v>22</v>
      </c>
      <c r="R55" s="1" t="s">
        <v>22</v>
      </c>
      <c r="S55" s="1">
        <v>29</v>
      </c>
      <c r="T55" s="1">
        <v>1</v>
      </c>
      <c r="U55" s="1">
        <v>4</v>
      </c>
    </row>
    <row r="56" spans="1:21" x14ac:dyDescent="0.25">
      <c r="A56" s="4">
        <v>44774</v>
      </c>
      <c r="B56" s="5">
        <v>0.43896990740740743</v>
      </c>
      <c r="C56" s="1">
        <v>1290</v>
      </c>
      <c r="D56" s="1">
        <v>13002561</v>
      </c>
      <c r="E56" s="1">
        <v>13</v>
      </c>
      <c r="F56" s="1">
        <v>22589</v>
      </c>
      <c r="G56" s="1" t="s">
        <v>18</v>
      </c>
      <c r="H56" s="1">
        <v>15</v>
      </c>
      <c r="I56" s="1">
        <v>523194</v>
      </c>
      <c r="J56" s="1" t="s">
        <v>99</v>
      </c>
      <c r="K56" s="1" t="s">
        <v>26</v>
      </c>
      <c r="L56" s="1" t="s">
        <v>32</v>
      </c>
      <c r="M56" s="1">
        <v>1</v>
      </c>
      <c r="N56" s="2">
        <v>320.39</v>
      </c>
      <c r="O56" s="3">
        <v>423</v>
      </c>
      <c r="P56" s="1">
        <v>29</v>
      </c>
      <c r="Q56" s="1">
        <v>9</v>
      </c>
      <c r="R56" s="1">
        <v>200010000065</v>
      </c>
      <c r="S56" s="1">
        <v>29</v>
      </c>
      <c r="T56" s="1">
        <v>1</v>
      </c>
      <c r="U56" s="1">
        <v>3</v>
      </c>
    </row>
    <row r="57" spans="1:21" x14ac:dyDescent="0.25">
      <c r="A57" s="4">
        <v>44774</v>
      </c>
      <c r="B57" s="5">
        <v>0.43896990740740743</v>
      </c>
      <c r="C57" s="1">
        <v>1290</v>
      </c>
      <c r="D57" s="1">
        <v>13002561</v>
      </c>
      <c r="E57" s="1">
        <v>13</v>
      </c>
      <c r="F57" s="1">
        <v>22589</v>
      </c>
      <c r="G57" s="1" t="s">
        <v>18</v>
      </c>
      <c r="H57" s="1">
        <v>15</v>
      </c>
      <c r="I57" s="1">
        <v>460183</v>
      </c>
      <c r="J57" s="1" t="s">
        <v>100</v>
      </c>
      <c r="K57" s="1" t="s">
        <v>42</v>
      </c>
      <c r="L57" s="1" t="s">
        <v>101</v>
      </c>
      <c r="M57" s="1">
        <v>1</v>
      </c>
      <c r="N57" s="2">
        <v>64.709999999999994</v>
      </c>
      <c r="O57" s="3">
        <v>102</v>
      </c>
      <c r="P57" s="1">
        <v>10</v>
      </c>
      <c r="Q57" s="1">
        <v>9</v>
      </c>
      <c r="R57" s="1">
        <v>200010000065</v>
      </c>
      <c r="S57" s="1">
        <v>29</v>
      </c>
      <c r="T57" s="1">
        <v>1</v>
      </c>
      <c r="U57" s="1">
        <v>2</v>
      </c>
    </row>
    <row r="58" spans="1:21" x14ac:dyDescent="0.25">
      <c r="A58" s="4">
        <v>44774</v>
      </c>
      <c r="B58" s="5">
        <v>0.43896990740740743</v>
      </c>
      <c r="C58" s="1">
        <v>1290</v>
      </c>
      <c r="D58" s="1">
        <v>13002561</v>
      </c>
      <c r="E58" s="1">
        <v>13</v>
      </c>
      <c r="F58" s="1">
        <v>22589</v>
      </c>
      <c r="G58" s="1" t="s">
        <v>18</v>
      </c>
      <c r="H58" s="1">
        <v>15</v>
      </c>
      <c r="I58" s="1">
        <v>168795</v>
      </c>
      <c r="J58" s="1" t="s">
        <v>102</v>
      </c>
      <c r="K58" s="1" t="s">
        <v>48</v>
      </c>
      <c r="L58" s="1" t="s">
        <v>103</v>
      </c>
      <c r="M58" s="1">
        <v>1</v>
      </c>
      <c r="N58" s="2">
        <v>73.77</v>
      </c>
      <c r="O58" s="3">
        <v>122</v>
      </c>
      <c r="P58" s="1">
        <v>12</v>
      </c>
      <c r="Q58" s="1">
        <v>9</v>
      </c>
      <c r="R58" s="1">
        <v>200010000065</v>
      </c>
      <c r="S58" s="1">
        <v>29</v>
      </c>
      <c r="T58" s="1">
        <v>1</v>
      </c>
      <c r="U58" s="1">
        <v>7</v>
      </c>
    </row>
    <row r="59" spans="1:21" x14ac:dyDescent="0.25">
      <c r="A59" s="4">
        <v>44774</v>
      </c>
      <c r="B59" s="5">
        <v>0.43967592592592591</v>
      </c>
      <c r="C59" s="1">
        <v>1291</v>
      </c>
      <c r="D59" s="1">
        <v>13002561</v>
      </c>
      <c r="E59" s="1">
        <v>13</v>
      </c>
      <c r="F59" s="1">
        <v>22589</v>
      </c>
      <c r="G59" s="1" t="s">
        <v>18</v>
      </c>
      <c r="H59" s="1">
        <v>15</v>
      </c>
      <c r="I59" s="1">
        <v>269</v>
      </c>
      <c r="J59" s="1" t="s">
        <v>104</v>
      </c>
      <c r="K59" s="1" t="s">
        <v>26</v>
      </c>
      <c r="L59" s="1" t="s">
        <v>105</v>
      </c>
      <c r="M59" s="1">
        <v>1</v>
      </c>
      <c r="N59" s="2">
        <v>155.68</v>
      </c>
      <c r="O59" s="3">
        <v>195</v>
      </c>
      <c r="P59" s="1">
        <v>13</v>
      </c>
      <c r="Q59" s="1">
        <v>9</v>
      </c>
      <c r="R59" s="1">
        <v>200010004067</v>
      </c>
      <c r="S59" s="1">
        <v>29</v>
      </c>
      <c r="T59" s="1">
        <v>1</v>
      </c>
      <c r="U59" s="1">
        <v>2</v>
      </c>
    </row>
    <row r="60" spans="1:21" x14ac:dyDescent="0.25">
      <c r="A60" s="4">
        <v>44774</v>
      </c>
      <c r="B60" s="5">
        <v>0.43967592592592591</v>
      </c>
      <c r="C60" s="1">
        <v>1291</v>
      </c>
      <c r="D60" s="1">
        <v>13002561</v>
      </c>
      <c r="E60" s="1">
        <v>13</v>
      </c>
      <c r="F60" s="1">
        <v>22589</v>
      </c>
      <c r="G60" s="1" t="s">
        <v>18</v>
      </c>
      <c r="H60" s="1">
        <v>15</v>
      </c>
      <c r="I60" s="1">
        <v>2289</v>
      </c>
      <c r="J60" s="1" t="s">
        <v>106</v>
      </c>
      <c r="K60" s="1" t="s">
        <v>107</v>
      </c>
      <c r="L60" s="1" t="s">
        <v>66</v>
      </c>
      <c r="M60" s="1">
        <v>1</v>
      </c>
      <c r="N60" s="2">
        <v>129.03</v>
      </c>
      <c r="O60" s="3">
        <v>153</v>
      </c>
      <c r="P60" s="1">
        <v>7</v>
      </c>
      <c r="Q60" s="1">
        <v>9</v>
      </c>
      <c r="R60" s="1">
        <v>200010004067</v>
      </c>
      <c r="S60" s="1">
        <v>29</v>
      </c>
      <c r="T60" s="1">
        <v>1</v>
      </c>
      <c r="U60" s="1">
        <v>1</v>
      </c>
    </row>
    <row r="61" spans="1:21" x14ac:dyDescent="0.25">
      <c r="A61" s="4">
        <v>44774</v>
      </c>
      <c r="B61" s="5">
        <v>0.44123842592592594</v>
      </c>
      <c r="C61" s="1">
        <v>1292</v>
      </c>
      <c r="D61" s="1">
        <v>13002561</v>
      </c>
      <c r="E61" s="1">
        <v>13</v>
      </c>
      <c r="F61" s="1">
        <v>22589</v>
      </c>
      <c r="G61" s="1" t="s">
        <v>18</v>
      </c>
      <c r="H61" s="1">
        <v>18</v>
      </c>
      <c r="I61" s="1">
        <v>41348</v>
      </c>
      <c r="J61" s="1" t="s">
        <v>108</v>
      </c>
      <c r="K61" s="1" t="s">
        <v>26</v>
      </c>
      <c r="L61" s="1" t="s">
        <v>109</v>
      </c>
      <c r="M61" s="1">
        <v>1</v>
      </c>
      <c r="N61" s="2">
        <v>205.78</v>
      </c>
      <c r="O61" s="3">
        <v>247</v>
      </c>
      <c r="P61" s="1">
        <v>12</v>
      </c>
      <c r="Q61" s="1">
        <v>9</v>
      </c>
      <c r="R61" s="1">
        <v>200010020276</v>
      </c>
      <c r="S61" s="1">
        <v>29</v>
      </c>
      <c r="T61" s="1">
        <v>1</v>
      </c>
      <c r="U61" s="1">
        <v>2</v>
      </c>
    </row>
    <row r="62" spans="1:21" x14ac:dyDescent="0.25">
      <c r="A62" s="4">
        <v>44774</v>
      </c>
      <c r="B62" s="5">
        <v>0.44123842592592594</v>
      </c>
      <c r="C62" s="1">
        <v>1292</v>
      </c>
      <c r="D62" s="1">
        <v>13002561</v>
      </c>
      <c r="E62" s="1">
        <v>13</v>
      </c>
      <c r="F62" s="1">
        <v>22589</v>
      </c>
      <c r="G62" s="1" t="s">
        <v>18</v>
      </c>
      <c r="H62" s="1">
        <v>18</v>
      </c>
      <c r="I62" s="1">
        <v>304</v>
      </c>
      <c r="J62" s="1" t="s">
        <v>110</v>
      </c>
      <c r="K62" s="1" t="s">
        <v>26</v>
      </c>
      <c r="L62" s="1" t="s">
        <v>111</v>
      </c>
      <c r="M62" s="1">
        <v>1</v>
      </c>
      <c r="N62" s="2">
        <v>104.35</v>
      </c>
      <c r="O62" s="3">
        <v>125</v>
      </c>
      <c r="P62" s="1">
        <v>6</v>
      </c>
      <c r="Q62" s="1">
        <v>9</v>
      </c>
      <c r="R62" s="1">
        <v>200010020276</v>
      </c>
      <c r="S62" s="1">
        <v>29</v>
      </c>
      <c r="T62" s="1">
        <v>1</v>
      </c>
      <c r="U62" s="1">
        <v>1</v>
      </c>
    </row>
    <row r="63" spans="1:21" x14ac:dyDescent="0.25">
      <c r="A63" s="4">
        <v>44774</v>
      </c>
      <c r="B63" s="5">
        <v>0.44123842592592594</v>
      </c>
      <c r="C63" s="1">
        <v>1292</v>
      </c>
      <c r="D63" s="1">
        <v>13002561</v>
      </c>
      <c r="E63" s="1">
        <v>13</v>
      </c>
      <c r="F63" s="1">
        <v>22589</v>
      </c>
      <c r="G63" s="1" t="s">
        <v>18</v>
      </c>
      <c r="H63" s="1">
        <v>18</v>
      </c>
      <c r="I63" s="1">
        <v>443170</v>
      </c>
      <c r="J63" s="1" t="s">
        <v>112</v>
      </c>
      <c r="K63" s="1" t="s">
        <v>48</v>
      </c>
      <c r="L63" s="1" t="s">
        <v>49</v>
      </c>
      <c r="M63" s="1">
        <v>2</v>
      </c>
      <c r="N63" s="2">
        <v>57.11</v>
      </c>
      <c r="O63" s="3">
        <v>90</v>
      </c>
      <c r="P63" s="1">
        <v>18</v>
      </c>
      <c r="Q63" s="1">
        <v>9</v>
      </c>
      <c r="R63" s="1">
        <v>200010020276</v>
      </c>
      <c r="S63" s="1">
        <v>29</v>
      </c>
      <c r="T63" s="1">
        <v>1</v>
      </c>
      <c r="U63" s="1">
        <v>4</v>
      </c>
    </row>
    <row r="64" spans="1:21" x14ac:dyDescent="0.25">
      <c r="A64" s="4">
        <v>44774</v>
      </c>
      <c r="B64" s="5">
        <v>0.44200231481481483</v>
      </c>
      <c r="C64" s="1">
        <v>1293</v>
      </c>
      <c r="D64" s="1">
        <v>13002561</v>
      </c>
      <c r="E64" s="1">
        <v>13</v>
      </c>
      <c r="F64" s="1">
        <v>22589</v>
      </c>
      <c r="G64" s="1" t="s">
        <v>18</v>
      </c>
      <c r="H64" s="1">
        <v>18</v>
      </c>
      <c r="I64" s="1">
        <v>19646</v>
      </c>
      <c r="J64" s="1" t="s">
        <v>113</v>
      </c>
      <c r="K64" s="1" t="s">
        <v>114</v>
      </c>
      <c r="L64" s="1" t="s">
        <v>115</v>
      </c>
      <c r="M64" s="1">
        <v>1</v>
      </c>
      <c r="N64" s="2">
        <v>88.91</v>
      </c>
      <c r="O64" s="3">
        <v>127</v>
      </c>
      <c r="P64" s="1">
        <v>0</v>
      </c>
      <c r="Q64" s="1" t="s">
        <v>22</v>
      </c>
      <c r="R64" s="1" t="s">
        <v>22</v>
      </c>
      <c r="S64" s="1">
        <v>29</v>
      </c>
      <c r="T64" s="1">
        <v>1</v>
      </c>
      <c r="U64" s="1">
        <v>1</v>
      </c>
    </row>
    <row r="65" spans="1:21" x14ac:dyDescent="0.25">
      <c r="A65" s="4">
        <v>44774</v>
      </c>
      <c r="B65" s="5">
        <v>0.4432638888888889</v>
      </c>
      <c r="C65" s="1">
        <v>1294</v>
      </c>
      <c r="D65" s="1">
        <v>13002561</v>
      </c>
      <c r="E65" s="1">
        <v>13</v>
      </c>
      <c r="F65" s="1">
        <v>22589</v>
      </c>
      <c r="G65" s="1" t="s">
        <v>18</v>
      </c>
      <c r="H65" s="1">
        <v>18</v>
      </c>
      <c r="I65" s="1">
        <v>105888</v>
      </c>
      <c r="J65" s="1" t="s">
        <v>116</v>
      </c>
      <c r="K65" s="1" t="s">
        <v>114</v>
      </c>
      <c r="L65" s="1" t="s">
        <v>117</v>
      </c>
      <c r="M65" s="1">
        <v>1</v>
      </c>
      <c r="N65" s="2">
        <v>35.770000000000003</v>
      </c>
      <c r="O65" s="3">
        <v>58</v>
      </c>
      <c r="P65" s="1">
        <v>0</v>
      </c>
      <c r="Q65" s="1" t="s">
        <v>22</v>
      </c>
      <c r="R65" s="1" t="s">
        <v>22</v>
      </c>
      <c r="S65" s="1">
        <v>29</v>
      </c>
      <c r="T65" s="1">
        <v>1</v>
      </c>
      <c r="U65" s="1">
        <v>1</v>
      </c>
    </row>
    <row r="66" spans="1:21" x14ac:dyDescent="0.25">
      <c r="A66" s="4">
        <v>44774</v>
      </c>
      <c r="B66" s="5">
        <v>0.57680555555555557</v>
      </c>
      <c r="C66" s="1">
        <v>1348</v>
      </c>
      <c r="D66" s="1">
        <v>13002561</v>
      </c>
      <c r="E66" s="1">
        <v>13</v>
      </c>
      <c r="F66" s="1">
        <v>22589</v>
      </c>
      <c r="G66" s="1" t="s">
        <v>18</v>
      </c>
      <c r="H66" s="1">
        <v>15</v>
      </c>
      <c r="I66" s="1">
        <v>105888</v>
      </c>
      <c r="J66" s="1" t="s">
        <v>116</v>
      </c>
      <c r="K66" s="1" t="s">
        <v>114</v>
      </c>
      <c r="L66" s="1" t="s">
        <v>117</v>
      </c>
      <c r="M66" s="1">
        <v>1</v>
      </c>
      <c r="N66" s="2">
        <v>35.770000000000003</v>
      </c>
      <c r="O66" s="3">
        <v>58</v>
      </c>
      <c r="P66" s="1">
        <v>5</v>
      </c>
      <c r="Q66" s="1">
        <v>9</v>
      </c>
      <c r="R66" s="1">
        <v>200010021953</v>
      </c>
      <c r="S66" s="1">
        <v>29</v>
      </c>
      <c r="T66" s="1">
        <v>1</v>
      </c>
      <c r="U66" s="1">
        <v>1</v>
      </c>
    </row>
    <row r="67" spans="1:21" x14ac:dyDescent="0.25">
      <c r="A67" s="4">
        <v>44774</v>
      </c>
      <c r="B67" s="5">
        <v>0.4432638888888889</v>
      </c>
      <c r="C67" s="1">
        <v>1294</v>
      </c>
      <c r="D67" s="1">
        <v>13002561</v>
      </c>
      <c r="E67" s="1">
        <v>13</v>
      </c>
      <c r="F67" s="1">
        <v>22589</v>
      </c>
      <c r="G67" s="1" t="s">
        <v>18</v>
      </c>
      <c r="H67" s="1">
        <v>18</v>
      </c>
      <c r="I67" s="1">
        <v>345578</v>
      </c>
      <c r="J67" s="1" t="s">
        <v>118</v>
      </c>
      <c r="K67" s="1" t="s">
        <v>48</v>
      </c>
      <c r="L67" s="1" t="s">
        <v>73</v>
      </c>
      <c r="M67" s="1">
        <v>1</v>
      </c>
      <c r="N67" s="2">
        <v>20.61</v>
      </c>
      <c r="O67" s="3">
        <v>25</v>
      </c>
      <c r="P67" s="1">
        <v>0</v>
      </c>
      <c r="Q67" s="1" t="s">
        <v>22</v>
      </c>
      <c r="R67" s="1" t="s">
        <v>22</v>
      </c>
      <c r="S67" s="1">
        <v>29</v>
      </c>
      <c r="T67" s="1">
        <v>1</v>
      </c>
      <c r="U67" s="1">
        <v>2</v>
      </c>
    </row>
    <row r="68" spans="1:21" x14ac:dyDescent="0.25">
      <c r="A68" s="4">
        <v>44774</v>
      </c>
      <c r="B68" s="5">
        <v>0.79040509259259262</v>
      </c>
      <c r="C68" s="1">
        <v>1405</v>
      </c>
      <c r="D68" s="1">
        <v>13002561</v>
      </c>
      <c r="E68" s="1">
        <v>13</v>
      </c>
      <c r="F68" s="1">
        <v>22589</v>
      </c>
      <c r="G68" s="1" t="s">
        <v>18</v>
      </c>
      <c r="H68" s="1">
        <v>18</v>
      </c>
      <c r="I68" s="1">
        <v>345578</v>
      </c>
      <c r="J68" s="1" t="s">
        <v>118</v>
      </c>
      <c r="K68" s="1" t="s">
        <v>48</v>
      </c>
      <c r="L68" s="1" t="s">
        <v>73</v>
      </c>
      <c r="M68" s="1">
        <v>1</v>
      </c>
      <c r="N68" s="2">
        <v>20.61</v>
      </c>
      <c r="O68" s="3">
        <v>25</v>
      </c>
      <c r="P68" s="1">
        <v>0</v>
      </c>
      <c r="Q68" s="1" t="s">
        <v>22</v>
      </c>
      <c r="R68" s="1" t="s">
        <v>22</v>
      </c>
      <c r="S68" s="1">
        <v>29</v>
      </c>
      <c r="T68" s="1">
        <v>1</v>
      </c>
      <c r="U68" s="1">
        <v>7</v>
      </c>
    </row>
    <row r="69" spans="1:21" x14ac:dyDescent="0.25">
      <c r="A69" s="4">
        <v>44774</v>
      </c>
      <c r="B69" s="5">
        <v>0.4432638888888889</v>
      </c>
      <c r="C69" s="1">
        <v>1294</v>
      </c>
      <c r="D69" s="1">
        <v>13002561</v>
      </c>
      <c r="E69" s="1">
        <v>13</v>
      </c>
      <c r="F69" s="1">
        <v>22589</v>
      </c>
      <c r="G69" s="1" t="s">
        <v>18</v>
      </c>
      <c r="H69" s="1">
        <v>18</v>
      </c>
      <c r="I69" s="1">
        <v>338912</v>
      </c>
      <c r="J69" s="1" t="s">
        <v>119</v>
      </c>
      <c r="K69" s="1" t="s">
        <v>58</v>
      </c>
      <c r="L69" s="1" t="s">
        <v>120</v>
      </c>
      <c r="M69" s="1">
        <v>1</v>
      </c>
      <c r="N69" s="2">
        <v>37.950000000000003</v>
      </c>
      <c r="O69" s="3">
        <v>47.04</v>
      </c>
      <c r="P69" s="1">
        <v>0</v>
      </c>
      <c r="Q69" s="1" t="s">
        <v>22</v>
      </c>
      <c r="R69" s="1" t="s">
        <v>22</v>
      </c>
      <c r="S69" s="1">
        <v>29</v>
      </c>
      <c r="T69" s="1">
        <v>1</v>
      </c>
      <c r="U69" s="1">
        <v>4</v>
      </c>
    </row>
    <row r="70" spans="1:21" x14ac:dyDescent="0.25">
      <c r="A70" s="4">
        <v>44774</v>
      </c>
      <c r="B70" s="5">
        <v>0.44415509259259262</v>
      </c>
      <c r="C70" s="1">
        <v>1295</v>
      </c>
      <c r="D70" s="1">
        <v>13002561</v>
      </c>
      <c r="E70" s="1">
        <v>13</v>
      </c>
      <c r="F70" s="1">
        <v>22589</v>
      </c>
      <c r="G70" s="1" t="s">
        <v>18</v>
      </c>
      <c r="H70" s="1">
        <v>15</v>
      </c>
      <c r="I70" s="1">
        <v>157466</v>
      </c>
      <c r="J70" s="1" t="s">
        <v>121</v>
      </c>
      <c r="K70" s="1" t="s">
        <v>26</v>
      </c>
      <c r="L70" s="1" t="s">
        <v>122</v>
      </c>
      <c r="M70" s="1">
        <v>1</v>
      </c>
      <c r="N70" s="2">
        <v>169.99</v>
      </c>
      <c r="O70" s="3">
        <v>233</v>
      </c>
      <c r="P70" s="1">
        <v>16</v>
      </c>
      <c r="Q70" s="1">
        <v>9</v>
      </c>
      <c r="R70" s="1">
        <v>200010013040</v>
      </c>
      <c r="S70" s="1">
        <v>29</v>
      </c>
      <c r="T70" s="1">
        <v>1</v>
      </c>
      <c r="U70" s="1">
        <v>1</v>
      </c>
    </row>
    <row r="71" spans="1:21" x14ac:dyDescent="0.25">
      <c r="A71" s="4">
        <v>44774</v>
      </c>
      <c r="B71" s="5">
        <v>0.44601851851851854</v>
      </c>
      <c r="C71" s="1">
        <v>1296</v>
      </c>
      <c r="D71" s="1">
        <v>13002561</v>
      </c>
      <c r="E71" s="1">
        <v>13</v>
      </c>
      <c r="F71" s="1">
        <v>22589</v>
      </c>
      <c r="G71" s="1" t="s">
        <v>18</v>
      </c>
      <c r="H71" s="1">
        <v>15</v>
      </c>
      <c r="I71" s="1">
        <v>74670</v>
      </c>
      <c r="J71" s="1" t="s">
        <v>123</v>
      </c>
      <c r="K71" s="1" t="s">
        <v>81</v>
      </c>
      <c r="L71" s="1" t="s">
        <v>124</v>
      </c>
      <c r="M71" s="1">
        <v>1</v>
      </c>
      <c r="N71" s="2">
        <v>93.55</v>
      </c>
      <c r="O71" s="3">
        <v>133</v>
      </c>
      <c r="P71" s="1">
        <v>9</v>
      </c>
      <c r="Q71" s="1">
        <v>9</v>
      </c>
      <c r="R71" s="1">
        <v>200010007414</v>
      </c>
      <c r="S71" s="1">
        <v>29</v>
      </c>
      <c r="T71" s="1">
        <v>1</v>
      </c>
      <c r="U71" s="1">
        <v>4</v>
      </c>
    </row>
    <row r="72" spans="1:21" x14ac:dyDescent="0.25">
      <c r="A72" s="4">
        <v>44774</v>
      </c>
      <c r="B72" s="5">
        <v>0.44601851851851854</v>
      </c>
      <c r="C72" s="1">
        <v>1296</v>
      </c>
      <c r="D72" s="1">
        <v>13002561</v>
      </c>
      <c r="E72" s="1">
        <v>13</v>
      </c>
      <c r="F72" s="1">
        <v>22589</v>
      </c>
      <c r="G72" s="1" t="s">
        <v>18</v>
      </c>
      <c r="H72" s="1">
        <v>15</v>
      </c>
      <c r="I72" s="1">
        <v>468466</v>
      </c>
      <c r="J72" s="1" t="s">
        <v>125</v>
      </c>
      <c r="K72" s="1" t="s">
        <v>48</v>
      </c>
      <c r="L72" s="1" t="s">
        <v>126</v>
      </c>
      <c r="M72" s="1">
        <v>1</v>
      </c>
      <c r="N72" s="2">
        <v>666.45</v>
      </c>
      <c r="O72" s="3">
        <v>739</v>
      </c>
      <c r="P72" s="1">
        <v>22</v>
      </c>
      <c r="Q72" s="1">
        <v>9</v>
      </c>
      <c r="R72" s="1">
        <v>200010007414</v>
      </c>
      <c r="S72" s="1">
        <v>29</v>
      </c>
      <c r="T72" s="1">
        <v>1</v>
      </c>
      <c r="U72" s="1">
        <v>2</v>
      </c>
    </row>
    <row r="73" spans="1:21" x14ac:dyDescent="0.25">
      <c r="A73" s="4">
        <v>44774</v>
      </c>
      <c r="B73" s="5">
        <v>0.44601851851851854</v>
      </c>
      <c r="C73" s="1">
        <v>1296</v>
      </c>
      <c r="D73" s="1">
        <v>13002561</v>
      </c>
      <c r="E73" s="1">
        <v>13</v>
      </c>
      <c r="F73" s="1">
        <v>22589</v>
      </c>
      <c r="G73" s="1" t="s">
        <v>18</v>
      </c>
      <c r="H73" s="1">
        <v>15</v>
      </c>
      <c r="I73" s="1">
        <v>167293</v>
      </c>
      <c r="J73" s="1" t="s">
        <v>127</v>
      </c>
      <c r="K73" s="1" t="s">
        <v>20</v>
      </c>
      <c r="L73" s="1" t="s">
        <v>128</v>
      </c>
      <c r="M73" s="1">
        <v>1</v>
      </c>
      <c r="N73" s="2">
        <v>360.47</v>
      </c>
      <c r="O73" s="3">
        <v>476</v>
      </c>
      <c r="P73" s="1">
        <v>33</v>
      </c>
      <c r="Q73" s="1">
        <v>9</v>
      </c>
      <c r="R73" s="1">
        <v>200010007414</v>
      </c>
      <c r="S73" s="1">
        <v>29</v>
      </c>
      <c r="T73" s="1">
        <v>1</v>
      </c>
      <c r="U73" s="1">
        <v>1</v>
      </c>
    </row>
    <row r="74" spans="1:21" x14ac:dyDescent="0.25">
      <c r="A74" s="4">
        <v>44774</v>
      </c>
      <c r="B74" s="5">
        <v>0.44601851851851854</v>
      </c>
      <c r="C74" s="1">
        <v>1296</v>
      </c>
      <c r="D74" s="1">
        <v>13002561</v>
      </c>
      <c r="E74" s="1">
        <v>13</v>
      </c>
      <c r="F74" s="1">
        <v>22589</v>
      </c>
      <c r="G74" s="1" t="s">
        <v>18</v>
      </c>
      <c r="H74" s="1">
        <v>15</v>
      </c>
      <c r="I74" s="1">
        <v>954</v>
      </c>
      <c r="J74" s="1" t="s">
        <v>129</v>
      </c>
      <c r="K74" s="1" t="s">
        <v>42</v>
      </c>
      <c r="L74" s="1" t="s">
        <v>130</v>
      </c>
      <c r="M74" s="1">
        <v>1</v>
      </c>
      <c r="N74" s="2">
        <v>206.7</v>
      </c>
      <c r="O74" s="3">
        <v>280</v>
      </c>
      <c r="P74" s="1">
        <v>19</v>
      </c>
      <c r="Q74" s="1">
        <v>9</v>
      </c>
      <c r="R74" s="1">
        <v>200010007414</v>
      </c>
      <c r="S74" s="1">
        <v>29</v>
      </c>
      <c r="T74" s="1">
        <v>1</v>
      </c>
      <c r="U74" s="1">
        <v>3</v>
      </c>
    </row>
    <row r="75" spans="1:21" x14ac:dyDescent="0.25">
      <c r="A75" s="4">
        <v>44774</v>
      </c>
      <c r="B75" s="5">
        <v>0.44861111111111113</v>
      </c>
      <c r="C75" s="1">
        <v>1297</v>
      </c>
      <c r="D75" s="1">
        <v>13002561</v>
      </c>
      <c r="E75" s="1">
        <v>13</v>
      </c>
      <c r="F75" s="1">
        <v>22589</v>
      </c>
      <c r="G75" s="1" t="s">
        <v>18</v>
      </c>
      <c r="H75" s="1">
        <v>15</v>
      </c>
      <c r="I75" s="1">
        <v>8529</v>
      </c>
      <c r="J75" s="1" t="s">
        <v>131</v>
      </c>
      <c r="K75" s="1" t="s">
        <v>20</v>
      </c>
      <c r="L75" s="1" t="s">
        <v>132</v>
      </c>
      <c r="M75" s="1">
        <v>1</v>
      </c>
      <c r="N75" s="2">
        <v>299.66000000000003</v>
      </c>
      <c r="O75" s="3">
        <v>405</v>
      </c>
      <c r="P75" s="1">
        <v>0</v>
      </c>
      <c r="Q75" s="1" t="s">
        <v>22</v>
      </c>
      <c r="R75" s="1" t="s">
        <v>22</v>
      </c>
      <c r="S75" s="1">
        <v>29</v>
      </c>
      <c r="T75" s="1">
        <v>1</v>
      </c>
      <c r="U75" s="1">
        <v>5</v>
      </c>
    </row>
    <row r="76" spans="1:21" x14ac:dyDescent="0.25">
      <c r="A76" s="4">
        <v>44774</v>
      </c>
      <c r="B76" s="5">
        <v>0.44861111111111113</v>
      </c>
      <c r="C76" s="1">
        <v>1297</v>
      </c>
      <c r="D76" s="1">
        <v>13002561</v>
      </c>
      <c r="E76" s="1">
        <v>13</v>
      </c>
      <c r="F76" s="1">
        <v>22589</v>
      </c>
      <c r="G76" s="1" t="s">
        <v>18</v>
      </c>
      <c r="H76" s="1">
        <v>15</v>
      </c>
      <c r="I76" s="1">
        <v>4735</v>
      </c>
      <c r="J76" s="1" t="s">
        <v>133</v>
      </c>
      <c r="K76" s="1" t="s">
        <v>20</v>
      </c>
      <c r="L76" s="1" t="s">
        <v>134</v>
      </c>
      <c r="M76" s="1">
        <v>1</v>
      </c>
      <c r="N76" s="2">
        <v>311.77999999999997</v>
      </c>
      <c r="O76" s="3">
        <v>370</v>
      </c>
      <c r="P76" s="1">
        <v>0</v>
      </c>
      <c r="Q76" s="1" t="s">
        <v>22</v>
      </c>
      <c r="R76" s="1" t="s">
        <v>22</v>
      </c>
      <c r="S76" s="1">
        <v>29</v>
      </c>
      <c r="T76" s="1">
        <v>1</v>
      </c>
      <c r="U76" s="1">
        <v>6</v>
      </c>
    </row>
    <row r="77" spans="1:21" x14ac:dyDescent="0.25">
      <c r="A77" s="4">
        <v>44774</v>
      </c>
      <c r="B77" s="5">
        <v>0.44861111111111113</v>
      </c>
      <c r="C77" s="1">
        <v>1297</v>
      </c>
      <c r="D77" s="1">
        <v>13002561</v>
      </c>
      <c r="E77" s="1">
        <v>13</v>
      </c>
      <c r="F77" s="1">
        <v>22589</v>
      </c>
      <c r="G77" s="1" t="s">
        <v>18</v>
      </c>
      <c r="H77" s="1">
        <v>15</v>
      </c>
      <c r="I77" s="1">
        <v>512333</v>
      </c>
      <c r="J77" s="1" t="s">
        <v>135</v>
      </c>
      <c r="K77" s="1" t="s">
        <v>58</v>
      </c>
      <c r="L77" s="1" t="s">
        <v>136</v>
      </c>
      <c r="M77" s="1">
        <v>1</v>
      </c>
      <c r="N77" s="2">
        <v>115.28</v>
      </c>
      <c r="O77" s="3">
        <v>158</v>
      </c>
      <c r="P77" s="1">
        <v>0</v>
      </c>
      <c r="Q77" s="1" t="s">
        <v>22</v>
      </c>
      <c r="R77" s="1" t="s">
        <v>22</v>
      </c>
      <c r="S77" s="1">
        <v>29</v>
      </c>
      <c r="T77" s="1">
        <v>1</v>
      </c>
      <c r="U77" s="1">
        <v>1</v>
      </c>
    </row>
    <row r="78" spans="1:21" x14ac:dyDescent="0.25">
      <c r="A78" s="4">
        <v>44774</v>
      </c>
      <c r="B78" s="5">
        <v>0.44861111111111113</v>
      </c>
      <c r="C78" s="1">
        <v>1297</v>
      </c>
      <c r="D78" s="1">
        <v>13002561</v>
      </c>
      <c r="E78" s="1">
        <v>13</v>
      </c>
      <c r="F78" s="1">
        <v>22589</v>
      </c>
      <c r="G78" s="1" t="s">
        <v>18</v>
      </c>
      <c r="H78" s="1">
        <v>15</v>
      </c>
      <c r="I78" s="1">
        <v>292820</v>
      </c>
      <c r="J78" s="1" t="s">
        <v>137</v>
      </c>
      <c r="K78" s="1" t="s">
        <v>138</v>
      </c>
      <c r="L78" s="1" t="s">
        <v>139</v>
      </c>
      <c r="M78" s="1">
        <v>1</v>
      </c>
      <c r="N78" s="2">
        <v>23.04</v>
      </c>
      <c r="O78" s="3">
        <v>38</v>
      </c>
      <c r="P78" s="1">
        <v>0</v>
      </c>
      <c r="Q78" s="1" t="s">
        <v>22</v>
      </c>
      <c r="R78" s="1" t="s">
        <v>22</v>
      </c>
      <c r="S78" s="1">
        <v>29</v>
      </c>
      <c r="T78" s="1">
        <v>1</v>
      </c>
      <c r="U78" s="1">
        <v>2</v>
      </c>
    </row>
    <row r="79" spans="1:21" x14ac:dyDescent="0.25">
      <c r="A79" s="4">
        <v>44774</v>
      </c>
      <c r="B79" s="5">
        <v>0.44861111111111113</v>
      </c>
      <c r="C79" s="1">
        <v>1297</v>
      </c>
      <c r="D79" s="1">
        <v>13002561</v>
      </c>
      <c r="E79" s="1">
        <v>13</v>
      </c>
      <c r="F79" s="1">
        <v>22589</v>
      </c>
      <c r="G79" s="1" t="s">
        <v>18</v>
      </c>
      <c r="H79" s="1">
        <v>15</v>
      </c>
      <c r="I79" s="1">
        <v>1504331</v>
      </c>
      <c r="J79" s="1" t="s">
        <v>140</v>
      </c>
      <c r="K79" s="1" t="s">
        <v>141</v>
      </c>
      <c r="L79" s="1" t="s">
        <v>139</v>
      </c>
      <c r="M79" s="1">
        <v>1</v>
      </c>
      <c r="N79" s="2">
        <v>0.01</v>
      </c>
      <c r="O79" s="3">
        <v>0.01</v>
      </c>
      <c r="P79" s="1">
        <v>0</v>
      </c>
      <c r="Q79" s="1" t="s">
        <v>22</v>
      </c>
      <c r="R79" s="1" t="s">
        <v>22</v>
      </c>
      <c r="S79" s="1">
        <v>29</v>
      </c>
      <c r="T79" s="1">
        <v>1</v>
      </c>
      <c r="U79" s="1">
        <v>3</v>
      </c>
    </row>
    <row r="80" spans="1:21" x14ac:dyDescent="0.25">
      <c r="A80" s="4">
        <v>44774</v>
      </c>
      <c r="B80" s="5">
        <v>0.48900462962962965</v>
      </c>
      <c r="C80" s="1">
        <v>1312</v>
      </c>
      <c r="D80" s="1">
        <v>13002561</v>
      </c>
      <c r="E80" s="1">
        <v>13</v>
      </c>
      <c r="F80" s="1">
        <v>22589</v>
      </c>
      <c r="G80" s="1" t="s">
        <v>18</v>
      </c>
      <c r="H80" s="1">
        <v>18</v>
      </c>
      <c r="I80" s="1">
        <v>1504331</v>
      </c>
      <c r="J80" s="1" t="s">
        <v>140</v>
      </c>
      <c r="K80" s="1" t="s">
        <v>141</v>
      </c>
      <c r="L80" s="1" t="s">
        <v>139</v>
      </c>
      <c r="M80" s="1">
        <v>1</v>
      </c>
      <c r="N80" s="2">
        <v>0.01</v>
      </c>
      <c r="O80" s="3">
        <v>0.01</v>
      </c>
      <c r="P80" s="1">
        <v>0</v>
      </c>
      <c r="Q80" s="1" t="s">
        <v>22</v>
      </c>
      <c r="R80" s="1" t="s">
        <v>22</v>
      </c>
      <c r="S80" s="1">
        <v>29</v>
      </c>
      <c r="T80" s="1">
        <v>1</v>
      </c>
      <c r="U80" s="1">
        <v>2</v>
      </c>
    </row>
    <row r="81" spans="1:21" x14ac:dyDescent="0.25">
      <c r="A81" s="4">
        <v>44774</v>
      </c>
      <c r="B81" s="5">
        <v>0.7457407407407407</v>
      </c>
      <c r="C81" s="1">
        <v>1394</v>
      </c>
      <c r="D81" s="1">
        <v>13002561</v>
      </c>
      <c r="E81" s="1">
        <v>13</v>
      </c>
      <c r="F81" s="1">
        <v>22589</v>
      </c>
      <c r="G81" s="1" t="s">
        <v>18</v>
      </c>
      <c r="H81" s="1">
        <v>18</v>
      </c>
      <c r="I81" s="1">
        <v>1504331</v>
      </c>
      <c r="J81" s="1" t="s">
        <v>140</v>
      </c>
      <c r="K81" s="1" t="s">
        <v>141</v>
      </c>
      <c r="L81" s="1" t="s">
        <v>139</v>
      </c>
      <c r="M81" s="1">
        <v>1</v>
      </c>
      <c r="N81" s="2">
        <v>0.01</v>
      </c>
      <c r="O81" s="3">
        <v>0.01</v>
      </c>
      <c r="P81" s="1">
        <v>0</v>
      </c>
      <c r="Q81" s="1" t="s">
        <v>22</v>
      </c>
      <c r="R81" s="1" t="s">
        <v>22</v>
      </c>
      <c r="S81" s="1">
        <v>29</v>
      </c>
      <c r="T81" s="1">
        <v>1</v>
      </c>
      <c r="U81" s="1">
        <v>1</v>
      </c>
    </row>
    <row r="82" spans="1:21" x14ac:dyDescent="0.25">
      <c r="A82" s="4">
        <v>44774</v>
      </c>
      <c r="B82" s="5">
        <v>0.45111111111111113</v>
      </c>
      <c r="C82" s="1">
        <v>1298</v>
      </c>
      <c r="D82" s="1">
        <v>13002561</v>
      </c>
      <c r="E82" s="1">
        <v>13</v>
      </c>
      <c r="F82" s="1">
        <v>22589</v>
      </c>
      <c r="G82" s="1" t="s">
        <v>18</v>
      </c>
      <c r="H82" s="1">
        <v>18</v>
      </c>
      <c r="I82" s="1">
        <v>54354</v>
      </c>
      <c r="J82" s="1" t="s">
        <v>142</v>
      </c>
      <c r="K82" s="1" t="s">
        <v>31</v>
      </c>
      <c r="L82" s="1" t="s">
        <v>143</v>
      </c>
      <c r="M82" s="1">
        <v>1</v>
      </c>
      <c r="N82" s="2">
        <v>134.66</v>
      </c>
      <c r="O82" s="3">
        <v>160</v>
      </c>
      <c r="P82" s="1">
        <v>0</v>
      </c>
      <c r="Q82" s="1" t="s">
        <v>22</v>
      </c>
      <c r="R82" s="1" t="s">
        <v>22</v>
      </c>
      <c r="S82" s="1">
        <v>29</v>
      </c>
      <c r="T82" s="1">
        <v>1</v>
      </c>
      <c r="U82" s="1">
        <v>1</v>
      </c>
    </row>
    <row r="83" spans="1:21" x14ac:dyDescent="0.25">
      <c r="A83" s="4">
        <v>44774</v>
      </c>
      <c r="B83" s="5">
        <v>0.45111111111111113</v>
      </c>
      <c r="C83" s="1">
        <v>1298</v>
      </c>
      <c r="D83" s="1">
        <v>13002561</v>
      </c>
      <c r="E83" s="1">
        <v>13</v>
      </c>
      <c r="F83" s="1">
        <v>22589</v>
      </c>
      <c r="G83" s="1" t="s">
        <v>18</v>
      </c>
      <c r="H83" s="1">
        <v>18</v>
      </c>
      <c r="I83" s="1">
        <v>100086</v>
      </c>
      <c r="J83" s="1" t="s">
        <v>144</v>
      </c>
      <c r="K83" s="1" t="s">
        <v>48</v>
      </c>
      <c r="L83" s="1" t="s">
        <v>145</v>
      </c>
      <c r="M83" s="1">
        <v>1</v>
      </c>
      <c r="N83" s="2">
        <v>198.75</v>
      </c>
      <c r="O83" s="3">
        <v>249</v>
      </c>
      <c r="P83" s="1">
        <v>0</v>
      </c>
      <c r="Q83" s="1" t="s">
        <v>22</v>
      </c>
      <c r="R83" s="1" t="s">
        <v>22</v>
      </c>
      <c r="S83" s="1">
        <v>29</v>
      </c>
      <c r="T83" s="1">
        <v>1</v>
      </c>
      <c r="U83" s="1">
        <v>2</v>
      </c>
    </row>
    <row r="84" spans="1:21" x14ac:dyDescent="0.25">
      <c r="A84" s="4">
        <v>44774</v>
      </c>
      <c r="B84" s="5">
        <v>0.45111111111111113</v>
      </c>
      <c r="C84" s="1">
        <v>1298</v>
      </c>
      <c r="D84" s="1">
        <v>13002561</v>
      </c>
      <c r="E84" s="1">
        <v>13</v>
      </c>
      <c r="F84" s="1">
        <v>22589</v>
      </c>
      <c r="G84" s="1" t="s">
        <v>18</v>
      </c>
      <c r="H84" s="1">
        <v>18</v>
      </c>
      <c r="I84" s="1">
        <v>46046</v>
      </c>
      <c r="J84" s="1" t="s">
        <v>146</v>
      </c>
      <c r="K84" s="1" t="s">
        <v>45</v>
      </c>
      <c r="L84" s="1" t="s">
        <v>115</v>
      </c>
      <c r="M84" s="1">
        <v>1</v>
      </c>
      <c r="N84" s="2">
        <v>71.849999999999994</v>
      </c>
      <c r="O84" s="3">
        <v>103</v>
      </c>
      <c r="P84" s="1">
        <v>0</v>
      </c>
      <c r="Q84" s="1" t="s">
        <v>22</v>
      </c>
      <c r="R84" s="1" t="s">
        <v>22</v>
      </c>
      <c r="S84" s="1">
        <v>29</v>
      </c>
      <c r="T84" s="1">
        <v>1</v>
      </c>
      <c r="U84" s="1">
        <v>5</v>
      </c>
    </row>
    <row r="85" spans="1:21" x14ac:dyDescent="0.25">
      <c r="A85" s="4">
        <v>44774</v>
      </c>
      <c r="B85" s="5">
        <v>0.57680555555555557</v>
      </c>
      <c r="C85" s="1">
        <v>1348</v>
      </c>
      <c r="D85" s="1">
        <v>13002561</v>
      </c>
      <c r="E85" s="1">
        <v>13</v>
      </c>
      <c r="F85" s="1">
        <v>22589</v>
      </c>
      <c r="G85" s="1" t="s">
        <v>18</v>
      </c>
      <c r="H85" s="1">
        <v>15</v>
      </c>
      <c r="I85" s="1">
        <v>46046</v>
      </c>
      <c r="J85" s="1" t="s">
        <v>146</v>
      </c>
      <c r="K85" s="1" t="s">
        <v>45</v>
      </c>
      <c r="L85" s="1" t="s">
        <v>115</v>
      </c>
      <c r="M85" s="1">
        <v>1</v>
      </c>
      <c r="N85" s="2">
        <v>71.849999999999994</v>
      </c>
      <c r="O85" s="3">
        <v>103</v>
      </c>
      <c r="P85" s="1">
        <v>7</v>
      </c>
      <c r="Q85" s="1">
        <v>9</v>
      </c>
      <c r="R85" s="1">
        <v>200010021953</v>
      </c>
      <c r="S85" s="1">
        <v>29</v>
      </c>
      <c r="T85" s="1">
        <v>1</v>
      </c>
      <c r="U85" s="1">
        <v>6</v>
      </c>
    </row>
    <row r="86" spans="1:21" x14ac:dyDescent="0.25">
      <c r="A86" s="4">
        <v>44774</v>
      </c>
      <c r="B86" s="5">
        <v>0.45111111111111113</v>
      </c>
      <c r="C86" s="1">
        <v>1298</v>
      </c>
      <c r="D86" s="1">
        <v>13002561</v>
      </c>
      <c r="E86" s="1">
        <v>13</v>
      </c>
      <c r="F86" s="1">
        <v>22589</v>
      </c>
      <c r="G86" s="1" t="s">
        <v>18</v>
      </c>
      <c r="H86" s="1">
        <v>18</v>
      </c>
      <c r="I86" s="1">
        <v>41241</v>
      </c>
      <c r="J86" s="1" t="s">
        <v>147</v>
      </c>
      <c r="K86" s="1" t="s">
        <v>31</v>
      </c>
      <c r="L86" s="1" t="s">
        <v>148</v>
      </c>
      <c r="M86" s="1">
        <v>1</v>
      </c>
      <c r="N86" s="2">
        <v>99.97</v>
      </c>
      <c r="O86" s="3">
        <v>121.72</v>
      </c>
      <c r="P86" s="1">
        <v>0</v>
      </c>
      <c r="Q86" s="1" t="s">
        <v>22</v>
      </c>
      <c r="R86" s="1" t="s">
        <v>22</v>
      </c>
      <c r="S86" s="1">
        <v>29</v>
      </c>
      <c r="T86" s="1">
        <v>2</v>
      </c>
      <c r="U86" s="1">
        <v>3</v>
      </c>
    </row>
    <row r="87" spans="1:21" x14ac:dyDescent="0.25">
      <c r="A87" s="4">
        <v>44774</v>
      </c>
      <c r="B87" s="5">
        <v>0.45239583333333333</v>
      </c>
      <c r="C87" s="1">
        <v>1299</v>
      </c>
      <c r="D87" s="1">
        <v>13002561</v>
      </c>
      <c r="E87" s="1">
        <v>13</v>
      </c>
      <c r="F87" s="1">
        <v>22589</v>
      </c>
      <c r="G87" s="1" t="s">
        <v>18</v>
      </c>
      <c r="H87" s="1">
        <v>18</v>
      </c>
      <c r="I87" s="1">
        <v>16407</v>
      </c>
      <c r="J87" s="1" t="s">
        <v>149</v>
      </c>
      <c r="K87" s="1" t="s">
        <v>48</v>
      </c>
      <c r="L87" s="1" t="s">
        <v>150</v>
      </c>
      <c r="M87" s="1">
        <v>1</v>
      </c>
      <c r="N87" s="2">
        <v>135.54</v>
      </c>
      <c r="O87" s="3">
        <v>211</v>
      </c>
      <c r="P87" s="1">
        <v>21</v>
      </c>
      <c r="Q87" s="1">
        <v>9</v>
      </c>
      <c r="R87" s="1">
        <v>200010023919</v>
      </c>
      <c r="S87" s="1">
        <v>29</v>
      </c>
      <c r="T87" s="1">
        <v>1</v>
      </c>
      <c r="U87" s="1">
        <v>4</v>
      </c>
    </row>
    <row r="88" spans="1:21" x14ac:dyDescent="0.25">
      <c r="A88" s="4">
        <v>44774</v>
      </c>
      <c r="B88" s="5">
        <v>0.45239583333333333</v>
      </c>
      <c r="C88" s="1">
        <v>1299</v>
      </c>
      <c r="D88" s="1">
        <v>13002561</v>
      </c>
      <c r="E88" s="1">
        <v>13</v>
      </c>
      <c r="F88" s="1">
        <v>22589</v>
      </c>
      <c r="G88" s="1" t="s">
        <v>18</v>
      </c>
      <c r="H88" s="1">
        <v>18</v>
      </c>
      <c r="I88" s="1">
        <v>26351</v>
      </c>
      <c r="J88" s="1" t="s">
        <v>151</v>
      </c>
      <c r="K88" s="1" t="s">
        <v>31</v>
      </c>
      <c r="L88" s="1" t="s">
        <v>152</v>
      </c>
      <c r="M88" s="1">
        <v>1</v>
      </c>
      <c r="N88" s="2">
        <v>75.81</v>
      </c>
      <c r="O88" s="3">
        <v>120</v>
      </c>
      <c r="P88" s="1">
        <v>12</v>
      </c>
      <c r="Q88" s="1">
        <v>9</v>
      </c>
      <c r="R88" s="1">
        <v>200010023919</v>
      </c>
      <c r="S88" s="1">
        <v>29</v>
      </c>
      <c r="T88" s="1">
        <v>1</v>
      </c>
      <c r="U88" s="1">
        <v>1</v>
      </c>
    </row>
    <row r="89" spans="1:21" x14ac:dyDescent="0.25">
      <c r="A89" s="4">
        <v>44774</v>
      </c>
      <c r="B89" s="5">
        <v>0.45239583333333333</v>
      </c>
      <c r="C89" s="1">
        <v>1299</v>
      </c>
      <c r="D89" s="1">
        <v>13002561</v>
      </c>
      <c r="E89" s="1">
        <v>13</v>
      </c>
      <c r="F89" s="1">
        <v>22589</v>
      </c>
      <c r="G89" s="1" t="s">
        <v>18</v>
      </c>
      <c r="H89" s="1">
        <v>18</v>
      </c>
      <c r="I89" s="1">
        <v>22533</v>
      </c>
      <c r="J89" s="1" t="s">
        <v>153</v>
      </c>
      <c r="K89" s="1" t="s">
        <v>26</v>
      </c>
      <c r="L89" s="1" t="s">
        <v>154</v>
      </c>
      <c r="M89" s="1">
        <v>1</v>
      </c>
      <c r="N89" s="2">
        <v>130.83000000000001</v>
      </c>
      <c r="O89" s="3">
        <v>151</v>
      </c>
      <c r="P89" s="1">
        <v>7</v>
      </c>
      <c r="Q89" s="1">
        <v>9</v>
      </c>
      <c r="R89" s="1">
        <v>200010023919</v>
      </c>
      <c r="S89" s="1">
        <v>29</v>
      </c>
      <c r="T89" s="1">
        <v>1</v>
      </c>
      <c r="U89" s="1">
        <v>3</v>
      </c>
    </row>
    <row r="90" spans="1:21" x14ac:dyDescent="0.25">
      <c r="A90" s="4">
        <v>44774</v>
      </c>
      <c r="B90" s="5">
        <v>0.66700231481481487</v>
      </c>
      <c r="C90" s="1">
        <v>1370</v>
      </c>
      <c r="D90" s="1">
        <v>13002561</v>
      </c>
      <c r="E90" s="1">
        <v>13</v>
      </c>
      <c r="F90" s="1">
        <v>22589</v>
      </c>
      <c r="G90" s="1" t="s">
        <v>18</v>
      </c>
      <c r="H90" s="1">
        <v>18</v>
      </c>
      <c r="I90" s="1">
        <v>22533</v>
      </c>
      <c r="J90" s="1" t="s">
        <v>153</v>
      </c>
      <c r="K90" s="1" t="s">
        <v>26</v>
      </c>
      <c r="L90" s="1" t="s">
        <v>154</v>
      </c>
      <c r="M90" s="1">
        <v>1</v>
      </c>
      <c r="N90" s="2">
        <v>130.83000000000001</v>
      </c>
      <c r="O90" s="3">
        <v>151</v>
      </c>
      <c r="P90" s="1">
        <v>7</v>
      </c>
      <c r="Q90" s="1">
        <v>9</v>
      </c>
      <c r="R90" s="1">
        <v>200010016459</v>
      </c>
      <c r="S90" s="1">
        <v>29</v>
      </c>
      <c r="T90" s="1">
        <v>1</v>
      </c>
      <c r="U90" s="1">
        <v>2</v>
      </c>
    </row>
    <row r="91" spans="1:21" x14ac:dyDescent="0.25">
      <c r="A91" s="4">
        <v>44774</v>
      </c>
      <c r="B91" s="5">
        <v>0.45239583333333333</v>
      </c>
      <c r="C91" s="1">
        <v>1299</v>
      </c>
      <c r="D91" s="1">
        <v>13002561</v>
      </c>
      <c r="E91" s="1">
        <v>13</v>
      </c>
      <c r="F91" s="1">
        <v>22589</v>
      </c>
      <c r="G91" s="1" t="s">
        <v>18</v>
      </c>
      <c r="H91" s="1">
        <v>18</v>
      </c>
      <c r="I91" s="1">
        <v>488299</v>
      </c>
      <c r="J91" s="1" t="s">
        <v>155</v>
      </c>
      <c r="K91" s="1" t="s">
        <v>20</v>
      </c>
      <c r="L91" s="1" t="s">
        <v>156</v>
      </c>
      <c r="M91" s="1">
        <v>1</v>
      </c>
      <c r="N91" s="2">
        <v>156.19999999999999</v>
      </c>
      <c r="O91" s="3">
        <v>186</v>
      </c>
      <c r="P91" s="1">
        <v>9</v>
      </c>
      <c r="Q91" s="1">
        <v>9</v>
      </c>
      <c r="R91" s="1">
        <v>200010023919</v>
      </c>
      <c r="S91" s="1">
        <v>29</v>
      </c>
      <c r="T91" s="1">
        <v>1</v>
      </c>
      <c r="U91" s="1">
        <v>2</v>
      </c>
    </row>
    <row r="92" spans="1:21" x14ac:dyDescent="0.25">
      <c r="A92" s="4">
        <v>44774</v>
      </c>
      <c r="B92" s="5">
        <v>0.4528240740740741</v>
      </c>
      <c r="C92" s="1">
        <v>1300</v>
      </c>
      <c r="D92" s="1">
        <v>13002561</v>
      </c>
      <c r="E92" s="1">
        <v>13</v>
      </c>
      <c r="F92" s="1">
        <v>22589</v>
      </c>
      <c r="G92" s="1" t="s">
        <v>18</v>
      </c>
      <c r="H92" s="1">
        <v>18</v>
      </c>
      <c r="I92" s="1">
        <v>72392</v>
      </c>
      <c r="J92" s="1" t="s">
        <v>157</v>
      </c>
      <c r="K92" s="1" t="s">
        <v>48</v>
      </c>
      <c r="L92" s="1" t="s">
        <v>158</v>
      </c>
      <c r="M92" s="1">
        <v>1</v>
      </c>
      <c r="N92" s="2">
        <v>103.5</v>
      </c>
      <c r="O92" s="3">
        <v>122</v>
      </c>
      <c r="P92" s="1">
        <v>6</v>
      </c>
      <c r="Q92" s="1">
        <v>9</v>
      </c>
      <c r="R92" s="1">
        <v>200010018337</v>
      </c>
      <c r="S92" s="1">
        <v>29</v>
      </c>
      <c r="T92" s="1">
        <v>1</v>
      </c>
      <c r="U92" s="1">
        <v>1</v>
      </c>
    </row>
    <row r="93" spans="1:21" x14ac:dyDescent="0.25">
      <c r="A93" s="4">
        <v>44774</v>
      </c>
      <c r="B93" s="5">
        <v>0.81680555555555556</v>
      </c>
      <c r="C93" s="1">
        <v>1410</v>
      </c>
      <c r="D93" s="1">
        <v>13002561</v>
      </c>
      <c r="E93" s="1">
        <v>13</v>
      </c>
      <c r="F93" s="1">
        <v>22589</v>
      </c>
      <c r="G93" s="1" t="s">
        <v>18</v>
      </c>
      <c r="H93" s="1">
        <v>18</v>
      </c>
      <c r="I93" s="1">
        <v>72392</v>
      </c>
      <c r="J93" s="1" t="s">
        <v>157</v>
      </c>
      <c r="K93" s="1" t="s">
        <v>48</v>
      </c>
      <c r="L93" s="1" t="s">
        <v>158</v>
      </c>
      <c r="M93" s="1">
        <v>1</v>
      </c>
      <c r="N93" s="2">
        <v>103.5</v>
      </c>
      <c r="O93" s="3">
        <v>122</v>
      </c>
      <c r="P93" s="1">
        <v>6</v>
      </c>
      <c r="Q93" s="1">
        <v>9</v>
      </c>
      <c r="R93" s="1">
        <v>200010015192</v>
      </c>
      <c r="S93" s="1">
        <v>29</v>
      </c>
      <c r="T93" s="1">
        <v>1</v>
      </c>
      <c r="U93" s="1">
        <v>2</v>
      </c>
    </row>
    <row r="94" spans="1:21" x14ac:dyDescent="0.25">
      <c r="A94" s="4">
        <v>44774</v>
      </c>
      <c r="B94" s="5">
        <v>0.46287037037037038</v>
      </c>
      <c r="C94" s="1">
        <v>1301</v>
      </c>
      <c r="D94" s="1">
        <v>13002561</v>
      </c>
      <c r="E94" s="1">
        <v>13</v>
      </c>
      <c r="F94" s="1">
        <v>22589</v>
      </c>
      <c r="G94" s="1" t="s">
        <v>18</v>
      </c>
      <c r="H94" s="1">
        <v>18</v>
      </c>
      <c r="I94" s="1">
        <v>17182</v>
      </c>
      <c r="J94" s="1" t="s">
        <v>159</v>
      </c>
      <c r="K94" s="1" t="s">
        <v>114</v>
      </c>
      <c r="L94" s="1" t="s">
        <v>160</v>
      </c>
      <c r="M94" s="1">
        <v>1</v>
      </c>
      <c r="N94" s="2">
        <v>525</v>
      </c>
      <c r="O94" s="3">
        <v>678</v>
      </c>
      <c r="P94" s="1">
        <v>20.21</v>
      </c>
      <c r="Q94" s="1">
        <v>925</v>
      </c>
      <c r="R94" s="1">
        <v>200000000492</v>
      </c>
      <c r="S94" s="1">
        <v>29</v>
      </c>
      <c r="T94" s="1">
        <v>1</v>
      </c>
      <c r="U94" s="1">
        <v>1</v>
      </c>
    </row>
    <row r="95" spans="1:21" x14ac:dyDescent="0.25">
      <c r="A95" s="4">
        <v>44774</v>
      </c>
      <c r="B95" s="5">
        <v>0.46287037037037038</v>
      </c>
      <c r="C95" s="1">
        <v>1301</v>
      </c>
      <c r="D95" s="1">
        <v>13002561</v>
      </c>
      <c r="E95" s="1">
        <v>13</v>
      </c>
      <c r="F95" s="1">
        <v>22589</v>
      </c>
      <c r="G95" s="1" t="s">
        <v>18</v>
      </c>
      <c r="H95" s="1">
        <v>18</v>
      </c>
      <c r="I95" s="1">
        <v>26900</v>
      </c>
      <c r="J95" s="1" t="s">
        <v>161</v>
      </c>
      <c r="K95" s="1" t="s">
        <v>114</v>
      </c>
      <c r="L95" s="1" t="s">
        <v>162</v>
      </c>
      <c r="M95" s="1">
        <v>1</v>
      </c>
      <c r="N95" s="2">
        <v>190</v>
      </c>
      <c r="O95" s="3">
        <v>295</v>
      </c>
      <c r="P95" s="1">
        <v>8.7899999999999991</v>
      </c>
      <c r="Q95" s="1">
        <v>925</v>
      </c>
      <c r="R95" s="1">
        <v>200000000492</v>
      </c>
      <c r="S95" s="1">
        <v>29</v>
      </c>
      <c r="T95" s="1">
        <v>1</v>
      </c>
      <c r="U95" s="1">
        <v>2</v>
      </c>
    </row>
    <row r="96" spans="1:21" x14ac:dyDescent="0.25">
      <c r="A96" s="4">
        <v>44774</v>
      </c>
      <c r="B96" s="5">
        <v>0.46440972222222221</v>
      </c>
      <c r="C96" s="1">
        <v>1302</v>
      </c>
      <c r="D96" s="1">
        <v>13002561</v>
      </c>
      <c r="E96" s="1">
        <v>13</v>
      </c>
      <c r="F96" s="1">
        <v>22589</v>
      </c>
      <c r="G96" s="1" t="s">
        <v>18</v>
      </c>
      <c r="H96" s="1">
        <v>15</v>
      </c>
      <c r="I96" s="1">
        <v>30028</v>
      </c>
      <c r="J96" s="1" t="s">
        <v>163</v>
      </c>
      <c r="K96" s="1" t="s">
        <v>48</v>
      </c>
      <c r="L96" s="1" t="s">
        <v>164</v>
      </c>
      <c r="M96" s="1">
        <v>2</v>
      </c>
      <c r="N96" s="2">
        <v>10.01</v>
      </c>
      <c r="O96" s="3">
        <v>17</v>
      </c>
      <c r="P96" s="1">
        <v>3</v>
      </c>
      <c r="Q96" s="1">
        <v>9</v>
      </c>
      <c r="R96" s="1">
        <v>200010019633</v>
      </c>
      <c r="S96" s="1">
        <v>29</v>
      </c>
      <c r="T96" s="1">
        <v>1</v>
      </c>
      <c r="U96" s="1">
        <v>1</v>
      </c>
    </row>
    <row r="97" spans="1:21" x14ac:dyDescent="0.25">
      <c r="A97" s="4">
        <v>44774</v>
      </c>
      <c r="B97" s="5">
        <v>0.60392361111111115</v>
      </c>
      <c r="C97" s="1">
        <v>1356</v>
      </c>
      <c r="D97" s="1">
        <v>13002561</v>
      </c>
      <c r="E97" s="1">
        <v>13</v>
      </c>
      <c r="F97" s="1">
        <v>22589</v>
      </c>
      <c r="G97" s="1" t="s">
        <v>18</v>
      </c>
      <c r="H97" s="1">
        <v>18</v>
      </c>
      <c r="I97" s="1">
        <v>30028</v>
      </c>
      <c r="J97" s="1" t="s">
        <v>163</v>
      </c>
      <c r="K97" s="1" t="s">
        <v>48</v>
      </c>
      <c r="L97" s="1" t="s">
        <v>164</v>
      </c>
      <c r="M97" s="1">
        <v>1</v>
      </c>
      <c r="N97" s="2">
        <v>10.01</v>
      </c>
      <c r="O97" s="3">
        <v>17</v>
      </c>
      <c r="P97" s="1">
        <v>0</v>
      </c>
      <c r="Q97" s="1" t="s">
        <v>22</v>
      </c>
      <c r="R97" s="1" t="s">
        <v>22</v>
      </c>
      <c r="S97" s="1">
        <v>29</v>
      </c>
      <c r="T97" s="1">
        <v>1</v>
      </c>
      <c r="U97" s="1">
        <v>1</v>
      </c>
    </row>
    <row r="98" spans="1:21" x14ac:dyDescent="0.25">
      <c r="A98" s="4">
        <v>44774</v>
      </c>
      <c r="B98" s="5">
        <v>0.46513888888888888</v>
      </c>
      <c r="C98" s="1">
        <v>1303</v>
      </c>
      <c r="D98" s="1">
        <v>13002561</v>
      </c>
      <c r="E98" s="1">
        <v>13</v>
      </c>
      <c r="F98" s="1">
        <v>22589</v>
      </c>
      <c r="G98" s="1" t="s">
        <v>18</v>
      </c>
      <c r="H98" s="1">
        <v>15</v>
      </c>
      <c r="I98" s="1">
        <v>371526</v>
      </c>
      <c r="J98" s="1" t="s">
        <v>165</v>
      </c>
      <c r="K98" s="1" t="s">
        <v>20</v>
      </c>
      <c r="L98" s="1" t="s">
        <v>166</v>
      </c>
      <c r="M98" s="1">
        <v>1</v>
      </c>
      <c r="N98" s="2">
        <v>27.12</v>
      </c>
      <c r="O98" s="3">
        <v>33</v>
      </c>
      <c r="P98" s="1">
        <v>1</v>
      </c>
      <c r="Q98" s="1">
        <v>9</v>
      </c>
      <c r="R98" s="1">
        <v>200010000167</v>
      </c>
      <c r="S98" s="1">
        <v>29</v>
      </c>
      <c r="T98" s="1">
        <v>1</v>
      </c>
      <c r="U98" s="1">
        <v>1</v>
      </c>
    </row>
    <row r="99" spans="1:21" x14ac:dyDescent="0.25">
      <c r="A99" s="4">
        <v>44774</v>
      </c>
      <c r="B99" s="5">
        <v>0.46513888888888888</v>
      </c>
      <c r="C99" s="1">
        <v>1303</v>
      </c>
      <c r="D99" s="1">
        <v>13002561</v>
      </c>
      <c r="E99" s="1">
        <v>13</v>
      </c>
      <c r="F99" s="1">
        <v>22589</v>
      </c>
      <c r="G99" s="1" t="s">
        <v>18</v>
      </c>
      <c r="H99" s="1">
        <v>15</v>
      </c>
      <c r="I99" s="1">
        <v>371526</v>
      </c>
      <c r="J99" s="1" t="s">
        <v>165</v>
      </c>
      <c r="K99" s="1" t="s">
        <v>58</v>
      </c>
      <c r="L99" s="1" t="s">
        <v>166</v>
      </c>
      <c r="M99" s="1">
        <v>1</v>
      </c>
      <c r="N99" s="2">
        <v>27.06</v>
      </c>
      <c r="O99" s="3">
        <v>33.54</v>
      </c>
      <c r="P99" s="1">
        <v>1.54</v>
      </c>
      <c r="Q99" s="1">
        <v>9</v>
      </c>
      <c r="R99" s="1">
        <v>200010000167</v>
      </c>
      <c r="S99" s="1">
        <v>29</v>
      </c>
      <c r="T99" s="1">
        <v>1</v>
      </c>
      <c r="U99" s="1">
        <v>2</v>
      </c>
    </row>
    <row r="100" spans="1:21" x14ac:dyDescent="0.25">
      <c r="A100" s="4">
        <v>44774</v>
      </c>
      <c r="B100" s="5">
        <v>0.46856481481481482</v>
      </c>
      <c r="C100" s="1">
        <v>1304</v>
      </c>
      <c r="D100" s="1">
        <v>13002561</v>
      </c>
      <c r="E100" s="1">
        <v>13</v>
      </c>
      <c r="F100" s="1">
        <v>22589</v>
      </c>
      <c r="G100" s="1" t="s">
        <v>18</v>
      </c>
      <c r="H100" s="1">
        <v>15</v>
      </c>
      <c r="I100" s="1">
        <v>79666</v>
      </c>
      <c r="J100" s="1" t="s">
        <v>167</v>
      </c>
      <c r="K100" s="1" t="s">
        <v>48</v>
      </c>
      <c r="L100" s="1" t="s">
        <v>168</v>
      </c>
      <c r="M100" s="1">
        <v>1</v>
      </c>
      <c r="N100" s="2">
        <v>1380.93</v>
      </c>
      <c r="O100" s="3">
        <v>1727</v>
      </c>
      <c r="P100" s="1">
        <v>120</v>
      </c>
      <c r="Q100" s="1">
        <v>9</v>
      </c>
      <c r="R100" s="1">
        <v>200010026858</v>
      </c>
      <c r="S100" s="1">
        <v>29</v>
      </c>
      <c r="T100" s="1">
        <v>1</v>
      </c>
      <c r="U100" s="1">
        <v>1</v>
      </c>
    </row>
    <row r="101" spans="1:21" x14ac:dyDescent="0.25">
      <c r="A101" s="4">
        <v>44774</v>
      </c>
      <c r="B101" s="5">
        <v>0.46856481481481482</v>
      </c>
      <c r="C101" s="1">
        <v>1304</v>
      </c>
      <c r="D101" s="1">
        <v>13002561</v>
      </c>
      <c r="E101" s="1">
        <v>13</v>
      </c>
      <c r="F101" s="1">
        <v>22589</v>
      </c>
      <c r="G101" s="1" t="s">
        <v>18</v>
      </c>
      <c r="H101" s="1">
        <v>15</v>
      </c>
      <c r="I101" s="1">
        <v>435523</v>
      </c>
      <c r="J101" s="1" t="s">
        <v>169</v>
      </c>
      <c r="K101" s="1" t="s">
        <v>138</v>
      </c>
      <c r="L101" s="1" t="s">
        <v>170</v>
      </c>
      <c r="M101" s="1">
        <v>1</v>
      </c>
      <c r="N101" s="2">
        <v>27.94</v>
      </c>
      <c r="O101" s="3">
        <v>43</v>
      </c>
      <c r="P101" s="1">
        <v>3</v>
      </c>
      <c r="Q101" s="1">
        <v>9</v>
      </c>
      <c r="R101" s="1">
        <v>200010026858</v>
      </c>
      <c r="S101" s="1">
        <v>29</v>
      </c>
      <c r="T101" s="1">
        <v>1</v>
      </c>
      <c r="U101" s="1">
        <v>2</v>
      </c>
    </row>
    <row r="102" spans="1:21" x14ac:dyDescent="0.25">
      <c r="A102" s="4">
        <v>44774</v>
      </c>
      <c r="B102" s="5">
        <v>0.69579861111111108</v>
      </c>
      <c r="C102" s="1">
        <v>1378</v>
      </c>
      <c r="D102" s="1">
        <v>13002561</v>
      </c>
      <c r="E102" s="1">
        <v>13</v>
      </c>
      <c r="F102" s="1">
        <v>22589</v>
      </c>
      <c r="G102" s="1" t="s">
        <v>18</v>
      </c>
      <c r="H102" s="1">
        <v>15</v>
      </c>
      <c r="I102" s="1">
        <v>435523</v>
      </c>
      <c r="J102" s="1" t="s">
        <v>169</v>
      </c>
      <c r="K102" s="1" t="s">
        <v>138</v>
      </c>
      <c r="L102" s="1" t="s">
        <v>170</v>
      </c>
      <c r="M102" s="1">
        <v>1</v>
      </c>
      <c r="N102" s="2">
        <v>27.94</v>
      </c>
      <c r="O102" s="3">
        <v>43</v>
      </c>
      <c r="P102" s="1">
        <v>3</v>
      </c>
      <c r="Q102" s="1">
        <v>9</v>
      </c>
      <c r="R102" s="1">
        <v>200010000750</v>
      </c>
      <c r="S102" s="1">
        <v>29</v>
      </c>
      <c r="T102" s="1">
        <v>1</v>
      </c>
      <c r="U102" s="1">
        <v>3</v>
      </c>
    </row>
    <row r="103" spans="1:21" x14ac:dyDescent="0.25">
      <c r="A103" s="4">
        <v>44774</v>
      </c>
      <c r="B103" s="5">
        <v>0.69579861111111108</v>
      </c>
      <c r="C103" s="1">
        <v>1378</v>
      </c>
      <c r="D103" s="1">
        <v>13002561</v>
      </c>
      <c r="E103" s="1">
        <v>13</v>
      </c>
      <c r="F103" s="1">
        <v>22589</v>
      </c>
      <c r="G103" s="1" t="s">
        <v>18</v>
      </c>
      <c r="H103" s="1">
        <v>15</v>
      </c>
      <c r="I103" s="1">
        <v>435523</v>
      </c>
      <c r="J103" s="1" t="s">
        <v>169</v>
      </c>
      <c r="K103" s="1" t="s">
        <v>138</v>
      </c>
      <c r="L103" s="1" t="s">
        <v>170</v>
      </c>
      <c r="M103" s="1">
        <v>1</v>
      </c>
      <c r="N103" s="2">
        <v>27.94</v>
      </c>
      <c r="O103" s="3">
        <v>43</v>
      </c>
      <c r="P103" s="1">
        <v>3</v>
      </c>
      <c r="Q103" s="1">
        <v>9</v>
      </c>
      <c r="R103" s="1">
        <v>200010000750</v>
      </c>
      <c r="S103" s="1">
        <v>29</v>
      </c>
      <c r="T103" s="1">
        <v>1</v>
      </c>
      <c r="U103" s="1">
        <v>4</v>
      </c>
    </row>
    <row r="104" spans="1:21" x14ac:dyDescent="0.25">
      <c r="A104" s="4">
        <v>44774</v>
      </c>
      <c r="B104" s="5">
        <v>0.47072916666666664</v>
      </c>
      <c r="C104" s="1">
        <v>1305</v>
      </c>
      <c r="D104" s="1">
        <v>13002561</v>
      </c>
      <c r="E104" s="1">
        <v>13</v>
      </c>
      <c r="F104" s="1">
        <v>22589</v>
      </c>
      <c r="G104" s="1" t="s">
        <v>18</v>
      </c>
      <c r="H104" s="1">
        <v>18</v>
      </c>
      <c r="I104" s="1">
        <v>82080</v>
      </c>
      <c r="J104" s="1" t="s">
        <v>171</v>
      </c>
      <c r="K104" s="1" t="s">
        <v>20</v>
      </c>
      <c r="L104" s="1" t="s">
        <v>172</v>
      </c>
      <c r="M104" s="1">
        <v>1</v>
      </c>
      <c r="N104" s="2">
        <v>56.34</v>
      </c>
      <c r="O104" s="3">
        <v>70</v>
      </c>
      <c r="P104" s="1">
        <v>3</v>
      </c>
      <c r="Q104" s="1">
        <v>9</v>
      </c>
      <c r="R104" s="1">
        <v>200010005191</v>
      </c>
      <c r="S104" s="1">
        <v>29</v>
      </c>
      <c r="T104" s="1">
        <v>1</v>
      </c>
      <c r="U104" s="1">
        <v>1</v>
      </c>
    </row>
    <row r="105" spans="1:21" x14ac:dyDescent="0.25">
      <c r="A105" s="4">
        <v>44774</v>
      </c>
      <c r="B105" s="5">
        <v>0.47605324074074074</v>
      </c>
      <c r="C105" s="1">
        <v>1306</v>
      </c>
      <c r="D105" s="1">
        <v>13002561</v>
      </c>
      <c r="E105" s="1">
        <v>13</v>
      </c>
      <c r="F105" s="1">
        <v>22589</v>
      </c>
      <c r="G105" s="1" t="s">
        <v>18</v>
      </c>
      <c r="H105" s="1">
        <v>15</v>
      </c>
      <c r="I105" s="1">
        <v>48192</v>
      </c>
      <c r="J105" s="1" t="s">
        <v>173</v>
      </c>
      <c r="K105" s="1" t="s">
        <v>55</v>
      </c>
      <c r="L105" s="1" t="s">
        <v>174</v>
      </c>
      <c r="M105" s="1">
        <v>1</v>
      </c>
      <c r="N105" s="2">
        <v>22.43</v>
      </c>
      <c r="O105" s="3">
        <v>37</v>
      </c>
      <c r="P105" s="1">
        <v>0</v>
      </c>
      <c r="Q105" s="1" t="s">
        <v>22</v>
      </c>
      <c r="R105" s="1" t="s">
        <v>22</v>
      </c>
      <c r="S105" s="1">
        <v>29</v>
      </c>
      <c r="T105" s="1">
        <v>1</v>
      </c>
      <c r="U105" s="1">
        <v>1</v>
      </c>
    </row>
    <row r="106" spans="1:21" x14ac:dyDescent="0.25">
      <c r="A106" s="4">
        <v>44774</v>
      </c>
      <c r="B106" s="5">
        <v>0.47800925925925924</v>
      </c>
      <c r="C106" s="1">
        <v>1307</v>
      </c>
      <c r="D106" s="1">
        <v>13002561</v>
      </c>
      <c r="E106" s="1">
        <v>13</v>
      </c>
      <c r="F106" s="1">
        <v>22589</v>
      </c>
      <c r="G106" s="1" t="s">
        <v>18</v>
      </c>
      <c r="H106" s="1">
        <v>18</v>
      </c>
      <c r="I106" s="1">
        <v>345211</v>
      </c>
      <c r="J106" s="1" t="s">
        <v>89</v>
      </c>
      <c r="K106" s="1" t="s">
        <v>48</v>
      </c>
      <c r="L106" s="1" t="s">
        <v>90</v>
      </c>
      <c r="M106" s="1">
        <v>1</v>
      </c>
      <c r="N106" s="2">
        <v>25.71</v>
      </c>
      <c r="O106" s="3">
        <v>31</v>
      </c>
      <c r="P106" s="1">
        <v>1</v>
      </c>
      <c r="Q106" s="1">
        <v>9</v>
      </c>
      <c r="R106" s="1">
        <v>200010000452</v>
      </c>
      <c r="S106" s="1">
        <v>29</v>
      </c>
      <c r="T106" s="1">
        <v>1</v>
      </c>
      <c r="U106" s="1">
        <v>2</v>
      </c>
    </row>
    <row r="107" spans="1:21" x14ac:dyDescent="0.25">
      <c r="A107" s="4">
        <v>44774</v>
      </c>
      <c r="B107" s="5">
        <v>0.47800925925925924</v>
      </c>
      <c r="C107" s="1">
        <v>1307</v>
      </c>
      <c r="D107" s="1">
        <v>13002561</v>
      </c>
      <c r="E107" s="1">
        <v>13</v>
      </c>
      <c r="F107" s="1">
        <v>22589</v>
      </c>
      <c r="G107" s="1" t="s">
        <v>18</v>
      </c>
      <c r="H107" s="1">
        <v>18</v>
      </c>
      <c r="I107" s="1">
        <v>345211</v>
      </c>
      <c r="J107" s="1" t="s">
        <v>89</v>
      </c>
      <c r="K107" s="1" t="s">
        <v>48</v>
      </c>
      <c r="L107" s="1" t="s">
        <v>90</v>
      </c>
      <c r="M107" s="1">
        <v>1</v>
      </c>
      <c r="N107" s="2">
        <v>25.71</v>
      </c>
      <c r="O107" s="3">
        <v>31</v>
      </c>
      <c r="P107" s="1">
        <v>1</v>
      </c>
      <c r="Q107" s="1">
        <v>9</v>
      </c>
      <c r="R107" s="1">
        <v>200010000452</v>
      </c>
      <c r="S107" s="1">
        <v>29</v>
      </c>
      <c r="T107" s="1">
        <v>1</v>
      </c>
      <c r="U107" s="1">
        <v>3</v>
      </c>
    </row>
    <row r="108" spans="1:21" x14ac:dyDescent="0.25">
      <c r="A108" s="4">
        <v>44774</v>
      </c>
      <c r="B108" s="5">
        <v>0.50760416666666663</v>
      </c>
      <c r="C108" s="1">
        <v>1320</v>
      </c>
      <c r="D108" s="1">
        <v>13002561</v>
      </c>
      <c r="E108" s="1">
        <v>13</v>
      </c>
      <c r="F108" s="1">
        <v>22589</v>
      </c>
      <c r="G108" s="1" t="s">
        <v>18</v>
      </c>
      <c r="H108" s="1">
        <v>15</v>
      </c>
      <c r="I108" s="1">
        <v>345211</v>
      </c>
      <c r="J108" s="1" t="s">
        <v>89</v>
      </c>
      <c r="K108" s="1" t="s">
        <v>48</v>
      </c>
      <c r="L108" s="1" t="s">
        <v>90</v>
      </c>
      <c r="M108" s="1">
        <v>1</v>
      </c>
      <c r="N108" s="2">
        <v>25.71</v>
      </c>
      <c r="O108" s="3">
        <v>31</v>
      </c>
      <c r="P108" s="1">
        <v>1</v>
      </c>
      <c r="Q108" s="1">
        <v>9</v>
      </c>
      <c r="R108" s="1">
        <v>200010018337</v>
      </c>
      <c r="S108" s="1">
        <v>29</v>
      </c>
      <c r="T108" s="1">
        <v>1</v>
      </c>
      <c r="U108" s="1">
        <v>2</v>
      </c>
    </row>
    <row r="109" spans="1:21" x14ac:dyDescent="0.25">
      <c r="A109" s="4">
        <v>44774</v>
      </c>
      <c r="B109" s="5">
        <v>0.50760416666666663</v>
      </c>
      <c r="C109" s="1">
        <v>1320</v>
      </c>
      <c r="D109" s="1">
        <v>13002561</v>
      </c>
      <c r="E109" s="1">
        <v>13</v>
      </c>
      <c r="F109" s="1">
        <v>22589</v>
      </c>
      <c r="G109" s="1" t="s">
        <v>18</v>
      </c>
      <c r="H109" s="1">
        <v>15</v>
      </c>
      <c r="I109" s="1">
        <v>345211</v>
      </c>
      <c r="J109" s="1" t="s">
        <v>89</v>
      </c>
      <c r="K109" s="1" t="s">
        <v>48</v>
      </c>
      <c r="L109" s="1" t="s">
        <v>90</v>
      </c>
      <c r="M109" s="1">
        <v>1</v>
      </c>
      <c r="N109" s="2">
        <v>25.71</v>
      </c>
      <c r="O109" s="3">
        <v>31</v>
      </c>
      <c r="P109" s="1">
        <v>1</v>
      </c>
      <c r="Q109" s="1">
        <v>9</v>
      </c>
      <c r="R109" s="1">
        <v>200010018337</v>
      </c>
      <c r="S109" s="1">
        <v>29</v>
      </c>
      <c r="T109" s="1">
        <v>1</v>
      </c>
      <c r="U109" s="1">
        <v>3</v>
      </c>
    </row>
    <row r="110" spans="1:21" x14ac:dyDescent="0.25">
      <c r="A110" s="4">
        <v>44774</v>
      </c>
      <c r="B110" s="5">
        <v>0.53487268518518516</v>
      </c>
      <c r="C110" s="1">
        <v>1334</v>
      </c>
      <c r="D110" s="1">
        <v>13002561</v>
      </c>
      <c r="E110" s="1">
        <v>13</v>
      </c>
      <c r="F110" s="1">
        <v>22589</v>
      </c>
      <c r="G110" s="1" t="s">
        <v>18</v>
      </c>
      <c r="H110" s="1">
        <v>15</v>
      </c>
      <c r="I110" s="1">
        <v>345211</v>
      </c>
      <c r="J110" s="1" t="s">
        <v>89</v>
      </c>
      <c r="K110" s="1" t="s">
        <v>48</v>
      </c>
      <c r="L110" s="1" t="s">
        <v>90</v>
      </c>
      <c r="M110" s="1">
        <v>1</v>
      </c>
      <c r="N110" s="2">
        <v>25.71</v>
      </c>
      <c r="O110" s="3">
        <v>31</v>
      </c>
      <c r="P110" s="1">
        <v>1</v>
      </c>
      <c r="Q110" s="1">
        <v>9</v>
      </c>
      <c r="R110" s="1">
        <v>200010005104</v>
      </c>
      <c r="S110" s="1">
        <v>29</v>
      </c>
      <c r="T110" s="1">
        <v>1</v>
      </c>
      <c r="U110" s="1">
        <v>1</v>
      </c>
    </row>
    <row r="111" spans="1:21" x14ac:dyDescent="0.25">
      <c r="A111" s="4">
        <v>44774</v>
      </c>
      <c r="B111" s="5">
        <v>0.47898148148148151</v>
      </c>
      <c r="C111" s="1">
        <v>1308</v>
      </c>
      <c r="D111" s="1">
        <v>13002561</v>
      </c>
      <c r="E111" s="1">
        <v>13</v>
      </c>
      <c r="F111" s="1">
        <v>22589</v>
      </c>
      <c r="G111" s="1" t="s">
        <v>18</v>
      </c>
      <c r="H111" s="1">
        <v>18</v>
      </c>
      <c r="I111" s="1">
        <v>423216</v>
      </c>
      <c r="J111" s="1" t="s">
        <v>175</v>
      </c>
      <c r="K111" s="1" t="s">
        <v>48</v>
      </c>
      <c r="L111" s="1" t="s">
        <v>176</v>
      </c>
      <c r="M111" s="1">
        <v>1</v>
      </c>
      <c r="N111" s="2">
        <v>275.52</v>
      </c>
      <c r="O111" s="3">
        <v>419</v>
      </c>
      <c r="P111" s="1">
        <v>62</v>
      </c>
      <c r="Q111" s="1">
        <v>27</v>
      </c>
      <c r="R111" s="1">
        <v>200010000015</v>
      </c>
      <c r="S111" s="1">
        <v>29</v>
      </c>
      <c r="T111" s="1">
        <v>1</v>
      </c>
      <c r="U111" s="1">
        <v>1</v>
      </c>
    </row>
    <row r="112" spans="1:21" x14ac:dyDescent="0.25">
      <c r="A112" s="4">
        <v>44774</v>
      </c>
      <c r="B112" s="5">
        <v>0.48202546296296295</v>
      </c>
      <c r="C112" s="1">
        <v>1309</v>
      </c>
      <c r="D112" s="1">
        <v>13002561</v>
      </c>
      <c r="E112" s="1">
        <v>13</v>
      </c>
      <c r="F112" s="1">
        <v>22589</v>
      </c>
      <c r="G112" s="1" t="s">
        <v>18</v>
      </c>
      <c r="H112" s="1">
        <v>18</v>
      </c>
      <c r="I112" s="1">
        <v>75429</v>
      </c>
      <c r="J112" s="1" t="s">
        <v>177</v>
      </c>
      <c r="K112" s="1" t="s">
        <v>26</v>
      </c>
      <c r="L112" s="1" t="s">
        <v>66</v>
      </c>
      <c r="M112" s="1">
        <v>1</v>
      </c>
      <c r="N112" s="2">
        <v>122.18</v>
      </c>
      <c r="O112" s="3">
        <v>144</v>
      </c>
      <c r="P112" s="1">
        <v>7</v>
      </c>
      <c r="Q112" s="1">
        <v>9</v>
      </c>
      <c r="R112" s="1">
        <v>200010002868</v>
      </c>
      <c r="S112" s="1">
        <v>29</v>
      </c>
      <c r="T112" s="1">
        <v>1</v>
      </c>
      <c r="U112" s="1">
        <v>1</v>
      </c>
    </row>
    <row r="113" spans="1:21" x14ac:dyDescent="0.25">
      <c r="A113" s="4">
        <v>44774</v>
      </c>
      <c r="B113" s="5">
        <v>0.48202546296296295</v>
      </c>
      <c r="C113" s="1">
        <v>1309</v>
      </c>
      <c r="D113" s="1">
        <v>13002561</v>
      </c>
      <c r="E113" s="1">
        <v>13</v>
      </c>
      <c r="F113" s="1">
        <v>22589</v>
      </c>
      <c r="G113" s="1" t="s">
        <v>18</v>
      </c>
      <c r="H113" s="1">
        <v>18</v>
      </c>
      <c r="I113" s="1">
        <v>75429</v>
      </c>
      <c r="J113" s="1" t="s">
        <v>177</v>
      </c>
      <c r="K113" s="1" t="s">
        <v>26</v>
      </c>
      <c r="L113" s="1" t="s">
        <v>66</v>
      </c>
      <c r="M113" s="1">
        <v>1</v>
      </c>
      <c r="N113" s="2">
        <v>122.18</v>
      </c>
      <c r="O113" s="3">
        <v>144</v>
      </c>
      <c r="P113" s="1">
        <v>7</v>
      </c>
      <c r="Q113" s="1">
        <v>9</v>
      </c>
      <c r="R113" s="1">
        <v>200010002868</v>
      </c>
      <c r="S113" s="1">
        <v>29</v>
      </c>
      <c r="T113" s="1">
        <v>1</v>
      </c>
      <c r="U113" s="1">
        <v>2</v>
      </c>
    </row>
    <row r="114" spans="1:21" x14ac:dyDescent="0.25">
      <c r="A114" s="4">
        <v>44774</v>
      </c>
      <c r="B114" s="5">
        <v>0.48420138888888886</v>
      </c>
      <c r="C114" s="1">
        <v>1310</v>
      </c>
      <c r="D114" s="1">
        <v>13002561</v>
      </c>
      <c r="E114" s="1">
        <v>13</v>
      </c>
      <c r="F114" s="1">
        <v>22589</v>
      </c>
      <c r="G114" s="1" t="s">
        <v>18</v>
      </c>
      <c r="H114" s="1">
        <v>18</v>
      </c>
      <c r="I114" s="1">
        <v>1877</v>
      </c>
      <c r="J114" s="1" t="s">
        <v>178</v>
      </c>
      <c r="K114" s="1" t="s">
        <v>31</v>
      </c>
      <c r="L114" s="1" t="s">
        <v>179</v>
      </c>
      <c r="M114" s="1">
        <v>1</v>
      </c>
      <c r="N114" s="2">
        <v>831.06</v>
      </c>
      <c r="O114" s="3">
        <v>1039</v>
      </c>
      <c r="P114" s="1">
        <v>0</v>
      </c>
      <c r="Q114" s="1" t="s">
        <v>22</v>
      </c>
      <c r="R114" s="1" t="s">
        <v>22</v>
      </c>
      <c r="S114" s="1">
        <v>29</v>
      </c>
      <c r="T114" s="1">
        <v>1</v>
      </c>
      <c r="U114" s="1">
        <v>1</v>
      </c>
    </row>
    <row r="115" spans="1:21" x14ac:dyDescent="0.25">
      <c r="A115" s="4">
        <v>44774</v>
      </c>
      <c r="B115" s="5">
        <v>0.48420138888888886</v>
      </c>
      <c r="C115" s="1">
        <v>1310</v>
      </c>
      <c r="D115" s="1">
        <v>13002561</v>
      </c>
      <c r="E115" s="1">
        <v>13</v>
      </c>
      <c r="F115" s="1">
        <v>22589</v>
      </c>
      <c r="G115" s="1" t="s">
        <v>18</v>
      </c>
      <c r="H115" s="1">
        <v>18</v>
      </c>
      <c r="I115" s="1">
        <v>3364</v>
      </c>
      <c r="J115" s="1" t="s">
        <v>180</v>
      </c>
      <c r="K115" s="1" t="s">
        <v>20</v>
      </c>
      <c r="L115" s="1" t="s">
        <v>181</v>
      </c>
      <c r="M115" s="1">
        <v>1</v>
      </c>
      <c r="N115" s="2">
        <v>504.19</v>
      </c>
      <c r="O115" s="3">
        <v>651</v>
      </c>
      <c r="P115" s="1">
        <v>0</v>
      </c>
      <c r="Q115" s="1" t="s">
        <v>22</v>
      </c>
      <c r="R115" s="1" t="s">
        <v>22</v>
      </c>
      <c r="S115" s="1">
        <v>29</v>
      </c>
      <c r="T115" s="1">
        <v>1</v>
      </c>
      <c r="U115" s="1">
        <v>2</v>
      </c>
    </row>
    <row r="116" spans="1:21" x14ac:dyDescent="0.25">
      <c r="A116" s="4">
        <v>44774</v>
      </c>
      <c r="B116" s="5">
        <v>0.48499999999999999</v>
      </c>
      <c r="C116" s="1">
        <v>1311</v>
      </c>
      <c r="D116" s="1">
        <v>13002561</v>
      </c>
      <c r="E116" s="1">
        <v>13</v>
      </c>
      <c r="F116" s="1">
        <v>22589</v>
      </c>
      <c r="G116" s="1" t="s">
        <v>18</v>
      </c>
      <c r="H116" s="1">
        <v>18</v>
      </c>
      <c r="I116" s="1">
        <v>575493</v>
      </c>
      <c r="J116" s="1" t="s">
        <v>182</v>
      </c>
      <c r="K116" s="1" t="s">
        <v>31</v>
      </c>
      <c r="L116" s="1" t="s">
        <v>183</v>
      </c>
      <c r="M116" s="1">
        <v>1</v>
      </c>
      <c r="N116" s="2">
        <v>50.74</v>
      </c>
      <c r="O116" s="3">
        <v>83</v>
      </c>
      <c r="P116" s="1">
        <v>0</v>
      </c>
      <c r="Q116" s="1" t="s">
        <v>22</v>
      </c>
      <c r="R116" s="1" t="s">
        <v>22</v>
      </c>
      <c r="S116" s="1">
        <v>29</v>
      </c>
      <c r="T116" s="1">
        <v>1</v>
      </c>
      <c r="U116" s="1">
        <v>1</v>
      </c>
    </row>
    <row r="117" spans="1:21" x14ac:dyDescent="0.25">
      <c r="A117" s="4">
        <v>44774</v>
      </c>
      <c r="B117" s="5">
        <v>0.48900462962962965</v>
      </c>
      <c r="C117" s="1">
        <v>1312</v>
      </c>
      <c r="D117" s="1">
        <v>13002561</v>
      </c>
      <c r="E117" s="1">
        <v>13</v>
      </c>
      <c r="F117" s="1">
        <v>22589</v>
      </c>
      <c r="G117" s="1" t="s">
        <v>18</v>
      </c>
      <c r="H117" s="1">
        <v>18</v>
      </c>
      <c r="I117" s="1">
        <v>82364</v>
      </c>
      <c r="J117" s="1" t="s">
        <v>184</v>
      </c>
      <c r="K117" s="1" t="s">
        <v>20</v>
      </c>
      <c r="L117" s="1" t="s">
        <v>185</v>
      </c>
      <c r="M117" s="1">
        <v>1</v>
      </c>
      <c r="N117" s="2">
        <v>73.069999999999993</v>
      </c>
      <c r="O117" s="3">
        <v>115</v>
      </c>
      <c r="P117" s="1">
        <v>0</v>
      </c>
      <c r="Q117" s="1" t="s">
        <v>22</v>
      </c>
      <c r="R117" s="1" t="s">
        <v>22</v>
      </c>
      <c r="S117" s="1">
        <v>29</v>
      </c>
      <c r="T117" s="1">
        <v>1</v>
      </c>
      <c r="U117" s="1">
        <v>1</v>
      </c>
    </row>
    <row r="118" spans="1:21" x14ac:dyDescent="0.25">
      <c r="A118" s="4">
        <v>44774</v>
      </c>
      <c r="B118" s="5">
        <v>0.48900462962962965</v>
      </c>
      <c r="C118" s="1">
        <v>1312</v>
      </c>
      <c r="D118" s="1">
        <v>13002561</v>
      </c>
      <c r="E118" s="1">
        <v>13</v>
      </c>
      <c r="F118" s="1">
        <v>22589</v>
      </c>
      <c r="G118" s="1" t="s">
        <v>18</v>
      </c>
      <c r="H118" s="1">
        <v>18</v>
      </c>
      <c r="I118" s="1">
        <v>320000</v>
      </c>
      <c r="J118" s="1" t="s">
        <v>186</v>
      </c>
      <c r="K118" s="1" t="s">
        <v>48</v>
      </c>
      <c r="L118" s="1" t="s">
        <v>187</v>
      </c>
      <c r="M118" s="1">
        <v>1</v>
      </c>
      <c r="N118" s="2">
        <v>146.44999999999999</v>
      </c>
      <c r="O118" s="3">
        <v>227</v>
      </c>
      <c r="P118" s="1">
        <v>0</v>
      </c>
      <c r="Q118" s="1" t="s">
        <v>22</v>
      </c>
      <c r="R118" s="1" t="s">
        <v>22</v>
      </c>
      <c r="S118" s="1">
        <v>29</v>
      </c>
      <c r="T118" s="1">
        <v>1</v>
      </c>
      <c r="U118" s="1">
        <v>3</v>
      </c>
    </row>
    <row r="119" spans="1:21" x14ac:dyDescent="0.25">
      <c r="A119" s="4">
        <v>44774</v>
      </c>
      <c r="B119" s="5">
        <v>0.49210648148148151</v>
      </c>
      <c r="C119" s="1">
        <v>1313</v>
      </c>
      <c r="D119" s="1">
        <v>13002561</v>
      </c>
      <c r="E119" s="1">
        <v>13</v>
      </c>
      <c r="F119" s="1">
        <v>22589</v>
      </c>
      <c r="G119" s="1" t="s">
        <v>18</v>
      </c>
      <c r="H119" s="1">
        <v>18</v>
      </c>
      <c r="I119" s="1">
        <v>27591</v>
      </c>
      <c r="J119" s="1" t="s">
        <v>188</v>
      </c>
      <c r="K119" s="1" t="s">
        <v>31</v>
      </c>
      <c r="L119" s="1" t="s">
        <v>189</v>
      </c>
      <c r="M119" s="1">
        <v>1</v>
      </c>
      <c r="N119" s="2">
        <v>91.25</v>
      </c>
      <c r="O119" s="3">
        <v>111</v>
      </c>
      <c r="P119" s="1">
        <v>0</v>
      </c>
      <c r="Q119" s="1" t="s">
        <v>22</v>
      </c>
      <c r="R119" s="1" t="s">
        <v>22</v>
      </c>
      <c r="S119" s="1">
        <v>29</v>
      </c>
      <c r="T119" s="1">
        <v>1</v>
      </c>
      <c r="U119" s="1">
        <v>2</v>
      </c>
    </row>
    <row r="120" spans="1:21" x14ac:dyDescent="0.25">
      <c r="A120" s="4">
        <v>44774</v>
      </c>
      <c r="B120" s="5">
        <v>0.49210648148148151</v>
      </c>
      <c r="C120" s="1">
        <v>1313</v>
      </c>
      <c r="D120" s="1">
        <v>13002561</v>
      </c>
      <c r="E120" s="1">
        <v>13</v>
      </c>
      <c r="F120" s="1">
        <v>22589</v>
      </c>
      <c r="G120" s="1" t="s">
        <v>18</v>
      </c>
      <c r="H120" s="1">
        <v>18</v>
      </c>
      <c r="I120" s="1">
        <v>154472</v>
      </c>
      <c r="J120" s="1" t="s">
        <v>190</v>
      </c>
      <c r="K120" s="1" t="s">
        <v>31</v>
      </c>
      <c r="L120" s="1" t="s">
        <v>156</v>
      </c>
      <c r="M120" s="1">
        <v>1</v>
      </c>
      <c r="N120" s="2">
        <v>74.8</v>
      </c>
      <c r="O120" s="3">
        <v>92</v>
      </c>
      <c r="P120" s="1">
        <v>0</v>
      </c>
      <c r="Q120" s="1" t="s">
        <v>22</v>
      </c>
      <c r="R120" s="1" t="s">
        <v>22</v>
      </c>
      <c r="S120" s="1">
        <v>29</v>
      </c>
      <c r="T120" s="1">
        <v>1</v>
      </c>
      <c r="U120" s="1">
        <v>1</v>
      </c>
    </row>
    <row r="121" spans="1:21" x14ac:dyDescent="0.25">
      <c r="A121" s="4">
        <v>44774</v>
      </c>
      <c r="B121" s="5">
        <v>0.49380787037037038</v>
      </c>
      <c r="C121" s="1">
        <v>1314</v>
      </c>
      <c r="D121" s="1">
        <v>13002561</v>
      </c>
      <c r="E121" s="1">
        <v>13</v>
      </c>
      <c r="F121" s="1">
        <v>22589</v>
      </c>
      <c r="G121" s="1" t="s">
        <v>18</v>
      </c>
      <c r="H121" s="1">
        <v>15</v>
      </c>
      <c r="I121" s="1">
        <v>279</v>
      </c>
      <c r="J121" s="1" t="s">
        <v>191</v>
      </c>
      <c r="K121" s="1" t="s">
        <v>48</v>
      </c>
      <c r="L121" s="1" t="s">
        <v>192</v>
      </c>
      <c r="M121" s="1">
        <v>1</v>
      </c>
      <c r="N121" s="2">
        <v>77.959999999999994</v>
      </c>
      <c r="O121" s="3">
        <v>96</v>
      </c>
      <c r="P121" s="1">
        <v>4</v>
      </c>
      <c r="Q121" s="1">
        <v>9</v>
      </c>
      <c r="R121" s="1">
        <v>200010001041</v>
      </c>
      <c r="S121" s="1">
        <v>29</v>
      </c>
      <c r="T121" s="1">
        <v>1</v>
      </c>
      <c r="U121" s="1">
        <v>2</v>
      </c>
    </row>
    <row r="122" spans="1:21" x14ac:dyDescent="0.25">
      <c r="A122" s="4">
        <v>44774</v>
      </c>
      <c r="B122" s="5">
        <v>0.50760416666666663</v>
      </c>
      <c r="C122" s="1">
        <v>1320</v>
      </c>
      <c r="D122" s="1">
        <v>13002561</v>
      </c>
      <c r="E122" s="1">
        <v>13</v>
      </c>
      <c r="F122" s="1">
        <v>22589</v>
      </c>
      <c r="G122" s="1" t="s">
        <v>18</v>
      </c>
      <c r="H122" s="1">
        <v>15</v>
      </c>
      <c r="I122" s="1">
        <v>279</v>
      </c>
      <c r="J122" s="1" t="s">
        <v>191</v>
      </c>
      <c r="K122" s="1" t="s">
        <v>48</v>
      </c>
      <c r="L122" s="1" t="s">
        <v>192</v>
      </c>
      <c r="M122" s="1">
        <v>1</v>
      </c>
      <c r="N122" s="2">
        <v>77.959999999999994</v>
      </c>
      <c r="O122" s="3">
        <v>96</v>
      </c>
      <c r="P122" s="1">
        <v>4</v>
      </c>
      <c r="Q122" s="1">
        <v>9</v>
      </c>
      <c r="R122" s="1">
        <v>200010018337</v>
      </c>
      <c r="S122" s="1">
        <v>29</v>
      </c>
      <c r="T122" s="1">
        <v>1</v>
      </c>
      <c r="U122" s="1">
        <v>1</v>
      </c>
    </row>
    <row r="123" spans="1:21" x14ac:dyDescent="0.25">
      <c r="A123" s="4">
        <v>44774</v>
      </c>
      <c r="B123" s="5">
        <v>0.49380787037037038</v>
      </c>
      <c r="C123" s="1">
        <v>1314</v>
      </c>
      <c r="D123" s="1">
        <v>13002561</v>
      </c>
      <c r="E123" s="1">
        <v>13</v>
      </c>
      <c r="F123" s="1">
        <v>22589</v>
      </c>
      <c r="G123" s="1" t="s">
        <v>18</v>
      </c>
      <c r="H123" s="1">
        <v>15</v>
      </c>
      <c r="I123" s="1">
        <v>115628</v>
      </c>
      <c r="J123" s="1" t="s">
        <v>193</v>
      </c>
      <c r="K123" s="1" t="s">
        <v>48</v>
      </c>
      <c r="L123" s="1" t="s">
        <v>194</v>
      </c>
      <c r="M123" s="1">
        <v>1</v>
      </c>
      <c r="N123" s="2">
        <v>469.87</v>
      </c>
      <c r="O123" s="3">
        <v>621</v>
      </c>
      <c r="P123" s="1">
        <v>43</v>
      </c>
      <c r="Q123" s="1">
        <v>9</v>
      </c>
      <c r="R123" s="1">
        <v>200010001041</v>
      </c>
      <c r="S123" s="1">
        <v>29</v>
      </c>
      <c r="T123" s="1">
        <v>1</v>
      </c>
      <c r="U123" s="1">
        <v>3</v>
      </c>
    </row>
    <row r="124" spans="1:21" x14ac:dyDescent="0.25">
      <c r="A124" s="4">
        <v>44774</v>
      </c>
      <c r="B124" s="5">
        <v>0.49380787037037038</v>
      </c>
      <c r="C124" s="1">
        <v>1314</v>
      </c>
      <c r="D124" s="1">
        <v>13002561</v>
      </c>
      <c r="E124" s="1">
        <v>13</v>
      </c>
      <c r="F124" s="1">
        <v>22589</v>
      </c>
      <c r="G124" s="1" t="s">
        <v>18</v>
      </c>
      <c r="H124" s="1">
        <v>15</v>
      </c>
      <c r="I124" s="1">
        <v>74656</v>
      </c>
      <c r="J124" s="1" t="s">
        <v>195</v>
      </c>
      <c r="K124" s="1" t="s">
        <v>48</v>
      </c>
      <c r="L124" s="1" t="s">
        <v>73</v>
      </c>
      <c r="M124" s="1">
        <v>1</v>
      </c>
      <c r="N124" s="2">
        <v>400.74</v>
      </c>
      <c r="O124" s="3">
        <v>481</v>
      </c>
      <c r="P124" s="1">
        <v>33</v>
      </c>
      <c r="Q124" s="1">
        <v>9</v>
      </c>
      <c r="R124" s="1">
        <v>200010001041</v>
      </c>
      <c r="S124" s="1">
        <v>29</v>
      </c>
      <c r="T124" s="1">
        <v>1</v>
      </c>
      <c r="U124" s="1">
        <v>1</v>
      </c>
    </row>
    <row r="125" spans="1:21" x14ac:dyDescent="0.25">
      <c r="A125" s="4">
        <v>44774</v>
      </c>
      <c r="B125" s="5">
        <v>0.49626157407407406</v>
      </c>
      <c r="C125" s="1">
        <v>1315</v>
      </c>
      <c r="D125" s="1">
        <v>13002561</v>
      </c>
      <c r="E125" s="1">
        <v>13</v>
      </c>
      <c r="F125" s="1">
        <v>22589</v>
      </c>
      <c r="G125" s="1" t="s">
        <v>18</v>
      </c>
      <c r="H125" s="1">
        <v>15</v>
      </c>
      <c r="I125" s="1">
        <v>341505</v>
      </c>
      <c r="J125" s="1" t="s">
        <v>196</v>
      </c>
      <c r="K125" s="1" t="s">
        <v>26</v>
      </c>
      <c r="L125" s="1" t="s">
        <v>197</v>
      </c>
      <c r="M125" s="1">
        <v>1</v>
      </c>
      <c r="N125" s="2">
        <v>46</v>
      </c>
      <c r="O125" s="3">
        <v>70</v>
      </c>
      <c r="P125" s="1">
        <v>4</v>
      </c>
      <c r="Q125" s="1">
        <v>9</v>
      </c>
      <c r="R125" s="1">
        <v>200010013159</v>
      </c>
      <c r="S125" s="1">
        <v>29</v>
      </c>
      <c r="T125" s="1">
        <v>1</v>
      </c>
      <c r="U125" s="1">
        <v>1</v>
      </c>
    </row>
    <row r="126" spans="1:21" x14ac:dyDescent="0.25">
      <c r="A126" s="4">
        <v>44774</v>
      </c>
      <c r="B126" s="5">
        <v>0.69028935185185181</v>
      </c>
      <c r="C126" s="1">
        <v>1374</v>
      </c>
      <c r="D126" s="1">
        <v>13002561</v>
      </c>
      <c r="E126" s="1">
        <v>13</v>
      </c>
      <c r="F126" s="1">
        <v>22589</v>
      </c>
      <c r="G126" s="1" t="s">
        <v>18</v>
      </c>
      <c r="H126" s="1">
        <v>18</v>
      </c>
      <c r="I126" s="1">
        <v>341505</v>
      </c>
      <c r="J126" s="1" t="s">
        <v>196</v>
      </c>
      <c r="K126" s="1" t="s">
        <v>26</v>
      </c>
      <c r="L126" s="1" t="s">
        <v>197</v>
      </c>
      <c r="M126" s="1">
        <v>1</v>
      </c>
      <c r="N126" s="2">
        <v>46</v>
      </c>
      <c r="O126" s="3">
        <v>70</v>
      </c>
      <c r="P126" s="1">
        <v>4</v>
      </c>
      <c r="Q126" s="1">
        <v>9</v>
      </c>
      <c r="R126" s="1">
        <v>200010015179</v>
      </c>
      <c r="S126" s="1">
        <v>29</v>
      </c>
      <c r="T126" s="1">
        <v>1</v>
      </c>
      <c r="U126" s="1">
        <v>3</v>
      </c>
    </row>
    <row r="127" spans="1:21" x14ac:dyDescent="0.25">
      <c r="A127" s="4">
        <v>44774</v>
      </c>
      <c r="B127" s="5">
        <v>0.49626157407407406</v>
      </c>
      <c r="C127" s="1">
        <v>1315</v>
      </c>
      <c r="D127" s="1">
        <v>13002561</v>
      </c>
      <c r="E127" s="1">
        <v>13</v>
      </c>
      <c r="F127" s="1">
        <v>22589</v>
      </c>
      <c r="G127" s="1" t="s">
        <v>18</v>
      </c>
      <c r="H127" s="1">
        <v>15</v>
      </c>
      <c r="I127" s="1">
        <v>339175</v>
      </c>
      <c r="J127" s="1" t="s">
        <v>198</v>
      </c>
      <c r="K127" s="1" t="s">
        <v>31</v>
      </c>
      <c r="L127" s="1" t="s">
        <v>199</v>
      </c>
      <c r="M127" s="1">
        <v>1</v>
      </c>
      <c r="N127" s="2">
        <v>111.67</v>
      </c>
      <c r="O127" s="3">
        <v>134</v>
      </c>
      <c r="P127" s="1">
        <v>6</v>
      </c>
      <c r="Q127" s="1">
        <v>9</v>
      </c>
      <c r="R127" s="1">
        <v>200010013159</v>
      </c>
      <c r="S127" s="1">
        <v>29</v>
      </c>
      <c r="T127" s="1">
        <v>1</v>
      </c>
      <c r="U127" s="1">
        <v>2</v>
      </c>
    </row>
    <row r="128" spans="1:21" x14ac:dyDescent="0.25">
      <c r="A128" s="4">
        <v>44774</v>
      </c>
      <c r="B128" s="5">
        <v>0.49626157407407406</v>
      </c>
      <c r="C128" s="1">
        <v>1315</v>
      </c>
      <c r="D128" s="1">
        <v>13002561</v>
      </c>
      <c r="E128" s="1">
        <v>13</v>
      </c>
      <c r="F128" s="1">
        <v>22589</v>
      </c>
      <c r="G128" s="1" t="s">
        <v>18</v>
      </c>
      <c r="H128" s="1">
        <v>15</v>
      </c>
      <c r="I128" s="1">
        <v>339175</v>
      </c>
      <c r="J128" s="1" t="s">
        <v>198</v>
      </c>
      <c r="K128" s="1" t="s">
        <v>31</v>
      </c>
      <c r="L128" s="1" t="s">
        <v>199</v>
      </c>
      <c r="M128" s="1">
        <v>1</v>
      </c>
      <c r="N128" s="2">
        <v>111.67</v>
      </c>
      <c r="O128" s="3">
        <v>134</v>
      </c>
      <c r="P128" s="1">
        <v>6</v>
      </c>
      <c r="Q128" s="1">
        <v>9</v>
      </c>
      <c r="R128" s="1">
        <v>200010013159</v>
      </c>
      <c r="S128" s="1">
        <v>29</v>
      </c>
      <c r="T128" s="1">
        <v>1</v>
      </c>
      <c r="U128" s="1">
        <v>3</v>
      </c>
    </row>
    <row r="129" spans="1:21" x14ac:dyDescent="0.25">
      <c r="A129" s="4">
        <v>44774</v>
      </c>
      <c r="B129" s="5">
        <v>0.50112268518518521</v>
      </c>
      <c r="C129" s="1">
        <v>1316</v>
      </c>
      <c r="D129" s="1">
        <v>13002561</v>
      </c>
      <c r="E129" s="1">
        <v>13</v>
      </c>
      <c r="F129" s="1">
        <v>22589</v>
      </c>
      <c r="G129" s="1" t="s">
        <v>18</v>
      </c>
      <c r="H129" s="1">
        <v>15</v>
      </c>
      <c r="I129" s="1">
        <v>350561</v>
      </c>
      <c r="J129" s="1" t="s">
        <v>200</v>
      </c>
      <c r="K129" s="1" t="s">
        <v>138</v>
      </c>
      <c r="L129" s="1" t="s">
        <v>201</v>
      </c>
      <c r="M129" s="1">
        <v>0.21428570999999999</v>
      </c>
      <c r="N129" s="2">
        <v>1786.51</v>
      </c>
      <c r="O129" s="3">
        <v>2448</v>
      </c>
      <c r="P129" s="1">
        <v>51.57</v>
      </c>
      <c r="Q129" s="1">
        <v>9</v>
      </c>
      <c r="R129" s="1">
        <v>200010027861</v>
      </c>
      <c r="S129" s="1">
        <v>29</v>
      </c>
      <c r="T129" s="1">
        <v>1</v>
      </c>
      <c r="U129" s="1">
        <v>2</v>
      </c>
    </row>
    <row r="130" spans="1:21" x14ac:dyDescent="0.25">
      <c r="A130" s="4">
        <v>44774</v>
      </c>
      <c r="B130" s="5">
        <v>0.50112268518518521</v>
      </c>
      <c r="C130" s="1">
        <v>1316</v>
      </c>
      <c r="D130" s="1">
        <v>13002561</v>
      </c>
      <c r="E130" s="1">
        <v>13</v>
      </c>
      <c r="F130" s="1">
        <v>22589</v>
      </c>
      <c r="G130" s="1" t="s">
        <v>18</v>
      </c>
      <c r="H130" s="1">
        <v>15</v>
      </c>
      <c r="I130" s="1">
        <v>185061</v>
      </c>
      <c r="J130" s="1" t="s">
        <v>202</v>
      </c>
      <c r="K130" s="1" t="s">
        <v>20</v>
      </c>
      <c r="L130" s="1" t="s">
        <v>203</v>
      </c>
      <c r="M130" s="1">
        <v>1</v>
      </c>
      <c r="N130" s="2">
        <v>65.959999999999994</v>
      </c>
      <c r="O130" s="3">
        <v>81</v>
      </c>
      <c r="P130" s="1">
        <v>4</v>
      </c>
      <c r="Q130" s="1">
        <v>9</v>
      </c>
      <c r="R130" s="1">
        <v>200010027861</v>
      </c>
      <c r="S130" s="1">
        <v>29</v>
      </c>
      <c r="T130" s="1">
        <v>1</v>
      </c>
      <c r="U130" s="1">
        <v>1</v>
      </c>
    </row>
    <row r="131" spans="1:21" x14ac:dyDescent="0.25">
      <c r="A131" s="4">
        <v>44774</v>
      </c>
      <c r="B131" s="5">
        <v>0.5040162037037037</v>
      </c>
      <c r="C131" s="1">
        <v>1317</v>
      </c>
      <c r="D131" s="1">
        <v>13002561</v>
      </c>
      <c r="E131" s="1">
        <v>13</v>
      </c>
      <c r="F131" s="1">
        <v>22589</v>
      </c>
      <c r="G131" s="1" t="s">
        <v>18</v>
      </c>
      <c r="H131" s="1">
        <v>15</v>
      </c>
      <c r="I131" s="1">
        <v>320182</v>
      </c>
      <c r="J131" s="1" t="s">
        <v>204</v>
      </c>
      <c r="K131" s="1" t="s">
        <v>58</v>
      </c>
      <c r="L131" s="1" t="s">
        <v>205</v>
      </c>
      <c r="M131" s="1">
        <v>1</v>
      </c>
      <c r="N131" s="2">
        <v>2796.59</v>
      </c>
      <c r="O131" s="3">
        <v>3832</v>
      </c>
      <c r="P131" s="1">
        <v>383</v>
      </c>
      <c r="Q131" s="1">
        <v>9</v>
      </c>
      <c r="R131" s="1">
        <v>200010016190</v>
      </c>
      <c r="S131" s="1">
        <v>29</v>
      </c>
      <c r="T131" s="1">
        <v>1</v>
      </c>
      <c r="U131" s="1">
        <v>1</v>
      </c>
    </row>
    <row r="132" spans="1:21" x14ac:dyDescent="0.25">
      <c r="A132" s="4">
        <v>44774</v>
      </c>
      <c r="B132" s="5">
        <v>0.50451388888888893</v>
      </c>
      <c r="C132" s="1">
        <v>1318</v>
      </c>
      <c r="D132" s="1">
        <v>13002561</v>
      </c>
      <c r="E132" s="1">
        <v>13</v>
      </c>
      <c r="F132" s="1">
        <v>22589</v>
      </c>
      <c r="G132" s="1" t="s">
        <v>18</v>
      </c>
      <c r="H132" s="1">
        <v>15</v>
      </c>
      <c r="I132" s="1">
        <v>12572</v>
      </c>
      <c r="J132" s="1" t="s">
        <v>206</v>
      </c>
      <c r="K132" s="1" t="s">
        <v>26</v>
      </c>
      <c r="L132" s="1" t="s">
        <v>207</v>
      </c>
      <c r="M132" s="1">
        <v>1</v>
      </c>
      <c r="N132" s="2">
        <v>234.28</v>
      </c>
      <c r="O132" s="3">
        <v>317</v>
      </c>
      <c r="P132" s="1">
        <v>22</v>
      </c>
      <c r="Q132" s="1">
        <v>9</v>
      </c>
      <c r="R132" s="1">
        <v>200010002907</v>
      </c>
      <c r="S132" s="1">
        <v>29</v>
      </c>
      <c r="T132" s="1">
        <v>1</v>
      </c>
      <c r="U132" s="1">
        <v>1</v>
      </c>
    </row>
    <row r="133" spans="1:21" x14ac:dyDescent="0.25">
      <c r="A133" s="4">
        <v>44774</v>
      </c>
      <c r="B133" s="5">
        <v>0.50565972222222222</v>
      </c>
      <c r="C133" s="1">
        <v>1319</v>
      </c>
      <c r="D133" s="1">
        <v>13002561</v>
      </c>
      <c r="E133" s="1">
        <v>13</v>
      </c>
      <c r="F133" s="1">
        <v>22589</v>
      </c>
      <c r="G133" s="1" t="s">
        <v>18</v>
      </c>
      <c r="H133" s="1">
        <v>18</v>
      </c>
      <c r="I133" s="1">
        <v>413067</v>
      </c>
      <c r="J133" s="1" t="s">
        <v>208</v>
      </c>
      <c r="K133" s="1" t="s">
        <v>48</v>
      </c>
      <c r="L133" s="1" t="s">
        <v>209</v>
      </c>
      <c r="M133" s="1">
        <v>1</v>
      </c>
      <c r="N133" s="2">
        <v>46.56</v>
      </c>
      <c r="O133" s="3">
        <v>59</v>
      </c>
      <c r="P133" s="1">
        <v>2</v>
      </c>
      <c r="Q133" s="1">
        <v>9</v>
      </c>
      <c r="R133" s="1">
        <v>200010015482</v>
      </c>
      <c r="S133" s="1">
        <v>29</v>
      </c>
      <c r="T133" s="1">
        <v>1</v>
      </c>
      <c r="U133" s="1">
        <v>2</v>
      </c>
    </row>
    <row r="134" spans="1:21" x14ac:dyDescent="0.25">
      <c r="A134" s="4">
        <v>44774</v>
      </c>
      <c r="B134" s="5">
        <v>0.50565972222222222</v>
      </c>
      <c r="C134" s="1">
        <v>1319</v>
      </c>
      <c r="D134" s="1">
        <v>13002561</v>
      </c>
      <c r="E134" s="1">
        <v>13</v>
      </c>
      <c r="F134" s="1">
        <v>22589</v>
      </c>
      <c r="G134" s="1" t="s">
        <v>18</v>
      </c>
      <c r="H134" s="1">
        <v>18</v>
      </c>
      <c r="I134" s="1">
        <v>2039</v>
      </c>
      <c r="J134" s="1" t="s">
        <v>210</v>
      </c>
      <c r="K134" s="1" t="s">
        <v>20</v>
      </c>
      <c r="L134" s="1" t="s">
        <v>211</v>
      </c>
      <c r="M134" s="1">
        <v>1</v>
      </c>
      <c r="N134" s="2">
        <v>81.39</v>
      </c>
      <c r="O134" s="3">
        <v>99</v>
      </c>
      <c r="P134" s="1">
        <v>4</v>
      </c>
      <c r="Q134" s="1">
        <v>9</v>
      </c>
      <c r="R134" s="1">
        <v>200010015482</v>
      </c>
      <c r="S134" s="1">
        <v>29</v>
      </c>
      <c r="T134" s="1">
        <v>1</v>
      </c>
      <c r="U134" s="1">
        <v>1</v>
      </c>
    </row>
    <row r="135" spans="1:21" x14ac:dyDescent="0.25">
      <c r="A135" s="4">
        <v>44774</v>
      </c>
      <c r="B135" s="5">
        <v>0.50760416666666663</v>
      </c>
      <c r="C135" s="1">
        <v>1320</v>
      </c>
      <c r="D135" s="1">
        <v>13002561</v>
      </c>
      <c r="E135" s="1">
        <v>13</v>
      </c>
      <c r="F135" s="1">
        <v>22589</v>
      </c>
      <c r="G135" s="1" t="s">
        <v>18</v>
      </c>
      <c r="H135" s="1">
        <v>15</v>
      </c>
      <c r="I135" s="1">
        <v>82008</v>
      </c>
      <c r="J135" s="1" t="s">
        <v>212</v>
      </c>
      <c r="K135" s="1" t="s">
        <v>48</v>
      </c>
      <c r="L135" s="1" t="s">
        <v>213</v>
      </c>
      <c r="M135" s="1">
        <v>1</v>
      </c>
      <c r="N135" s="2">
        <v>34.42</v>
      </c>
      <c r="O135" s="3">
        <v>39</v>
      </c>
      <c r="P135" s="1">
        <v>1</v>
      </c>
      <c r="Q135" s="1">
        <v>9</v>
      </c>
      <c r="R135" s="1">
        <v>200010018337</v>
      </c>
      <c r="S135" s="1">
        <v>29</v>
      </c>
      <c r="T135" s="1">
        <v>1</v>
      </c>
      <c r="U135" s="1">
        <v>6</v>
      </c>
    </row>
    <row r="136" spans="1:21" x14ac:dyDescent="0.25">
      <c r="A136" s="4">
        <v>44774</v>
      </c>
      <c r="B136" s="5">
        <v>0.50760416666666663</v>
      </c>
      <c r="C136" s="1">
        <v>1320</v>
      </c>
      <c r="D136" s="1">
        <v>13002561</v>
      </c>
      <c r="E136" s="1">
        <v>13</v>
      </c>
      <c r="F136" s="1">
        <v>22589</v>
      </c>
      <c r="G136" s="1" t="s">
        <v>18</v>
      </c>
      <c r="H136" s="1">
        <v>15</v>
      </c>
      <c r="I136" s="1">
        <v>82008</v>
      </c>
      <c r="J136" s="1" t="s">
        <v>212</v>
      </c>
      <c r="K136" s="1" t="s">
        <v>48</v>
      </c>
      <c r="L136" s="1" t="s">
        <v>213</v>
      </c>
      <c r="M136" s="1">
        <v>1</v>
      </c>
      <c r="N136" s="2">
        <v>34.42</v>
      </c>
      <c r="O136" s="3">
        <v>39</v>
      </c>
      <c r="P136" s="1">
        <v>1</v>
      </c>
      <c r="Q136" s="1">
        <v>9</v>
      </c>
      <c r="R136" s="1">
        <v>200010018337</v>
      </c>
      <c r="S136" s="1">
        <v>29</v>
      </c>
      <c r="T136" s="1">
        <v>1</v>
      </c>
      <c r="U136" s="1">
        <v>7</v>
      </c>
    </row>
    <row r="137" spans="1:21" x14ac:dyDescent="0.25">
      <c r="A137" s="4">
        <v>44774</v>
      </c>
      <c r="B137" s="5">
        <v>0.50760416666666663</v>
      </c>
      <c r="C137" s="1">
        <v>1320</v>
      </c>
      <c r="D137" s="1">
        <v>13002561</v>
      </c>
      <c r="E137" s="1">
        <v>13</v>
      </c>
      <c r="F137" s="1">
        <v>22589</v>
      </c>
      <c r="G137" s="1" t="s">
        <v>18</v>
      </c>
      <c r="H137" s="1">
        <v>15</v>
      </c>
      <c r="I137" s="1">
        <v>339868</v>
      </c>
      <c r="J137" s="1" t="s">
        <v>214</v>
      </c>
      <c r="K137" s="1" t="s">
        <v>31</v>
      </c>
      <c r="L137" s="1" t="s">
        <v>215</v>
      </c>
      <c r="M137" s="1">
        <v>1</v>
      </c>
      <c r="N137" s="2">
        <v>40.369999999999997</v>
      </c>
      <c r="O137" s="3">
        <v>50</v>
      </c>
      <c r="P137" s="1">
        <v>2</v>
      </c>
      <c r="Q137" s="1">
        <v>9</v>
      </c>
      <c r="R137" s="1">
        <v>200010018337</v>
      </c>
      <c r="S137" s="1">
        <v>29</v>
      </c>
      <c r="T137" s="1">
        <v>1</v>
      </c>
      <c r="U137" s="1">
        <v>4</v>
      </c>
    </row>
    <row r="138" spans="1:21" x14ac:dyDescent="0.25">
      <c r="A138" s="4">
        <v>44774</v>
      </c>
      <c r="B138" s="5">
        <v>0.79335648148148152</v>
      </c>
      <c r="C138" s="1">
        <v>1406</v>
      </c>
      <c r="D138" s="1">
        <v>13002561</v>
      </c>
      <c r="E138" s="1">
        <v>13</v>
      </c>
      <c r="F138" s="1">
        <v>22589</v>
      </c>
      <c r="G138" s="1" t="s">
        <v>18</v>
      </c>
      <c r="H138" s="1">
        <v>15</v>
      </c>
      <c r="I138" s="1">
        <v>339868</v>
      </c>
      <c r="J138" s="1" t="s">
        <v>214</v>
      </c>
      <c r="K138" s="1" t="s">
        <v>31</v>
      </c>
      <c r="L138" s="1" t="s">
        <v>215</v>
      </c>
      <c r="M138" s="1">
        <v>1</v>
      </c>
      <c r="N138" s="2">
        <v>40.369999999999997</v>
      </c>
      <c r="O138" s="3">
        <v>50</v>
      </c>
      <c r="P138" s="1">
        <v>2</v>
      </c>
      <c r="Q138" s="1">
        <v>9</v>
      </c>
      <c r="R138" s="1">
        <v>200010022528</v>
      </c>
      <c r="S138" s="1">
        <v>29</v>
      </c>
      <c r="T138" s="1">
        <v>1</v>
      </c>
      <c r="U138" s="1">
        <v>8</v>
      </c>
    </row>
    <row r="139" spans="1:21" x14ac:dyDescent="0.25">
      <c r="A139" s="4">
        <v>44774</v>
      </c>
      <c r="B139" s="5">
        <v>0.79335648148148152</v>
      </c>
      <c r="C139" s="1">
        <v>1406</v>
      </c>
      <c r="D139" s="1">
        <v>13002561</v>
      </c>
      <c r="E139" s="1">
        <v>13</v>
      </c>
      <c r="F139" s="1">
        <v>22589</v>
      </c>
      <c r="G139" s="1" t="s">
        <v>18</v>
      </c>
      <c r="H139" s="1">
        <v>15</v>
      </c>
      <c r="I139" s="1">
        <v>339868</v>
      </c>
      <c r="J139" s="1" t="s">
        <v>214</v>
      </c>
      <c r="K139" s="1" t="s">
        <v>31</v>
      </c>
      <c r="L139" s="1" t="s">
        <v>215</v>
      </c>
      <c r="M139" s="1">
        <v>1</v>
      </c>
      <c r="N139" s="2">
        <v>40.369999999999997</v>
      </c>
      <c r="O139" s="3">
        <v>50</v>
      </c>
      <c r="P139" s="1">
        <v>2</v>
      </c>
      <c r="Q139" s="1">
        <v>9</v>
      </c>
      <c r="R139" s="1">
        <v>200010022528</v>
      </c>
      <c r="S139" s="1">
        <v>29</v>
      </c>
      <c r="T139" s="1">
        <v>1</v>
      </c>
      <c r="U139" s="1">
        <v>9</v>
      </c>
    </row>
    <row r="140" spans="1:21" x14ac:dyDescent="0.25">
      <c r="A140" s="4">
        <v>44774</v>
      </c>
      <c r="B140" s="5">
        <v>0.79335648148148152</v>
      </c>
      <c r="C140" s="1">
        <v>1406</v>
      </c>
      <c r="D140" s="1">
        <v>13002561</v>
      </c>
      <c r="E140" s="1">
        <v>13</v>
      </c>
      <c r="F140" s="1">
        <v>22589</v>
      </c>
      <c r="G140" s="1" t="s">
        <v>18</v>
      </c>
      <c r="H140" s="1">
        <v>15</v>
      </c>
      <c r="I140" s="1">
        <v>339868</v>
      </c>
      <c r="J140" s="1" t="s">
        <v>214</v>
      </c>
      <c r="K140" s="1" t="s">
        <v>31</v>
      </c>
      <c r="L140" s="1" t="s">
        <v>215</v>
      </c>
      <c r="M140" s="1">
        <v>1</v>
      </c>
      <c r="N140" s="2">
        <v>40.369999999999997</v>
      </c>
      <c r="O140" s="3">
        <v>50</v>
      </c>
      <c r="P140" s="1">
        <v>2</v>
      </c>
      <c r="Q140" s="1">
        <v>9</v>
      </c>
      <c r="R140" s="1">
        <v>200010022528</v>
      </c>
      <c r="S140" s="1">
        <v>29</v>
      </c>
      <c r="T140" s="1">
        <v>1</v>
      </c>
      <c r="U140" s="1">
        <v>10</v>
      </c>
    </row>
    <row r="141" spans="1:21" x14ac:dyDescent="0.25">
      <c r="A141" s="4">
        <v>44774</v>
      </c>
      <c r="B141" s="5">
        <v>0.79335648148148152</v>
      </c>
      <c r="C141" s="1">
        <v>1406</v>
      </c>
      <c r="D141" s="1">
        <v>13002561</v>
      </c>
      <c r="E141" s="1">
        <v>13</v>
      </c>
      <c r="F141" s="1">
        <v>22589</v>
      </c>
      <c r="G141" s="1" t="s">
        <v>18</v>
      </c>
      <c r="H141" s="1">
        <v>15</v>
      </c>
      <c r="I141" s="1">
        <v>339868</v>
      </c>
      <c r="J141" s="1" t="s">
        <v>214</v>
      </c>
      <c r="K141" s="1" t="s">
        <v>31</v>
      </c>
      <c r="L141" s="1" t="s">
        <v>215</v>
      </c>
      <c r="M141" s="1">
        <v>1</v>
      </c>
      <c r="N141" s="2">
        <v>40.369999999999997</v>
      </c>
      <c r="O141" s="3">
        <v>50</v>
      </c>
      <c r="P141" s="1">
        <v>2</v>
      </c>
      <c r="Q141" s="1">
        <v>9</v>
      </c>
      <c r="R141" s="1">
        <v>200010022528</v>
      </c>
      <c r="S141" s="1">
        <v>29</v>
      </c>
      <c r="T141" s="1">
        <v>1</v>
      </c>
      <c r="U141" s="1">
        <v>11</v>
      </c>
    </row>
    <row r="142" spans="1:21" x14ac:dyDescent="0.25">
      <c r="A142" s="4">
        <v>44774</v>
      </c>
      <c r="B142" s="5">
        <v>0.79335648148148152</v>
      </c>
      <c r="C142" s="1">
        <v>1406</v>
      </c>
      <c r="D142" s="1">
        <v>13002561</v>
      </c>
      <c r="E142" s="1">
        <v>13</v>
      </c>
      <c r="F142" s="1">
        <v>22589</v>
      </c>
      <c r="G142" s="1" t="s">
        <v>18</v>
      </c>
      <c r="H142" s="1">
        <v>15</v>
      </c>
      <c r="I142" s="1">
        <v>339868</v>
      </c>
      <c r="J142" s="1" t="s">
        <v>214</v>
      </c>
      <c r="K142" s="1" t="s">
        <v>31</v>
      </c>
      <c r="L142" s="1" t="s">
        <v>215</v>
      </c>
      <c r="M142" s="1">
        <v>1</v>
      </c>
      <c r="N142" s="2">
        <v>40.369999999999997</v>
      </c>
      <c r="O142" s="3">
        <v>50</v>
      </c>
      <c r="P142" s="1">
        <v>2</v>
      </c>
      <c r="Q142" s="1">
        <v>9</v>
      </c>
      <c r="R142" s="1">
        <v>200010022528</v>
      </c>
      <c r="S142" s="1">
        <v>29</v>
      </c>
      <c r="T142" s="1">
        <v>1</v>
      </c>
      <c r="U142" s="1">
        <v>12</v>
      </c>
    </row>
    <row r="143" spans="1:21" x14ac:dyDescent="0.25">
      <c r="A143" s="4">
        <v>44774</v>
      </c>
      <c r="B143" s="5">
        <v>0.50760416666666663</v>
      </c>
      <c r="C143" s="1">
        <v>1320</v>
      </c>
      <c r="D143" s="1">
        <v>13002561</v>
      </c>
      <c r="E143" s="1">
        <v>13</v>
      </c>
      <c r="F143" s="1">
        <v>22589</v>
      </c>
      <c r="G143" s="1" t="s">
        <v>18</v>
      </c>
      <c r="H143" s="1">
        <v>15</v>
      </c>
      <c r="I143" s="1">
        <v>30427</v>
      </c>
      <c r="J143" s="1" t="s">
        <v>216</v>
      </c>
      <c r="K143" s="1" t="s">
        <v>48</v>
      </c>
      <c r="L143" s="1" t="s">
        <v>217</v>
      </c>
      <c r="M143" s="1">
        <v>1</v>
      </c>
      <c r="N143" s="2">
        <v>130.96</v>
      </c>
      <c r="O143" s="3">
        <v>155</v>
      </c>
      <c r="P143" s="1">
        <v>7</v>
      </c>
      <c r="Q143" s="1">
        <v>9</v>
      </c>
      <c r="R143" s="1">
        <v>200010018337</v>
      </c>
      <c r="S143" s="1">
        <v>29</v>
      </c>
      <c r="T143" s="1">
        <v>1</v>
      </c>
      <c r="U143" s="1">
        <v>5</v>
      </c>
    </row>
    <row r="144" spans="1:21" x14ac:dyDescent="0.25">
      <c r="A144" s="4">
        <v>44774</v>
      </c>
      <c r="B144" s="5">
        <v>0.50760416666666663</v>
      </c>
      <c r="C144" s="1">
        <v>1320</v>
      </c>
      <c r="D144" s="1">
        <v>13002561</v>
      </c>
      <c r="E144" s="1">
        <v>13</v>
      </c>
      <c r="F144" s="1">
        <v>22589</v>
      </c>
      <c r="G144" s="1" t="s">
        <v>18</v>
      </c>
      <c r="H144" s="1">
        <v>15</v>
      </c>
      <c r="I144" s="1">
        <v>497882</v>
      </c>
      <c r="J144" s="1" t="s">
        <v>218</v>
      </c>
      <c r="K144" s="1" t="s">
        <v>45</v>
      </c>
      <c r="L144" s="1" t="s">
        <v>219</v>
      </c>
      <c r="M144" s="1">
        <v>1</v>
      </c>
      <c r="N144" s="2">
        <v>61.96</v>
      </c>
      <c r="O144" s="3">
        <v>88</v>
      </c>
      <c r="P144" s="1">
        <v>6</v>
      </c>
      <c r="Q144" s="1">
        <v>9</v>
      </c>
      <c r="R144" s="1">
        <v>200010018337</v>
      </c>
      <c r="S144" s="1">
        <v>29</v>
      </c>
      <c r="T144" s="1">
        <v>1</v>
      </c>
      <c r="U144" s="1">
        <v>8</v>
      </c>
    </row>
    <row r="145" spans="1:21" x14ac:dyDescent="0.25">
      <c r="A145" s="4">
        <v>44774</v>
      </c>
      <c r="B145" s="5">
        <v>0.50835648148148149</v>
      </c>
      <c r="C145" s="1">
        <v>1321</v>
      </c>
      <c r="D145" s="1">
        <v>13002561</v>
      </c>
      <c r="E145" s="1">
        <v>13</v>
      </c>
      <c r="F145" s="1">
        <v>22589</v>
      </c>
      <c r="G145" s="1" t="s">
        <v>18</v>
      </c>
      <c r="H145" s="1">
        <v>18</v>
      </c>
      <c r="I145" s="1">
        <v>55575</v>
      </c>
      <c r="J145" s="1" t="s">
        <v>220</v>
      </c>
      <c r="K145" s="1" t="s">
        <v>48</v>
      </c>
      <c r="L145" s="1" t="s">
        <v>221</v>
      </c>
      <c r="M145" s="1">
        <v>1</v>
      </c>
      <c r="N145" s="2">
        <v>6.96</v>
      </c>
      <c r="O145" s="3">
        <v>12</v>
      </c>
      <c r="P145" s="1">
        <v>1</v>
      </c>
      <c r="Q145" s="1">
        <v>9</v>
      </c>
      <c r="R145" s="1">
        <v>200010022507</v>
      </c>
      <c r="S145" s="1">
        <v>29</v>
      </c>
      <c r="T145" s="1">
        <v>1</v>
      </c>
      <c r="U145" s="1">
        <v>2</v>
      </c>
    </row>
    <row r="146" spans="1:21" x14ac:dyDescent="0.25">
      <c r="A146" s="4">
        <v>44774</v>
      </c>
      <c r="B146" s="5">
        <v>0.78233796296296299</v>
      </c>
      <c r="C146" s="1">
        <v>1402</v>
      </c>
      <c r="D146" s="1">
        <v>13002561</v>
      </c>
      <c r="E146" s="1">
        <v>13</v>
      </c>
      <c r="F146" s="1">
        <v>22589</v>
      </c>
      <c r="G146" s="1" t="s">
        <v>18</v>
      </c>
      <c r="H146" s="1">
        <v>18</v>
      </c>
      <c r="I146" s="1">
        <v>55575</v>
      </c>
      <c r="J146" s="1" t="s">
        <v>220</v>
      </c>
      <c r="K146" s="1" t="s">
        <v>48</v>
      </c>
      <c r="L146" s="1" t="s">
        <v>221</v>
      </c>
      <c r="M146" s="1">
        <v>2</v>
      </c>
      <c r="N146" s="2">
        <v>6.96</v>
      </c>
      <c r="O146" s="3">
        <v>12</v>
      </c>
      <c r="P146" s="1">
        <v>2</v>
      </c>
      <c r="Q146" s="1">
        <v>9</v>
      </c>
      <c r="R146" s="1">
        <v>200010012073</v>
      </c>
      <c r="S146" s="1">
        <v>29</v>
      </c>
      <c r="T146" s="1">
        <v>1</v>
      </c>
      <c r="U146" s="1">
        <v>3</v>
      </c>
    </row>
    <row r="147" spans="1:21" x14ac:dyDescent="0.25">
      <c r="A147" s="4">
        <v>44774</v>
      </c>
      <c r="B147" s="5">
        <v>0.50835648148148149</v>
      </c>
      <c r="C147" s="1">
        <v>1321</v>
      </c>
      <c r="D147" s="1">
        <v>13002561</v>
      </c>
      <c r="E147" s="1">
        <v>13</v>
      </c>
      <c r="F147" s="1">
        <v>22589</v>
      </c>
      <c r="G147" s="1" t="s">
        <v>18</v>
      </c>
      <c r="H147" s="1">
        <v>18</v>
      </c>
      <c r="I147" s="1">
        <v>162483</v>
      </c>
      <c r="J147" s="1" t="s">
        <v>222</v>
      </c>
      <c r="K147" s="1" t="s">
        <v>48</v>
      </c>
      <c r="L147" s="1" t="s">
        <v>223</v>
      </c>
      <c r="M147" s="1">
        <v>1</v>
      </c>
      <c r="N147" s="2">
        <v>8.08</v>
      </c>
      <c r="O147" s="3">
        <v>14</v>
      </c>
      <c r="P147" s="1">
        <v>1</v>
      </c>
      <c r="Q147" s="1">
        <v>9</v>
      </c>
      <c r="R147" s="1">
        <v>200010022507</v>
      </c>
      <c r="S147" s="1">
        <v>29</v>
      </c>
      <c r="T147" s="1">
        <v>1</v>
      </c>
      <c r="U147" s="1">
        <v>1</v>
      </c>
    </row>
    <row r="148" spans="1:21" x14ac:dyDescent="0.25">
      <c r="A148" s="4">
        <v>44774</v>
      </c>
      <c r="B148" s="5">
        <v>0.51023148148148145</v>
      </c>
      <c r="C148" s="1">
        <v>1322</v>
      </c>
      <c r="D148" s="1">
        <v>13002561</v>
      </c>
      <c r="E148" s="1">
        <v>13</v>
      </c>
      <c r="F148" s="1">
        <v>22589</v>
      </c>
      <c r="G148" s="1" t="s">
        <v>18</v>
      </c>
      <c r="H148" s="1">
        <v>18</v>
      </c>
      <c r="I148" s="1">
        <v>388404</v>
      </c>
      <c r="J148" s="1" t="s">
        <v>224</v>
      </c>
      <c r="K148" s="1" t="s">
        <v>58</v>
      </c>
      <c r="L148" s="1" t="s">
        <v>225</v>
      </c>
      <c r="M148" s="1">
        <v>1</v>
      </c>
      <c r="N148" s="2">
        <v>56.21</v>
      </c>
      <c r="O148" s="3">
        <v>80</v>
      </c>
      <c r="P148" s="1">
        <v>0</v>
      </c>
      <c r="Q148" s="1" t="s">
        <v>22</v>
      </c>
      <c r="R148" s="1" t="s">
        <v>22</v>
      </c>
      <c r="S148" s="1">
        <v>29</v>
      </c>
      <c r="T148" s="1">
        <v>1</v>
      </c>
      <c r="U148" s="1">
        <v>1</v>
      </c>
    </row>
    <row r="149" spans="1:21" x14ac:dyDescent="0.25">
      <c r="A149" s="4">
        <v>44774</v>
      </c>
      <c r="B149" s="5">
        <v>0.51023148148148145</v>
      </c>
      <c r="C149" s="1">
        <v>1322</v>
      </c>
      <c r="D149" s="1">
        <v>13002561</v>
      </c>
      <c r="E149" s="1">
        <v>13</v>
      </c>
      <c r="F149" s="1">
        <v>22589</v>
      </c>
      <c r="G149" s="1" t="s">
        <v>18</v>
      </c>
      <c r="H149" s="1">
        <v>18</v>
      </c>
      <c r="I149" s="1">
        <v>298510</v>
      </c>
      <c r="J149" s="1" t="s">
        <v>226</v>
      </c>
      <c r="K149" s="1" t="s">
        <v>48</v>
      </c>
      <c r="L149" s="1" t="s">
        <v>227</v>
      </c>
      <c r="M149" s="1">
        <v>1</v>
      </c>
      <c r="N149" s="2">
        <v>54.29</v>
      </c>
      <c r="O149" s="3">
        <v>68</v>
      </c>
      <c r="P149" s="1">
        <v>0</v>
      </c>
      <c r="Q149" s="1" t="s">
        <v>22</v>
      </c>
      <c r="R149" s="1" t="s">
        <v>22</v>
      </c>
      <c r="S149" s="1">
        <v>29</v>
      </c>
      <c r="T149" s="1">
        <v>1</v>
      </c>
      <c r="U149" s="1">
        <v>3</v>
      </c>
    </row>
    <row r="150" spans="1:21" x14ac:dyDescent="0.25">
      <c r="A150" s="4">
        <v>44774</v>
      </c>
      <c r="B150" s="5">
        <v>0.51023148148148145</v>
      </c>
      <c r="C150" s="1">
        <v>1322</v>
      </c>
      <c r="D150" s="1">
        <v>13002561</v>
      </c>
      <c r="E150" s="1">
        <v>13</v>
      </c>
      <c r="F150" s="1">
        <v>22589</v>
      </c>
      <c r="G150" s="1" t="s">
        <v>18</v>
      </c>
      <c r="H150" s="1">
        <v>18</v>
      </c>
      <c r="I150" s="1">
        <v>276810</v>
      </c>
      <c r="J150" s="1" t="s">
        <v>228</v>
      </c>
      <c r="K150" s="1" t="s">
        <v>20</v>
      </c>
      <c r="L150" s="1" t="s">
        <v>189</v>
      </c>
      <c r="M150" s="1">
        <v>1</v>
      </c>
      <c r="N150" s="2">
        <v>317.89</v>
      </c>
      <c r="O150" s="3">
        <v>359</v>
      </c>
      <c r="P150" s="1">
        <v>35</v>
      </c>
      <c r="Q150" s="1">
        <v>30</v>
      </c>
      <c r="R150" s="1">
        <v>200000000024</v>
      </c>
      <c r="S150" s="1">
        <v>29</v>
      </c>
      <c r="T150" s="1">
        <v>1</v>
      </c>
      <c r="U150" s="1">
        <v>2</v>
      </c>
    </row>
    <row r="151" spans="1:21" x14ac:dyDescent="0.25">
      <c r="A151" s="4">
        <v>44774</v>
      </c>
      <c r="B151" s="5">
        <v>0.5113078703703704</v>
      </c>
      <c r="C151" s="1">
        <v>1323</v>
      </c>
      <c r="D151" s="1">
        <v>13002561</v>
      </c>
      <c r="E151" s="1">
        <v>13</v>
      </c>
      <c r="F151" s="1">
        <v>22589</v>
      </c>
      <c r="G151" s="1" t="s">
        <v>18</v>
      </c>
      <c r="H151" s="1">
        <v>18</v>
      </c>
      <c r="I151" s="1">
        <v>20840</v>
      </c>
      <c r="J151" s="1" t="s">
        <v>229</v>
      </c>
      <c r="K151" s="1" t="s">
        <v>20</v>
      </c>
      <c r="L151" s="1" t="s">
        <v>230</v>
      </c>
      <c r="M151" s="1">
        <v>1</v>
      </c>
      <c r="N151" s="2">
        <v>126.92</v>
      </c>
      <c r="O151" s="3">
        <v>153</v>
      </c>
      <c r="P151" s="1">
        <v>7</v>
      </c>
      <c r="Q151" s="1">
        <v>9</v>
      </c>
      <c r="R151" s="1">
        <v>200010015470</v>
      </c>
      <c r="S151" s="1">
        <v>29</v>
      </c>
      <c r="T151" s="1">
        <v>1</v>
      </c>
      <c r="U151" s="1">
        <v>2</v>
      </c>
    </row>
    <row r="152" spans="1:21" x14ac:dyDescent="0.25">
      <c r="A152" s="4">
        <v>44774</v>
      </c>
      <c r="B152" s="5">
        <v>0.5113078703703704</v>
      </c>
      <c r="C152" s="1">
        <v>1323</v>
      </c>
      <c r="D152" s="1">
        <v>13002561</v>
      </c>
      <c r="E152" s="1">
        <v>13</v>
      </c>
      <c r="F152" s="1">
        <v>22589</v>
      </c>
      <c r="G152" s="1" t="s">
        <v>18</v>
      </c>
      <c r="H152" s="1">
        <v>18</v>
      </c>
      <c r="I152" s="1">
        <v>506913</v>
      </c>
      <c r="J152" s="1" t="s">
        <v>231</v>
      </c>
      <c r="K152" s="1" t="s">
        <v>20</v>
      </c>
      <c r="L152" s="1" t="s">
        <v>94</v>
      </c>
      <c r="M152" s="1">
        <v>1</v>
      </c>
      <c r="N152" s="2">
        <v>10.46</v>
      </c>
      <c r="O152" s="3">
        <v>16</v>
      </c>
      <c r="P152" s="1">
        <v>1</v>
      </c>
      <c r="Q152" s="1">
        <v>9</v>
      </c>
      <c r="R152" s="1">
        <v>200010015470</v>
      </c>
      <c r="S152" s="1">
        <v>29</v>
      </c>
      <c r="T152" s="1">
        <v>1</v>
      </c>
      <c r="U152" s="1">
        <v>1</v>
      </c>
    </row>
    <row r="153" spans="1:21" x14ac:dyDescent="0.25">
      <c r="A153" s="4">
        <v>44774</v>
      </c>
      <c r="B153" s="5">
        <v>0.5113078703703704</v>
      </c>
      <c r="C153" s="1">
        <v>1323</v>
      </c>
      <c r="D153" s="1">
        <v>13002561</v>
      </c>
      <c r="E153" s="1">
        <v>13</v>
      </c>
      <c r="F153" s="1">
        <v>22589</v>
      </c>
      <c r="G153" s="1" t="s">
        <v>18</v>
      </c>
      <c r="H153" s="1">
        <v>18</v>
      </c>
      <c r="I153" s="1">
        <v>298762</v>
      </c>
      <c r="J153" s="1" t="s">
        <v>232</v>
      </c>
      <c r="K153" s="1" t="s">
        <v>42</v>
      </c>
      <c r="L153" s="1" t="s">
        <v>233</v>
      </c>
      <c r="M153" s="1">
        <v>1</v>
      </c>
      <c r="N153" s="2">
        <v>105.68</v>
      </c>
      <c r="O153" s="3">
        <v>145</v>
      </c>
      <c r="P153" s="1">
        <v>10</v>
      </c>
      <c r="Q153" s="1">
        <v>9</v>
      </c>
      <c r="R153" s="1">
        <v>200010015470</v>
      </c>
      <c r="S153" s="1">
        <v>29</v>
      </c>
      <c r="T153" s="1">
        <v>1</v>
      </c>
      <c r="U153" s="1">
        <v>3</v>
      </c>
    </row>
    <row r="154" spans="1:21" x14ac:dyDescent="0.25">
      <c r="A154" s="4">
        <v>44774</v>
      </c>
      <c r="B154" s="5">
        <v>0.51331018518518523</v>
      </c>
      <c r="C154" s="1">
        <v>1324</v>
      </c>
      <c r="D154" s="1">
        <v>13002561</v>
      </c>
      <c r="E154" s="1">
        <v>13</v>
      </c>
      <c r="F154" s="1">
        <v>22589</v>
      </c>
      <c r="G154" s="1" t="s">
        <v>18</v>
      </c>
      <c r="H154" s="1">
        <v>15</v>
      </c>
      <c r="I154" s="1">
        <v>345540</v>
      </c>
      <c r="J154" s="1" t="s">
        <v>234</v>
      </c>
      <c r="K154" s="1" t="s">
        <v>48</v>
      </c>
      <c r="L154" s="1" t="s">
        <v>235</v>
      </c>
      <c r="M154" s="1">
        <v>1</v>
      </c>
      <c r="N154" s="2">
        <v>17.72</v>
      </c>
      <c r="O154" s="3">
        <v>22</v>
      </c>
      <c r="P154" s="1">
        <v>0</v>
      </c>
      <c r="Q154" s="1" t="s">
        <v>22</v>
      </c>
      <c r="R154" s="1" t="s">
        <v>22</v>
      </c>
      <c r="S154" s="1">
        <v>29</v>
      </c>
      <c r="T154" s="1">
        <v>1</v>
      </c>
      <c r="U154" s="1">
        <v>3</v>
      </c>
    </row>
    <row r="155" spans="1:21" x14ac:dyDescent="0.25">
      <c r="A155" s="4">
        <v>44774</v>
      </c>
      <c r="B155" s="5">
        <v>0.51331018518518523</v>
      </c>
      <c r="C155" s="1">
        <v>1324</v>
      </c>
      <c r="D155" s="1">
        <v>13002561</v>
      </c>
      <c r="E155" s="1">
        <v>13</v>
      </c>
      <c r="F155" s="1">
        <v>22589</v>
      </c>
      <c r="G155" s="1" t="s">
        <v>18</v>
      </c>
      <c r="H155" s="1">
        <v>15</v>
      </c>
      <c r="I155" s="1">
        <v>345540</v>
      </c>
      <c r="J155" s="1" t="s">
        <v>234</v>
      </c>
      <c r="K155" s="1" t="s">
        <v>48</v>
      </c>
      <c r="L155" s="1" t="s">
        <v>235</v>
      </c>
      <c r="M155" s="1">
        <v>1</v>
      </c>
      <c r="N155" s="2">
        <v>17.72</v>
      </c>
      <c r="O155" s="3">
        <v>22</v>
      </c>
      <c r="P155" s="1">
        <v>0</v>
      </c>
      <c r="Q155" s="1" t="s">
        <v>22</v>
      </c>
      <c r="R155" s="1" t="s">
        <v>22</v>
      </c>
      <c r="S155" s="1">
        <v>29</v>
      </c>
      <c r="T155" s="1">
        <v>1</v>
      </c>
      <c r="U155" s="1">
        <v>4</v>
      </c>
    </row>
    <row r="156" spans="1:21" x14ac:dyDescent="0.25">
      <c r="A156" s="4">
        <v>44774</v>
      </c>
      <c r="B156" s="5">
        <v>0.51331018518518523</v>
      </c>
      <c r="C156" s="1">
        <v>1324</v>
      </c>
      <c r="D156" s="1">
        <v>13002561</v>
      </c>
      <c r="E156" s="1">
        <v>13</v>
      </c>
      <c r="F156" s="1">
        <v>22589</v>
      </c>
      <c r="G156" s="1" t="s">
        <v>18</v>
      </c>
      <c r="H156" s="1">
        <v>15</v>
      </c>
      <c r="I156" s="1">
        <v>446021</v>
      </c>
      <c r="J156" s="1" t="s">
        <v>236</v>
      </c>
      <c r="K156" s="1" t="s">
        <v>20</v>
      </c>
      <c r="L156" s="1" t="s">
        <v>94</v>
      </c>
      <c r="M156" s="1">
        <v>1</v>
      </c>
      <c r="N156" s="2">
        <v>23.38</v>
      </c>
      <c r="O156" s="3">
        <v>36</v>
      </c>
      <c r="P156" s="1">
        <v>0</v>
      </c>
      <c r="Q156" s="1" t="s">
        <v>22</v>
      </c>
      <c r="R156" s="1" t="s">
        <v>22</v>
      </c>
      <c r="S156" s="1">
        <v>29</v>
      </c>
      <c r="T156" s="1">
        <v>1</v>
      </c>
      <c r="U156" s="1">
        <v>1</v>
      </c>
    </row>
    <row r="157" spans="1:21" x14ac:dyDescent="0.25">
      <c r="A157" s="4">
        <v>44774</v>
      </c>
      <c r="B157" s="5">
        <v>0.79335648148148152</v>
      </c>
      <c r="C157" s="1">
        <v>1406</v>
      </c>
      <c r="D157" s="1">
        <v>13002561</v>
      </c>
      <c r="E157" s="1">
        <v>13</v>
      </c>
      <c r="F157" s="1">
        <v>22589</v>
      </c>
      <c r="G157" s="1" t="s">
        <v>18</v>
      </c>
      <c r="H157" s="1">
        <v>15</v>
      </c>
      <c r="I157" s="1">
        <v>446021</v>
      </c>
      <c r="J157" s="1" t="s">
        <v>236</v>
      </c>
      <c r="K157" s="1" t="s">
        <v>20</v>
      </c>
      <c r="L157" s="1" t="s">
        <v>94</v>
      </c>
      <c r="M157" s="1">
        <v>1</v>
      </c>
      <c r="N157" s="2">
        <v>23.38</v>
      </c>
      <c r="O157" s="3">
        <v>36</v>
      </c>
      <c r="P157" s="1">
        <v>2</v>
      </c>
      <c r="Q157" s="1">
        <v>9</v>
      </c>
      <c r="R157" s="1">
        <v>200010022528</v>
      </c>
      <c r="S157" s="1">
        <v>29</v>
      </c>
      <c r="T157" s="1">
        <v>1</v>
      </c>
      <c r="U157" s="1">
        <v>5</v>
      </c>
    </row>
    <row r="158" spans="1:21" x14ac:dyDescent="0.25">
      <c r="A158" s="4">
        <v>44774</v>
      </c>
      <c r="B158" s="5">
        <v>0.79335648148148152</v>
      </c>
      <c r="C158" s="1">
        <v>1406</v>
      </c>
      <c r="D158" s="1">
        <v>13002561</v>
      </c>
      <c r="E158" s="1">
        <v>13</v>
      </c>
      <c r="F158" s="1">
        <v>22589</v>
      </c>
      <c r="G158" s="1" t="s">
        <v>18</v>
      </c>
      <c r="H158" s="1">
        <v>15</v>
      </c>
      <c r="I158" s="1">
        <v>446021</v>
      </c>
      <c r="J158" s="1" t="s">
        <v>236</v>
      </c>
      <c r="K158" s="1" t="s">
        <v>20</v>
      </c>
      <c r="L158" s="1" t="s">
        <v>94</v>
      </c>
      <c r="M158" s="1">
        <v>1</v>
      </c>
      <c r="N158" s="2">
        <v>23.38</v>
      </c>
      <c r="O158" s="3">
        <v>36</v>
      </c>
      <c r="P158" s="1">
        <v>2</v>
      </c>
      <c r="Q158" s="1">
        <v>9</v>
      </c>
      <c r="R158" s="1">
        <v>200010022528</v>
      </c>
      <c r="S158" s="1">
        <v>29</v>
      </c>
      <c r="T158" s="1">
        <v>1</v>
      </c>
      <c r="U158" s="1">
        <v>6</v>
      </c>
    </row>
    <row r="159" spans="1:21" x14ac:dyDescent="0.25">
      <c r="A159" s="4">
        <v>44774</v>
      </c>
      <c r="B159" s="5">
        <v>0.79335648148148152</v>
      </c>
      <c r="C159" s="1">
        <v>1406</v>
      </c>
      <c r="D159" s="1">
        <v>13002561</v>
      </c>
      <c r="E159" s="1">
        <v>13</v>
      </c>
      <c r="F159" s="1">
        <v>22589</v>
      </c>
      <c r="G159" s="1" t="s">
        <v>18</v>
      </c>
      <c r="H159" s="1">
        <v>15</v>
      </c>
      <c r="I159" s="1">
        <v>446021</v>
      </c>
      <c r="J159" s="1" t="s">
        <v>236</v>
      </c>
      <c r="K159" s="1" t="s">
        <v>20</v>
      </c>
      <c r="L159" s="1" t="s">
        <v>94</v>
      </c>
      <c r="M159" s="1">
        <v>1</v>
      </c>
      <c r="N159" s="2">
        <v>23.38</v>
      </c>
      <c r="O159" s="3">
        <v>36</v>
      </c>
      <c r="P159" s="1">
        <v>2</v>
      </c>
      <c r="Q159" s="1">
        <v>9</v>
      </c>
      <c r="R159" s="1">
        <v>200010022528</v>
      </c>
      <c r="S159" s="1">
        <v>29</v>
      </c>
      <c r="T159" s="1">
        <v>1</v>
      </c>
      <c r="U159" s="1">
        <v>7</v>
      </c>
    </row>
    <row r="160" spans="1:21" x14ac:dyDescent="0.25">
      <c r="A160" s="4">
        <v>44774</v>
      </c>
      <c r="B160" s="5">
        <v>0.51331018518518523</v>
      </c>
      <c r="C160" s="1">
        <v>1324</v>
      </c>
      <c r="D160" s="1">
        <v>13002561</v>
      </c>
      <c r="E160" s="1">
        <v>13</v>
      </c>
      <c r="F160" s="1">
        <v>22589</v>
      </c>
      <c r="G160" s="1" t="s">
        <v>18</v>
      </c>
      <c r="H160" s="1">
        <v>15</v>
      </c>
      <c r="I160" s="1">
        <v>260992</v>
      </c>
      <c r="J160" s="1" t="s">
        <v>237</v>
      </c>
      <c r="K160" s="1" t="s">
        <v>114</v>
      </c>
      <c r="L160" s="1" t="s">
        <v>34</v>
      </c>
      <c r="M160" s="1">
        <v>1</v>
      </c>
      <c r="N160" s="2">
        <v>340.5</v>
      </c>
      <c r="O160" s="3">
        <v>450</v>
      </c>
      <c r="P160" s="1">
        <v>0</v>
      </c>
      <c r="Q160" s="1" t="s">
        <v>22</v>
      </c>
      <c r="R160" s="1" t="s">
        <v>22</v>
      </c>
      <c r="S160" s="1">
        <v>29</v>
      </c>
      <c r="T160" s="1">
        <v>1</v>
      </c>
      <c r="U160" s="1">
        <v>5</v>
      </c>
    </row>
    <row r="161" spans="1:21" x14ac:dyDescent="0.25">
      <c r="A161" s="4">
        <v>44774</v>
      </c>
      <c r="B161" s="5">
        <v>0.52068287037037042</v>
      </c>
      <c r="C161" s="1">
        <v>1325</v>
      </c>
      <c r="D161" s="1">
        <v>13002561</v>
      </c>
      <c r="E161" s="1">
        <v>13</v>
      </c>
      <c r="F161" s="1">
        <v>22589</v>
      </c>
      <c r="G161" s="1" t="s">
        <v>18</v>
      </c>
      <c r="H161" s="1">
        <v>15</v>
      </c>
      <c r="I161" s="1">
        <v>475</v>
      </c>
      <c r="J161" s="1" t="s">
        <v>238</v>
      </c>
      <c r="K161" s="1" t="s">
        <v>114</v>
      </c>
      <c r="L161" s="1" t="s">
        <v>32</v>
      </c>
      <c r="M161" s="1">
        <v>1</v>
      </c>
      <c r="N161" s="2">
        <v>130.46</v>
      </c>
      <c r="O161" s="3">
        <v>179</v>
      </c>
      <c r="P161" s="1">
        <v>12</v>
      </c>
      <c r="Q161" s="1">
        <v>9</v>
      </c>
      <c r="R161" s="1">
        <v>200010013468</v>
      </c>
      <c r="S161" s="1">
        <v>29</v>
      </c>
      <c r="T161" s="1">
        <v>1</v>
      </c>
      <c r="U161" s="1">
        <v>1</v>
      </c>
    </row>
    <row r="162" spans="1:21" x14ac:dyDescent="0.25">
      <c r="A162" s="4">
        <v>44774</v>
      </c>
      <c r="B162" s="5">
        <v>0.52068287037037042</v>
      </c>
      <c r="C162" s="1">
        <v>1325</v>
      </c>
      <c r="D162" s="1">
        <v>13002561</v>
      </c>
      <c r="E162" s="1">
        <v>13</v>
      </c>
      <c r="F162" s="1">
        <v>22589</v>
      </c>
      <c r="G162" s="1" t="s">
        <v>18</v>
      </c>
      <c r="H162" s="1">
        <v>15</v>
      </c>
      <c r="I162" s="1">
        <v>129036</v>
      </c>
      <c r="J162" s="1" t="s">
        <v>239</v>
      </c>
      <c r="K162" s="1" t="s">
        <v>26</v>
      </c>
      <c r="L162" s="1" t="s">
        <v>32</v>
      </c>
      <c r="M162" s="1">
        <v>1</v>
      </c>
      <c r="N162" s="2">
        <v>223.96</v>
      </c>
      <c r="O162" s="3">
        <v>303</v>
      </c>
      <c r="P162" s="1">
        <v>21</v>
      </c>
      <c r="Q162" s="1">
        <v>9</v>
      </c>
      <c r="R162" s="1">
        <v>200010013468</v>
      </c>
      <c r="S162" s="1">
        <v>29</v>
      </c>
      <c r="T162" s="1">
        <v>1</v>
      </c>
      <c r="U162" s="1">
        <v>2</v>
      </c>
    </row>
    <row r="163" spans="1:21" x14ac:dyDescent="0.25">
      <c r="A163" s="4">
        <v>44774</v>
      </c>
      <c r="B163" s="5">
        <v>0.52186342592592594</v>
      </c>
      <c r="C163" s="1">
        <v>1326</v>
      </c>
      <c r="D163" s="1">
        <v>13002561</v>
      </c>
      <c r="E163" s="1">
        <v>13</v>
      </c>
      <c r="F163" s="1">
        <v>22589</v>
      </c>
      <c r="G163" s="1" t="s">
        <v>18</v>
      </c>
      <c r="H163" s="1">
        <v>18</v>
      </c>
      <c r="I163" s="1">
        <v>165170</v>
      </c>
      <c r="J163" s="1" t="s">
        <v>240</v>
      </c>
      <c r="K163" s="1" t="s">
        <v>31</v>
      </c>
      <c r="L163" s="1" t="s">
        <v>241</v>
      </c>
      <c r="M163" s="1">
        <v>1</v>
      </c>
      <c r="N163" s="2">
        <v>691.53</v>
      </c>
      <c r="O163" s="3">
        <v>948</v>
      </c>
      <c r="P163" s="1">
        <v>142</v>
      </c>
      <c r="Q163" s="1">
        <v>11</v>
      </c>
      <c r="R163" s="1">
        <v>200010002200</v>
      </c>
      <c r="S163" s="1">
        <v>29</v>
      </c>
      <c r="T163" s="1">
        <v>1</v>
      </c>
      <c r="U163" s="1">
        <v>1</v>
      </c>
    </row>
    <row r="164" spans="1:21" x14ac:dyDescent="0.25">
      <c r="A164" s="4">
        <v>44774</v>
      </c>
      <c r="B164" s="5">
        <v>0.52379629629629632</v>
      </c>
      <c r="C164" s="1">
        <v>1327</v>
      </c>
      <c r="D164" s="1">
        <v>13002561</v>
      </c>
      <c r="E164" s="1">
        <v>13</v>
      </c>
      <c r="F164" s="1">
        <v>22589</v>
      </c>
      <c r="G164" s="1" t="s">
        <v>18</v>
      </c>
      <c r="H164" s="1">
        <v>18</v>
      </c>
      <c r="I164" s="1">
        <v>172819</v>
      </c>
      <c r="J164" s="1" t="s">
        <v>242</v>
      </c>
      <c r="K164" s="1" t="s">
        <v>31</v>
      </c>
      <c r="L164" s="1" t="s">
        <v>243</v>
      </c>
      <c r="M164" s="1">
        <v>1</v>
      </c>
      <c r="N164" s="2">
        <v>350.47</v>
      </c>
      <c r="O164" s="3">
        <v>463</v>
      </c>
      <c r="P164" s="1">
        <v>0</v>
      </c>
      <c r="Q164" s="1" t="s">
        <v>22</v>
      </c>
      <c r="R164" s="1" t="s">
        <v>22</v>
      </c>
      <c r="S164" s="1">
        <v>29</v>
      </c>
      <c r="T164" s="1">
        <v>1</v>
      </c>
      <c r="U164" s="1">
        <v>3</v>
      </c>
    </row>
    <row r="165" spans="1:21" x14ac:dyDescent="0.25">
      <c r="A165" s="4">
        <v>44774</v>
      </c>
      <c r="B165" s="5">
        <v>0.52379629629629632</v>
      </c>
      <c r="C165" s="1">
        <v>1327</v>
      </c>
      <c r="D165" s="1">
        <v>13002561</v>
      </c>
      <c r="E165" s="1">
        <v>13</v>
      </c>
      <c r="F165" s="1">
        <v>22589</v>
      </c>
      <c r="G165" s="1" t="s">
        <v>18</v>
      </c>
      <c r="H165" s="1">
        <v>18</v>
      </c>
      <c r="I165" s="1">
        <v>295403</v>
      </c>
      <c r="J165" s="1" t="s">
        <v>244</v>
      </c>
      <c r="K165" s="1" t="s">
        <v>138</v>
      </c>
      <c r="L165" s="1" t="s">
        <v>245</v>
      </c>
      <c r="M165" s="1">
        <v>1</v>
      </c>
      <c r="N165" s="2">
        <v>26.18</v>
      </c>
      <c r="O165" s="3">
        <v>32</v>
      </c>
      <c r="P165" s="1">
        <v>0</v>
      </c>
      <c r="Q165" s="1" t="s">
        <v>22</v>
      </c>
      <c r="R165" s="1" t="s">
        <v>22</v>
      </c>
      <c r="S165" s="1">
        <v>29</v>
      </c>
      <c r="T165" s="1">
        <v>1</v>
      </c>
      <c r="U165" s="1">
        <v>7</v>
      </c>
    </row>
    <row r="166" spans="1:21" x14ac:dyDescent="0.25">
      <c r="A166" s="4">
        <v>44774</v>
      </c>
      <c r="B166" s="5">
        <v>0.52379629629629632</v>
      </c>
      <c r="C166" s="1">
        <v>1327</v>
      </c>
      <c r="D166" s="1">
        <v>13002561</v>
      </c>
      <c r="E166" s="1">
        <v>13</v>
      </c>
      <c r="F166" s="1">
        <v>22589</v>
      </c>
      <c r="G166" s="1" t="s">
        <v>18</v>
      </c>
      <c r="H166" s="1">
        <v>18</v>
      </c>
      <c r="I166" s="1">
        <v>438721</v>
      </c>
      <c r="J166" s="1" t="s">
        <v>246</v>
      </c>
      <c r="K166" s="1" t="s">
        <v>26</v>
      </c>
      <c r="L166" s="1" t="s">
        <v>46</v>
      </c>
      <c r="M166" s="1">
        <v>1</v>
      </c>
      <c r="N166" s="2">
        <v>26.03</v>
      </c>
      <c r="O166" s="3">
        <v>40</v>
      </c>
      <c r="P166" s="1">
        <v>0</v>
      </c>
      <c r="Q166" s="1" t="s">
        <v>22</v>
      </c>
      <c r="R166" s="1" t="s">
        <v>22</v>
      </c>
      <c r="S166" s="1">
        <v>29</v>
      </c>
      <c r="T166" s="1">
        <v>1</v>
      </c>
      <c r="U166" s="1">
        <v>1</v>
      </c>
    </row>
    <row r="167" spans="1:21" x14ac:dyDescent="0.25">
      <c r="A167" s="4">
        <v>44774</v>
      </c>
      <c r="B167" s="5">
        <v>0.52379629629629632</v>
      </c>
      <c r="C167" s="1">
        <v>1327</v>
      </c>
      <c r="D167" s="1">
        <v>13002561</v>
      </c>
      <c r="E167" s="1">
        <v>13</v>
      </c>
      <c r="F167" s="1">
        <v>22589</v>
      </c>
      <c r="G167" s="1" t="s">
        <v>18</v>
      </c>
      <c r="H167" s="1">
        <v>18</v>
      </c>
      <c r="I167" s="1">
        <v>438721</v>
      </c>
      <c r="J167" s="1" t="s">
        <v>246</v>
      </c>
      <c r="K167" s="1" t="s">
        <v>26</v>
      </c>
      <c r="L167" s="1" t="s">
        <v>46</v>
      </c>
      <c r="M167" s="1">
        <v>1</v>
      </c>
      <c r="N167" s="2">
        <v>26.03</v>
      </c>
      <c r="O167" s="3">
        <v>40</v>
      </c>
      <c r="P167" s="1">
        <v>0</v>
      </c>
      <c r="Q167" s="1" t="s">
        <v>22</v>
      </c>
      <c r="R167" s="1" t="s">
        <v>22</v>
      </c>
      <c r="S167" s="1">
        <v>29</v>
      </c>
      <c r="T167" s="1">
        <v>1</v>
      </c>
      <c r="U167" s="1">
        <v>2</v>
      </c>
    </row>
    <row r="168" spans="1:21" x14ac:dyDescent="0.25">
      <c r="A168" s="4">
        <v>44774</v>
      </c>
      <c r="B168" s="5">
        <v>0.52379629629629632</v>
      </c>
      <c r="C168" s="1">
        <v>1327</v>
      </c>
      <c r="D168" s="1">
        <v>13002561</v>
      </c>
      <c r="E168" s="1">
        <v>13</v>
      </c>
      <c r="F168" s="1">
        <v>22589</v>
      </c>
      <c r="G168" s="1" t="s">
        <v>18</v>
      </c>
      <c r="H168" s="1">
        <v>18</v>
      </c>
      <c r="I168" s="1">
        <v>444920</v>
      </c>
      <c r="J168" s="1" t="s">
        <v>247</v>
      </c>
      <c r="K168" s="1" t="s">
        <v>48</v>
      </c>
      <c r="L168" s="1" t="s">
        <v>46</v>
      </c>
      <c r="M168" s="1">
        <v>1</v>
      </c>
      <c r="N168" s="2">
        <v>19.61</v>
      </c>
      <c r="O168" s="3">
        <v>25</v>
      </c>
      <c r="P168" s="1">
        <v>0</v>
      </c>
      <c r="Q168" s="1" t="s">
        <v>22</v>
      </c>
      <c r="R168" s="1" t="s">
        <v>22</v>
      </c>
      <c r="S168" s="1">
        <v>29</v>
      </c>
      <c r="T168" s="1">
        <v>1</v>
      </c>
      <c r="U168" s="1">
        <v>5</v>
      </c>
    </row>
    <row r="169" spans="1:21" x14ac:dyDescent="0.25">
      <c r="A169" s="4">
        <v>44774</v>
      </c>
      <c r="B169" s="5">
        <v>0.52379629629629632</v>
      </c>
      <c r="C169" s="1">
        <v>1327</v>
      </c>
      <c r="D169" s="1">
        <v>13002561</v>
      </c>
      <c r="E169" s="1">
        <v>13</v>
      </c>
      <c r="F169" s="1">
        <v>22589</v>
      </c>
      <c r="G169" s="1" t="s">
        <v>18</v>
      </c>
      <c r="H169" s="1">
        <v>18</v>
      </c>
      <c r="I169" s="1">
        <v>444920</v>
      </c>
      <c r="J169" s="1" t="s">
        <v>247</v>
      </c>
      <c r="K169" s="1" t="s">
        <v>48</v>
      </c>
      <c r="L169" s="1" t="s">
        <v>46</v>
      </c>
      <c r="M169" s="1">
        <v>1</v>
      </c>
      <c r="N169" s="2">
        <v>19.61</v>
      </c>
      <c r="O169" s="3">
        <v>25</v>
      </c>
      <c r="P169" s="1">
        <v>0</v>
      </c>
      <c r="Q169" s="1" t="s">
        <v>22</v>
      </c>
      <c r="R169" s="1" t="s">
        <v>22</v>
      </c>
      <c r="S169" s="1">
        <v>29</v>
      </c>
      <c r="T169" s="1">
        <v>1</v>
      </c>
      <c r="U169" s="1">
        <v>6</v>
      </c>
    </row>
    <row r="170" spans="1:21" x14ac:dyDescent="0.25">
      <c r="A170" s="4">
        <v>44774</v>
      </c>
      <c r="B170" s="5">
        <v>0.52379629629629632</v>
      </c>
      <c r="C170" s="1">
        <v>1327</v>
      </c>
      <c r="D170" s="1">
        <v>13002561</v>
      </c>
      <c r="E170" s="1">
        <v>13</v>
      </c>
      <c r="F170" s="1">
        <v>22589</v>
      </c>
      <c r="G170" s="1" t="s">
        <v>18</v>
      </c>
      <c r="H170" s="1">
        <v>18</v>
      </c>
      <c r="I170" s="1">
        <v>339843</v>
      </c>
      <c r="J170" s="1" t="s">
        <v>248</v>
      </c>
      <c r="K170" s="1" t="s">
        <v>249</v>
      </c>
      <c r="L170" s="1" t="s">
        <v>250</v>
      </c>
      <c r="M170" s="1">
        <v>1</v>
      </c>
      <c r="N170" s="2">
        <v>140.97</v>
      </c>
      <c r="O170" s="3">
        <v>219</v>
      </c>
      <c r="P170" s="1">
        <v>21</v>
      </c>
      <c r="Q170" s="1">
        <v>30</v>
      </c>
      <c r="R170" s="1">
        <v>200000000024</v>
      </c>
      <c r="S170" s="1">
        <v>29</v>
      </c>
      <c r="T170" s="1">
        <v>1</v>
      </c>
      <c r="U170" s="1">
        <v>8</v>
      </c>
    </row>
    <row r="171" spans="1:21" x14ac:dyDescent="0.25">
      <c r="A171" s="4">
        <v>44774</v>
      </c>
      <c r="B171" s="5">
        <v>0.52601851851851855</v>
      </c>
      <c r="C171" s="1">
        <v>1328</v>
      </c>
      <c r="D171" s="1">
        <v>13002561</v>
      </c>
      <c r="E171" s="1">
        <v>13</v>
      </c>
      <c r="F171" s="1">
        <v>22589</v>
      </c>
      <c r="G171" s="1" t="s">
        <v>18</v>
      </c>
      <c r="H171" s="1">
        <v>15</v>
      </c>
      <c r="I171" s="1">
        <v>4800</v>
      </c>
      <c r="J171" s="1" t="s">
        <v>251</v>
      </c>
      <c r="K171" s="1" t="s">
        <v>48</v>
      </c>
      <c r="L171" s="1" t="s">
        <v>252</v>
      </c>
      <c r="M171" s="1">
        <v>1</v>
      </c>
      <c r="N171" s="2">
        <v>42.05</v>
      </c>
      <c r="O171" s="3">
        <v>53</v>
      </c>
      <c r="P171" s="1">
        <v>0</v>
      </c>
      <c r="Q171" s="1" t="s">
        <v>22</v>
      </c>
      <c r="R171" s="1" t="s">
        <v>22</v>
      </c>
      <c r="S171" s="1">
        <v>29</v>
      </c>
      <c r="T171" s="1">
        <v>1</v>
      </c>
      <c r="U171" s="1">
        <v>2</v>
      </c>
    </row>
    <row r="172" spans="1:21" x14ac:dyDescent="0.25">
      <c r="A172" s="4">
        <v>44774</v>
      </c>
      <c r="B172" s="5">
        <v>0.52601851851851855</v>
      </c>
      <c r="C172" s="1">
        <v>1328</v>
      </c>
      <c r="D172" s="1">
        <v>13002561</v>
      </c>
      <c r="E172" s="1">
        <v>13</v>
      </c>
      <c r="F172" s="1">
        <v>22589</v>
      </c>
      <c r="G172" s="1" t="s">
        <v>18</v>
      </c>
      <c r="H172" s="1">
        <v>15</v>
      </c>
      <c r="I172" s="1">
        <v>4800</v>
      </c>
      <c r="J172" s="1" t="s">
        <v>251</v>
      </c>
      <c r="K172" s="1" t="s">
        <v>48</v>
      </c>
      <c r="L172" s="1" t="s">
        <v>252</v>
      </c>
      <c r="M172" s="1">
        <v>1</v>
      </c>
      <c r="N172" s="2">
        <v>42.05</v>
      </c>
      <c r="O172" s="3">
        <v>53</v>
      </c>
      <c r="P172" s="1">
        <v>0</v>
      </c>
      <c r="Q172" s="1" t="s">
        <v>22</v>
      </c>
      <c r="R172" s="1" t="s">
        <v>22</v>
      </c>
      <c r="S172" s="1">
        <v>29</v>
      </c>
      <c r="T172" s="1">
        <v>1</v>
      </c>
      <c r="U172" s="1">
        <v>3</v>
      </c>
    </row>
    <row r="173" spans="1:21" x14ac:dyDescent="0.25">
      <c r="A173" s="4">
        <v>44774</v>
      </c>
      <c r="B173" s="5">
        <v>0.52601851851851855</v>
      </c>
      <c r="C173" s="1">
        <v>1328</v>
      </c>
      <c r="D173" s="1">
        <v>13002561</v>
      </c>
      <c r="E173" s="1">
        <v>13</v>
      </c>
      <c r="F173" s="1">
        <v>22589</v>
      </c>
      <c r="G173" s="1" t="s">
        <v>18</v>
      </c>
      <c r="H173" s="1">
        <v>15</v>
      </c>
      <c r="I173" s="1">
        <v>342166</v>
      </c>
      <c r="J173" s="1" t="s">
        <v>253</v>
      </c>
      <c r="K173" s="1" t="s">
        <v>26</v>
      </c>
      <c r="L173" s="1" t="s">
        <v>197</v>
      </c>
      <c r="M173" s="1">
        <v>1</v>
      </c>
      <c r="N173" s="2">
        <v>50.31</v>
      </c>
      <c r="O173" s="3">
        <v>72</v>
      </c>
      <c r="P173" s="1">
        <v>0</v>
      </c>
      <c r="Q173" s="1" t="s">
        <v>22</v>
      </c>
      <c r="R173" s="1" t="s">
        <v>22</v>
      </c>
      <c r="S173" s="1">
        <v>29</v>
      </c>
      <c r="T173" s="1">
        <v>1</v>
      </c>
      <c r="U173" s="1">
        <v>5</v>
      </c>
    </row>
    <row r="174" spans="1:21" x14ac:dyDescent="0.25">
      <c r="A174" s="4">
        <v>44774</v>
      </c>
      <c r="B174" s="5">
        <v>0.52601851851851855</v>
      </c>
      <c r="C174" s="1">
        <v>1328</v>
      </c>
      <c r="D174" s="1">
        <v>13002561</v>
      </c>
      <c r="E174" s="1">
        <v>13</v>
      </c>
      <c r="F174" s="1">
        <v>22589</v>
      </c>
      <c r="G174" s="1" t="s">
        <v>18</v>
      </c>
      <c r="H174" s="1">
        <v>15</v>
      </c>
      <c r="I174" s="1">
        <v>400035</v>
      </c>
      <c r="J174" s="1" t="s">
        <v>254</v>
      </c>
      <c r="K174" s="1" t="s">
        <v>48</v>
      </c>
      <c r="L174" s="1" t="s">
        <v>73</v>
      </c>
      <c r="M174" s="1">
        <v>1</v>
      </c>
      <c r="N174" s="2">
        <v>37.450000000000003</v>
      </c>
      <c r="O174" s="3">
        <v>57</v>
      </c>
      <c r="P174" s="1">
        <v>0</v>
      </c>
      <c r="Q174" s="1" t="s">
        <v>22</v>
      </c>
      <c r="R174" s="1" t="s">
        <v>22</v>
      </c>
      <c r="S174" s="1">
        <v>29</v>
      </c>
      <c r="T174" s="1">
        <v>1</v>
      </c>
      <c r="U174" s="1">
        <v>1</v>
      </c>
    </row>
    <row r="175" spans="1:21" x14ac:dyDescent="0.25">
      <c r="A175" s="4">
        <v>44774</v>
      </c>
      <c r="B175" s="5">
        <v>0.53057870370370375</v>
      </c>
      <c r="C175" s="1">
        <v>1329</v>
      </c>
      <c r="D175" s="1">
        <v>13002561</v>
      </c>
      <c r="E175" s="1">
        <v>13</v>
      </c>
      <c r="F175" s="1">
        <v>22589</v>
      </c>
      <c r="G175" s="1" t="s">
        <v>18</v>
      </c>
      <c r="H175" s="1">
        <v>18</v>
      </c>
      <c r="I175" s="1">
        <v>14833</v>
      </c>
      <c r="J175" s="1" t="s">
        <v>255</v>
      </c>
      <c r="K175" s="1" t="s">
        <v>138</v>
      </c>
      <c r="L175" s="1" t="s">
        <v>256</v>
      </c>
      <c r="M175" s="1">
        <v>1</v>
      </c>
      <c r="N175" s="2">
        <v>72.66</v>
      </c>
      <c r="O175" s="3">
        <v>115</v>
      </c>
      <c r="P175" s="1">
        <v>11</v>
      </c>
      <c r="Q175" s="1">
        <v>9</v>
      </c>
      <c r="R175" s="1">
        <v>200010004402</v>
      </c>
      <c r="S175" s="1">
        <v>29</v>
      </c>
      <c r="T175" s="1">
        <v>1</v>
      </c>
      <c r="U175" s="1">
        <v>3</v>
      </c>
    </row>
    <row r="176" spans="1:21" x14ac:dyDescent="0.25">
      <c r="A176" s="4">
        <v>44774</v>
      </c>
      <c r="B176" s="5">
        <v>0.53057870370370375</v>
      </c>
      <c r="C176" s="1">
        <v>1329</v>
      </c>
      <c r="D176" s="1">
        <v>13002561</v>
      </c>
      <c r="E176" s="1">
        <v>13</v>
      </c>
      <c r="F176" s="1">
        <v>22589</v>
      </c>
      <c r="G176" s="1" t="s">
        <v>18</v>
      </c>
      <c r="H176" s="1">
        <v>18</v>
      </c>
      <c r="I176" s="1">
        <v>348748</v>
      </c>
      <c r="J176" s="1" t="s">
        <v>257</v>
      </c>
      <c r="K176" s="1" t="s">
        <v>26</v>
      </c>
      <c r="L176" s="1" t="s">
        <v>258</v>
      </c>
      <c r="M176" s="1">
        <v>1</v>
      </c>
      <c r="N176" s="2">
        <v>56.03</v>
      </c>
      <c r="O176" s="3">
        <v>70</v>
      </c>
      <c r="P176" s="1">
        <v>3</v>
      </c>
      <c r="Q176" s="1">
        <v>9</v>
      </c>
      <c r="R176" s="1">
        <v>200010004402</v>
      </c>
      <c r="S176" s="1">
        <v>29</v>
      </c>
      <c r="T176" s="1">
        <v>1</v>
      </c>
      <c r="U176" s="1">
        <v>2</v>
      </c>
    </row>
    <row r="177" spans="1:21" x14ac:dyDescent="0.25">
      <c r="A177" s="4">
        <v>44774</v>
      </c>
      <c r="B177" s="5">
        <v>0.53057870370370375</v>
      </c>
      <c r="C177" s="1">
        <v>1329</v>
      </c>
      <c r="D177" s="1">
        <v>13002561</v>
      </c>
      <c r="E177" s="1">
        <v>13</v>
      </c>
      <c r="F177" s="1">
        <v>22589</v>
      </c>
      <c r="G177" s="1" t="s">
        <v>18</v>
      </c>
      <c r="H177" s="1">
        <v>18</v>
      </c>
      <c r="I177" s="1">
        <v>344242</v>
      </c>
      <c r="J177" s="1" t="s">
        <v>259</v>
      </c>
      <c r="K177" s="1" t="s">
        <v>48</v>
      </c>
      <c r="L177" s="1" t="s">
        <v>219</v>
      </c>
      <c r="M177" s="1">
        <v>1</v>
      </c>
      <c r="N177" s="2">
        <v>44.59</v>
      </c>
      <c r="O177" s="3">
        <v>55</v>
      </c>
      <c r="P177" s="1">
        <v>2</v>
      </c>
      <c r="Q177" s="1">
        <v>9</v>
      </c>
      <c r="R177" s="1">
        <v>200010004402</v>
      </c>
      <c r="S177" s="1">
        <v>29</v>
      </c>
      <c r="T177" s="1">
        <v>1</v>
      </c>
      <c r="U177" s="1">
        <v>1</v>
      </c>
    </row>
    <row r="178" spans="1:21" x14ac:dyDescent="0.25">
      <c r="A178" s="4">
        <v>44774</v>
      </c>
      <c r="B178" s="5">
        <v>0.53057870370370375</v>
      </c>
      <c r="C178" s="1">
        <v>1329</v>
      </c>
      <c r="D178" s="1">
        <v>13002561</v>
      </c>
      <c r="E178" s="1">
        <v>13</v>
      </c>
      <c r="F178" s="1">
        <v>22589</v>
      </c>
      <c r="G178" s="1" t="s">
        <v>18</v>
      </c>
      <c r="H178" s="1">
        <v>18</v>
      </c>
      <c r="I178" s="1">
        <v>82008</v>
      </c>
      <c r="J178" s="1" t="s">
        <v>212</v>
      </c>
      <c r="K178" s="1" t="s">
        <v>48</v>
      </c>
      <c r="L178" s="1" t="s">
        <v>213</v>
      </c>
      <c r="M178" s="1">
        <v>1</v>
      </c>
      <c r="N178" s="2">
        <v>34.42</v>
      </c>
      <c r="O178" s="3">
        <v>39</v>
      </c>
      <c r="P178" s="1">
        <v>1</v>
      </c>
      <c r="Q178" s="1">
        <v>9</v>
      </c>
      <c r="R178" s="1">
        <v>200010004402</v>
      </c>
      <c r="S178" s="1">
        <v>29</v>
      </c>
      <c r="T178" s="1">
        <v>1</v>
      </c>
      <c r="U178" s="1">
        <v>4</v>
      </c>
    </row>
    <row r="179" spans="1:21" x14ac:dyDescent="0.25">
      <c r="A179" s="4">
        <v>44774</v>
      </c>
      <c r="B179" s="5">
        <v>0.53057870370370375</v>
      </c>
      <c r="C179" s="1">
        <v>1329</v>
      </c>
      <c r="D179" s="1">
        <v>13002561</v>
      </c>
      <c r="E179" s="1">
        <v>13</v>
      </c>
      <c r="F179" s="1">
        <v>22589</v>
      </c>
      <c r="G179" s="1" t="s">
        <v>18</v>
      </c>
      <c r="H179" s="1">
        <v>18</v>
      </c>
      <c r="I179" s="1">
        <v>82008</v>
      </c>
      <c r="J179" s="1" t="s">
        <v>212</v>
      </c>
      <c r="K179" s="1" t="s">
        <v>48</v>
      </c>
      <c r="L179" s="1" t="s">
        <v>213</v>
      </c>
      <c r="M179" s="1">
        <v>1</v>
      </c>
      <c r="N179" s="2">
        <v>34.42</v>
      </c>
      <c r="O179" s="3">
        <v>39</v>
      </c>
      <c r="P179" s="1">
        <v>1</v>
      </c>
      <c r="Q179" s="1">
        <v>9</v>
      </c>
      <c r="R179" s="1">
        <v>200010004402</v>
      </c>
      <c r="S179" s="1">
        <v>29</v>
      </c>
      <c r="T179" s="1">
        <v>1</v>
      </c>
      <c r="U179" s="1">
        <v>5</v>
      </c>
    </row>
    <row r="180" spans="1:21" x14ac:dyDescent="0.25">
      <c r="A180" s="4">
        <v>44774</v>
      </c>
      <c r="B180" s="5">
        <v>0.53118055555555554</v>
      </c>
      <c r="C180" s="1">
        <v>1330</v>
      </c>
      <c r="D180" s="1">
        <v>13002561</v>
      </c>
      <c r="E180" s="1">
        <v>13</v>
      </c>
      <c r="F180" s="1">
        <v>22589</v>
      </c>
      <c r="G180" s="1" t="s">
        <v>18</v>
      </c>
      <c r="H180" s="1">
        <v>15</v>
      </c>
      <c r="I180" s="1">
        <v>278598</v>
      </c>
      <c r="J180" s="1" t="s">
        <v>260</v>
      </c>
      <c r="K180" s="1" t="s">
        <v>20</v>
      </c>
      <c r="L180" s="1" t="s">
        <v>96</v>
      </c>
      <c r="M180" s="1">
        <v>1</v>
      </c>
      <c r="N180" s="2">
        <v>17.7</v>
      </c>
      <c r="O180" s="3">
        <v>29</v>
      </c>
      <c r="P180" s="1">
        <v>0</v>
      </c>
      <c r="Q180" s="1" t="s">
        <v>22</v>
      </c>
      <c r="R180" s="1" t="s">
        <v>22</v>
      </c>
      <c r="S180" s="1">
        <v>29</v>
      </c>
      <c r="T180" s="1">
        <v>1</v>
      </c>
      <c r="U180" s="1">
        <v>1</v>
      </c>
    </row>
    <row r="181" spans="1:21" x14ac:dyDescent="0.25">
      <c r="A181" s="4">
        <v>44774</v>
      </c>
      <c r="B181" s="5">
        <v>0.53203703703703709</v>
      </c>
      <c r="C181" s="1">
        <v>1331</v>
      </c>
      <c r="D181" s="1">
        <v>13002561</v>
      </c>
      <c r="E181" s="1">
        <v>13</v>
      </c>
      <c r="F181" s="1">
        <v>22589</v>
      </c>
      <c r="G181" s="1" t="s">
        <v>18</v>
      </c>
      <c r="H181" s="1">
        <v>15</v>
      </c>
      <c r="I181" s="1">
        <v>338502</v>
      </c>
      <c r="J181" s="1" t="s">
        <v>261</v>
      </c>
      <c r="K181" s="1" t="s">
        <v>48</v>
      </c>
      <c r="L181" s="1" t="s">
        <v>34</v>
      </c>
      <c r="M181" s="1">
        <v>1</v>
      </c>
      <c r="N181" s="2">
        <v>182.82</v>
      </c>
      <c r="O181" s="3">
        <v>234</v>
      </c>
      <c r="P181" s="1">
        <v>11</v>
      </c>
      <c r="Q181" s="1">
        <v>9</v>
      </c>
      <c r="R181" s="1">
        <v>200010002141</v>
      </c>
      <c r="S181" s="1">
        <v>29</v>
      </c>
      <c r="T181" s="1">
        <v>1</v>
      </c>
      <c r="U181" s="1">
        <v>1</v>
      </c>
    </row>
    <row r="182" spans="1:21" x14ac:dyDescent="0.25">
      <c r="A182" s="4">
        <v>44774</v>
      </c>
      <c r="B182" s="5">
        <v>0.53337962962962959</v>
      </c>
      <c r="C182" s="1">
        <v>1332</v>
      </c>
      <c r="D182" s="1">
        <v>13002561</v>
      </c>
      <c r="E182" s="1">
        <v>13</v>
      </c>
      <c r="F182" s="1">
        <v>22589</v>
      </c>
      <c r="G182" s="1" t="s">
        <v>18</v>
      </c>
      <c r="H182" s="1">
        <v>15</v>
      </c>
      <c r="I182" s="1">
        <v>7951</v>
      </c>
      <c r="J182" s="1" t="s">
        <v>262</v>
      </c>
      <c r="K182" s="1" t="s">
        <v>58</v>
      </c>
      <c r="L182" s="1" t="s">
        <v>263</v>
      </c>
      <c r="M182" s="1">
        <v>1</v>
      </c>
      <c r="N182" s="2">
        <v>41.58</v>
      </c>
      <c r="O182" s="3">
        <v>68</v>
      </c>
      <c r="P182" s="1">
        <v>6</v>
      </c>
      <c r="Q182" s="1">
        <v>9</v>
      </c>
      <c r="R182" s="1">
        <v>200010023521</v>
      </c>
      <c r="S182" s="1">
        <v>29</v>
      </c>
      <c r="T182" s="1">
        <v>1</v>
      </c>
      <c r="U182" s="1">
        <v>2</v>
      </c>
    </row>
    <row r="183" spans="1:21" x14ac:dyDescent="0.25">
      <c r="A183" s="4">
        <v>44774</v>
      </c>
      <c r="B183" s="5">
        <v>0.53337962962962959</v>
      </c>
      <c r="C183" s="1">
        <v>1332</v>
      </c>
      <c r="D183" s="1">
        <v>13002561</v>
      </c>
      <c r="E183" s="1">
        <v>13</v>
      </c>
      <c r="F183" s="1">
        <v>22589</v>
      </c>
      <c r="G183" s="1" t="s">
        <v>18</v>
      </c>
      <c r="H183" s="1">
        <v>15</v>
      </c>
      <c r="I183" s="1">
        <v>375726</v>
      </c>
      <c r="J183" s="1" t="s">
        <v>264</v>
      </c>
      <c r="K183" s="1" t="s">
        <v>26</v>
      </c>
      <c r="L183" s="1" t="s">
        <v>263</v>
      </c>
      <c r="M183" s="1">
        <v>2</v>
      </c>
      <c r="N183" s="2">
        <v>47.58</v>
      </c>
      <c r="O183" s="3">
        <v>78</v>
      </c>
      <c r="P183" s="1">
        <v>15</v>
      </c>
      <c r="Q183" s="1">
        <v>9</v>
      </c>
      <c r="R183" s="1">
        <v>200010023521</v>
      </c>
      <c r="S183" s="1">
        <v>29</v>
      </c>
      <c r="T183" s="1">
        <v>1</v>
      </c>
      <c r="U183" s="1">
        <v>1</v>
      </c>
    </row>
    <row r="184" spans="1:21" x14ac:dyDescent="0.25">
      <c r="A184" s="4">
        <v>44774</v>
      </c>
      <c r="B184" s="5">
        <v>0.53408564814814818</v>
      </c>
      <c r="C184" s="1">
        <v>1333</v>
      </c>
      <c r="D184" s="1">
        <v>13002561</v>
      </c>
      <c r="E184" s="1">
        <v>13</v>
      </c>
      <c r="F184" s="1">
        <v>22589</v>
      </c>
      <c r="G184" s="1" t="s">
        <v>18</v>
      </c>
      <c r="H184" s="1">
        <v>15</v>
      </c>
      <c r="I184" s="1">
        <v>72603</v>
      </c>
      <c r="J184" s="1" t="s">
        <v>265</v>
      </c>
      <c r="K184" s="1" t="s">
        <v>48</v>
      </c>
      <c r="L184" s="1" t="s">
        <v>266</v>
      </c>
      <c r="M184" s="1">
        <v>1</v>
      </c>
      <c r="N184" s="2">
        <v>29.11</v>
      </c>
      <c r="O184" s="3">
        <v>48</v>
      </c>
      <c r="P184" s="1">
        <v>4</v>
      </c>
      <c r="Q184" s="1">
        <v>9</v>
      </c>
      <c r="R184" s="1">
        <v>200010002141</v>
      </c>
      <c r="S184" s="1">
        <v>29</v>
      </c>
      <c r="T184" s="1">
        <v>1</v>
      </c>
      <c r="U184" s="1">
        <v>1</v>
      </c>
    </row>
    <row r="185" spans="1:21" x14ac:dyDescent="0.25">
      <c r="A185" s="4">
        <v>44774</v>
      </c>
      <c r="B185" s="5">
        <v>0.53487268518518516</v>
      </c>
      <c r="C185" s="1">
        <v>1334</v>
      </c>
      <c r="D185" s="1">
        <v>13002561</v>
      </c>
      <c r="E185" s="1">
        <v>13</v>
      </c>
      <c r="F185" s="1">
        <v>22589</v>
      </c>
      <c r="G185" s="1" t="s">
        <v>18</v>
      </c>
      <c r="H185" s="1">
        <v>15</v>
      </c>
      <c r="I185" s="1">
        <v>393314</v>
      </c>
      <c r="J185" s="1" t="s">
        <v>267</v>
      </c>
      <c r="K185" s="1" t="s">
        <v>48</v>
      </c>
      <c r="L185" s="1" t="s">
        <v>73</v>
      </c>
      <c r="M185" s="1">
        <v>1</v>
      </c>
      <c r="N185" s="2">
        <v>42.82</v>
      </c>
      <c r="O185" s="3">
        <v>66</v>
      </c>
      <c r="P185" s="1">
        <v>4</v>
      </c>
      <c r="Q185" s="1">
        <v>9</v>
      </c>
      <c r="R185" s="1">
        <v>200010005104</v>
      </c>
      <c r="S185" s="1">
        <v>29</v>
      </c>
      <c r="T185" s="1">
        <v>1</v>
      </c>
      <c r="U185" s="1">
        <v>3</v>
      </c>
    </row>
    <row r="186" spans="1:21" x14ac:dyDescent="0.25">
      <c r="A186" s="4">
        <v>44774</v>
      </c>
      <c r="B186" s="5">
        <v>0.71243055555555557</v>
      </c>
      <c r="C186" s="1">
        <v>1383</v>
      </c>
      <c r="D186" s="1">
        <v>13002561</v>
      </c>
      <c r="E186" s="1">
        <v>13</v>
      </c>
      <c r="F186" s="1">
        <v>22589</v>
      </c>
      <c r="G186" s="1" t="s">
        <v>18</v>
      </c>
      <c r="H186" s="1">
        <v>15</v>
      </c>
      <c r="I186" s="1">
        <v>393314</v>
      </c>
      <c r="J186" s="1" t="s">
        <v>267</v>
      </c>
      <c r="K186" s="1" t="s">
        <v>48</v>
      </c>
      <c r="L186" s="1" t="s">
        <v>73</v>
      </c>
      <c r="M186" s="1">
        <v>1</v>
      </c>
      <c r="N186" s="2">
        <v>42.82</v>
      </c>
      <c r="O186" s="3">
        <v>66</v>
      </c>
      <c r="P186" s="1">
        <v>0</v>
      </c>
      <c r="Q186" s="1" t="s">
        <v>22</v>
      </c>
      <c r="R186" s="1" t="s">
        <v>22</v>
      </c>
      <c r="S186" s="1">
        <v>29</v>
      </c>
      <c r="T186" s="1">
        <v>1</v>
      </c>
      <c r="U186" s="1">
        <v>1</v>
      </c>
    </row>
    <row r="187" spans="1:21" x14ac:dyDescent="0.25">
      <c r="A187" s="4">
        <v>44774</v>
      </c>
      <c r="B187" s="5">
        <v>0.71243055555555557</v>
      </c>
      <c r="C187" s="1">
        <v>1383</v>
      </c>
      <c r="D187" s="1">
        <v>13002561</v>
      </c>
      <c r="E187" s="1">
        <v>13</v>
      </c>
      <c r="F187" s="1">
        <v>22589</v>
      </c>
      <c r="G187" s="1" t="s">
        <v>18</v>
      </c>
      <c r="H187" s="1">
        <v>15</v>
      </c>
      <c r="I187" s="1">
        <v>393314</v>
      </c>
      <c r="J187" s="1" t="s">
        <v>267</v>
      </c>
      <c r="K187" s="1" t="s">
        <v>48</v>
      </c>
      <c r="L187" s="1" t="s">
        <v>73</v>
      </c>
      <c r="M187" s="1">
        <v>1</v>
      </c>
      <c r="N187" s="2">
        <v>42.82</v>
      </c>
      <c r="O187" s="3">
        <v>66</v>
      </c>
      <c r="P187" s="1">
        <v>0</v>
      </c>
      <c r="Q187" s="1" t="s">
        <v>22</v>
      </c>
      <c r="R187" s="1" t="s">
        <v>22</v>
      </c>
      <c r="S187" s="1">
        <v>29</v>
      </c>
      <c r="T187" s="1">
        <v>1</v>
      </c>
      <c r="U187" s="1">
        <v>2</v>
      </c>
    </row>
    <row r="188" spans="1:21" x14ac:dyDescent="0.25">
      <c r="A188" s="4">
        <v>44774</v>
      </c>
      <c r="B188" s="5">
        <v>0.71243055555555557</v>
      </c>
      <c r="C188" s="1">
        <v>1383</v>
      </c>
      <c r="D188" s="1">
        <v>13002561</v>
      </c>
      <c r="E188" s="1">
        <v>13</v>
      </c>
      <c r="F188" s="1">
        <v>22589</v>
      </c>
      <c r="G188" s="1" t="s">
        <v>18</v>
      </c>
      <c r="H188" s="1">
        <v>15</v>
      </c>
      <c r="I188" s="1">
        <v>393314</v>
      </c>
      <c r="J188" s="1" t="s">
        <v>267</v>
      </c>
      <c r="K188" s="1" t="s">
        <v>48</v>
      </c>
      <c r="L188" s="1" t="s">
        <v>73</v>
      </c>
      <c r="M188" s="1">
        <v>1</v>
      </c>
      <c r="N188" s="2">
        <v>42.82</v>
      </c>
      <c r="O188" s="3">
        <v>66</v>
      </c>
      <c r="P188" s="1">
        <v>0</v>
      </c>
      <c r="Q188" s="1" t="s">
        <v>22</v>
      </c>
      <c r="R188" s="1" t="s">
        <v>22</v>
      </c>
      <c r="S188" s="1">
        <v>29</v>
      </c>
      <c r="T188" s="1">
        <v>1</v>
      </c>
      <c r="U188" s="1">
        <v>3</v>
      </c>
    </row>
    <row r="189" spans="1:21" x14ac:dyDescent="0.25">
      <c r="A189" s="4">
        <v>44774</v>
      </c>
      <c r="B189" s="5">
        <v>0.53487268518518516</v>
      </c>
      <c r="C189" s="1">
        <v>1334</v>
      </c>
      <c r="D189" s="1">
        <v>13002561</v>
      </c>
      <c r="E189" s="1">
        <v>13</v>
      </c>
      <c r="F189" s="1">
        <v>22589</v>
      </c>
      <c r="G189" s="1" t="s">
        <v>18</v>
      </c>
      <c r="H189" s="1">
        <v>15</v>
      </c>
      <c r="I189" s="1">
        <v>12278</v>
      </c>
      <c r="J189" s="1" t="s">
        <v>268</v>
      </c>
      <c r="K189" s="1" t="s">
        <v>48</v>
      </c>
      <c r="L189" s="1" t="s">
        <v>269</v>
      </c>
      <c r="M189" s="1">
        <v>1</v>
      </c>
      <c r="N189" s="2">
        <v>211.21</v>
      </c>
      <c r="O189" s="3">
        <v>286</v>
      </c>
      <c r="P189" s="1">
        <v>20</v>
      </c>
      <c r="Q189" s="1">
        <v>9</v>
      </c>
      <c r="R189" s="1">
        <v>200010005104</v>
      </c>
      <c r="S189" s="1">
        <v>29</v>
      </c>
      <c r="T189" s="1">
        <v>1</v>
      </c>
      <c r="U189" s="1">
        <v>2</v>
      </c>
    </row>
    <row r="190" spans="1:21" x14ac:dyDescent="0.25">
      <c r="A190" s="4">
        <v>44774</v>
      </c>
      <c r="B190" s="5">
        <v>0.54072916666666671</v>
      </c>
      <c r="C190" s="1">
        <v>1335</v>
      </c>
      <c r="D190" s="1">
        <v>13002561</v>
      </c>
      <c r="E190" s="1">
        <v>13</v>
      </c>
      <c r="F190" s="1">
        <v>22589</v>
      </c>
      <c r="G190" s="1" t="s">
        <v>18</v>
      </c>
      <c r="H190" s="1">
        <v>15</v>
      </c>
      <c r="I190" s="1">
        <v>173202</v>
      </c>
      <c r="J190" s="1" t="s">
        <v>270</v>
      </c>
      <c r="K190" s="1" t="s">
        <v>20</v>
      </c>
      <c r="L190" s="1" t="s">
        <v>271</v>
      </c>
      <c r="M190" s="1">
        <v>1</v>
      </c>
      <c r="N190" s="2">
        <v>25.78</v>
      </c>
      <c r="O190" s="3">
        <v>40</v>
      </c>
      <c r="P190" s="1">
        <v>0</v>
      </c>
      <c r="Q190" s="1" t="s">
        <v>22</v>
      </c>
      <c r="R190" s="1" t="s">
        <v>22</v>
      </c>
      <c r="S190" s="1">
        <v>29</v>
      </c>
      <c r="T190" s="1">
        <v>1</v>
      </c>
      <c r="U190" s="1">
        <v>1</v>
      </c>
    </row>
    <row r="191" spans="1:21" x14ac:dyDescent="0.25">
      <c r="A191" s="4">
        <v>44774</v>
      </c>
      <c r="B191" s="5">
        <v>0.54072916666666671</v>
      </c>
      <c r="C191" s="1">
        <v>1335</v>
      </c>
      <c r="D191" s="1">
        <v>13002561</v>
      </c>
      <c r="E191" s="1">
        <v>13</v>
      </c>
      <c r="F191" s="1">
        <v>22589</v>
      </c>
      <c r="G191" s="1" t="s">
        <v>18</v>
      </c>
      <c r="H191" s="1">
        <v>15</v>
      </c>
      <c r="I191" s="1">
        <v>173202</v>
      </c>
      <c r="J191" s="1" t="s">
        <v>270</v>
      </c>
      <c r="K191" s="1" t="s">
        <v>20</v>
      </c>
      <c r="L191" s="1" t="s">
        <v>271</v>
      </c>
      <c r="M191" s="1">
        <v>1</v>
      </c>
      <c r="N191" s="2">
        <v>25.78</v>
      </c>
      <c r="O191" s="3">
        <v>40</v>
      </c>
      <c r="P191" s="1">
        <v>0</v>
      </c>
      <c r="Q191" s="1" t="s">
        <v>22</v>
      </c>
      <c r="R191" s="1" t="s">
        <v>22</v>
      </c>
      <c r="S191" s="1">
        <v>29</v>
      </c>
      <c r="T191" s="1">
        <v>1</v>
      </c>
      <c r="U191" s="1">
        <v>2</v>
      </c>
    </row>
    <row r="192" spans="1:21" x14ac:dyDescent="0.25">
      <c r="A192" s="4">
        <v>44774</v>
      </c>
      <c r="B192" s="5">
        <v>0.54684027777777777</v>
      </c>
      <c r="C192" s="1">
        <v>1336</v>
      </c>
      <c r="D192" s="1">
        <v>13002561</v>
      </c>
      <c r="E192" s="1">
        <v>13</v>
      </c>
      <c r="F192" s="1">
        <v>22589</v>
      </c>
      <c r="G192" s="1" t="s">
        <v>18</v>
      </c>
      <c r="H192" s="1">
        <v>15</v>
      </c>
      <c r="I192" s="1">
        <v>100228</v>
      </c>
      <c r="J192" s="1" t="s">
        <v>272</v>
      </c>
      <c r="K192" s="1" t="s">
        <v>20</v>
      </c>
      <c r="L192" s="1" t="s">
        <v>273</v>
      </c>
      <c r="M192" s="1">
        <v>1</v>
      </c>
      <c r="N192" s="2">
        <v>639.91999999999996</v>
      </c>
      <c r="O192" s="3">
        <v>788</v>
      </c>
      <c r="P192" s="1">
        <v>0</v>
      </c>
      <c r="Q192" s="1" t="s">
        <v>22</v>
      </c>
      <c r="R192" s="1" t="s">
        <v>22</v>
      </c>
      <c r="S192" s="1">
        <v>29</v>
      </c>
      <c r="T192" s="1">
        <v>1</v>
      </c>
      <c r="U192" s="1">
        <v>1</v>
      </c>
    </row>
    <row r="193" spans="1:21" x14ac:dyDescent="0.25">
      <c r="A193" s="4">
        <v>44774</v>
      </c>
      <c r="B193" s="5">
        <v>0.54684027777777777</v>
      </c>
      <c r="C193" s="1">
        <v>1336</v>
      </c>
      <c r="D193" s="1">
        <v>13002561</v>
      </c>
      <c r="E193" s="1">
        <v>13</v>
      </c>
      <c r="F193" s="1">
        <v>22589</v>
      </c>
      <c r="G193" s="1" t="s">
        <v>18</v>
      </c>
      <c r="H193" s="1">
        <v>15</v>
      </c>
      <c r="I193" s="1">
        <v>2197</v>
      </c>
      <c r="J193" s="1" t="s">
        <v>274</v>
      </c>
      <c r="K193" s="1" t="s">
        <v>31</v>
      </c>
      <c r="L193" s="1" t="s">
        <v>32</v>
      </c>
      <c r="M193" s="1">
        <v>1</v>
      </c>
      <c r="N193" s="2">
        <v>29.96</v>
      </c>
      <c r="O193" s="3">
        <v>37</v>
      </c>
      <c r="P193" s="1">
        <v>0</v>
      </c>
      <c r="Q193" s="1" t="s">
        <v>22</v>
      </c>
      <c r="R193" s="1" t="s">
        <v>22</v>
      </c>
      <c r="S193" s="1">
        <v>29</v>
      </c>
      <c r="T193" s="1">
        <v>1</v>
      </c>
      <c r="U193" s="1">
        <v>2</v>
      </c>
    </row>
    <row r="194" spans="1:21" x14ac:dyDescent="0.25">
      <c r="A194" s="4">
        <v>44774</v>
      </c>
      <c r="B194" s="5">
        <v>0.55163194444444441</v>
      </c>
      <c r="C194" s="1">
        <v>1337</v>
      </c>
      <c r="D194" s="1">
        <v>13002561</v>
      </c>
      <c r="E194" s="1">
        <v>13</v>
      </c>
      <c r="F194" s="1">
        <v>22589</v>
      </c>
      <c r="G194" s="1" t="s">
        <v>18</v>
      </c>
      <c r="H194" s="1">
        <v>15</v>
      </c>
      <c r="I194" s="1">
        <v>514074</v>
      </c>
      <c r="J194" s="1" t="s">
        <v>275</v>
      </c>
      <c r="K194" s="1" t="s">
        <v>20</v>
      </c>
      <c r="L194" s="1" t="s">
        <v>276</v>
      </c>
      <c r="M194" s="1">
        <v>1</v>
      </c>
      <c r="N194" s="2">
        <v>313.2</v>
      </c>
      <c r="O194" s="3">
        <v>414</v>
      </c>
      <c r="P194" s="1">
        <v>28</v>
      </c>
      <c r="Q194" s="1">
        <v>9</v>
      </c>
      <c r="R194" s="1">
        <v>200010027862</v>
      </c>
      <c r="S194" s="1">
        <v>29</v>
      </c>
      <c r="T194" s="1">
        <v>1</v>
      </c>
      <c r="U194" s="1">
        <v>1</v>
      </c>
    </row>
    <row r="195" spans="1:21" x14ac:dyDescent="0.25">
      <c r="A195" s="4">
        <v>44774</v>
      </c>
      <c r="B195" s="5">
        <v>0.55163194444444441</v>
      </c>
      <c r="C195" s="1">
        <v>1337</v>
      </c>
      <c r="D195" s="1">
        <v>13002561</v>
      </c>
      <c r="E195" s="1">
        <v>13</v>
      </c>
      <c r="F195" s="1">
        <v>22589</v>
      </c>
      <c r="G195" s="1" t="s">
        <v>18</v>
      </c>
      <c r="H195" s="1">
        <v>15</v>
      </c>
      <c r="I195" s="1">
        <v>60526</v>
      </c>
      <c r="J195" s="1" t="s">
        <v>277</v>
      </c>
      <c r="K195" s="1" t="s">
        <v>48</v>
      </c>
      <c r="L195" s="1" t="s">
        <v>194</v>
      </c>
      <c r="M195" s="1">
        <v>1</v>
      </c>
      <c r="N195" s="2">
        <v>263.64999999999998</v>
      </c>
      <c r="O195" s="3">
        <v>356</v>
      </c>
      <c r="P195" s="1">
        <v>24</v>
      </c>
      <c r="Q195" s="1">
        <v>9</v>
      </c>
      <c r="R195" s="1">
        <v>200010027862</v>
      </c>
      <c r="S195" s="1">
        <v>29</v>
      </c>
      <c r="T195" s="1">
        <v>1</v>
      </c>
      <c r="U195" s="1">
        <v>2</v>
      </c>
    </row>
    <row r="196" spans="1:21" x14ac:dyDescent="0.25">
      <c r="A196" s="4">
        <v>44774</v>
      </c>
      <c r="B196" s="5">
        <v>0.55306712962962967</v>
      </c>
      <c r="C196" s="1">
        <v>1338</v>
      </c>
      <c r="D196" s="1">
        <v>13002561</v>
      </c>
      <c r="E196" s="1">
        <v>13</v>
      </c>
      <c r="F196" s="1">
        <v>22589</v>
      </c>
      <c r="G196" s="1" t="s">
        <v>18</v>
      </c>
      <c r="H196" s="1">
        <v>15</v>
      </c>
      <c r="I196" s="1">
        <v>196444</v>
      </c>
      <c r="J196" s="1" t="s">
        <v>278</v>
      </c>
      <c r="K196" s="1" t="s">
        <v>48</v>
      </c>
      <c r="L196" s="1" t="s">
        <v>29</v>
      </c>
      <c r="M196" s="1">
        <v>1</v>
      </c>
      <c r="N196" s="2">
        <v>79.930000000000007</v>
      </c>
      <c r="O196" s="3">
        <v>100</v>
      </c>
      <c r="P196" s="1">
        <v>5</v>
      </c>
      <c r="Q196" s="1">
        <v>9</v>
      </c>
      <c r="R196" s="1">
        <v>200010018363</v>
      </c>
      <c r="S196" s="1">
        <v>29</v>
      </c>
      <c r="T196" s="1">
        <v>1</v>
      </c>
      <c r="U196" s="1">
        <v>1</v>
      </c>
    </row>
    <row r="197" spans="1:21" x14ac:dyDescent="0.25">
      <c r="A197" s="4">
        <v>44774</v>
      </c>
      <c r="B197" s="5">
        <v>0.55306712962962967</v>
      </c>
      <c r="C197" s="1">
        <v>1338</v>
      </c>
      <c r="D197" s="1">
        <v>13002561</v>
      </c>
      <c r="E197" s="1">
        <v>13</v>
      </c>
      <c r="F197" s="1">
        <v>22589</v>
      </c>
      <c r="G197" s="1" t="s">
        <v>18</v>
      </c>
      <c r="H197" s="1">
        <v>15</v>
      </c>
      <c r="I197" s="1">
        <v>336402</v>
      </c>
      <c r="J197" s="1" t="s">
        <v>279</v>
      </c>
      <c r="K197" s="1" t="s">
        <v>55</v>
      </c>
      <c r="L197" s="1" t="s">
        <v>96</v>
      </c>
      <c r="M197" s="1">
        <v>1</v>
      </c>
      <c r="N197" s="2">
        <v>100.59</v>
      </c>
      <c r="O197" s="3">
        <v>156</v>
      </c>
      <c r="P197" s="1">
        <v>15</v>
      </c>
      <c r="Q197" s="1">
        <v>9</v>
      </c>
      <c r="R197" s="1">
        <v>200010018363</v>
      </c>
      <c r="S197" s="1">
        <v>29</v>
      </c>
      <c r="T197" s="1">
        <v>1</v>
      </c>
      <c r="U197" s="1">
        <v>2</v>
      </c>
    </row>
    <row r="198" spans="1:21" x14ac:dyDescent="0.25">
      <c r="A198" s="4">
        <v>44774</v>
      </c>
      <c r="B198" s="5">
        <v>0.55539351851851848</v>
      </c>
      <c r="C198" s="1">
        <v>1339</v>
      </c>
      <c r="D198" s="1">
        <v>13002561</v>
      </c>
      <c r="E198" s="1">
        <v>13</v>
      </c>
      <c r="F198" s="1">
        <v>22589</v>
      </c>
      <c r="G198" s="1" t="s">
        <v>18</v>
      </c>
      <c r="H198" s="1">
        <v>18</v>
      </c>
      <c r="I198" s="1">
        <v>291637</v>
      </c>
      <c r="J198" s="1" t="s">
        <v>280</v>
      </c>
      <c r="K198" s="1" t="s">
        <v>114</v>
      </c>
      <c r="L198" s="1" t="s">
        <v>281</v>
      </c>
      <c r="M198" s="1">
        <v>1</v>
      </c>
      <c r="N198" s="2">
        <v>1082.73</v>
      </c>
      <c r="O198" s="3">
        <v>1354</v>
      </c>
      <c r="P198" s="1">
        <v>94</v>
      </c>
      <c r="Q198" s="1">
        <v>9</v>
      </c>
      <c r="R198" s="1">
        <v>200010016178</v>
      </c>
      <c r="S198" s="1">
        <v>29</v>
      </c>
      <c r="T198" s="1">
        <v>1</v>
      </c>
      <c r="U198" s="1">
        <v>1</v>
      </c>
    </row>
    <row r="199" spans="1:21" x14ac:dyDescent="0.25">
      <c r="A199" s="4">
        <v>44774</v>
      </c>
      <c r="B199" s="5">
        <v>0.55760416666666668</v>
      </c>
      <c r="C199" s="1">
        <v>1340</v>
      </c>
      <c r="D199" s="1">
        <v>13002561</v>
      </c>
      <c r="E199" s="1">
        <v>13</v>
      </c>
      <c r="F199" s="1">
        <v>22589</v>
      </c>
      <c r="G199" s="1" t="s">
        <v>18</v>
      </c>
      <c r="H199" s="1">
        <v>18</v>
      </c>
      <c r="I199" s="1">
        <v>102068</v>
      </c>
      <c r="J199" s="1" t="s">
        <v>282</v>
      </c>
      <c r="K199" s="1" t="s">
        <v>26</v>
      </c>
      <c r="L199" s="1" t="s">
        <v>283</v>
      </c>
      <c r="M199" s="1">
        <v>1</v>
      </c>
      <c r="N199" s="2">
        <v>151.01</v>
      </c>
      <c r="O199" s="3">
        <v>235</v>
      </c>
      <c r="P199" s="1">
        <v>23</v>
      </c>
      <c r="Q199" s="1">
        <v>9</v>
      </c>
      <c r="R199" s="1">
        <v>200010000752</v>
      </c>
      <c r="S199" s="1">
        <v>29</v>
      </c>
      <c r="T199" s="1">
        <v>1</v>
      </c>
      <c r="U199" s="1">
        <v>2</v>
      </c>
    </row>
    <row r="200" spans="1:21" x14ac:dyDescent="0.25">
      <c r="A200" s="4">
        <v>44774</v>
      </c>
      <c r="B200" s="5">
        <v>0.55760416666666668</v>
      </c>
      <c r="C200" s="1">
        <v>1340</v>
      </c>
      <c r="D200" s="1">
        <v>13002561</v>
      </c>
      <c r="E200" s="1">
        <v>13</v>
      </c>
      <c r="F200" s="1">
        <v>22589</v>
      </c>
      <c r="G200" s="1" t="s">
        <v>18</v>
      </c>
      <c r="H200" s="1">
        <v>18</v>
      </c>
      <c r="I200" s="1">
        <v>53737</v>
      </c>
      <c r="J200" s="1" t="s">
        <v>284</v>
      </c>
      <c r="K200" s="1" t="s">
        <v>31</v>
      </c>
      <c r="L200" s="1" t="s">
        <v>156</v>
      </c>
      <c r="M200" s="1">
        <v>1</v>
      </c>
      <c r="N200" s="2">
        <v>196.8</v>
      </c>
      <c r="O200" s="3">
        <v>306</v>
      </c>
      <c r="P200" s="1">
        <v>30</v>
      </c>
      <c r="Q200" s="1">
        <v>9</v>
      </c>
      <c r="R200" s="1">
        <v>200010000752</v>
      </c>
      <c r="S200" s="1">
        <v>29</v>
      </c>
      <c r="T200" s="1">
        <v>1</v>
      </c>
      <c r="U200" s="1">
        <v>1</v>
      </c>
    </row>
    <row r="201" spans="1:21" x14ac:dyDescent="0.25">
      <c r="A201" s="4">
        <v>44774</v>
      </c>
      <c r="B201" s="5">
        <v>0.55872685185185189</v>
      </c>
      <c r="C201" s="1">
        <v>1341</v>
      </c>
      <c r="D201" s="1">
        <v>13002561</v>
      </c>
      <c r="E201" s="1">
        <v>13</v>
      </c>
      <c r="F201" s="1">
        <v>22589</v>
      </c>
      <c r="G201" s="1" t="s">
        <v>18</v>
      </c>
      <c r="H201" s="1">
        <v>15</v>
      </c>
      <c r="I201" s="1">
        <v>945</v>
      </c>
      <c r="J201" s="1" t="s">
        <v>285</v>
      </c>
      <c r="K201" s="1" t="s">
        <v>48</v>
      </c>
      <c r="L201" s="1" t="s">
        <v>194</v>
      </c>
      <c r="M201" s="1">
        <v>1</v>
      </c>
      <c r="N201" s="2">
        <v>88.23</v>
      </c>
      <c r="O201" s="3">
        <v>126</v>
      </c>
      <c r="P201" s="1">
        <v>0</v>
      </c>
      <c r="Q201" s="1" t="s">
        <v>22</v>
      </c>
      <c r="R201" s="1" t="s">
        <v>22</v>
      </c>
      <c r="S201" s="1">
        <v>29</v>
      </c>
      <c r="T201" s="1">
        <v>1</v>
      </c>
      <c r="U201" s="1">
        <v>1</v>
      </c>
    </row>
    <row r="202" spans="1:21" x14ac:dyDescent="0.25">
      <c r="A202" s="4">
        <v>44774</v>
      </c>
      <c r="B202" s="5">
        <v>0.55872685185185189</v>
      </c>
      <c r="C202" s="1">
        <v>1341</v>
      </c>
      <c r="D202" s="1">
        <v>13002561</v>
      </c>
      <c r="E202" s="1">
        <v>13</v>
      </c>
      <c r="F202" s="1">
        <v>22589</v>
      </c>
      <c r="G202" s="1" t="s">
        <v>18</v>
      </c>
      <c r="H202" s="1">
        <v>15</v>
      </c>
      <c r="I202" s="1">
        <v>945</v>
      </c>
      <c r="J202" s="1" t="s">
        <v>285</v>
      </c>
      <c r="K202" s="1" t="s">
        <v>48</v>
      </c>
      <c r="L202" s="1" t="s">
        <v>194</v>
      </c>
      <c r="M202" s="1">
        <v>1</v>
      </c>
      <c r="N202" s="2">
        <v>88.23</v>
      </c>
      <c r="O202" s="3">
        <v>126</v>
      </c>
      <c r="P202" s="1">
        <v>0</v>
      </c>
      <c r="Q202" s="1" t="s">
        <v>22</v>
      </c>
      <c r="R202" s="1" t="s">
        <v>22</v>
      </c>
      <c r="S202" s="1">
        <v>29</v>
      </c>
      <c r="T202" s="1">
        <v>1</v>
      </c>
      <c r="U202" s="1">
        <v>2</v>
      </c>
    </row>
    <row r="203" spans="1:21" x14ac:dyDescent="0.25">
      <c r="A203" s="4">
        <v>44774</v>
      </c>
      <c r="B203" s="5">
        <v>0.55973379629629627</v>
      </c>
      <c r="C203" s="1">
        <v>1342</v>
      </c>
      <c r="D203" s="1">
        <v>13002561</v>
      </c>
      <c r="E203" s="1">
        <v>13</v>
      </c>
      <c r="F203" s="1">
        <v>22589</v>
      </c>
      <c r="G203" s="1" t="s">
        <v>18</v>
      </c>
      <c r="H203" s="1">
        <v>18</v>
      </c>
      <c r="I203" s="1">
        <v>82079</v>
      </c>
      <c r="J203" s="1" t="s">
        <v>286</v>
      </c>
      <c r="K203" s="1" t="s">
        <v>48</v>
      </c>
      <c r="L203" s="1" t="s">
        <v>172</v>
      </c>
      <c r="M203" s="1">
        <v>1</v>
      </c>
      <c r="N203" s="2">
        <v>55.76</v>
      </c>
      <c r="O203" s="3">
        <v>70</v>
      </c>
      <c r="P203" s="1">
        <v>0</v>
      </c>
      <c r="Q203" s="1" t="s">
        <v>22</v>
      </c>
      <c r="R203" s="1" t="s">
        <v>22</v>
      </c>
      <c r="S203" s="1">
        <v>29</v>
      </c>
      <c r="T203" s="1">
        <v>1</v>
      </c>
      <c r="U203" s="1">
        <v>2</v>
      </c>
    </row>
    <row r="204" spans="1:21" x14ac:dyDescent="0.25">
      <c r="A204" s="4">
        <v>44774</v>
      </c>
      <c r="B204" s="5">
        <v>0.55973379629629627</v>
      </c>
      <c r="C204" s="1">
        <v>1342</v>
      </c>
      <c r="D204" s="1">
        <v>13002561</v>
      </c>
      <c r="E204" s="1">
        <v>13</v>
      </c>
      <c r="F204" s="1">
        <v>22589</v>
      </c>
      <c r="G204" s="1" t="s">
        <v>18</v>
      </c>
      <c r="H204" s="1">
        <v>18</v>
      </c>
      <c r="I204" s="1">
        <v>339232</v>
      </c>
      <c r="J204" s="1" t="s">
        <v>287</v>
      </c>
      <c r="K204" s="1" t="s">
        <v>114</v>
      </c>
      <c r="L204" s="1" t="s">
        <v>120</v>
      </c>
      <c r="M204" s="1">
        <v>1</v>
      </c>
      <c r="N204" s="2">
        <v>36.07</v>
      </c>
      <c r="O204" s="3">
        <v>55</v>
      </c>
      <c r="P204" s="1">
        <v>0</v>
      </c>
      <c r="Q204" s="1" t="s">
        <v>22</v>
      </c>
      <c r="R204" s="1" t="s">
        <v>22</v>
      </c>
      <c r="S204" s="1">
        <v>29</v>
      </c>
      <c r="T204" s="1">
        <v>1</v>
      </c>
      <c r="U204" s="1">
        <v>1</v>
      </c>
    </row>
    <row r="205" spans="1:21" x14ac:dyDescent="0.25">
      <c r="A205" s="4">
        <v>44774</v>
      </c>
      <c r="B205" s="5">
        <v>0.5615162037037037</v>
      </c>
      <c r="C205" s="1">
        <v>1343</v>
      </c>
      <c r="D205" s="1">
        <v>13002561</v>
      </c>
      <c r="E205" s="1">
        <v>13</v>
      </c>
      <c r="F205" s="1">
        <v>22589</v>
      </c>
      <c r="G205" s="1" t="s">
        <v>18</v>
      </c>
      <c r="H205" s="1">
        <v>15</v>
      </c>
      <c r="I205" s="1">
        <v>100370</v>
      </c>
      <c r="J205" s="1" t="s">
        <v>288</v>
      </c>
      <c r="K205" s="1" t="s">
        <v>114</v>
      </c>
      <c r="L205" s="1" t="s">
        <v>245</v>
      </c>
      <c r="M205" s="1">
        <v>1</v>
      </c>
      <c r="N205" s="2">
        <v>32.74</v>
      </c>
      <c r="O205" s="3">
        <v>41</v>
      </c>
      <c r="P205" s="1">
        <v>2</v>
      </c>
      <c r="Q205" s="1">
        <v>9</v>
      </c>
      <c r="R205" s="1">
        <v>200010023539</v>
      </c>
      <c r="S205" s="1">
        <v>29</v>
      </c>
      <c r="T205" s="1">
        <v>1</v>
      </c>
      <c r="U205" s="1">
        <v>1</v>
      </c>
    </row>
    <row r="206" spans="1:21" x14ac:dyDescent="0.25">
      <c r="A206" s="4">
        <v>44774</v>
      </c>
      <c r="B206" s="5">
        <v>0.5615162037037037</v>
      </c>
      <c r="C206" s="1">
        <v>1343</v>
      </c>
      <c r="D206" s="1">
        <v>13002561</v>
      </c>
      <c r="E206" s="1">
        <v>13</v>
      </c>
      <c r="F206" s="1">
        <v>22589</v>
      </c>
      <c r="G206" s="1" t="s">
        <v>18</v>
      </c>
      <c r="H206" s="1">
        <v>15</v>
      </c>
      <c r="I206" s="1">
        <v>100370</v>
      </c>
      <c r="J206" s="1" t="s">
        <v>288</v>
      </c>
      <c r="K206" s="1" t="s">
        <v>289</v>
      </c>
      <c r="L206" s="1" t="s">
        <v>245</v>
      </c>
      <c r="M206" s="1">
        <v>1</v>
      </c>
      <c r="N206" s="2">
        <v>34.840000000000003</v>
      </c>
      <c r="O206" s="3">
        <v>43</v>
      </c>
      <c r="P206" s="1">
        <v>2</v>
      </c>
      <c r="Q206" s="1">
        <v>9</v>
      </c>
      <c r="R206" s="1">
        <v>200010023539</v>
      </c>
      <c r="S206" s="1">
        <v>29</v>
      </c>
      <c r="T206" s="1">
        <v>1</v>
      </c>
      <c r="U206" s="1">
        <v>2</v>
      </c>
    </row>
    <row r="207" spans="1:21" x14ac:dyDescent="0.25">
      <c r="A207" s="4">
        <v>44774</v>
      </c>
      <c r="B207" s="5">
        <v>0.5615162037037037</v>
      </c>
      <c r="C207" s="1">
        <v>1343</v>
      </c>
      <c r="D207" s="1">
        <v>13002561</v>
      </c>
      <c r="E207" s="1">
        <v>13</v>
      </c>
      <c r="F207" s="1">
        <v>22589</v>
      </c>
      <c r="G207" s="1" t="s">
        <v>18</v>
      </c>
      <c r="H207" s="1">
        <v>15</v>
      </c>
      <c r="I207" s="1">
        <v>5155</v>
      </c>
      <c r="J207" s="1" t="s">
        <v>290</v>
      </c>
      <c r="K207" s="1" t="s">
        <v>26</v>
      </c>
      <c r="L207" s="1" t="s">
        <v>217</v>
      </c>
      <c r="M207" s="1">
        <v>1</v>
      </c>
      <c r="N207" s="2">
        <v>72.02</v>
      </c>
      <c r="O207" s="3">
        <v>90</v>
      </c>
      <c r="P207" s="1">
        <v>4</v>
      </c>
      <c r="Q207" s="1">
        <v>9</v>
      </c>
      <c r="R207" s="1">
        <v>200010023539</v>
      </c>
      <c r="S207" s="1">
        <v>29</v>
      </c>
      <c r="T207" s="1">
        <v>1</v>
      </c>
      <c r="U207" s="1">
        <v>3</v>
      </c>
    </row>
    <row r="208" spans="1:21" x14ac:dyDescent="0.25">
      <c r="A208" s="4">
        <v>44774</v>
      </c>
      <c r="B208" s="5">
        <v>0.5639467592592593</v>
      </c>
      <c r="C208" s="1">
        <v>1344</v>
      </c>
      <c r="D208" s="1">
        <v>13002561</v>
      </c>
      <c r="E208" s="1">
        <v>13</v>
      </c>
      <c r="F208" s="1">
        <v>22589</v>
      </c>
      <c r="G208" s="1" t="s">
        <v>18</v>
      </c>
      <c r="H208" s="1">
        <v>15</v>
      </c>
      <c r="I208" s="1">
        <v>255456</v>
      </c>
      <c r="J208" s="1" t="s">
        <v>291</v>
      </c>
      <c r="K208" s="1" t="s">
        <v>31</v>
      </c>
      <c r="L208" s="1" t="s">
        <v>292</v>
      </c>
      <c r="M208" s="1">
        <v>1</v>
      </c>
      <c r="N208" s="2">
        <v>503.92</v>
      </c>
      <c r="O208" s="3">
        <v>630</v>
      </c>
      <c r="P208" s="1">
        <v>44</v>
      </c>
      <c r="Q208" s="1">
        <v>9</v>
      </c>
      <c r="R208" s="1">
        <v>200010022491</v>
      </c>
      <c r="S208" s="1">
        <v>29</v>
      </c>
      <c r="T208" s="1">
        <v>1</v>
      </c>
      <c r="U208" s="1">
        <v>1</v>
      </c>
    </row>
    <row r="209" spans="1:21" x14ac:dyDescent="0.25">
      <c r="A209" s="4">
        <v>44774</v>
      </c>
      <c r="B209" s="5">
        <v>0.56592592592592594</v>
      </c>
      <c r="C209" s="1">
        <v>1345</v>
      </c>
      <c r="D209" s="1">
        <v>13002561</v>
      </c>
      <c r="E209" s="1">
        <v>13</v>
      </c>
      <c r="F209" s="1">
        <v>22589</v>
      </c>
      <c r="G209" s="1" t="s">
        <v>18</v>
      </c>
      <c r="H209" s="1">
        <v>15</v>
      </c>
      <c r="I209" s="1">
        <v>290470</v>
      </c>
      <c r="J209" s="1" t="s">
        <v>293</v>
      </c>
      <c r="K209" s="1" t="s">
        <v>48</v>
      </c>
      <c r="L209" s="1" t="s">
        <v>294</v>
      </c>
      <c r="M209" s="1">
        <v>1</v>
      </c>
      <c r="N209" s="2">
        <v>373.44</v>
      </c>
      <c r="O209" s="3">
        <v>493</v>
      </c>
      <c r="P209" s="1">
        <v>34</v>
      </c>
      <c r="Q209" s="1">
        <v>9</v>
      </c>
      <c r="R209" s="1">
        <v>200010001829</v>
      </c>
      <c r="S209" s="1">
        <v>29</v>
      </c>
      <c r="T209" s="1">
        <v>1</v>
      </c>
      <c r="U209" s="1">
        <v>1</v>
      </c>
    </row>
    <row r="210" spans="1:21" x14ac:dyDescent="0.25">
      <c r="A210" s="4">
        <v>44774</v>
      </c>
      <c r="B210" s="5">
        <v>0.57143518518518521</v>
      </c>
      <c r="C210" s="1">
        <v>1346</v>
      </c>
      <c r="D210" s="1">
        <v>13002561</v>
      </c>
      <c r="E210" s="1">
        <v>13</v>
      </c>
      <c r="F210" s="1">
        <v>22589</v>
      </c>
      <c r="G210" s="1" t="s">
        <v>18</v>
      </c>
      <c r="H210" s="1">
        <v>18</v>
      </c>
      <c r="I210" s="1">
        <v>78641</v>
      </c>
      <c r="J210" s="1" t="s">
        <v>295</v>
      </c>
      <c r="K210" s="1" t="s">
        <v>58</v>
      </c>
      <c r="L210" s="1" t="s">
        <v>296</v>
      </c>
      <c r="M210" s="1">
        <v>1</v>
      </c>
      <c r="N210" s="2">
        <v>333.74</v>
      </c>
      <c r="O210" s="3">
        <v>441</v>
      </c>
      <c r="P210" s="1">
        <v>30</v>
      </c>
      <c r="Q210" s="1">
        <v>9</v>
      </c>
      <c r="R210" s="1">
        <v>200010020116</v>
      </c>
      <c r="S210" s="1">
        <v>29</v>
      </c>
      <c r="T210" s="1">
        <v>1</v>
      </c>
      <c r="U210" s="1">
        <v>2</v>
      </c>
    </row>
    <row r="211" spans="1:21" x14ac:dyDescent="0.25">
      <c r="A211" s="4">
        <v>44774</v>
      </c>
      <c r="B211" s="5">
        <v>0.57143518518518521</v>
      </c>
      <c r="C211" s="1">
        <v>1346</v>
      </c>
      <c r="D211" s="1">
        <v>13002561</v>
      </c>
      <c r="E211" s="1">
        <v>13</v>
      </c>
      <c r="F211" s="1">
        <v>22589</v>
      </c>
      <c r="G211" s="1" t="s">
        <v>18</v>
      </c>
      <c r="H211" s="1">
        <v>18</v>
      </c>
      <c r="I211" s="1">
        <v>23672</v>
      </c>
      <c r="J211" s="1" t="s">
        <v>297</v>
      </c>
      <c r="K211" s="1" t="s">
        <v>55</v>
      </c>
      <c r="L211" s="1" t="s">
        <v>298</v>
      </c>
      <c r="M211" s="1">
        <v>1</v>
      </c>
      <c r="N211" s="2">
        <v>50.31</v>
      </c>
      <c r="O211" s="3">
        <v>79</v>
      </c>
      <c r="P211" s="1">
        <v>7</v>
      </c>
      <c r="Q211" s="1">
        <v>9</v>
      </c>
      <c r="R211" s="1">
        <v>200010020116</v>
      </c>
      <c r="S211" s="1">
        <v>29</v>
      </c>
      <c r="T211" s="1">
        <v>1</v>
      </c>
      <c r="U211" s="1">
        <v>1</v>
      </c>
    </row>
    <row r="212" spans="1:21" x14ac:dyDescent="0.25">
      <c r="A212" s="4">
        <v>44774</v>
      </c>
      <c r="B212" s="5">
        <v>0.57201388888888893</v>
      </c>
      <c r="C212" s="1">
        <v>1347</v>
      </c>
      <c r="D212" s="1">
        <v>13002561</v>
      </c>
      <c r="E212" s="1">
        <v>13</v>
      </c>
      <c r="F212" s="1">
        <v>22589</v>
      </c>
      <c r="G212" s="1" t="s">
        <v>18</v>
      </c>
      <c r="H212" s="1">
        <v>15</v>
      </c>
      <c r="I212" s="1">
        <v>9594</v>
      </c>
      <c r="J212" s="1" t="s">
        <v>299</v>
      </c>
      <c r="K212" s="1" t="s">
        <v>20</v>
      </c>
      <c r="L212" s="1" t="s">
        <v>300</v>
      </c>
      <c r="M212" s="1">
        <v>1</v>
      </c>
      <c r="N212" s="2">
        <v>62.12</v>
      </c>
      <c r="O212" s="3">
        <v>75</v>
      </c>
      <c r="P212" s="1">
        <v>5</v>
      </c>
      <c r="Q212" s="1">
        <v>9</v>
      </c>
      <c r="R212" s="1">
        <v>200010020116</v>
      </c>
      <c r="S212" s="1">
        <v>29</v>
      </c>
      <c r="T212" s="1">
        <v>1</v>
      </c>
      <c r="U212" s="1">
        <v>1</v>
      </c>
    </row>
    <row r="213" spans="1:21" x14ac:dyDescent="0.25">
      <c r="A213" s="4">
        <v>44774</v>
      </c>
      <c r="B213" s="5">
        <v>0.57201388888888893</v>
      </c>
      <c r="C213" s="1">
        <v>1347</v>
      </c>
      <c r="D213" s="1">
        <v>13002561</v>
      </c>
      <c r="E213" s="1">
        <v>13</v>
      </c>
      <c r="F213" s="1">
        <v>22589</v>
      </c>
      <c r="G213" s="1" t="s">
        <v>18</v>
      </c>
      <c r="H213" s="1">
        <v>15</v>
      </c>
      <c r="I213" s="1">
        <v>9594</v>
      </c>
      <c r="J213" s="1" t="s">
        <v>299</v>
      </c>
      <c r="K213" s="1" t="s">
        <v>20</v>
      </c>
      <c r="L213" s="1" t="s">
        <v>300</v>
      </c>
      <c r="M213" s="1">
        <v>1</v>
      </c>
      <c r="N213" s="2">
        <v>62.12</v>
      </c>
      <c r="O213" s="3">
        <v>75</v>
      </c>
      <c r="P213" s="1">
        <v>5</v>
      </c>
      <c r="Q213" s="1">
        <v>9</v>
      </c>
      <c r="R213" s="1">
        <v>200010020116</v>
      </c>
      <c r="S213" s="1">
        <v>29</v>
      </c>
      <c r="T213" s="1">
        <v>1</v>
      </c>
      <c r="U213" s="1">
        <v>2</v>
      </c>
    </row>
    <row r="214" spans="1:21" x14ac:dyDescent="0.25">
      <c r="A214" s="4">
        <v>44774</v>
      </c>
      <c r="B214" s="5">
        <v>0.57680555555555557</v>
      </c>
      <c r="C214" s="1">
        <v>1348</v>
      </c>
      <c r="D214" s="1">
        <v>13002561</v>
      </c>
      <c r="E214" s="1">
        <v>13</v>
      </c>
      <c r="F214" s="1">
        <v>22589</v>
      </c>
      <c r="G214" s="1" t="s">
        <v>18</v>
      </c>
      <c r="H214" s="1">
        <v>15</v>
      </c>
      <c r="I214" s="1">
        <v>13441</v>
      </c>
      <c r="J214" s="1" t="s">
        <v>301</v>
      </c>
      <c r="K214" s="1" t="s">
        <v>58</v>
      </c>
      <c r="L214" s="1" t="s">
        <v>266</v>
      </c>
      <c r="M214" s="1">
        <v>1</v>
      </c>
      <c r="N214" s="2">
        <v>42.68</v>
      </c>
      <c r="O214" s="3">
        <v>70</v>
      </c>
      <c r="P214" s="1">
        <v>7</v>
      </c>
      <c r="Q214" s="1">
        <v>9</v>
      </c>
      <c r="R214" s="1">
        <v>200010021953</v>
      </c>
      <c r="S214" s="1">
        <v>29</v>
      </c>
      <c r="T214" s="1">
        <v>1</v>
      </c>
      <c r="U214" s="1">
        <v>7</v>
      </c>
    </row>
    <row r="215" spans="1:21" x14ac:dyDescent="0.25">
      <c r="A215" s="4">
        <v>44774</v>
      </c>
      <c r="B215" s="5">
        <v>0.57680555555555557</v>
      </c>
      <c r="C215" s="1">
        <v>1348</v>
      </c>
      <c r="D215" s="1">
        <v>13002561</v>
      </c>
      <c r="E215" s="1">
        <v>13</v>
      </c>
      <c r="F215" s="1">
        <v>22589</v>
      </c>
      <c r="G215" s="1" t="s">
        <v>18</v>
      </c>
      <c r="H215" s="1">
        <v>15</v>
      </c>
      <c r="I215" s="1">
        <v>337928</v>
      </c>
      <c r="J215" s="1" t="s">
        <v>302</v>
      </c>
      <c r="K215" s="1" t="s">
        <v>114</v>
      </c>
      <c r="L215" s="1" t="s">
        <v>303</v>
      </c>
      <c r="M215" s="1">
        <v>1</v>
      </c>
      <c r="N215" s="2">
        <v>52.17</v>
      </c>
      <c r="O215" s="3">
        <v>75</v>
      </c>
      <c r="P215" s="1">
        <v>5</v>
      </c>
      <c r="Q215" s="1">
        <v>9</v>
      </c>
      <c r="R215" s="1">
        <v>200010021953</v>
      </c>
      <c r="S215" s="1">
        <v>29</v>
      </c>
      <c r="T215" s="1">
        <v>1</v>
      </c>
      <c r="U215" s="1">
        <v>8</v>
      </c>
    </row>
    <row r="216" spans="1:21" x14ac:dyDescent="0.25">
      <c r="A216" s="4">
        <v>44774</v>
      </c>
      <c r="B216" s="5">
        <v>0.57680555555555557</v>
      </c>
      <c r="C216" s="1">
        <v>1348</v>
      </c>
      <c r="D216" s="1">
        <v>13002561</v>
      </c>
      <c r="E216" s="1">
        <v>13</v>
      </c>
      <c r="F216" s="1">
        <v>22589</v>
      </c>
      <c r="G216" s="1" t="s">
        <v>18</v>
      </c>
      <c r="H216" s="1">
        <v>15</v>
      </c>
      <c r="I216" s="1">
        <v>397294</v>
      </c>
      <c r="J216" s="1" t="s">
        <v>304</v>
      </c>
      <c r="K216" s="1" t="s">
        <v>48</v>
      </c>
      <c r="L216" s="1" t="s">
        <v>73</v>
      </c>
      <c r="M216" s="1">
        <v>1</v>
      </c>
      <c r="N216" s="2">
        <v>394.06</v>
      </c>
      <c r="O216" s="3">
        <v>476</v>
      </c>
      <c r="P216" s="1">
        <v>23</v>
      </c>
      <c r="Q216" s="1">
        <v>9</v>
      </c>
      <c r="R216" s="1">
        <v>200010021953</v>
      </c>
      <c r="S216" s="1">
        <v>29</v>
      </c>
      <c r="T216" s="1">
        <v>1</v>
      </c>
      <c r="U216" s="1">
        <v>5</v>
      </c>
    </row>
    <row r="217" spans="1:21" x14ac:dyDescent="0.25">
      <c r="A217" s="4">
        <v>44774</v>
      </c>
      <c r="B217" s="5">
        <v>0.57680555555555557</v>
      </c>
      <c r="C217" s="1">
        <v>1348</v>
      </c>
      <c r="D217" s="1">
        <v>13002561</v>
      </c>
      <c r="E217" s="1">
        <v>13</v>
      </c>
      <c r="F217" s="1">
        <v>22589</v>
      </c>
      <c r="G217" s="1" t="s">
        <v>18</v>
      </c>
      <c r="H217" s="1">
        <v>15</v>
      </c>
      <c r="I217" s="1">
        <v>539074</v>
      </c>
      <c r="J217" s="1" t="s">
        <v>305</v>
      </c>
      <c r="K217" s="1" t="s">
        <v>20</v>
      </c>
      <c r="L217" s="1" t="s">
        <v>306</v>
      </c>
      <c r="M217" s="1">
        <v>1</v>
      </c>
      <c r="N217" s="2">
        <v>174.18</v>
      </c>
      <c r="O217" s="3">
        <v>270</v>
      </c>
      <c r="P217" s="1">
        <v>27</v>
      </c>
      <c r="Q217" s="1">
        <v>9</v>
      </c>
      <c r="R217" s="1">
        <v>200010021953</v>
      </c>
      <c r="S217" s="1">
        <v>29</v>
      </c>
      <c r="T217" s="1">
        <v>1</v>
      </c>
      <c r="U217" s="1">
        <v>4</v>
      </c>
    </row>
    <row r="218" spans="1:21" x14ac:dyDescent="0.25">
      <c r="A218" s="4">
        <v>44774</v>
      </c>
      <c r="B218" s="5">
        <v>0.57680555555555557</v>
      </c>
      <c r="C218" s="1">
        <v>1348</v>
      </c>
      <c r="D218" s="1">
        <v>13002561</v>
      </c>
      <c r="E218" s="1">
        <v>13</v>
      </c>
      <c r="F218" s="1">
        <v>22589</v>
      </c>
      <c r="G218" s="1" t="s">
        <v>18</v>
      </c>
      <c r="H218" s="1">
        <v>15</v>
      </c>
      <c r="I218" s="1">
        <v>38815</v>
      </c>
      <c r="J218" s="1" t="s">
        <v>307</v>
      </c>
      <c r="K218" s="1" t="s">
        <v>48</v>
      </c>
      <c r="L218" s="1" t="s">
        <v>194</v>
      </c>
      <c r="M218" s="1">
        <v>1</v>
      </c>
      <c r="N218" s="2">
        <v>33.21</v>
      </c>
      <c r="O218" s="3">
        <v>51</v>
      </c>
      <c r="P218" s="1">
        <v>3</v>
      </c>
      <c r="Q218" s="1">
        <v>9</v>
      </c>
      <c r="R218" s="1">
        <v>200010021953</v>
      </c>
      <c r="S218" s="1">
        <v>29</v>
      </c>
      <c r="T218" s="1">
        <v>1</v>
      </c>
      <c r="U218" s="1">
        <v>2</v>
      </c>
    </row>
    <row r="219" spans="1:21" x14ac:dyDescent="0.25">
      <c r="A219" s="4">
        <v>44774</v>
      </c>
      <c r="B219" s="5">
        <v>0.57680555555555557</v>
      </c>
      <c r="C219" s="1">
        <v>1348</v>
      </c>
      <c r="D219" s="1">
        <v>13002561</v>
      </c>
      <c r="E219" s="1">
        <v>13</v>
      </c>
      <c r="F219" s="1">
        <v>22589</v>
      </c>
      <c r="G219" s="1" t="s">
        <v>18</v>
      </c>
      <c r="H219" s="1">
        <v>15</v>
      </c>
      <c r="I219" s="1">
        <v>38815</v>
      </c>
      <c r="J219" s="1" t="s">
        <v>307</v>
      </c>
      <c r="K219" s="1" t="s">
        <v>48</v>
      </c>
      <c r="L219" s="1" t="s">
        <v>194</v>
      </c>
      <c r="M219" s="1">
        <v>1</v>
      </c>
      <c r="N219" s="2">
        <v>33.21</v>
      </c>
      <c r="O219" s="3">
        <v>51</v>
      </c>
      <c r="P219" s="1">
        <v>3</v>
      </c>
      <c r="Q219" s="1">
        <v>9</v>
      </c>
      <c r="R219" s="1">
        <v>200010021953</v>
      </c>
      <c r="S219" s="1">
        <v>29</v>
      </c>
      <c r="T219" s="1">
        <v>1</v>
      </c>
      <c r="U219" s="1">
        <v>3</v>
      </c>
    </row>
    <row r="220" spans="1:21" x14ac:dyDescent="0.25">
      <c r="A220" s="4">
        <v>44774</v>
      </c>
      <c r="B220" s="5">
        <v>0.57905092592592589</v>
      </c>
      <c r="C220" s="1">
        <v>1349</v>
      </c>
      <c r="D220" s="1">
        <v>13002561</v>
      </c>
      <c r="E220" s="1">
        <v>13</v>
      </c>
      <c r="F220" s="1">
        <v>22589</v>
      </c>
      <c r="G220" s="1" t="s">
        <v>18</v>
      </c>
      <c r="H220" s="1">
        <v>15</v>
      </c>
      <c r="I220" s="1">
        <v>5093</v>
      </c>
      <c r="J220" s="1" t="s">
        <v>308</v>
      </c>
      <c r="K220" s="1" t="s">
        <v>26</v>
      </c>
      <c r="L220" s="1" t="s">
        <v>32</v>
      </c>
      <c r="M220" s="1">
        <v>1</v>
      </c>
      <c r="N220" s="2">
        <v>208.26</v>
      </c>
      <c r="O220" s="3">
        <v>240</v>
      </c>
      <c r="P220" s="1">
        <v>16</v>
      </c>
      <c r="Q220" s="1">
        <v>9</v>
      </c>
      <c r="R220" s="1">
        <v>200010022582</v>
      </c>
      <c r="S220" s="1">
        <v>29</v>
      </c>
      <c r="T220" s="1">
        <v>1</v>
      </c>
      <c r="U220" s="1">
        <v>2</v>
      </c>
    </row>
    <row r="221" spans="1:21" x14ac:dyDescent="0.25">
      <c r="A221" s="4">
        <v>44774</v>
      </c>
      <c r="B221" s="5">
        <v>0.57905092592592589</v>
      </c>
      <c r="C221" s="1">
        <v>1349</v>
      </c>
      <c r="D221" s="1">
        <v>13002561</v>
      </c>
      <c r="E221" s="1">
        <v>13</v>
      </c>
      <c r="F221" s="1">
        <v>22589</v>
      </c>
      <c r="G221" s="1" t="s">
        <v>18</v>
      </c>
      <c r="H221" s="1">
        <v>15</v>
      </c>
      <c r="I221" s="1">
        <v>9329</v>
      </c>
      <c r="J221" s="1" t="s">
        <v>309</v>
      </c>
      <c r="K221" s="1" t="s">
        <v>61</v>
      </c>
      <c r="L221" s="1" t="s">
        <v>310</v>
      </c>
      <c r="M221" s="1">
        <v>1</v>
      </c>
      <c r="N221" s="2">
        <v>201.71</v>
      </c>
      <c r="O221" s="3">
        <v>239</v>
      </c>
      <c r="P221" s="1">
        <v>11</v>
      </c>
      <c r="Q221" s="1">
        <v>9</v>
      </c>
      <c r="R221" s="1">
        <v>200010022582</v>
      </c>
      <c r="S221" s="1">
        <v>29</v>
      </c>
      <c r="T221" s="1">
        <v>1</v>
      </c>
      <c r="U221" s="1">
        <v>1</v>
      </c>
    </row>
    <row r="222" spans="1:21" x14ac:dyDescent="0.25">
      <c r="A222" s="4">
        <v>44774</v>
      </c>
      <c r="B222" s="5">
        <v>0.58363425925925927</v>
      </c>
      <c r="C222" s="1">
        <v>1350</v>
      </c>
      <c r="D222" s="1">
        <v>13002561</v>
      </c>
      <c r="E222" s="1">
        <v>13</v>
      </c>
      <c r="F222" s="1">
        <v>22589</v>
      </c>
      <c r="G222" s="1" t="s">
        <v>18</v>
      </c>
      <c r="H222" s="1">
        <v>18</v>
      </c>
      <c r="I222" s="1">
        <v>28768</v>
      </c>
      <c r="J222" s="1" t="s">
        <v>311</v>
      </c>
      <c r="K222" s="1" t="s">
        <v>114</v>
      </c>
      <c r="L222" s="1" t="s">
        <v>312</v>
      </c>
      <c r="M222" s="1">
        <v>1</v>
      </c>
      <c r="N222" s="2">
        <v>385.06</v>
      </c>
      <c r="O222" s="3">
        <v>509</v>
      </c>
      <c r="P222" s="1">
        <v>35</v>
      </c>
      <c r="Q222" s="1">
        <v>9</v>
      </c>
      <c r="R222" s="1">
        <v>200010020905</v>
      </c>
      <c r="S222" s="1">
        <v>29</v>
      </c>
      <c r="T222" s="1">
        <v>1</v>
      </c>
      <c r="U222" s="1">
        <v>2</v>
      </c>
    </row>
    <row r="223" spans="1:21" x14ac:dyDescent="0.25">
      <c r="A223" s="4">
        <v>44774</v>
      </c>
      <c r="B223" s="5">
        <v>0.58363425925925927</v>
      </c>
      <c r="C223" s="1">
        <v>1350</v>
      </c>
      <c r="D223" s="1">
        <v>13002561</v>
      </c>
      <c r="E223" s="1">
        <v>13</v>
      </c>
      <c r="F223" s="1">
        <v>22589</v>
      </c>
      <c r="G223" s="1" t="s">
        <v>18</v>
      </c>
      <c r="H223" s="1">
        <v>18</v>
      </c>
      <c r="I223" s="1">
        <v>3647</v>
      </c>
      <c r="J223" s="1" t="s">
        <v>313</v>
      </c>
      <c r="K223" s="1" t="s">
        <v>58</v>
      </c>
      <c r="L223" s="1" t="s">
        <v>79</v>
      </c>
      <c r="M223" s="1">
        <v>1</v>
      </c>
      <c r="N223" s="2">
        <v>93.28</v>
      </c>
      <c r="O223" s="3">
        <v>133</v>
      </c>
      <c r="P223" s="1">
        <v>9</v>
      </c>
      <c r="Q223" s="1">
        <v>9</v>
      </c>
      <c r="R223" s="1">
        <v>200010020905</v>
      </c>
      <c r="S223" s="1">
        <v>29</v>
      </c>
      <c r="T223" s="1">
        <v>1</v>
      </c>
      <c r="U223" s="1">
        <v>1</v>
      </c>
    </row>
    <row r="224" spans="1:21" x14ac:dyDescent="0.25">
      <c r="A224" s="4">
        <v>44774</v>
      </c>
      <c r="B224" s="5">
        <v>0.58592592592592596</v>
      </c>
      <c r="C224" s="1">
        <v>1351</v>
      </c>
      <c r="D224" s="1">
        <v>13002561</v>
      </c>
      <c r="E224" s="1">
        <v>13</v>
      </c>
      <c r="F224" s="1">
        <v>22589</v>
      </c>
      <c r="G224" s="1" t="s">
        <v>18</v>
      </c>
      <c r="H224" s="1">
        <v>15</v>
      </c>
      <c r="I224" s="1">
        <v>545136</v>
      </c>
      <c r="J224" s="1" t="s">
        <v>314</v>
      </c>
      <c r="K224" s="1" t="s">
        <v>48</v>
      </c>
      <c r="L224" s="1" t="s">
        <v>315</v>
      </c>
      <c r="M224" s="1">
        <v>0.14285713999999999</v>
      </c>
      <c r="N224" s="2">
        <v>9586.56</v>
      </c>
      <c r="O224" s="3">
        <v>10775.7</v>
      </c>
      <c r="P224" s="1">
        <v>153.38999999999999</v>
      </c>
      <c r="Q224" s="1">
        <v>27</v>
      </c>
      <c r="R224" s="1">
        <v>200010000015</v>
      </c>
      <c r="S224" s="1">
        <v>29</v>
      </c>
      <c r="T224" s="1">
        <v>1</v>
      </c>
      <c r="U224" s="1">
        <v>1</v>
      </c>
    </row>
    <row r="225" spans="1:21" x14ac:dyDescent="0.25">
      <c r="A225" s="4">
        <v>44774</v>
      </c>
      <c r="B225" s="5">
        <v>0.58592592592592596</v>
      </c>
      <c r="C225" s="1">
        <v>1351</v>
      </c>
      <c r="D225" s="1">
        <v>13002561</v>
      </c>
      <c r="E225" s="1">
        <v>13</v>
      </c>
      <c r="F225" s="1">
        <v>22589</v>
      </c>
      <c r="G225" s="1" t="s">
        <v>18</v>
      </c>
      <c r="H225" s="1">
        <v>15</v>
      </c>
      <c r="I225" s="1">
        <v>30442</v>
      </c>
      <c r="J225" s="1" t="s">
        <v>316</v>
      </c>
      <c r="K225" s="1" t="s">
        <v>48</v>
      </c>
      <c r="L225" s="1" t="s">
        <v>317</v>
      </c>
      <c r="M225" s="1">
        <v>2</v>
      </c>
      <c r="N225" s="2">
        <v>139.21</v>
      </c>
      <c r="O225" s="3">
        <v>216</v>
      </c>
      <c r="P225" s="1">
        <v>64</v>
      </c>
      <c r="Q225" s="1">
        <v>27</v>
      </c>
      <c r="R225" s="1">
        <v>200010000015</v>
      </c>
      <c r="S225" s="1">
        <v>29</v>
      </c>
      <c r="T225" s="1">
        <v>1</v>
      </c>
      <c r="U225" s="1">
        <v>2</v>
      </c>
    </row>
    <row r="226" spans="1:21" x14ac:dyDescent="0.25">
      <c r="A226" s="4">
        <v>44774</v>
      </c>
      <c r="B226" s="5">
        <v>0.58928240740740745</v>
      </c>
      <c r="C226" s="1">
        <v>1352</v>
      </c>
      <c r="D226" s="1">
        <v>13002561</v>
      </c>
      <c r="E226" s="1">
        <v>13</v>
      </c>
      <c r="F226" s="1">
        <v>22589</v>
      </c>
      <c r="G226" s="1" t="s">
        <v>18</v>
      </c>
      <c r="H226" s="1">
        <v>15</v>
      </c>
      <c r="I226" s="1">
        <v>326881</v>
      </c>
      <c r="J226" s="1" t="s">
        <v>318</v>
      </c>
      <c r="K226" s="1" t="s">
        <v>48</v>
      </c>
      <c r="L226" s="1" t="s">
        <v>319</v>
      </c>
      <c r="M226" s="1">
        <v>1</v>
      </c>
      <c r="N226" s="2">
        <v>92.38</v>
      </c>
      <c r="O226" s="3">
        <v>132</v>
      </c>
      <c r="P226" s="1">
        <v>0</v>
      </c>
      <c r="Q226" s="1" t="s">
        <v>22</v>
      </c>
      <c r="R226" s="1" t="s">
        <v>22</v>
      </c>
      <c r="S226" s="1">
        <v>29</v>
      </c>
      <c r="T226" s="1">
        <v>1</v>
      </c>
      <c r="U226" s="1">
        <v>2</v>
      </c>
    </row>
    <row r="227" spans="1:21" x14ac:dyDescent="0.25">
      <c r="A227" s="4">
        <v>44774</v>
      </c>
      <c r="B227" s="5">
        <v>0.58928240740740745</v>
      </c>
      <c r="C227" s="1">
        <v>1352</v>
      </c>
      <c r="D227" s="1">
        <v>13002561</v>
      </c>
      <c r="E227" s="1">
        <v>13</v>
      </c>
      <c r="F227" s="1">
        <v>22589</v>
      </c>
      <c r="G227" s="1" t="s">
        <v>18</v>
      </c>
      <c r="H227" s="1">
        <v>15</v>
      </c>
      <c r="I227" s="1">
        <v>326881</v>
      </c>
      <c r="J227" s="1" t="s">
        <v>318</v>
      </c>
      <c r="K227" s="1" t="s">
        <v>48</v>
      </c>
      <c r="L227" s="1" t="s">
        <v>319</v>
      </c>
      <c r="M227" s="1">
        <v>1</v>
      </c>
      <c r="N227" s="2">
        <v>92.38</v>
      </c>
      <c r="O227" s="3">
        <v>132</v>
      </c>
      <c r="P227" s="1">
        <v>0</v>
      </c>
      <c r="Q227" s="1" t="s">
        <v>22</v>
      </c>
      <c r="R227" s="1" t="s">
        <v>22</v>
      </c>
      <c r="S227" s="1">
        <v>29</v>
      </c>
      <c r="T227" s="1">
        <v>1</v>
      </c>
      <c r="U227" s="1">
        <v>3</v>
      </c>
    </row>
    <row r="228" spans="1:21" x14ac:dyDescent="0.25">
      <c r="A228" s="4">
        <v>44774</v>
      </c>
      <c r="B228" s="5">
        <v>0.58928240740740745</v>
      </c>
      <c r="C228" s="1">
        <v>1352</v>
      </c>
      <c r="D228" s="1">
        <v>13002561</v>
      </c>
      <c r="E228" s="1">
        <v>13</v>
      </c>
      <c r="F228" s="1">
        <v>22589</v>
      </c>
      <c r="G228" s="1" t="s">
        <v>18</v>
      </c>
      <c r="H228" s="1">
        <v>15</v>
      </c>
      <c r="I228" s="1">
        <v>48094</v>
      </c>
      <c r="J228" s="1" t="s">
        <v>320</v>
      </c>
      <c r="K228" s="1" t="s">
        <v>31</v>
      </c>
      <c r="L228" s="1" t="s">
        <v>115</v>
      </c>
      <c r="M228" s="1">
        <v>1</v>
      </c>
      <c r="N228" s="2">
        <v>105.58</v>
      </c>
      <c r="O228" s="3">
        <v>154</v>
      </c>
      <c r="P228" s="1">
        <v>0</v>
      </c>
      <c r="Q228" s="1" t="s">
        <v>22</v>
      </c>
      <c r="R228" s="1" t="s">
        <v>22</v>
      </c>
      <c r="S228" s="1">
        <v>29</v>
      </c>
      <c r="T228" s="1">
        <v>1</v>
      </c>
      <c r="U228" s="1">
        <v>1</v>
      </c>
    </row>
    <row r="229" spans="1:21" x14ac:dyDescent="0.25">
      <c r="A229" s="4">
        <v>44774</v>
      </c>
      <c r="B229" s="5">
        <v>0.59075231481481483</v>
      </c>
      <c r="C229" s="1">
        <v>1353</v>
      </c>
      <c r="D229" s="1">
        <v>13002561</v>
      </c>
      <c r="E229" s="1">
        <v>13</v>
      </c>
      <c r="F229" s="1">
        <v>22589</v>
      </c>
      <c r="G229" s="1" t="s">
        <v>18</v>
      </c>
      <c r="H229" s="1">
        <v>18</v>
      </c>
      <c r="I229" s="1">
        <v>141664</v>
      </c>
      <c r="J229" s="1" t="s">
        <v>321</v>
      </c>
      <c r="K229" s="1" t="s">
        <v>48</v>
      </c>
      <c r="L229" s="1" t="s">
        <v>77</v>
      </c>
      <c r="M229" s="1">
        <v>2</v>
      </c>
      <c r="N229" s="2">
        <v>37.78</v>
      </c>
      <c r="O229" s="3">
        <v>62</v>
      </c>
      <c r="P229" s="1">
        <v>12</v>
      </c>
      <c r="Q229" s="1">
        <v>9</v>
      </c>
      <c r="R229" s="1">
        <v>200010021962</v>
      </c>
      <c r="S229" s="1">
        <v>29</v>
      </c>
      <c r="T229" s="1">
        <v>1</v>
      </c>
      <c r="U229" s="1">
        <v>3</v>
      </c>
    </row>
    <row r="230" spans="1:21" x14ac:dyDescent="0.25">
      <c r="A230" s="4">
        <v>44774</v>
      </c>
      <c r="B230" s="5">
        <v>0.59075231481481483</v>
      </c>
      <c r="C230" s="1">
        <v>1353</v>
      </c>
      <c r="D230" s="1">
        <v>13002561</v>
      </c>
      <c r="E230" s="1">
        <v>13</v>
      </c>
      <c r="F230" s="1">
        <v>22589</v>
      </c>
      <c r="G230" s="1" t="s">
        <v>18</v>
      </c>
      <c r="H230" s="1">
        <v>18</v>
      </c>
      <c r="I230" s="1">
        <v>485337</v>
      </c>
      <c r="J230" s="1" t="s">
        <v>322</v>
      </c>
      <c r="K230" s="1" t="s">
        <v>138</v>
      </c>
      <c r="L230" s="1" t="s">
        <v>323</v>
      </c>
      <c r="M230" s="1">
        <v>1</v>
      </c>
      <c r="N230" s="2">
        <v>49.39</v>
      </c>
      <c r="O230" s="3">
        <v>76</v>
      </c>
      <c r="P230" s="1">
        <v>5</v>
      </c>
      <c r="Q230" s="1">
        <v>9</v>
      </c>
      <c r="R230" s="1">
        <v>200010021962</v>
      </c>
      <c r="S230" s="1">
        <v>29</v>
      </c>
      <c r="T230" s="1">
        <v>1</v>
      </c>
      <c r="U230" s="1">
        <v>1</v>
      </c>
    </row>
    <row r="231" spans="1:21" x14ac:dyDescent="0.25">
      <c r="A231" s="4">
        <v>44774</v>
      </c>
      <c r="B231" s="5">
        <v>0.59075231481481483</v>
      </c>
      <c r="C231" s="1">
        <v>1353</v>
      </c>
      <c r="D231" s="1">
        <v>13002561</v>
      </c>
      <c r="E231" s="1">
        <v>13</v>
      </c>
      <c r="F231" s="1">
        <v>22589</v>
      </c>
      <c r="G231" s="1" t="s">
        <v>18</v>
      </c>
      <c r="H231" s="1">
        <v>18</v>
      </c>
      <c r="I231" s="1">
        <v>485337</v>
      </c>
      <c r="J231" s="1" t="s">
        <v>322</v>
      </c>
      <c r="K231" s="1" t="s">
        <v>138</v>
      </c>
      <c r="L231" s="1" t="s">
        <v>323</v>
      </c>
      <c r="M231" s="1">
        <v>1</v>
      </c>
      <c r="N231" s="2">
        <v>49.39</v>
      </c>
      <c r="O231" s="3">
        <v>76</v>
      </c>
      <c r="P231" s="1">
        <v>5</v>
      </c>
      <c r="Q231" s="1">
        <v>9</v>
      </c>
      <c r="R231" s="1">
        <v>200010021962</v>
      </c>
      <c r="S231" s="1">
        <v>29</v>
      </c>
      <c r="T231" s="1">
        <v>1</v>
      </c>
      <c r="U231" s="1">
        <v>2</v>
      </c>
    </row>
    <row r="232" spans="1:21" x14ac:dyDescent="0.25">
      <c r="A232" s="4">
        <v>44774</v>
      </c>
      <c r="B232" s="5">
        <v>0.59709490740740745</v>
      </c>
      <c r="C232" s="1">
        <v>1354</v>
      </c>
      <c r="D232" s="1">
        <v>13002561</v>
      </c>
      <c r="E232" s="1">
        <v>13</v>
      </c>
      <c r="F232" s="1">
        <v>22589</v>
      </c>
      <c r="G232" s="1" t="s">
        <v>18</v>
      </c>
      <c r="H232" s="1">
        <v>15</v>
      </c>
      <c r="I232" s="1">
        <v>18570</v>
      </c>
      <c r="J232" s="1" t="s">
        <v>324</v>
      </c>
      <c r="K232" s="1" t="s">
        <v>114</v>
      </c>
      <c r="L232" s="1" t="s">
        <v>325</v>
      </c>
      <c r="M232" s="1">
        <v>1</v>
      </c>
      <c r="N232" s="2">
        <v>37.590000000000003</v>
      </c>
      <c r="O232" s="3">
        <v>46</v>
      </c>
      <c r="P232" s="1">
        <v>2</v>
      </c>
      <c r="Q232" s="1">
        <v>9</v>
      </c>
      <c r="R232" s="1">
        <v>200010000452</v>
      </c>
      <c r="S232" s="1">
        <v>29</v>
      </c>
      <c r="T232" s="1">
        <v>1</v>
      </c>
      <c r="U232" s="1">
        <v>2</v>
      </c>
    </row>
    <row r="233" spans="1:21" x14ac:dyDescent="0.25">
      <c r="A233" s="4">
        <v>44774</v>
      </c>
      <c r="B233" s="5">
        <v>0.59709490740740745</v>
      </c>
      <c r="C233" s="1">
        <v>1354</v>
      </c>
      <c r="D233" s="1">
        <v>13002561</v>
      </c>
      <c r="E233" s="1">
        <v>13</v>
      </c>
      <c r="F233" s="1">
        <v>22589</v>
      </c>
      <c r="G233" s="1" t="s">
        <v>18</v>
      </c>
      <c r="H233" s="1">
        <v>15</v>
      </c>
      <c r="I233" s="1">
        <v>405631</v>
      </c>
      <c r="J233" s="1" t="s">
        <v>326</v>
      </c>
      <c r="K233" s="1" t="s">
        <v>48</v>
      </c>
      <c r="L233" s="1" t="s">
        <v>327</v>
      </c>
      <c r="M233" s="1">
        <v>1</v>
      </c>
      <c r="N233" s="2">
        <v>68.72</v>
      </c>
      <c r="O233" s="3">
        <v>108</v>
      </c>
      <c r="P233" s="1">
        <v>10</v>
      </c>
      <c r="Q233" s="1">
        <v>9</v>
      </c>
      <c r="R233" s="1">
        <v>200010000452</v>
      </c>
      <c r="S233" s="1">
        <v>29</v>
      </c>
      <c r="T233" s="1">
        <v>1</v>
      </c>
      <c r="U233" s="1">
        <v>1</v>
      </c>
    </row>
    <row r="234" spans="1:21" x14ac:dyDescent="0.25">
      <c r="A234" s="4">
        <v>44774</v>
      </c>
      <c r="B234" s="5">
        <v>0.6031481481481481</v>
      </c>
      <c r="C234" s="1">
        <v>1355</v>
      </c>
      <c r="D234" s="1">
        <v>13002561</v>
      </c>
      <c r="E234" s="1">
        <v>13</v>
      </c>
      <c r="F234" s="1">
        <v>22589</v>
      </c>
      <c r="G234" s="1" t="s">
        <v>18</v>
      </c>
      <c r="H234" s="1">
        <v>18</v>
      </c>
      <c r="I234" s="1">
        <v>346864</v>
      </c>
      <c r="J234" s="1" t="s">
        <v>328</v>
      </c>
      <c r="K234" s="1" t="s">
        <v>55</v>
      </c>
      <c r="L234" s="1" t="s">
        <v>329</v>
      </c>
      <c r="M234" s="1">
        <v>0.1071429</v>
      </c>
      <c r="N234" s="2">
        <v>622.16</v>
      </c>
      <c r="O234" s="3">
        <v>685</v>
      </c>
      <c r="P234" s="1">
        <v>1.39</v>
      </c>
      <c r="Q234" s="1">
        <v>9</v>
      </c>
      <c r="R234" s="1">
        <v>200010026851</v>
      </c>
      <c r="S234" s="1">
        <v>29</v>
      </c>
      <c r="T234" s="1">
        <v>1</v>
      </c>
      <c r="U234" s="1">
        <v>1</v>
      </c>
    </row>
    <row r="235" spans="1:21" x14ac:dyDescent="0.25">
      <c r="A235" s="4">
        <v>44774</v>
      </c>
      <c r="B235" s="5">
        <v>0.60392361111111115</v>
      </c>
      <c r="C235" s="1">
        <v>1356</v>
      </c>
      <c r="D235" s="1">
        <v>13002561</v>
      </c>
      <c r="E235" s="1">
        <v>13</v>
      </c>
      <c r="F235" s="1">
        <v>22589</v>
      </c>
      <c r="G235" s="1" t="s">
        <v>18</v>
      </c>
      <c r="H235" s="1">
        <v>18</v>
      </c>
      <c r="I235" s="1">
        <v>341501</v>
      </c>
      <c r="J235" s="1" t="s">
        <v>330</v>
      </c>
      <c r="K235" s="1" t="s">
        <v>114</v>
      </c>
      <c r="L235" s="1" t="s">
        <v>197</v>
      </c>
      <c r="M235" s="1">
        <v>1</v>
      </c>
      <c r="N235" s="2">
        <v>27.91</v>
      </c>
      <c r="O235" s="3">
        <v>34</v>
      </c>
      <c r="P235" s="1">
        <v>0</v>
      </c>
      <c r="Q235" s="1" t="s">
        <v>22</v>
      </c>
      <c r="R235" s="1" t="s">
        <v>22</v>
      </c>
      <c r="S235" s="1">
        <v>29</v>
      </c>
      <c r="T235" s="1">
        <v>1</v>
      </c>
      <c r="U235" s="1">
        <v>2</v>
      </c>
    </row>
    <row r="236" spans="1:21" x14ac:dyDescent="0.25">
      <c r="A236" s="4">
        <v>44774</v>
      </c>
      <c r="B236" s="5">
        <v>0.70020833333333332</v>
      </c>
      <c r="C236" s="1">
        <v>1380</v>
      </c>
      <c r="D236" s="1">
        <v>13002561</v>
      </c>
      <c r="E236" s="1">
        <v>13</v>
      </c>
      <c r="F236" s="1">
        <v>22589</v>
      </c>
      <c r="G236" s="1" t="s">
        <v>18</v>
      </c>
      <c r="H236" s="1">
        <v>18</v>
      </c>
      <c r="I236" s="1">
        <v>341501</v>
      </c>
      <c r="J236" s="1" t="s">
        <v>330</v>
      </c>
      <c r="K236" s="1" t="s">
        <v>114</v>
      </c>
      <c r="L236" s="1" t="s">
        <v>197</v>
      </c>
      <c r="M236" s="1">
        <v>1</v>
      </c>
      <c r="N236" s="2">
        <v>27.91</v>
      </c>
      <c r="O236" s="3">
        <v>34</v>
      </c>
      <c r="P236" s="1">
        <v>1</v>
      </c>
      <c r="Q236" s="1">
        <v>9</v>
      </c>
      <c r="R236" s="1">
        <v>200010013152</v>
      </c>
      <c r="S236" s="1">
        <v>29</v>
      </c>
      <c r="T236" s="1">
        <v>1</v>
      </c>
      <c r="U236" s="1">
        <v>1</v>
      </c>
    </row>
    <row r="237" spans="1:21" x14ac:dyDescent="0.25">
      <c r="A237" s="4">
        <v>44774</v>
      </c>
      <c r="B237" s="5">
        <v>0.60496527777777775</v>
      </c>
      <c r="C237" s="1">
        <v>1357</v>
      </c>
      <c r="D237" s="1">
        <v>13002561</v>
      </c>
      <c r="E237" s="1">
        <v>13</v>
      </c>
      <c r="F237" s="1">
        <v>22589</v>
      </c>
      <c r="G237" s="1" t="s">
        <v>18</v>
      </c>
      <c r="H237" s="1">
        <v>15</v>
      </c>
      <c r="I237" s="1">
        <v>393397</v>
      </c>
      <c r="J237" s="1" t="s">
        <v>331</v>
      </c>
      <c r="K237" s="1" t="s">
        <v>26</v>
      </c>
      <c r="L237" s="1" t="s">
        <v>332</v>
      </c>
      <c r="M237" s="1">
        <v>1</v>
      </c>
      <c r="N237" s="2">
        <v>20.079999999999998</v>
      </c>
      <c r="O237" s="3">
        <v>26</v>
      </c>
      <c r="P237" s="1">
        <v>1</v>
      </c>
      <c r="Q237" s="1">
        <v>9</v>
      </c>
      <c r="R237" s="1">
        <v>200010002999</v>
      </c>
      <c r="S237" s="1">
        <v>29</v>
      </c>
      <c r="T237" s="1">
        <v>1</v>
      </c>
      <c r="U237" s="1">
        <v>1</v>
      </c>
    </row>
    <row r="238" spans="1:21" x14ac:dyDescent="0.25">
      <c r="A238" s="4">
        <v>44774</v>
      </c>
      <c r="B238" s="5">
        <v>0.60569444444444442</v>
      </c>
      <c r="C238" s="1">
        <v>1358</v>
      </c>
      <c r="D238" s="1">
        <v>13002561</v>
      </c>
      <c r="E238" s="1">
        <v>13</v>
      </c>
      <c r="F238" s="1">
        <v>22589</v>
      </c>
      <c r="G238" s="1" t="s">
        <v>18</v>
      </c>
      <c r="H238" s="1">
        <v>15</v>
      </c>
      <c r="I238" s="1">
        <v>342845</v>
      </c>
      <c r="J238" s="1" t="s">
        <v>333</v>
      </c>
      <c r="K238" s="1" t="s">
        <v>26</v>
      </c>
      <c r="L238" s="1" t="s">
        <v>154</v>
      </c>
      <c r="M238" s="1">
        <v>1</v>
      </c>
      <c r="N238" s="2">
        <v>591.49</v>
      </c>
      <c r="O238" s="3">
        <v>657</v>
      </c>
      <c r="P238" s="1">
        <v>19</v>
      </c>
      <c r="Q238" s="1">
        <v>9</v>
      </c>
      <c r="R238" s="1">
        <v>200010018011</v>
      </c>
      <c r="S238" s="1">
        <v>29</v>
      </c>
      <c r="T238" s="1">
        <v>1</v>
      </c>
      <c r="U238" s="1">
        <v>1</v>
      </c>
    </row>
    <row r="239" spans="1:21" x14ac:dyDescent="0.25">
      <c r="A239" s="4">
        <v>44774</v>
      </c>
      <c r="B239" s="5">
        <v>0.60569444444444442</v>
      </c>
      <c r="C239" s="1">
        <v>1358</v>
      </c>
      <c r="D239" s="1">
        <v>13002561</v>
      </c>
      <c r="E239" s="1">
        <v>13</v>
      </c>
      <c r="F239" s="1">
        <v>22589</v>
      </c>
      <c r="G239" s="1" t="s">
        <v>18</v>
      </c>
      <c r="H239" s="1">
        <v>15</v>
      </c>
      <c r="I239" s="1">
        <v>342845</v>
      </c>
      <c r="J239" s="1" t="s">
        <v>333</v>
      </c>
      <c r="K239" s="1" t="s">
        <v>26</v>
      </c>
      <c r="L239" s="1" t="s">
        <v>154</v>
      </c>
      <c r="M239" s="1">
        <v>1</v>
      </c>
      <c r="N239" s="2">
        <v>591.49</v>
      </c>
      <c r="O239" s="3">
        <v>657</v>
      </c>
      <c r="P239" s="1">
        <v>19</v>
      </c>
      <c r="Q239" s="1">
        <v>9</v>
      </c>
      <c r="R239" s="1">
        <v>200010018011</v>
      </c>
      <c r="S239" s="1">
        <v>29</v>
      </c>
      <c r="T239" s="1">
        <v>1</v>
      </c>
      <c r="U239" s="1">
        <v>2</v>
      </c>
    </row>
    <row r="240" spans="1:21" x14ac:dyDescent="0.25">
      <c r="A240" s="4">
        <v>44774</v>
      </c>
      <c r="B240" s="5">
        <v>0.61068287037037039</v>
      </c>
      <c r="C240" s="1">
        <v>1359</v>
      </c>
      <c r="D240" s="1">
        <v>13002561</v>
      </c>
      <c r="E240" s="1">
        <v>13</v>
      </c>
      <c r="F240" s="1">
        <v>22589</v>
      </c>
      <c r="G240" s="1" t="s">
        <v>18</v>
      </c>
      <c r="H240" s="1">
        <v>18</v>
      </c>
      <c r="I240" s="1">
        <v>34410</v>
      </c>
      <c r="J240" s="1" t="s">
        <v>334</v>
      </c>
      <c r="K240" s="1" t="s">
        <v>31</v>
      </c>
      <c r="L240" s="1" t="s">
        <v>335</v>
      </c>
      <c r="M240" s="1">
        <v>3</v>
      </c>
      <c r="N240" s="2">
        <v>155.88</v>
      </c>
      <c r="O240" s="3">
        <v>174</v>
      </c>
      <c r="P240" s="1">
        <v>0</v>
      </c>
      <c r="Q240" s="1" t="s">
        <v>22</v>
      </c>
      <c r="R240" s="1" t="s">
        <v>22</v>
      </c>
      <c r="S240" s="1">
        <v>29</v>
      </c>
      <c r="T240" s="1">
        <v>2</v>
      </c>
      <c r="U240" s="1">
        <v>1</v>
      </c>
    </row>
    <row r="241" spans="1:21" x14ac:dyDescent="0.25">
      <c r="A241" s="4">
        <v>44774</v>
      </c>
      <c r="B241" s="5">
        <v>0.61540509259259257</v>
      </c>
      <c r="C241" s="1">
        <v>1360</v>
      </c>
      <c r="D241" s="1">
        <v>13002561</v>
      </c>
      <c r="E241" s="1">
        <v>13</v>
      </c>
      <c r="F241" s="1">
        <v>22589</v>
      </c>
      <c r="G241" s="1" t="s">
        <v>18</v>
      </c>
      <c r="H241" s="1">
        <v>15</v>
      </c>
      <c r="I241" s="1">
        <v>114629</v>
      </c>
      <c r="J241" s="1" t="s">
        <v>336</v>
      </c>
      <c r="K241" s="1" t="s">
        <v>48</v>
      </c>
      <c r="L241" s="1" t="s">
        <v>266</v>
      </c>
      <c r="M241" s="1">
        <v>1</v>
      </c>
      <c r="N241" s="2">
        <v>131.22</v>
      </c>
      <c r="O241" s="3">
        <v>159</v>
      </c>
      <c r="P241" s="1">
        <v>7</v>
      </c>
      <c r="Q241" s="1">
        <v>9</v>
      </c>
      <c r="R241" s="1">
        <v>200010017964</v>
      </c>
      <c r="S241" s="1">
        <v>29</v>
      </c>
      <c r="T241" s="1">
        <v>1</v>
      </c>
      <c r="U241" s="1">
        <v>1</v>
      </c>
    </row>
    <row r="242" spans="1:21" x14ac:dyDescent="0.25">
      <c r="A242" s="4">
        <v>44774</v>
      </c>
      <c r="B242" s="5">
        <v>0.62069444444444444</v>
      </c>
      <c r="C242" s="1">
        <v>1361</v>
      </c>
      <c r="D242" s="1">
        <v>13002561</v>
      </c>
      <c r="E242" s="1">
        <v>13</v>
      </c>
      <c r="F242" s="1">
        <v>22589</v>
      </c>
      <c r="G242" s="1" t="s">
        <v>18</v>
      </c>
      <c r="H242" s="1">
        <v>18</v>
      </c>
      <c r="I242" s="1">
        <v>137134</v>
      </c>
      <c r="J242" s="1" t="s">
        <v>337</v>
      </c>
      <c r="K242" s="1" t="s">
        <v>20</v>
      </c>
      <c r="L242" s="1" t="s">
        <v>338</v>
      </c>
      <c r="M242" s="1">
        <v>1</v>
      </c>
      <c r="N242" s="2">
        <v>185.31</v>
      </c>
      <c r="O242" s="3">
        <v>223</v>
      </c>
      <c r="P242" s="1">
        <v>11</v>
      </c>
      <c r="Q242" s="1">
        <v>9</v>
      </c>
      <c r="R242" s="1">
        <v>200010020276</v>
      </c>
      <c r="S242" s="1">
        <v>29</v>
      </c>
      <c r="T242" s="1">
        <v>1</v>
      </c>
      <c r="U242" s="1">
        <v>2</v>
      </c>
    </row>
    <row r="243" spans="1:21" x14ac:dyDescent="0.25">
      <c r="A243" s="4">
        <v>44774</v>
      </c>
      <c r="B243" s="5">
        <v>0.62069444444444444</v>
      </c>
      <c r="C243" s="1">
        <v>1361</v>
      </c>
      <c r="D243" s="1">
        <v>13002561</v>
      </c>
      <c r="E243" s="1">
        <v>13</v>
      </c>
      <c r="F243" s="1">
        <v>22589</v>
      </c>
      <c r="G243" s="1" t="s">
        <v>18</v>
      </c>
      <c r="H243" s="1">
        <v>18</v>
      </c>
      <c r="I243" s="1">
        <v>29728</v>
      </c>
      <c r="J243" s="1" t="s">
        <v>339</v>
      </c>
      <c r="K243" s="1" t="s">
        <v>20</v>
      </c>
      <c r="L243" s="1" t="s">
        <v>340</v>
      </c>
      <c r="M243" s="1">
        <v>1</v>
      </c>
      <c r="N243" s="2">
        <v>681.05</v>
      </c>
      <c r="O243" s="3">
        <v>879</v>
      </c>
      <c r="P243" s="1">
        <v>61</v>
      </c>
      <c r="Q243" s="1">
        <v>9</v>
      </c>
      <c r="R243" s="1">
        <v>200010020276</v>
      </c>
      <c r="S243" s="1">
        <v>29</v>
      </c>
      <c r="T243" s="1">
        <v>1</v>
      </c>
      <c r="U243" s="1">
        <v>1</v>
      </c>
    </row>
    <row r="244" spans="1:21" x14ac:dyDescent="0.25">
      <c r="A244" s="4">
        <v>44774</v>
      </c>
      <c r="B244" s="5">
        <v>0.62164351851851851</v>
      </c>
      <c r="C244" s="1">
        <v>1362</v>
      </c>
      <c r="D244" s="1">
        <v>13002561</v>
      </c>
      <c r="E244" s="1">
        <v>13</v>
      </c>
      <c r="F244" s="1">
        <v>22589</v>
      </c>
      <c r="G244" s="1" t="s">
        <v>18</v>
      </c>
      <c r="H244" s="1">
        <v>18</v>
      </c>
      <c r="I244" s="1">
        <v>5105</v>
      </c>
      <c r="J244" s="1" t="s">
        <v>341</v>
      </c>
      <c r="K244" s="1" t="s">
        <v>31</v>
      </c>
      <c r="L244" s="1" t="s">
        <v>342</v>
      </c>
      <c r="M244" s="1">
        <v>1</v>
      </c>
      <c r="N244" s="2">
        <v>124.84</v>
      </c>
      <c r="O244" s="3">
        <v>172</v>
      </c>
      <c r="P244" s="1">
        <v>0</v>
      </c>
      <c r="Q244" s="1" t="s">
        <v>22</v>
      </c>
      <c r="R244" s="1" t="s">
        <v>22</v>
      </c>
      <c r="S244" s="1">
        <v>29</v>
      </c>
      <c r="T244" s="1">
        <v>1</v>
      </c>
      <c r="U244" s="1">
        <v>1</v>
      </c>
    </row>
    <row r="245" spans="1:21" x14ac:dyDescent="0.25">
      <c r="A245" s="4">
        <v>44774</v>
      </c>
      <c r="B245" s="5">
        <v>0.62164351851851851</v>
      </c>
      <c r="C245" s="1">
        <v>1362</v>
      </c>
      <c r="D245" s="1">
        <v>13002561</v>
      </c>
      <c r="E245" s="1">
        <v>13</v>
      </c>
      <c r="F245" s="1">
        <v>22589</v>
      </c>
      <c r="G245" s="1" t="s">
        <v>18</v>
      </c>
      <c r="H245" s="1">
        <v>18</v>
      </c>
      <c r="I245" s="1">
        <v>339668</v>
      </c>
      <c r="J245" s="1" t="s">
        <v>343</v>
      </c>
      <c r="K245" s="1" t="s">
        <v>138</v>
      </c>
      <c r="L245" s="1" t="s">
        <v>296</v>
      </c>
      <c r="M245" s="1">
        <v>1</v>
      </c>
      <c r="N245" s="2">
        <v>388.85</v>
      </c>
      <c r="O245" s="3">
        <v>514</v>
      </c>
      <c r="P245" s="1">
        <v>0</v>
      </c>
      <c r="Q245" s="1" t="s">
        <v>22</v>
      </c>
      <c r="R245" s="1" t="s">
        <v>22</v>
      </c>
      <c r="S245" s="1">
        <v>29</v>
      </c>
      <c r="T245" s="1">
        <v>1</v>
      </c>
      <c r="U245" s="1">
        <v>2</v>
      </c>
    </row>
    <row r="246" spans="1:21" x14ac:dyDescent="0.25">
      <c r="A246" s="4">
        <v>44774</v>
      </c>
      <c r="B246" s="5">
        <v>0.62321759259259257</v>
      </c>
      <c r="C246" s="1">
        <v>1363</v>
      </c>
      <c r="D246" s="1">
        <v>13002561</v>
      </c>
      <c r="E246" s="1">
        <v>13</v>
      </c>
      <c r="F246" s="1">
        <v>22589</v>
      </c>
      <c r="G246" s="1" t="s">
        <v>18</v>
      </c>
      <c r="H246" s="1">
        <v>18</v>
      </c>
      <c r="I246" s="1">
        <v>33740</v>
      </c>
      <c r="J246" s="1" t="s">
        <v>344</v>
      </c>
      <c r="K246" s="1" t="s">
        <v>26</v>
      </c>
      <c r="L246" s="1" t="s">
        <v>345</v>
      </c>
      <c r="M246" s="1">
        <v>1</v>
      </c>
      <c r="N246" s="2">
        <v>54.82</v>
      </c>
      <c r="O246" s="3">
        <v>87</v>
      </c>
      <c r="P246" s="1">
        <v>0</v>
      </c>
      <c r="Q246" s="1" t="s">
        <v>22</v>
      </c>
      <c r="R246" s="1" t="s">
        <v>22</v>
      </c>
      <c r="S246" s="1">
        <v>29</v>
      </c>
      <c r="T246" s="1">
        <v>1</v>
      </c>
      <c r="U246" s="1">
        <v>1</v>
      </c>
    </row>
    <row r="247" spans="1:21" x14ac:dyDescent="0.25">
      <c r="A247" s="4">
        <v>44774</v>
      </c>
      <c r="B247" s="5">
        <v>0.62842592592592594</v>
      </c>
      <c r="C247" s="1">
        <v>1364</v>
      </c>
      <c r="D247" s="1">
        <v>13002561</v>
      </c>
      <c r="E247" s="1">
        <v>13</v>
      </c>
      <c r="F247" s="1">
        <v>22589</v>
      </c>
      <c r="G247" s="1" t="s">
        <v>18</v>
      </c>
      <c r="H247" s="1">
        <v>18</v>
      </c>
      <c r="I247" s="1">
        <v>34306</v>
      </c>
      <c r="J247" s="1" t="s">
        <v>346</v>
      </c>
      <c r="K247" s="1" t="s">
        <v>48</v>
      </c>
      <c r="L247" s="1" t="s">
        <v>347</v>
      </c>
      <c r="M247" s="1">
        <v>1</v>
      </c>
      <c r="N247" s="2">
        <v>53.39</v>
      </c>
      <c r="O247" s="3">
        <v>84</v>
      </c>
      <c r="P247" s="1">
        <v>12.34</v>
      </c>
      <c r="Q247" s="1">
        <v>27</v>
      </c>
      <c r="R247" s="1">
        <v>200010000015</v>
      </c>
      <c r="S247" s="1">
        <v>29</v>
      </c>
      <c r="T247" s="1">
        <v>1</v>
      </c>
      <c r="U247" s="1">
        <v>1</v>
      </c>
    </row>
    <row r="248" spans="1:21" x14ac:dyDescent="0.25">
      <c r="A248" s="4">
        <v>44774</v>
      </c>
      <c r="B248" s="5">
        <v>0.62842592592592594</v>
      </c>
      <c r="C248" s="1">
        <v>1364</v>
      </c>
      <c r="D248" s="1">
        <v>13002561</v>
      </c>
      <c r="E248" s="1">
        <v>13</v>
      </c>
      <c r="F248" s="1">
        <v>22589</v>
      </c>
      <c r="G248" s="1" t="s">
        <v>18</v>
      </c>
      <c r="H248" s="1">
        <v>18</v>
      </c>
      <c r="I248" s="1">
        <v>34306</v>
      </c>
      <c r="J248" s="1" t="s">
        <v>346</v>
      </c>
      <c r="K248" s="1" t="s">
        <v>48</v>
      </c>
      <c r="L248" s="1" t="s">
        <v>347</v>
      </c>
      <c r="M248" s="1">
        <v>2</v>
      </c>
      <c r="N248" s="2">
        <v>53.39</v>
      </c>
      <c r="O248" s="3">
        <v>84</v>
      </c>
      <c r="P248" s="1">
        <v>24.66</v>
      </c>
      <c r="Q248" s="1">
        <v>27</v>
      </c>
      <c r="R248" s="1">
        <v>200010000015</v>
      </c>
      <c r="S248" s="1">
        <v>29</v>
      </c>
      <c r="T248" s="1">
        <v>1</v>
      </c>
      <c r="U248" s="1">
        <v>2</v>
      </c>
    </row>
    <row r="249" spans="1:21" x14ac:dyDescent="0.25">
      <c r="A249" s="4">
        <v>44774</v>
      </c>
      <c r="B249" s="5">
        <v>0.6300810185185185</v>
      </c>
      <c r="C249" s="1">
        <v>1365</v>
      </c>
      <c r="D249" s="1">
        <v>13002561</v>
      </c>
      <c r="E249" s="1">
        <v>13</v>
      </c>
      <c r="F249" s="1">
        <v>22589</v>
      </c>
      <c r="G249" s="1" t="s">
        <v>18</v>
      </c>
      <c r="H249" s="1">
        <v>18</v>
      </c>
      <c r="I249" s="1">
        <v>31</v>
      </c>
      <c r="J249" s="1" t="s">
        <v>348</v>
      </c>
      <c r="K249" s="1" t="s">
        <v>58</v>
      </c>
      <c r="L249" s="1" t="s">
        <v>349</v>
      </c>
      <c r="M249" s="1">
        <v>1</v>
      </c>
      <c r="N249" s="2">
        <v>346.83</v>
      </c>
      <c r="O249" s="3">
        <v>458</v>
      </c>
      <c r="P249" s="1">
        <v>0</v>
      </c>
      <c r="Q249" s="1" t="s">
        <v>22</v>
      </c>
      <c r="R249" s="1" t="s">
        <v>22</v>
      </c>
      <c r="S249" s="1">
        <v>29</v>
      </c>
      <c r="T249" s="1">
        <v>1</v>
      </c>
      <c r="U249" s="1">
        <v>2</v>
      </c>
    </row>
    <row r="250" spans="1:21" x14ac:dyDescent="0.25">
      <c r="A250" s="4">
        <v>44774</v>
      </c>
      <c r="B250" s="5">
        <v>0.6300810185185185</v>
      </c>
      <c r="C250" s="1">
        <v>1365</v>
      </c>
      <c r="D250" s="1">
        <v>13002561</v>
      </c>
      <c r="E250" s="1">
        <v>13</v>
      </c>
      <c r="F250" s="1">
        <v>22589</v>
      </c>
      <c r="G250" s="1" t="s">
        <v>18</v>
      </c>
      <c r="H250" s="1">
        <v>18</v>
      </c>
      <c r="I250" s="1">
        <v>67494</v>
      </c>
      <c r="J250" s="1" t="s">
        <v>350</v>
      </c>
      <c r="K250" s="1" t="s">
        <v>20</v>
      </c>
      <c r="L250" s="1" t="s">
        <v>73</v>
      </c>
      <c r="M250" s="1">
        <v>1</v>
      </c>
      <c r="N250" s="2">
        <v>290.54000000000002</v>
      </c>
      <c r="O250" s="3">
        <v>393</v>
      </c>
      <c r="P250" s="1">
        <v>0</v>
      </c>
      <c r="Q250" s="1" t="s">
        <v>22</v>
      </c>
      <c r="R250" s="1" t="s">
        <v>22</v>
      </c>
      <c r="S250" s="1">
        <v>29</v>
      </c>
      <c r="T250" s="1">
        <v>1</v>
      </c>
      <c r="U250" s="1">
        <v>1</v>
      </c>
    </row>
    <row r="251" spans="1:21" x14ac:dyDescent="0.25">
      <c r="A251" s="4">
        <v>44774</v>
      </c>
      <c r="B251" s="5">
        <v>0.63282407407407404</v>
      </c>
      <c r="C251" s="1">
        <v>1366</v>
      </c>
      <c r="D251" s="1">
        <v>13002561</v>
      </c>
      <c r="E251" s="1">
        <v>13</v>
      </c>
      <c r="F251" s="1">
        <v>22589</v>
      </c>
      <c r="G251" s="1" t="s">
        <v>18</v>
      </c>
      <c r="H251" s="1">
        <v>18</v>
      </c>
      <c r="I251" s="1">
        <v>9380</v>
      </c>
      <c r="J251" s="1" t="s">
        <v>351</v>
      </c>
      <c r="K251" s="1" t="s">
        <v>20</v>
      </c>
      <c r="L251" s="1" t="s">
        <v>352</v>
      </c>
      <c r="M251" s="1">
        <v>1</v>
      </c>
      <c r="N251" s="2">
        <v>894</v>
      </c>
      <c r="O251" s="3">
        <v>996.23</v>
      </c>
      <c r="P251" s="1">
        <v>0</v>
      </c>
      <c r="Q251" s="1" t="s">
        <v>22</v>
      </c>
      <c r="R251" s="1" t="s">
        <v>22</v>
      </c>
      <c r="S251" s="1">
        <v>29</v>
      </c>
      <c r="T251" s="1">
        <v>1</v>
      </c>
      <c r="U251" s="1">
        <v>1</v>
      </c>
    </row>
    <row r="252" spans="1:21" x14ac:dyDescent="0.25">
      <c r="A252" s="4">
        <v>44774</v>
      </c>
      <c r="B252" s="5">
        <v>0.64307870370370368</v>
      </c>
      <c r="C252" s="1">
        <v>1367</v>
      </c>
      <c r="D252" s="1">
        <v>13002561</v>
      </c>
      <c r="E252" s="1">
        <v>13</v>
      </c>
      <c r="F252" s="1">
        <v>22589</v>
      </c>
      <c r="G252" s="1" t="s">
        <v>18</v>
      </c>
      <c r="H252" s="1">
        <v>18</v>
      </c>
      <c r="I252" s="1">
        <v>342213</v>
      </c>
      <c r="J252" s="1" t="s">
        <v>353</v>
      </c>
      <c r="K252" s="1" t="s">
        <v>48</v>
      </c>
      <c r="L252" s="1" t="s">
        <v>354</v>
      </c>
      <c r="M252" s="1">
        <v>0.7</v>
      </c>
      <c r="N252" s="2">
        <v>234.8</v>
      </c>
      <c r="O252" s="3">
        <v>364</v>
      </c>
      <c r="P252" s="1">
        <v>0</v>
      </c>
      <c r="Q252" s="1" t="s">
        <v>22</v>
      </c>
      <c r="R252" s="1" t="s">
        <v>22</v>
      </c>
      <c r="S252" s="1">
        <v>29</v>
      </c>
      <c r="T252" s="1">
        <v>1</v>
      </c>
      <c r="U252" s="1">
        <v>2</v>
      </c>
    </row>
    <row r="253" spans="1:21" x14ac:dyDescent="0.25">
      <c r="A253" s="4">
        <v>44774</v>
      </c>
      <c r="B253" s="5">
        <v>0.64307870370370368</v>
      </c>
      <c r="C253" s="1">
        <v>1367</v>
      </c>
      <c r="D253" s="1">
        <v>13002561</v>
      </c>
      <c r="E253" s="1">
        <v>13</v>
      </c>
      <c r="F253" s="1">
        <v>22589</v>
      </c>
      <c r="G253" s="1" t="s">
        <v>18</v>
      </c>
      <c r="H253" s="1">
        <v>18</v>
      </c>
      <c r="I253" s="1">
        <v>260840</v>
      </c>
      <c r="J253" s="1" t="s">
        <v>355</v>
      </c>
      <c r="K253" s="1" t="s">
        <v>48</v>
      </c>
      <c r="L253" s="1" t="s">
        <v>164</v>
      </c>
      <c r="M253" s="1">
        <v>1</v>
      </c>
      <c r="N253" s="2">
        <v>9.66</v>
      </c>
      <c r="O253" s="3">
        <v>16</v>
      </c>
      <c r="P253" s="1">
        <v>0</v>
      </c>
      <c r="Q253" s="1" t="s">
        <v>22</v>
      </c>
      <c r="R253" s="1" t="s">
        <v>22</v>
      </c>
      <c r="S253" s="1">
        <v>29</v>
      </c>
      <c r="T253" s="1">
        <v>1</v>
      </c>
      <c r="U253" s="1">
        <v>1</v>
      </c>
    </row>
    <row r="254" spans="1:21" x14ac:dyDescent="0.25">
      <c r="A254" s="4">
        <v>44774</v>
      </c>
      <c r="B254" s="5">
        <v>0.64307870370370368</v>
      </c>
      <c r="C254" s="1">
        <v>1367</v>
      </c>
      <c r="D254" s="1">
        <v>13002561</v>
      </c>
      <c r="E254" s="1">
        <v>13</v>
      </c>
      <c r="F254" s="1">
        <v>22589</v>
      </c>
      <c r="G254" s="1" t="s">
        <v>18</v>
      </c>
      <c r="H254" s="1">
        <v>18</v>
      </c>
      <c r="I254" s="1">
        <v>45768</v>
      </c>
      <c r="J254" s="1" t="s">
        <v>356</v>
      </c>
      <c r="K254" s="1" t="s">
        <v>48</v>
      </c>
      <c r="L254" s="1" t="s">
        <v>357</v>
      </c>
      <c r="M254" s="1">
        <v>1</v>
      </c>
      <c r="N254" s="2">
        <v>23.99</v>
      </c>
      <c r="O254" s="3">
        <v>39</v>
      </c>
      <c r="P254" s="1">
        <v>0</v>
      </c>
      <c r="Q254" s="1" t="s">
        <v>22</v>
      </c>
      <c r="R254" s="1" t="s">
        <v>22</v>
      </c>
      <c r="S254" s="1">
        <v>29</v>
      </c>
      <c r="T254" s="1">
        <v>1</v>
      </c>
      <c r="U254" s="1">
        <v>4</v>
      </c>
    </row>
    <row r="255" spans="1:21" x14ac:dyDescent="0.25">
      <c r="A255" s="4">
        <v>44774</v>
      </c>
      <c r="B255" s="5">
        <v>0.64307870370370368</v>
      </c>
      <c r="C255" s="1">
        <v>1367</v>
      </c>
      <c r="D255" s="1">
        <v>13002561</v>
      </c>
      <c r="E255" s="1">
        <v>13</v>
      </c>
      <c r="F255" s="1">
        <v>22589</v>
      </c>
      <c r="G255" s="1" t="s">
        <v>18</v>
      </c>
      <c r="H255" s="1">
        <v>18</v>
      </c>
      <c r="I255" s="1">
        <v>436926</v>
      </c>
      <c r="J255" s="1" t="s">
        <v>358</v>
      </c>
      <c r="K255" s="1" t="s">
        <v>48</v>
      </c>
      <c r="L255" s="1" t="s">
        <v>357</v>
      </c>
      <c r="M255" s="1">
        <v>1</v>
      </c>
      <c r="N255" s="2">
        <v>24.84</v>
      </c>
      <c r="O255" s="3">
        <v>41</v>
      </c>
      <c r="P255" s="1">
        <v>0</v>
      </c>
      <c r="Q255" s="1" t="s">
        <v>22</v>
      </c>
      <c r="R255" s="1" t="s">
        <v>22</v>
      </c>
      <c r="S255" s="1">
        <v>29</v>
      </c>
      <c r="T255" s="1">
        <v>1</v>
      </c>
      <c r="U255" s="1">
        <v>6</v>
      </c>
    </row>
    <row r="256" spans="1:21" x14ac:dyDescent="0.25">
      <c r="A256" s="4">
        <v>44774</v>
      </c>
      <c r="B256" s="5">
        <v>0.64307870370370368</v>
      </c>
      <c r="C256" s="1">
        <v>1367</v>
      </c>
      <c r="D256" s="1">
        <v>13002561</v>
      </c>
      <c r="E256" s="1">
        <v>13</v>
      </c>
      <c r="F256" s="1">
        <v>22589</v>
      </c>
      <c r="G256" s="1" t="s">
        <v>18</v>
      </c>
      <c r="H256" s="1">
        <v>18</v>
      </c>
      <c r="I256" s="1">
        <v>45768</v>
      </c>
      <c r="J256" s="1" t="s">
        <v>356</v>
      </c>
      <c r="K256" s="1" t="s">
        <v>48</v>
      </c>
      <c r="L256" s="1" t="s">
        <v>357</v>
      </c>
      <c r="M256" s="1">
        <v>1</v>
      </c>
      <c r="N256" s="2">
        <v>22.86</v>
      </c>
      <c r="O256" s="3">
        <v>38</v>
      </c>
      <c r="P256" s="1">
        <v>0</v>
      </c>
      <c r="Q256" s="1" t="s">
        <v>22</v>
      </c>
      <c r="R256" s="1" t="s">
        <v>22</v>
      </c>
      <c r="S256" s="1">
        <v>29</v>
      </c>
      <c r="T256" s="1">
        <v>1</v>
      </c>
      <c r="U256" s="1">
        <v>5</v>
      </c>
    </row>
    <row r="257" spans="1:21" x14ac:dyDescent="0.25">
      <c r="A257" s="4">
        <v>44774</v>
      </c>
      <c r="B257" s="5">
        <v>0.64307870370370368</v>
      </c>
      <c r="C257" s="1">
        <v>1367</v>
      </c>
      <c r="D257" s="1">
        <v>13002561</v>
      </c>
      <c r="E257" s="1">
        <v>13</v>
      </c>
      <c r="F257" s="1">
        <v>22589</v>
      </c>
      <c r="G257" s="1" t="s">
        <v>18</v>
      </c>
      <c r="H257" s="1">
        <v>18</v>
      </c>
      <c r="I257" s="1">
        <v>339843</v>
      </c>
      <c r="J257" s="1" t="s">
        <v>248</v>
      </c>
      <c r="K257" s="1" t="s">
        <v>114</v>
      </c>
      <c r="L257" s="1" t="s">
        <v>250</v>
      </c>
      <c r="M257" s="1">
        <v>1</v>
      </c>
      <c r="N257" s="2">
        <v>143.19</v>
      </c>
      <c r="O257" s="3">
        <v>222</v>
      </c>
      <c r="P257" s="1">
        <v>0</v>
      </c>
      <c r="Q257" s="1" t="s">
        <v>22</v>
      </c>
      <c r="R257" s="1" t="s">
        <v>22</v>
      </c>
      <c r="S257" s="1">
        <v>29</v>
      </c>
      <c r="T257" s="1">
        <v>1</v>
      </c>
      <c r="U257" s="1">
        <v>7</v>
      </c>
    </row>
    <row r="258" spans="1:21" x14ac:dyDescent="0.25">
      <c r="A258" s="4">
        <v>44774</v>
      </c>
      <c r="B258" s="5">
        <v>0.64452546296296298</v>
      </c>
      <c r="C258" s="1">
        <v>1368</v>
      </c>
      <c r="D258" s="1">
        <v>13002561</v>
      </c>
      <c r="E258" s="1">
        <v>13</v>
      </c>
      <c r="F258" s="1">
        <v>22589</v>
      </c>
      <c r="G258" s="1" t="s">
        <v>18</v>
      </c>
      <c r="H258" s="1">
        <v>15</v>
      </c>
      <c r="I258" s="1">
        <v>13991</v>
      </c>
      <c r="J258" s="1" t="s">
        <v>359</v>
      </c>
      <c r="K258" s="1" t="s">
        <v>20</v>
      </c>
      <c r="L258" s="1" t="s">
        <v>360</v>
      </c>
      <c r="M258" s="1">
        <v>1</v>
      </c>
      <c r="N258" s="2">
        <v>178.55</v>
      </c>
      <c r="O258" s="3">
        <v>245</v>
      </c>
      <c r="P258" s="1">
        <v>0</v>
      </c>
      <c r="Q258" s="1" t="s">
        <v>22</v>
      </c>
      <c r="R258" s="1" t="s">
        <v>22</v>
      </c>
      <c r="S258" s="1">
        <v>29</v>
      </c>
      <c r="T258" s="1">
        <v>1</v>
      </c>
      <c r="U258" s="1">
        <v>1</v>
      </c>
    </row>
    <row r="259" spans="1:21" x14ac:dyDescent="0.25">
      <c r="A259" s="4">
        <v>44774</v>
      </c>
      <c r="B259" s="5">
        <v>0.66326388888888888</v>
      </c>
      <c r="C259" s="1">
        <v>1369</v>
      </c>
      <c r="D259" s="1">
        <v>13002561</v>
      </c>
      <c r="E259" s="1">
        <v>13</v>
      </c>
      <c r="F259" s="1">
        <v>22589</v>
      </c>
      <c r="G259" s="1" t="s">
        <v>18</v>
      </c>
      <c r="H259" s="1">
        <v>18</v>
      </c>
      <c r="I259" s="1">
        <v>130465</v>
      </c>
      <c r="J259" s="1" t="s">
        <v>361</v>
      </c>
      <c r="K259" s="1" t="s">
        <v>20</v>
      </c>
      <c r="L259" s="1" t="s">
        <v>273</v>
      </c>
      <c r="M259" s="1">
        <v>1</v>
      </c>
      <c r="N259" s="2">
        <v>178.97</v>
      </c>
      <c r="O259" s="3">
        <v>203</v>
      </c>
      <c r="P259" s="1">
        <v>10</v>
      </c>
      <c r="Q259" s="1">
        <v>9</v>
      </c>
      <c r="R259" s="1">
        <v>200010004645</v>
      </c>
      <c r="S259" s="1">
        <v>29</v>
      </c>
      <c r="T259" s="1">
        <v>1</v>
      </c>
      <c r="U259" s="1">
        <v>1</v>
      </c>
    </row>
    <row r="260" spans="1:21" x14ac:dyDescent="0.25">
      <c r="A260" s="4">
        <v>44774</v>
      </c>
      <c r="B260" s="5">
        <v>0.66326388888888888</v>
      </c>
      <c r="C260" s="1">
        <v>1369</v>
      </c>
      <c r="D260" s="1">
        <v>13002561</v>
      </c>
      <c r="E260" s="1">
        <v>13</v>
      </c>
      <c r="F260" s="1">
        <v>22589</v>
      </c>
      <c r="G260" s="1" t="s">
        <v>18</v>
      </c>
      <c r="H260" s="1">
        <v>18</v>
      </c>
      <c r="I260" s="1">
        <v>130465</v>
      </c>
      <c r="J260" s="1" t="s">
        <v>361</v>
      </c>
      <c r="K260" s="1" t="s">
        <v>20</v>
      </c>
      <c r="L260" s="1" t="s">
        <v>273</v>
      </c>
      <c r="M260" s="1">
        <v>1</v>
      </c>
      <c r="N260" s="2">
        <v>178.97</v>
      </c>
      <c r="O260" s="3">
        <v>203</v>
      </c>
      <c r="P260" s="1">
        <v>10</v>
      </c>
      <c r="Q260" s="1">
        <v>9</v>
      </c>
      <c r="R260" s="1">
        <v>200010004645</v>
      </c>
      <c r="S260" s="1">
        <v>29</v>
      </c>
      <c r="T260" s="1">
        <v>1</v>
      </c>
      <c r="U260" s="1">
        <v>2</v>
      </c>
    </row>
    <row r="261" spans="1:21" x14ac:dyDescent="0.25">
      <c r="A261" s="4">
        <v>44774</v>
      </c>
      <c r="B261" s="5">
        <v>0.66700231481481487</v>
      </c>
      <c r="C261" s="1">
        <v>1370</v>
      </c>
      <c r="D261" s="1">
        <v>13002561</v>
      </c>
      <c r="E261" s="1">
        <v>13</v>
      </c>
      <c r="F261" s="1">
        <v>22589</v>
      </c>
      <c r="G261" s="1" t="s">
        <v>18</v>
      </c>
      <c r="H261" s="1">
        <v>18</v>
      </c>
      <c r="I261" s="1">
        <v>6125</v>
      </c>
      <c r="J261" s="1" t="s">
        <v>362</v>
      </c>
      <c r="K261" s="1" t="s">
        <v>26</v>
      </c>
      <c r="L261" s="1" t="s">
        <v>154</v>
      </c>
      <c r="M261" s="1">
        <v>1</v>
      </c>
      <c r="N261" s="2">
        <v>170.37</v>
      </c>
      <c r="O261" s="3">
        <v>207</v>
      </c>
      <c r="P261" s="1">
        <v>10</v>
      </c>
      <c r="Q261" s="1">
        <v>9</v>
      </c>
      <c r="R261" s="1">
        <v>200010016459</v>
      </c>
      <c r="S261" s="1">
        <v>29</v>
      </c>
      <c r="T261" s="1">
        <v>1</v>
      </c>
      <c r="U261" s="1">
        <v>1</v>
      </c>
    </row>
    <row r="262" spans="1:21" x14ac:dyDescent="0.25">
      <c r="A262" s="4">
        <v>44774</v>
      </c>
      <c r="B262" s="5">
        <v>0.66700231481481487</v>
      </c>
      <c r="C262" s="1">
        <v>1370</v>
      </c>
      <c r="D262" s="1">
        <v>13002561</v>
      </c>
      <c r="E262" s="1">
        <v>13</v>
      </c>
      <c r="F262" s="1">
        <v>22589</v>
      </c>
      <c r="G262" s="1" t="s">
        <v>18</v>
      </c>
      <c r="H262" s="1">
        <v>18</v>
      </c>
      <c r="I262" s="1">
        <v>180834</v>
      </c>
      <c r="J262" s="1" t="s">
        <v>363</v>
      </c>
      <c r="K262" s="1" t="s">
        <v>48</v>
      </c>
      <c r="L262" s="1" t="s">
        <v>73</v>
      </c>
      <c r="M262" s="1">
        <v>1</v>
      </c>
      <c r="N262" s="2">
        <v>610.29999999999995</v>
      </c>
      <c r="O262" s="3">
        <v>678</v>
      </c>
      <c r="P262" s="1">
        <v>20</v>
      </c>
      <c r="Q262" s="1">
        <v>9</v>
      </c>
      <c r="R262" s="1">
        <v>200010016459</v>
      </c>
      <c r="S262" s="1">
        <v>29</v>
      </c>
      <c r="T262" s="1">
        <v>1</v>
      </c>
      <c r="U262" s="1">
        <v>3</v>
      </c>
    </row>
    <row r="263" spans="1:21" x14ac:dyDescent="0.25">
      <c r="A263" s="4">
        <v>44774</v>
      </c>
      <c r="B263" s="5">
        <v>0.67701388888888892</v>
      </c>
      <c r="C263" s="1">
        <v>1371</v>
      </c>
      <c r="D263" s="1">
        <v>13002561</v>
      </c>
      <c r="E263" s="1">
        <v>13</v>
      </c>
      <c r="F263" s="1">
        <v>22589</v>
      </c>
      <c r="G263" s="1" t="s">
        <v>18</v>
      </c>
      <c r="H263" s="1">
        <v>15</v>
      </c>
      <c r="I263" s="1">
        <v>161749</v>
      </c>
      <c r="J263" s="1" t="s">
        <v>364</v>
      </c>
      <c r="K263" s="1" t="s">
        <v>114</v>
      </c>
      <c r="L263" s="1" t="s">
        <v>365</v>
      </c>
      <c r="M263" s="1">
        <v>1</v>
      </c>
      <c r="N263" s="2">
        <v>94.92</v>
      </c>
      <c r="O263" s="3">
        <v>164</v>
      </c>
      <c r="P263" s="1">
        <v>16</v>
      </c>
      <c r="Q263" s="1">
        <v>9</v>
      </c>
      <c r="R263" s="1">
        <v>200010022477</v>
      </c>
      <c r="S263" s="1">
        <v>29</v>
      </c>
      <c r="T263" s="1">
        <v>1</v>
      </c>
      <c r="U263" s="1">
        <v>1</v>
      </c>
    </row>
    <row r="264" spans="1:21" x14ac:dyDescent="0.25">
      <c r="A264" s="4">
        <v>44774</v>
      </c>
      <c r="B264" s="5">
        <v>0.67701388888888892</v>
      </c>
      <c r="C264" s="1">
        <v>1371</v>
      </c>
      <c r="D264" s="1">
        <v>13002561</v>
      </c>
      <c r="E264" s="1">
        <v>13</v>
      </c>
      <c r="F264" s="1">
        <v>22589</v>
      </c>
      <c r="G264" s="1" t="s">
        <v>18</v>
      </c>
      <c r="H264" s="1">
        <v>15</v>
      </c>
      <c r="I264" s="1">
        <v>354089</v>
      </c>
      <c r="J264" s="1" t="s">
        <v>366</v>
      </c>
      <c r="K264" s="1" t="s">
        <v>20</v>
      </c>
      <c r="L264" s="1" t="s">
        <v>73</v>
      </c>
      <c r="M264" s="1">
        <v>1</v>
      </c>
      <c r="N264" s="2">
        <v>39.47</v>
      </c>
      <c r="O264" s="3">
        <v>60</v>
      </c>
      <c r="P264" s="1">
        <v>4</v>
      </c>
      <c r="Q264" s="1">
        <v>9</v>
      </c>
      <c r="R264" s="1">
        <v>200010022477</v>
      </c>
      <c r="S264" s="1">
        <v>29</v>
      </c>
      <c r="T264" s="1">
        <v>1</v>
      </c>
      <c r="U264" s="1">
        <v>3</v>
      </c>
    </row>
    <row r="265" spans="1:21" x14ac:dyDescent="0.25">
      <c r="A265" s="4">
        <v>44774</v>
      </c>
      <c r="B265" s="5">
        <v>0.67701388888888892</v>
      </c>
      <c r="C265" s="1">
        <v>1371</v>
      </c>
      <c r="D265" s="1">
        <v>13002561</v>
      </c>
      <c r="E265" s="1">
        <v>13</v>
      </c>
      <c r="F265" s="1">
        <v>22589</v>
      </c>
      <c r="G265" s="1" t="s">
        <v>18</v>
      </c>
      <c r="H265" s="1">
        <v>15</v>
      </c>
      <c r="I265" s="1">
        <v>16261</v>
      </c>
      <c r="J265" s="1" t="s">
        <v>367</v>
      </c>
      <c r="K265" s="1" t="s">
        <v>48</v>
      </c>
      <c r="L265" s="1" t="s">
        <v>357</v>
      </c>
      <c r="M265" s="1">
        <v>1</v>
      </c>
      <c r="N265" s="2">
        <v>24.12</v>
      </c>
      <c r="O265" s="3">
        <v>40</v>
      </c>
      <c r="P265" s="1">
        <v>4</v>
      </c>
      <c r="Q265" s="1">
        <v>9</v>
      </c>
      <c r="R265" s="1">
        <v>200010022477</v>
      </c>
      <c r="S265" s="1">
        <v>29</v>
      </c>
      <c r="T265" s="1">
        <v>1</v>
      </c>
      <c r="U265" s="1">
        <v>2</v>
      </c>
    </row>
    <row r="266" spans="1:21" x14ac:dyDescent="0.25">
      <c r="A266" s="4">
        <v>44774</v>
      </c>
      <c r="B266" s="5">
        <v>0.68009259259259258</v>
      </c>
      <c r="C266" s="1">
        <v>1372</v>
      </c>
      <c r="D266" s="1">
        <v>13002561</v>
      </c>
      <c r="E266" s="1">
        <v>13</v>
      </c>
      <c r="F266" s="1">
        <v>22589</v>
      </c>
      <c r="G266" s="1" t="s">
        <v>18</v>
      </c>
      <c r="H266" s="1">
        <v>18</v>
      </c>
      <c r="I266" s="1">
        <v>9220</v>
      </c>
      <c r="J266" s="1" t="s">
        <v>368</v>
      </c>
      <c r="K266" s="1" t="s">
        <v>42</v>
      </c>
      <c r="L266" s="1" t="s">
        <v>172</v>
      </c>
      <c r="M266" s="1">
        <v>1</v>
      </c>
      <c r="N266" s="2">
        <v>428.4</v>
      </c>
      <c r="O266" s="3">
        <v>566</v>
      </c>
      <c r="P266" s="1">
        <v>39</v>
      </c>
      <c r="Q266" s="1">
        <v>9</v>
      </c>
      <c r="R266" s="1">
        <v>200010003301</v>
      </c>
      <c r="S266" s="1">
        <v>29</v>
      </c>
      <c r="T266" s="1">
        <v>1</v>
      </c>
      <c r="U266" s="1">
        <v>1</v>
      </c>
    </row>
    <row r="267" spans="1:21" x14ac:dyDescent="0.25">
      <c r="A267" s="4">
        <v>44774</v>
      </c>
      <c r="B267" s="5">
        <v>0.69028935185185181</v>
      </c>
      <c r="C267" s="1">
        <v>1374</v>
      </c>
      <c r="D267" s="1">
        <v>13002561</v>
      </c>
      <c r="E267" s="1">
        <v>13</v>
      </c>
      <c r="F267" s="1">
        <v>22589</v>
      </c>
      <c r="G267" s="1" t="s">
        <v>18</v>
      </c>
      <c r="H267" s="1">
        <v>18</v>
      </c>
      <c r="I267" s="1">
        <v>251785</v>
      </c>
      <c r="J267" s="1" t="s">
        <v>369</v>
      </c>
      <c r="K267" s="1" t="s">
        <v>20</v>
      </c>
      <c r="L267" s="1" t="s">
        <v>370</v>
      </c>
      <c r="M267" s="1">
        <v>1</v>
      </c>
      <c r="N267" s="2">
        <v>352.39</v>
      </c>
      <c r="O267" s="3">
        <v>519</v>
      </c>
      <c r="P267" s="1">
        <v>51</v>
      </c>
      <c r="Q267" s="1">
        <v>9</v>
      </c>
      <c r="R267" s="1">
        <v>200010015179</v>
      </c>
      <c r="S267" s="1">
        <v>29</v>
      </c>
      <c r="T267" s="1">
        <v>1</v>
      </c>
      <c r="U267" s="1">
        <v>1</v>
      </c>
    </row>
    <row r="268" spans="1:21" x14ac:dyDescent="0.25">
      <c r="A268" s="4">
        <v>44774</v>
      </c>
      <c r="B268" s="5">
        <v>0.69028935185185181</v>
      </c>
      <c r="C268" s="1">
        <v>1374</v>
      </c>
      <c r="D268" s="1">
        <v>13002561</v>
      </c>
      <c r="E268" s="1">
        <v>13</v>
      </c>
      <c r="F268" s="1">
        <v>22589</v>
      </c>
      <c r="G268" s="1" t="s">
        <v>18</v>
      </c>
      <c r="H268" s="1">
        <v>18</v>
      </c>
      <c r="I268" s="1">
        <v>276470</v>
      </c>
      <c r="J268" s="1" t="s">
        <v>371</v>
      </c>
      <c r="K268" s="1" t="s">
        <v>58</v>
      </c>
      <c r="L268" s="1" t="s">
        <v>245</v>
      </c>
      <c r="M268" s="1">
        <v>1</v>
      </c>
      <c r="N268" s="2">
        <v>127.27</v>
      </c>
      <c r="O268" s="3">
        <v>185</v>
      </c>
      <c r="P268" s="1">
        <v>12</v>
      </c>
      <c r="Q268" s="1">
        <v>9</v>
      </c>
      <c r="R268" s="1">
        <v>200010015179</v>
      </c>
      <c r="S268" s="1">
        <v>29</v>
      </c>
      <c r="T268" s="1">
        <v>1</v>
      </c>
      <c r="U268" s="1">
        <v>2</v>
      </c>
    </row>
    <row r="269" spans="1:21" x14ac:dyDescent="0.25">
      <c r="A269" s="4">
        <v>44774</v>
      </c>
      <c r="B269" s="5">
        <v>0.69142361111111106</v>
      </c>
      <c r="C269" s="1">
        <v>1375</v>
      </c>
      <c r="D269" s="1">
        <v>13002561</v>
      </c>
      <c r="E269" s="1">
        <v>13</v>
      </c>
      <c r="F269" s="1">
        <v>22589</v>
      </c>
      <c r="G269" s="1" t="s">
        <v>18</v>
      </c>
      <c r="H269" s="1">
        <v>15</v>
      </c>
      <c r="I269" s="1">
        <v>340851</v>
      </c>
      <c r="J269" s="1" t="s">
        <v>372</v>
      </c>
      <c r="K269" s="1" t="s">
        <v>20</v>
      </c>
      <c r="L269" s="1" t="s">
        <v>273</v>
      </c>
      <c r="M269" s="1">
        <v>1</v>
      </c>
      <c r="N269" s="2">
        <v>856.42</v>
      </c>
      <c r="O269" s="3">
        <v>1105</v>
      </c>
      <c r="P269" s="1">
        <v>77</v>
      </c>
      <c r="Q269" s="1">
        <v>9</v>
      </c>
      <c r="R269" s="1">
        <v>200010015179</v>
      </c>
      <c r="S269" s="1">
        <v>29</v>
      </c>
      <c r="T269" s="1">
        <v>1</v>
      </c>
      <c r="U269" s="1">
        <v>1</v>
      </c>
    </row>
    <row r="270" spans="1:21" x14ac:dyDescent="0.25">
      <c r="A270" s="4">
        <v>44774</v>
      </c>
      <c r="B270" s="5">
        <v>0.69328703703703709</v>
      </c>
      <c r="C270" s="1">
        <v>1376</v>
      </c>
      <c r="D270" s="1">
        <v>13002561</v>
      </c>
      <c r="E270" s="1">
        <v>13</v>
      </c>
      <c r="F270" s="1">
        <v>22589</v>
      </c>
      <c r="G270" s="1" t="s">
        <v>18</v>
      </c>
      <c r="H270" s="1">
        <v>15</v>
      </c>
      <c r="I270" s="1">
        <v>159765</v>
      </c>
      <c r="J270" s="1" t="s">
        <v>373</v>
      </c>
      <c r="K270" s="1" t="s">
        <v>20</v>
      </c>
      <c r="L270" s="1" t="s">
        <v>374</v>
      </c>
      <c r="M270" s="1">
        <v>0.33333333999999998</v>
      </c>
      <c r="N270" s="2">
        <v>1870</v>
      </c>
      <c r="O270" s="3">
        <v>2151</v>
      </c>
      <c r="P270" s="1">
        <v>50</v>
      </c>
      <c r="Q270" s="1">
        <v>9</v>
      </c>
      <c r="R270" s="1">
        <v>200010001149</v>
      </c>
      <c r="S270" s="1">
        <v>29</v>
      </c>
      <c r="T270" s="1">
        <v>1</v>
      </c>
      <c r="U270" s="1">
        <v>1</v>
      </c>
    </row>
    <row r="271" spans="1:21" x14ac:dyDescent="0.25">
      <c r="A271" s="4">
        <v>44774</v>
      </c>
      <c r="B271" s="5">
        <v>0.69435185185185189</v>
      </c>
      <c r="C271" s="1">
        <v>1377</v>
      </c>
      <c r="D271" s="1">
        <v>13002561</v>
      </c>
      <c r="E271" s="1">
        <v>13</v>
      </c>
      <c r="F271" s="1">
        <v>22589</v>
      </c>
      <c r="G271" s="1" t="s">
        <v>18</v>
      </c>
      <c r="H271" s="1">
        <v>15</v>
      </c>
      <c r="I271" s="1">
        <v>33001</v>
      </c>
      <c r="J271" s="1" t="s">
        <v>375</v>
      </c>
      <c r="K271" s="1" t="s">
        <v>26</v>
      </c>
      <c r="L271" s="1" t="s">
        <v>266</v>
      </c>
      <c r="M271" s="1">
        <v>24</v>
      </c>
      <c r="N271" s="2">
        <v>2.08</v>
      </c>
      <c r="O271" s="3">
        <v>4</v>
      </c>
      <c r="P271" s="1">
        <v>0</v>
      </c>
      <c r="Q271" s="1" t="s">
        <v>22</v>
      </c>
      <c r="R271" s="1" t="s">
        <v>22</v>
      </c>
      <c r="S271" s="1">
        <v>29</v>
      </c>
      <c r="T271" s="1">
        <v>1</v>
      </c>
      <c r="U271" s="1">
        <v>1</v>
      </c>
    </row>
    <row r="272" spans="1:21" x14ac:dyDescent="0.25">
      <c r="A272" s="4">
        <v>44774</v>
      </c>
      <c r="B272" s="5">
        <v>0.69579861111111108</v>
      </c>
      <c r="C272" s="1">
        <v>1378</v>
      </c>
      <c r="D272" s="1">
        <v>13002561</v>
      </c>
      <c r="E272" s="1">
        <v>13</v>
      </c>
      <c r="F272" s="1">
        <v>22589</v>
      </c>
      <c r="G272" s="1" t="s">
        <v>18</v>
      </c>
      <c r="H272" s="1">
        <v>15</v>
      </c>
      <c r="I272" s="1">
        <v>45880</v>
      </c>
      <c r="J272" s="1" t="s">
        <v>376</v>
      </c>
      <c r="K272" s="1" t="s">
        <v>48</v>
      </c>
      <c r="L272" s="1" t="s">
        <v>172</v>
      </c>
      <c r="M272" s="1">
        <v>1</v>
      </c>
      <c r="N272" s="2">
        <v>70.78</v>
      </c>
      <c r="O272" s="3">
        <v>89</v>
      </c>
      <c r="P272" s="1">
        <v>4</v>
      </c>
      <c r="Q272" s="1">
        <v>9</v>
      </c>
      <c r="R272" s="1">
        <v>200010000750</v>
      </c>
      <c r="S272" s="1">
        <v>29</v>
      </c>
      <c r="T272" s="1">
        <v>1</v>
      </c>
      <c r="U272" s="1">
        <v>1</v>
      </c>
    </row>
    <row r="273" spans="1:21" x14ac:dyDescent="0.25">
      <c r="A273" s="4">
        <v>44774</v>
      </c>
      <c r="B273" s="5">
        <v>0.69579861111111108</v>
      </c>
      <c r="C273" s="1">
        <v>1378</v>
      </c>
      <c r="D273" s="1">
        <v>13002561</v>
      </c>
      <c r="E273" s="1">
        <v>13</v>
      </c>
      <c r="F273" s="1">
        <v>22589</v>
      </c>
      <c r="G273" s="1" t="s">
        <v>18</v>
      </c>
      <c r="H273" s="1">
        <v>15</v>
      </c>
      <c r="I273" s="1">
        <v>45880</v>
      </c>
      <c r="J273" s="1" t="s">
        <v>376</v>
      </c>
      <c r="K273" s="1" t="s">
        <v>48</v>
      </c>
      <c r="L273" s="1" t="s">
        <v>172</v>
      </c>
      <c r="M273" s="1">
        <v>1</v>
      </c>
      <c r="N273" s="2">
        <v>70.78</v>
      </c>
      <c r="O273" s="3">
        <v>89</v>
      </c>
      <c r="P273" s="1">
        <v>4</v>
      </c>
      <c r="Q273" s="1">
        <v>9</v>
      </c>
      <c r="R273" s="1">
        <v>200010000750</v>
      </c>
      <c r="S273" s="1">
        <v>29</v>
      </c>
      <c r="T273" s="1">
        <v>1</v>
      </c>
      <c r="U273" s="1">
        <v>2</v>
      </c>
    </row>
    <row r="274" spans="1:21" x14ac:dyDescent="0.25">
      <c r="A274" s="4">
        <v>44774</v>
      </c>
      <c r="B274" s="5">
        <v>0.69579861111111108</v>
      </c>
      <c r="C274" s="1">
        <v>1378</v>
      </c>
      <c r="D274" s="1">
        <v>13002561</v>
      </c>
      <c r="E274" s="1">
        <v>13</v>
      </c>
      <c r="F274" s="1">
        <v>22589</v>
      </c>
      <c r="G274" s="1" t="s">
        <v>18</v>
      </c>
      <c r="H274" s="1">
        <v>15</v>
      </c>
      <c r="I274" s="1">
        <v>111178</v>
      </c>
      <c r="J274" s="1" t="s">
        <v>377</v>
      </c>
      <c r="K274" s="1" t="s">
        <v>48</v>
      </c>
      <c r="L274" s="1" t="s">
        <v>294</v>
      </c>
      <c r="M274" s="1">
        <v>1</v>
      </c>
      <c r="N274" s="2">
        <v>35.78</v>
      </c>
      <c r="O274" s="3">
        <v>44</v>
      </c>
      <c r="P274" s="1">
        <v>2</v>
      </c>
      <c r="Q274" s="1">
        <v>9</v>
      </c>
      <c r="R274" s="1">
        <v>200010000750</v>
      </c>
      <c r="S274" s="1">
        <v>29</v>
      </c>
      <c r="T274" s="1">
        <v>1</v>
      </c>
      <c r="U274" s="1">
        <v>5</v>
      </c>
    </row>
    <row r="275" spans="1:21" x14ac:dyDescent="0.25">
      <c r="A275" s="4">
        <v>44774</v>
      </c>
      <c r="B275" s="5">
        <v>0.69579861111111108</v>
      </c>
      <c r="C275" s="1">
        <v>1378</v>
      </c>
      <c r="D275" s="1">
        <v>13002561</v>
      </c>
      <c r="E275" s="1">
        <v>13</v>
      </c>
      <c r="F275" s="1">
        <v>22589</v>
      </c>
      <c r="G275" s="1" t="s">
        <v>18</v>
      </c>
      <c r="H275" s="1">
        <v>15</v>
      </c>
      <c r="I275" s="1">
        <v>111178</v>
      </c>
      <c r="J275" s="1" t="s">
        <v>377</v>
      </c>
      <c r="K275" s="1" t="s">
        <v>48</v>
      </c>
      <c r="L275" s="1" t="s">
        <v>294</v>
      </c>
      <c r="M275" s="1">
        <v>1</v>
      </c>
      <c r="N275" s="2">
        <v>35.78</v>
      </c>
      <c r="O275" s="3">
        <v>44</v>
      </c>
      <c r="P275" s="1">
        <v>2</v>
      </c>
      <c r="Q275" s="1">
        <v>9</v>
      </c>
      <c r="R275" s="1">
        <v>200010000750</v>
      </c>
      <c r="S275" s="1">
        <v>29</v>
      </c>
      <c r="T275" s="1">
        <v>1</v>
      </c>
      <c r="U275" s="1">
        <v>6</v>
      </c>
    </row>
    <row r="276" spans="1:21" x14ac:dyDescent="0.25">
      <c r="A276" s="4">
        <v>44774</v>
      </c>
      <c r="B276" s="5">
        <v>0.69748842592592597</v>
      </c>
      <c r="C276" s="1">
        <v>1379</v>
      </c>
      <c r="D276" s="1">
        <v>13002561</v>
      </c>
      <c r="E276" s="1">
        <v>13</v>
      </c>
      <c r="F276" s="1">
        <v>22589</v>
      </c>
      <c r="G276" s="1" t="s">
        <v>18</v>
      </c>
      <c r="H276" s="1">
        <v>18</v>
      </c>
      <c r="I276" s="1">
        <v>440357</v>
      </c>
      <c r="J276" s="1" t="s">
        <v>378</v>
      </c>
      <c r="K276" s="1" t="s">
        <v>48</v>
      </c>
      <c r="L276" s="1" t="s">
        <v>235</v>
      </c>
      <c r="M276" s="1">
        <v>1</v>
      </c>
      <c r="N276" s="2">
        <v>25.79</v>
      </c>
      <c r="O276" s="3">
        <v>40</v>
      </c>
      <c r="P276" s="1">
        <v>2</v>
      </c>
      <c r="Q276" s="1">
        <v>9</v>
      </c>
      <c r="R276" s="1">
        <v>200010026815</v>
      </c>
      <c r="S276" s="1">
        <v>29</v>
      </c>
      <c r="T276" s="1">
        <v>1</v>
      </c>
      <c r="U276" s="1">
        <v>5</v>
      </c>
    </row>
    <row r="277" spans="1:21" x14ac:dyDescent="0.25">
      <c r="A277" s="4">
        <v>44774</v>
      </c>
      <c r="B277" s="5">
        <v>0.69748842592592597</v>
      </c>
      <c r="C277" s="1">
        <v>1379</v>
      </c>
      <c r="D277" s="1">
        <v>13002561</v>
      </c>
      <c r="E277" s="1">
        <v>13</v>
      </c>
      <c r="F277" s="1">
        <v>22589</v>
      </c>
      <c r="G277" s="1" t="s">
        <v>18</v>
      </c>
      <c r="H277" s="1">
        <v>18</v>
      </c>
      <c r="I277" s="1">
        <v>440357</v>
      </c>
      <c r="J277" s="1" t="s">
        <v>378</v>
      </c>
      <c r="K277" s="1" t="s">
        <v>48</v>
      </c>
      <c r="L277" s="1" t="s">
        <v>235</v>
      </c>
      <c r="M277" s="1">
        <v>1</v>
      </c>
      <c r="N277" s="2">
        <v>25.79</v>
      </c>
      <c r="O277" s="3">
        <v>40</v>
      </c>
      <c r="P277" s="1">
        <v>2</v>
      </c>
      <c r="Q277" s="1">
        <v>9</v>
      </c>
      <c r="R277" s="1">
        <v>200010026815</v>
      </c>
      <c r="S277" s="1">
        <v>29</v>
      </c>
      <c r="T277" s="1">
        <v>1</v>
      </c>
      <c r="U277" s="1">
        <v>6</v>
      </c>
    </row>
    <row r="278" spans="1:21" x14ac:dyDescent="0.25">
      <c r="A278" s="4">
        <v>44774</v>
      </c>
      <c r="B278" s="5">
        <v>0.69748842592592597</v>
      </c>
      <c r="C278" s="1">
        <v>1379</v>
      </c>
      <c r="D278" s="1">
        <v>13002561</v>
      </c>
      <c r="E278" s="1">
        <v>13</v>
      </c>
      <c r="F278" s="1">
        <v>22589</v>
      </c>
      <c r="G278" s="1" t="s">
        <v>18</v>
      </c>
      <c r="H278" s="1">
        <v>18</v>
      </c>
      <c r="I278" s="1">
        <v>496536</v>
      </c>
      <c r="J278" s="1" t="s">
        <v>379</v>
      </c>
      <c r="K278" s="1" t="s">
        <v>55</v>
      </c>
      <c r="L278" s="1" t="s">
        <v>380</v>
      </c>
      <c r="M278" s="1">
        <v>1</v>
      </c>
      <c r="N278" s="2">
        <v>49.4</v>
      </c>
      <c r="O278" s="3">
        <v>76</v>
      </c>
      <c r="P278" s="1">
        <v>5</v>
      </c>
      <c r="Q278" s="1">
        <v>9</v>
      </c>
      <c r="R278" s="1">
        <v>200010026815</v>
      </c>
      <c r="S278" s="1">
        <v>29</v>
      </c>
      <c r="T278" s="1">
        <v>1</v>
      </c>
      <c r="U278" s="1">
        <v>4</v>
      </c>
    </row>
    <row r="279" spans="1:21" x14ac:dyDescent="0.25">
      <c r="A279" s="4">
        <v>44774</v>
      </c>
      <c r="B279" s="5">
        <v>0.69748842592592597</v>
      </c>
      <c r="C279" s="1">
        <v>1379</v>
      </c>
      <c r="D279" s="1">
        <v>13002561</v>
      </c>
      <c r="E279" s="1">
        <v>13</v>
      </c>
      <c r="F279" s="1">
        <v>22589</v>
      </c>
      <c r="G279" s="1" t="s">
        <v>18</v>
      </c>
      <c r="H279" s="1">
        <v>18</v>
      </c>
      <c r="I279" s="1">
        <v>400035</v>
      </c>
      <c r="J279" s="1" t="s">
        <v>254</v>
      </c>
      <c r="K279" s="1" t="s">
        <v>114</v>
      </c>
      <c r="L279" s="1" t="s">
        <v>73</v>
      </c>
      <c r="M279" s="1">
        <v>1</v>
      </c>
      <c r="N279" s="2">
        <v>37.729999999999997</v>
      </c>
      <c r="O279" s="3">
        <v>58</v>
      </c>
      <c r="P279" s="1">
        <v>4</v>
      </c>
      <c r="Q279" s="1">
        <v>9</v>
      </c>
      <c r="R279" s="1">
        <v>200010026815</v>
      </c>
      <c r="S279" s="1">
        <v>29</v>
      </c>
      <c r="T279" s="1">
        <v>1</v>
      </c>
      <c r="U279" s="1">
        <v>1</v>
      </c>
    </row>
    <row r="280" spans="1:21" x14ac:dyDescent="0.25">
      <c r="A280" s="4">
        <v>44774</v>
      </c>
      <c r="B280" s="5">
        <v>0.69748842592592597</v>
      </c>
      <c r="C280" s="1">
        <v>1379</v>
      </c>
      <c r="D280" s="1">
        <v>13002561</v>
      </c>
      <c r="E280" s="1">
        <v>13</v>
      </c>
      <c r="F280" s="1">
        <v>22589</v>
      </c>
      <c r="G280" s="1" t="s">
        <v>18</v>
      </c>
      <c r="H280" s="1">
        <v>18</v>
      </c>
      <c r="I280" s="1">
        <v>400035</v>
      </c>
      <c r="J280" s="1" t="s">
        <v>254</v>
      </c>
      <c r="K280" s="1" t="s">
        <v>114</v>
      </c>
      <c r="L280" s="1" t="s">
        <v>73</v>
      </c>
      <c r="M280" s="1">
        <v>1</v>
      </c>
      <c r="N280" s="2">
        <v>37.729999999999997</v>
      </c>
      <c r="O280" s="3">
        <v>58</v>
      </c>
      <c r="P280" s="1">
        <v>4</v>
      </c>
      <c r="Q280" s="1">
        <v>9</v>
      </c>
      <c r="R280" s="1">
        <v>200010026815</v>
      </c>
      <c r="S280" s="1">
        <v>29</v>
      </c>
      <c r="T280" s="1">
        <v>1</v>
      </c>
      <c r="U280" s="1">
        <v>2</v>
      </c>
    </row>
    <row r="281" spans="1:21" x14ac:dyDescent="0.25">
      <c r="A281" s="4">
        <v>44774</v>
      </c>
      <c r="B281" s="5">
        <v>0.69748842592592597</v>
      </c>
      <c r="C281" s="1">
        <v>1379</v>
      </c>
      <c r="D281" s="1">
        <v>13002561</v>
      </c>
      <c r="E281" s="1">
        <v>13</v>
      </c>
      <c r="F281" s="1">
        <v>22589</v>
      </c>
      <c r="G281" s="1" t="s">
        <v>18</v>
      </c>
      <c r="H281" s="1">
        <v>18</v>
      </c>
      <c r="I281" s="1">
        <v>345542</v>
      </c>
      <c r="J281" s="1" t="s">
        <v>381</v>
      </c>
      <c r="K281" s="1" t="s">
        <v>48</v>
      </c>
      <c r="L281" s="1" t="s">
        <v>73</v>
      </c>
      <c r="M281" s="1">
        <v>1</v>
      </c>
      <c r="N281" s="2">
        <v>15.18</v>
      </c>
      <c r="O281" s="3">
        <v>19</v>
      </c>
      <c r="P281" s="1">
        <v>0</v>
      </c>
      <c r="Q281" s="1" t="s">
        <v>22</v>
      </c>
      <c r="R281" s="1" t="s">
        <v>22</v>
      </c>
      <c r="S281" s="1">
        <v>29</v>
      </c>
      <c r="T281" s="1">
        <v>1</v>
      </c>
      <c r="U281" s="1">
        <v>3</v>
      </c>
    </row>
    <row r="282" spans="1:21" x14ac:dyDescent="0.25">
      <c r="A282" s="4">
        <v>44774</v>
      </c>
      <c r="B282" s="5">
        <v>0.69748842592592597</v>
      </c>
      <c r="C282" s="1">
        <v>1379</v>
      </c>
      <c r="D282" s="1">
        <v>13002561</v>
      </c>
      <c r="E282" s="1">
        <v>13</v>
      </c>
      <c r="F282" s="1">
        <v>22589</v>
      </c>
      <c r="G282" s="1" t="s">
        <v>18</v>
      </c>
      <c r="H282" s="1">
        <v>18</v>
      </c>
      <c r="I282" s="1">
        <v>384267</v>
      </c>
      <c r="J282" s="1" t="s">
        <v>382</v>
      </c>
      <c r="K282" s="1" t="s">
        <v>26</v>
      </c>
      <c r="L282" s="1" t="s">
        <v>32</v>
      </c>
      <c r="M282" s="1">
        <v>1</v>
      </c>
      <c r="N282" s="2">
        <v>256.69</v>
      </c>
      <c r="O282" s="3">
        <v>347</v>
      </c>
      <c r="P282" s="1">
        <v>24</v>
      </c>
      <c r="Q282" s="1">
        <v>9</v>
      </c>
      <c r="R282" s="1">
        <v>200010026815</v>
      </c>
      <c r="S282" s="1">
        <v>29</v>
      </c>
      <c r="T282" s="1">
        <v>1</v>
      </c>
      <c r="U282" s="1">
        <v>7</v>
      </c>
    </row>
    <row r="283" spans="1:21" x14ac:dyDescent="0.25">
      <c r="A283" s="4">
        <v>44774</v>
      </c>
      <c r="B283" s="5">
        <v>0.70020833333333332</v>
      </c>
      <c r="C283" s="1">
        <v>1380</v>
      </c>
      <c r="D283" s="1">
        <v>13002561</v>
      </c>
      <c r="E283" s="1">
        <v>13</v>
      </c>
      <c r="F283" s="1">
        <v>22589</v>
      </c>
      <c r="G283" s="1" t="s">
        <v>18</v>
      </c>
      <c r="H283" s="1">
        <v>18</v>
      </c>
      <c r="I283" s="1">
        <v>374617</v>
      </c>
      <c r="J283" s="1" t="s">
        <v>383</v>
      </c>
      <c r="K283" s="1" t="s">
        <v>20</v>
      </c>
      <c r="L283" s="1" t="s">
        <v>156</v>
      </c>
      <c r="M283" s="1">
        <v>1</v>
      </c>
      <c r="N283" s="2">
        <v>86.9</v>
      </c>
      <c r="O283" s="3">
        <v>107</v>
      </c>
      <c r="P283" s="1">
        <v>5</v>
      </c>
      <c r="Q283" s="1">
        <v>9</v>
      </c>
      <c r="R283" s="1">
        <v>200010013152</v>
      </c>
      <c r="S283" s="1">
        <v>29</v>
      </c>
      <c r="T283" s="1">
        <v>1</v>
      </c>
      <c r="U283" s="1">
        <v>6</v>
      </c>
    </row>
    <row r="284" spans="1:21" x14ac:dyDescent="0.25">
      <c r="A284" s="4">
        <v>44774</v>
      </c>
      <c r="B284" s="5">
        <v>0.70020833333333332</v>
      </c>
      <c r="C284" s="1">
        <v>1380</v>
      </c>
      <c r="D284" s="1">
        <v>13002561</v>
      </c>
      <c r="E284" s="1">
        <v>13</v>
      </c>
      <c r="F284" s="1">
        <v>22589</v>
      </c>
      <c r="G284" s="1" t="s">
        <v>18</v>
      </c>
      <c r="H284" s="1">
        <v>18</v>
      </c>
      <c r="I284" s="1">
        <v>565192</v>
      </c>
      <c r="J284" s="1" t="s">
        <v>384</v>
      </c>
      <c r="K284" s="1" t="s">
        <v>31</v>
      </c>
      <c r="L284" s="1" t="s">
        <v>385</v>
      </c>
      <c r="M284" s="1">
        <v>1</v>
      </c>
      <c r="N284" s="2">
        <v>1217.1500000000001</v>
      </c>
      <c r="O284" s="3">
        <v>1522</v>
      </c>
      <c r="P284" s="1">
        <v>106</v>
      </c>
      <c r="Q284" s="1">
        <v>9</v>
      </c>
      <c r="R284" s="1">
        <v>200010013152</v>
      </c>
      <c r="S284" s="1">
        <v>29</v>
      </c>
      <c r="T284" s="1">
        <v>1</v>
      </c>
      <c r="U284" s="1">
        <v>2</v>
      </c>
    </row>
    <row r="285" spans="1:21" x14ac:dyDescent="0.25">
      <c r="A285" s="4">
        <v>44774</v>
      </c>
      <c r="B285" s="5">
        <v>0.70020833333333332</v>
      </c>
      <c r="C285" s="1">
        <v>1380</v>
      </c>
      <c r="D285" s="1">
        <v>13002561</v>
      </c>
      <c r="E285" s="1">
        <v>13</v>
      </c>
      <c r="F285" s="1">
        <v>22589</v>
      </c>
      <c r="G285" s="1" t="s">
        <v>18</v>
      </c>
      <c r="H285" s="1">
        <v>18</v>
      </c>
      <c r="I285" s="1">
        <v>346727</v>
      </c>
      <c r="J285" s="1" t="s">
        <v>386</v>
      </c>
      <c r="K285" s="1" t="s">
        <v>48</v>
      </c>
      <c r="L285" s="1" t="s">
        <v>271</v>
      </c>
      <c r="M285" s="1">
        <v>1</v>
      </c>
      <c r="N285" s="2">
        <v>30.64</v>
      </c>
      <c r="O285" s="3">
        <v>37</v>
      </c>
      <c r="P285" s="1">
        <v>1</v>
      </c>
      <c r="Q285" s="1">
        <v>9</v>
      </c>
      <c r="R285" s="1">
        <v>200010013152</v>
      </c>
      <c r="S285" s="1">
        <v>29</v>
      </c>
      <c r="T285" s="1">
        <v>1</v>
      </c>
      <c r="U285" s="1">
        <v>3</v>
      </c>
    </row>
    <row r="286" spans="1:21" x14ac:dyDescent="0.25">
      <c r="A286" s="4">
        <v>44774</v>
      </c>
      <c r="B286" s="5">
        <v>0.70020833333333332</v>
      </c>
      <c r="C286" s="1">
        <v>1380</v>
      </c>
      <c r="D286" s="1">
        <v>13002561</v>
      </c>
      <c r="E286" s="1">
        <v>13</v>
      </c>
      <c r="F286" s="1">
        <v>22589</v>
      </c>
      <c r="G286" s="1" t="s">
        <v>18</v>
      </c>
      <c r="H286" s="1">
        <v>18</v>
      </c>
      <c r="I286" s="1">
        <v>346727</v>
      </c>
      <c r="J286" s="1" t="s">
        <v>386</v>
      </c>
      <c r="K286" s="1" t="s">
        <v>48</v>
      </c>
      <c r="L286" s="1" t="s">
        <v>271</v>
      </c>
      <c r="M286" s="1">
        <v>1</v>
      </c>
      <c r="N286" s="2">
        <v>30.64</v>
      </c>
      <c r="O286" s="3">
        <v>37</v>
      </c>
      <c r="P286" s="1">
        <v>1</v>
      </c>
      <c r="Q286" s="1">
        <v>9</v>
      </c>
      <c r="R286" s="1">
        <v>200010013152</v>
      </c>
      <c r="S286" s="1">
        <v>29</v>
      </c>
      <c r="T286" s="1">
        <v>1</v>
      </c>
      <c r="U286" s="1">
        <v>4</v>
      </c>
    </row>
    <row r="287" spans="1:21" x14ac:dyDescent="0.25">
      <c r="A287" s="4">
        <v>44774</v>
      </c>
      <c r="B287" s="5">
        <v>0.70112268518518517</v>
      </c>
      <c r="C287" s="1">
        <v>1381</v>
      </c>
      <c r="D287" s="1">
        <v>13002561</v>
      </c>
      <c r="E287" s="1">
        <v>13</v>
      </c>
      <c r="F287" s="1">
        <v>22589</v>
      </c>
      <c r="G287" s="1" t="s">
        <v>18</v>
      </c>
      <c r="H287" s="1">
        <v>15</v>
      </c>
      <c r="I287" s="1">
        <v>148756</v>
      </c>
      <c r="J287" s="1" t="s">
        <v>387</v>
      </c>
      <c r="K287" s="1" t="s">
        <v>26</v>
      </c>
      <c r="L287" s="1" t="s">
        <v>388</v>
      </c>
      <c r="M287" s="1">
        <v>1</v>
      </c>
      <c r="N287" s="2">
        <v>26.13</v>
      </c>
      <c r="O287" s="3">
        <v>32</v>
      </c>
      <c r="P287" s="1">
        <v>1</v>
      </c>
      <c r="Q287" s="1">
        <v>9</v>
      </c>
      <c r="R287" s="1">
        <v>200010001749</v>
      </c>
      <c r="S287" s="1">
        <v>29</v>
      </c>
      <c r="T287" s="1">
        <v>1</v>
      </c>
      <c r="U287" s="1">
        <v>1</v>
      </c>
    </row>
    <row r="288" spans="1:21" x14ac:dyDescent="0.25">
      <c r="A288" s="4">
        <v>44774</v>
      </c>
      <c r="B288" s="5">
        <v>0.70112268518518517</v>
      </c>
      <c r="C288" s="1">
        <v>1381</v>
      </c>
      <c r="D288" s="1">
        <v>13002561</v>
      </c>
      <c r="E288" s="1">
        <v>13</v>
      </c>
      <c r="F288" s="1">
        <v>22589</v>
      </c>
      <c r="G288" s="1" t="s">
        <v>18</v>
      </c>
      <c r="H288" s="1">
        <v>15</v>
      </c>
      <c r="I288" s="1">
        <v>148756</v>
      </c>
      <c r="J288" s="1" t="s">
        <v>387</v>
      </c>
      <c r="K288" s="1" t="s">
        <v>26</v>
      </c>
      <c r="L288" s="1" t="s">
        <v>388</v>
      </c>
      <c r="M288" s="1">
        <v>1</v>
      </c>
      <c r="N288" s="2">
        <v>26.13</v>
      </c>
      <c r="O288" s="3">
        <v>32</v>
      </c>
      <c r="P288" s="1">
        <v>1</v>
      </c>
      <c r="Q288" s="1">
        <v>9</v>
      </c>
      <c r="R288" s="1">
        <v>200010001749</v>
      </c>
      <c r="S288" s="1">
        <v>29</v>
      </c>
      <c r="T288" s="1">
        <v>1</v>
      </c>
      <c r="U288" s="1">
        <v>2</v>
      </c>
    </row>
    <row r="289" spans="1:21" x14ac:dyDescent="0.25">
      <c r="A289" s="4">
        <v>44774</v>
      </c>
      <c r="B289" s="5">
        <v>0.7107175925925926</v>
      </c>
      <c r="C289" s="1">
        <v>1382</v>
      </c>
      <c r="D289" s="1">
        <v>13002561</v>
      </c>
      <c r="E289" s="1">
        <v>13</v>
      </c>
      <c r="F289" s="1">
        <v>22589</v>
      </c>
      <c r="G289" s="1" t="s">
        <v>18</v>
      </c>
      <c r="H289" s="1">
        <v>18</v>
      </c>
      <c r="I289" s="1">
        <v>9426</v>
      </c>
      <c r="J289" s="1" t="s">
        <v>389</v>
      </c>
      <c r="K289" s="1" t="s">
        <v>48</v>
      </c>
      <c r="L289" s="1" t="s">
        <v>192</v>
      </c>
      <c r="M289" s="1">
        <v>1</v>
      </c>
      <c r="N289" s="2">
        <v>177.67</v>
      </c>
      <c r="O289" s="3">
        <v>215</v>
      </c>
      <c r="P289" s="1">
        <v>10</v>
      </c>
      <c r="Q289" s="1">
        <v>9</v>
      </c>
      <c r="R289" s="1">
        <v>200010017788</v>
      </c>
      <c r="S289" s="1">
        <v>29</v>
      </c>
      <c r="T289" s="1">
        <v>1</v>
      </c>
      <c r="U289" s="1">
        <v>2</v>
      </c>
    </row>
    <row r="290" spans="1:21" x14ac:dyDescent="0.25">
      <c r="A290" s="4">
        <v>44774</v>
      </c>
      <c r="B290" s="5">
        <v>0.7107175925925926</v>
      </c>
      <c r="C290" s="1">
        <v>1382</v>
      </c>
      <c r="D290" s="1">
        <v>13002561</v>
      </c>
      <c r="E290" s="1">
        <v>13</v>
      </c>
      <c r="F290" s="1">
        <v>22589</v>
      </c>
      <c r="G290" s="1" t="s">
        <v>18</v>
      </c>
      <c r="H290" s="1">
        <v>18</v>
      </c>
      <c r="I290" s="1">
        <v>20856</v>
      </c>
      <c r="J290" s="1" t="s">
        <v>390</v>
      </c>
      <c r="K290" s="1" t="s">
        <v>48</v>
      </c>
      <c r="L290" s="1" t="s">
        <v>391</v>
      </c>
      <c r="M290" s="1">
        <v>1</v>
      </c>
      <c r="N290" s="2">
        <v>244.77</v>
      </c>
      <c r="O290" s="3">
        <v>282</v>
      </c>
      <c r="P290" s="1">
        <v>14</v>
      </c>
      <c r="Q290" s="1">
        <v>9</v>
      </c>
      <c r="R290" s="1">
        <v>200010017788</v>
      </c>
      <c r="S290" s="1">
        <v>29</v>
      </c>
      <c r="T290" s="1">
        <v>1</v>
      </c>
      <c r="U290" s="1">
        <v>1</v>
      </c>
    </row>
    <row r="291" spans="1:21" x14ac:dyDescent="0.25">
      <c r="A291" s="4">
        <v>44774</v>
      </c>
      <c r="B291" s="5">
        <v>0.7107175925925926</v>
      </c>
      <c r="C291" s="1">
        <v>1382</v>
      </c>
      <c r="D291" s="1">
        <v>13002561</v>
      </c>
      <c r="E291" s="1">
        <v>13</v>
      </c>
      <c r="F291" s="1">
        <v>22589</v>
      </c>
      <c r="G291" s="1" t="s">
        <v>18</v>
      </c>
      <c r="H291" s="1">
        <v>18</v>
      </c>
      <c r="I291" s="1">
        <v>39416</v>
      </c>
      <c r="J291" s="1" t="s">
        <v>392</v>
      </c>
      <c r="K291" s="1" t="s">
        <v>20</v>
      </c>
      <c r="L291" s="1" t="s">
        <v>172</v>
      </c>
      <c r="M291" s="1">
        <v>1</v>
      </c>
      <c r="N291" s="2">
        <v>150.94</v>
      </c>
      <c r="O291" s="3">
        <v>207</v>
      </c>
      <c r="P291" s="1">
        <v>14</v>
      </c>
      <c r="Q291" s="1">
        <v>9</v>
      </c>
      <c r="R291" s="1">
        <v>200010017788</v>
      </c>
      <c r="S291" s="1">
        <v>29</v>
      </c>
      <c r="T291" s="1">
        <v>1</v>
      </c>
      <c r="U291" s="1">
        <v>3</v>
      </c>
    </row>
    <row r="292" spans="1:21" x14ac:dyDescent="0.25">
      <c r="A292" s="4">
        <v>44774</v>
      </c>
      <c r="B292" s="5">
        <v>0.79040509259259262</v>
      </c>
      <c r="C292" s="1">
        <v>1405</v>
      </c>
      <c r="D292" s="1">
        <v>13002561</v>
      </c>
      <c r="E292" s="1">
        <v>13</v>
      </c>
      <c r="F292" s="1">
        <v>22589</v>
      </c>
      <c r="G292" s="1" t="s">
        <v>18</v>
      </c>
      <c r="H292" s="1">
        <v>18</v>
      </c>
      <c r="I292" s="1">
        <v>39416</v>
      </c>
      <c r="J292" s="1" t="s">
        <v>392</v>
      </c>
      <c r="K292" s="1" t="s">
        <v>20</v>
      </c>
      <c r="L292" s="1" t="s">
        <v>172</v>
      </c>
      <c r="M292" s="1">
        <v>1</v>
      </c>
      <c r="N292" s="2">
        <v>150.94</v>
      </c>
      <c r="O292" s="3">
        <v>207</v>
      </c>
      <c r="P292" s="1">
        <v>0</v>
      </c>
      <c r="Q292" s="1" t="s">
        <v>22</v>
      </c>
      <c r="R292" s="1" t="s">
        <v>22</v>
      </c>
      <c r="S292" s="1">
        <v>29</v>
      </c>
      <c r="T292" s="1">
        <v>1</v>
      </c>
      <c r="U292" s="1">
        <v>2</v>
      </c>
    </row>
    <row r="293" spans="1:21" x14ac:dyDescent="0.25">
      <c r="A293" s="4">
        <v>44774</v>
      </c>
      <c r="B293" s="5">
        <v>0.71596064814814819</v>
      </c>
      <c r="C293" s="1">
        <v>1384</v>
      </c>
      <c r="D293" s="1">
        <v>13002561</v>
      </c>
      <c r="E293" s="1">
        <v>13</v>
      </c>
      <c r="F293" s="1">
        <v>22589</v>
      </c>
      <c r="G293" s="1" t="s">
        <v>18</v>
      </c>
      <c r="H293" s="1">
        <v>15</v>
      </c>
      <c r="I293" s="1">
        <v>340098</v>
      </c>
      <c r="J293" s="1" t="s">
        <v>393</v>
      </c>
      <c r="K293" s="1" t="s">
        <v>48</v>
      </c>
      <c r="L293" s="1" t="s">
        <v>394</v>
      </c>
      <c r="M293" s="1">
        <v>1</v>
      </c>
      <c r="N293" s="2">
        <v>74.400000000000006</v>
      </c>
      <c r="O293" s="3">
        <v>106</v>
      </c>
      <c r="P293" s="1">
        <v>12.63</v>
      </c>
      <c r="Q293" s="1">
        <v>925</v>
      </c>
      <c r="R293" s="1">
        <v>200000000492</v>
      </c>
      <c r="S293" s="1">
        <v>29</v>
      </c>
      <c r="T293" s="1">
        <v>1</v>
      </c>
      <c r="U293" s="1">
        <v>3</v>
      </c>
    </row>
    <row r="294" spans="1:21" x14ac:dyDescent="0.25">
      <c r="A294" s="4">
        <v>44774</v>
      </c>
      <c r="B294" s="5">
        <v>0.71596064814814819</v>
      </c>
      <c r="C294" s="1">
        <v>1384</v>
      </c>
      <c r="D294" s="1">
        <v>13002561</v>
      </c>
      <c r="E294" s="1">
        <v>13</v>
      </c>
      <c r="F294" s="1">
        <v>22589</v>
      </c>
      <c r="G294" s="1" t="s">
        <v>18</v>
      </c>
      <c r="H294" s="1">
        <v>15</v>
      </c>
      <c r="I294" s="1">
        <v>4773</v>
      </c>
      <c r="J294" s="1" t="s">
        <v>395</v>
      </c>
      <c r="K294" s="1" t="s">
        <v>42</v>
      </c>
      <c r="L294" s="1" t="s">
        <v>396</v>
      </c>
      <c r="M294" s="1">
        <v>1</v>
      </c>
      <c r="N294" s="2">
        <v>86.27</v>
      </c>
      <c r="O294" s="3">
        <v>105</v>
      </c>
      <c r="P294" s="1">
        <v>12.51</v>
      </c>
      <c r="Q294" s="1">
        <v>925</v>
      </c>
      <c r="R294" s="1">
        <v>200000000492</v>
      </c>
      <c r="S294" s="1">
        <v>29</v>
      </c>
      <c r="T294" s="1">
        <v>1</v>
      </c>
      <c r="U294" s="1">
        <v>1</v>
      </c>
    </row>
    <row r="295" spans="1:21" x14ac:dyDescent="0.25">
      <c r="A295" s="4">
        <v>44774</v>
      </c>
      <c r="B295" s="5">
        <v>0.71596064814814819</v>
      </c>
      <c r="C295" s="1">
        <v>1384</v>
      </c>
      <c r="D295" s="1">
        <v>13002561</v>
      </c>
      <c r="E295" s="1">
        <v>13</v>
      </c>
      <c r="F295" s="1">
        <v>22589</v>
      </c>
      <c r="G295" s="1" t="s">
        <v>18</v>
      </c>
      <c r="H295" s="1">
        <v>15</v>
      </c>
      <c r="I295" s="1">
        <v>12643</v>
      </c>
      <c r="J295" s="1" t="s">
        <v>397</v>
      </c>
      <c r="K295" s="1" t="s">
        <v>48</v>
      </c>
      <c r="L295" s="1" t="s">
        <v>53</v>
      </c>
      <c r="M295" s="1">
        <v>1</v>
      </c>
      <c r="N295" s="2">
        <v>145.52000000000001</v>
      </c>
      <c r="O295" s="3">
        <v>175</v>
      </c>
      <c r="P295" s="1">
        <v>20.86</v>
      </c>
      <c r="Q295" s="1">
        <v>925</v>
      </c>
      <c r="R295" s="1">
        <v>200000000492</v>
      </c>
      <c r="S295" s="1">
        <v>29</v>
      </c>
      <c r="T295" s="1">
        <v>1</v>
      </c>
      <c r="U295" s="1">
        <v>2</v>
      </c>
    </row>
    <row r="296" spans="1:21" x14ac:dyDescent="0.25">
      <c r="A296" s="4">
        <v>44774</v>
      </c>
      <c r="B296" s="5">
        <v>0.72422453703703704</v>
      </c>
      <c r="C296" s="1">
        <v>1385</v>
      </c>
      <c r="D296" s="1">
        <v>13002561</v>
      </c>
      <c r="E296" s="1">
        <v>13</v>
      </c>
      <c r="F296" s="1">
        <v>22589</v>
      </c>
      <c r="G296" s="1" t="s">
        <v>18</v>
      </c>
      <c r="H296" s="1">
        <v>18</v>
      </c>
      <c r="I296" s="1">
        <v>393397</v>
      </c>
      <c r="J296" s="1" t="s">
        <v>331</v>
      </c>
      <c r="K296" s="1" t="s">
        <v>26</v>
      </c>
      <c r="L296" s="1" t="s">
        <v>332</v>
      </c>
      <c r="M296" s="1">
        <v>1</v>
      </c>
      <c r="N296" s="2">
        <v>20.079999999999998</v>
      </c>
      <c r="O296" s="3">
        <v>26</v>
      </c>
      <c r="P296" s="1">
        <v>0</v>
      </c>
      <c r="Q296" s="1" t="s">
        <v>22</v>
      </c>
      <c r="R296" s="1" t="s">
        <v>22</v>
      </c>
      <c r="S296" s="1">
        <v>29</v>
      </c>
      <c r="T296" s="1">
        <v>1</v>
      </c>
      <c r="U296" s="1">
        <v>1</v>
      </c>
    </row>
    <row r="297" spans="1:21" x14ac:dyDescent="0.25">
      <c r="A297" s="4">
        <v>44774</v>
      </c>
      <c r="B297" s="5">
        <v>0.72422453703703704</v>
      </c>
      <c r="C297" s="1">
        <v>1385</v>
      </c>
      <c r="D297" s="1">
        <v>13002561</v>
      </c>
      <c r="E297" s="1">
        <v>13</v>
      </c>
      <c r="F297" s="1">
        <v>22589</v>
      </c>
      <c r="G297" s="1" t="s">
        <v>18</v>
      </c>
      <c r="H297" s="1">
        <v>18</v>
      </c>
      <c r="I297" s="1">
        <v>393397</v>
      </c>
      <c r="J297" s="1" t="s">
        <v>331</v>
      </c>
      <c r="K297" s="1" t="s">
        <v>26</v>
      </c>
      <c r="L297" s="1" t="s">
        <v>332</v>
      </c>
      <c r="M297" s="1">
        <v>1</v>
      </c>
      <c r="N297" s="2">
        <v>20.079999999999998</v>
      </c>
      <c r="O297" s="3">
        <v>26</v>
      </c>
      <c r="P297" s="1">
        <v>0</v>
      </c>
      <c r="Q297" s="1" t="s">
        <v>22</v>
      </c>
      <c r="R297" s="1" t="s">
        <v>22</v>
      </c>
      <c r="S297" s="1">
        <v>29</v>
      </c>
      <c r="T297" s="1">
        <v>1</v>
      </c>
      <c r="U297" s="1">
        <v>2</v>
      </c>
    </row>
    <row r="298" spans="1:21" x14ac:dyDescent="0.25">
      <c r="A298" s="4">
        <v>44774</v>
      </c>
      <c r="B298" s="5">
        <v>0.74328703703703702</v>
      </c>
      <c r="C298" s="1">
        <v>1392</v>
      </c>
      <c r="D298" s="1">
        <v>13002561</v>
      </c>
      <c r="E298" s="1">
        <v>13</v>
      </c>
      <c r="F298" s="1">
        <v>22589</v>
      </c>
      <c r="G298" s="1" t="s">
        <v>18</v>
      </c>
      <c r="H298" s="1">
        <v>18</v>
      </c>
      <c r="I298" s="1">
        <v>393397</v>
      </c>
      <c r="J298" s="1" t="s">
        <v>331</v>
      </c>
      <c r="K298" s="1" t="s">
        <v>26</v>
      </c>
      <c r="L298" s="1" t="s">
        <v>332</v>
      </c>
      <c r="M298" s="1">
        <v>1</v>
      </c>
      <c r="N298" s="2">
        <v>20.079999999999998</v>
      </c>
      <c r="O298" s="3">
        <v>26</v>
      </c>
      <c r="P298" s="1">
        <v>0</v>
      </c>
      <c r="Q298" s="1" t="s">
        <v>22</v>
      </c>
      <c r="R298" s="1" t="s">
        <v>22</v>
      </c>
      <c r="S298" s="1">
        <v>29</v>
      </c>
      <c r="T298" s="1">
        <v>1</v>
      </c>
      <c r="U298" s="1">
        <v>3</v>
      </c>
    </row>
    <row r="299" spans="1:21" x14ac:dyDescent="0.25">
      <c r="A299" s="4">
        <v>44774</v>
      </c>
      <c r="B299" s="5">
        <v>0.72802083333333334</v>
      </c>
      <c r="C299" s="1">
        <v>1386</v>
      </c>
      <c r="D299" s="1">
        <v>13002561</v>
      </c>
      <c r="E299" s="1">
        <v>13</v>
      </c>
      <c r="F299" s="1">
        <v>22589</v>
      </c>
      <c r="G299" s="1" t="s">
        <v>18</v>
      </c>
      <c r="H299" s="1">
        <v>18</v>
      </c>
      <c r="I299" s="1">
        <v>115992</v>
      </c>
      <c r="J299" s="1" t="s">
        <v>398</v>
      </c>
      <c r="K299" s="1" t="s">
        <v>31</v>
      </c>
      <c r="L299" s="1" t="s">
        <v>399</v>
      </c>
      <c r="M299" s="1">
        <v>1</v>
      </c>
      <c r="N299" s="2">
        <v>62.48</v>
      </c>
      <c r="O299" s="3">
        <v>78</v>
      </c>
      <c r="P299" s="1">
        <v>0</v>
      </c>
      <c r="Q299" s="1" t="s">
        <v>22</v>
      </c>
      <c r="R299" s="1" t="s">
        <v>22</v>
      </c>
      <c r="S299" s="1">
        <v>29</v>
      </c>
      <c r="T299" s="1">
        <v>1</v>
      </c>
      <c r="U299" s="1">
        <v>1</v>
      </c>
    </row>
    <row r="300" spans="1:21" x14ac:dyDescent="0.25">
      <c r="A300" s="4">
        <v>44774</v>
      </c>
      <c r="B300" s="5">
        <v>0.72802083333333334</v>
      </c>
      <c r="C300" s="1">
        <v>1386</v>
      </c>
      <c r="D300" s="1">
        <v>13002561</v>
      </c>
      <c r="E300" s="1">
        <v>13</v>
      </c>
      <c r="F300" s="1">
        <v>22589</v>
      </c>
      <c r="G300" s="1" t="s">
        <v>18</v>
      </c>
      <c r="H300" s="1">
        <v>18</v>
      </c>
      <c r="I300" s="1">
        <v>45389</v>
      </c>
      <c r="J300" s="1" t="s">
        <v>400</v>
      </c>
      <c r="K300" s="1" t="s">
        <v>48</v>
      </c>
      <c r="L300" s="1" t="s">
        <v>130</v>
      </c>
      <c r="M300" s="1">
        <v>1</v>
      </c>
      <c r="N300" s="2">
        <v>108.46</v>
      </c>
      <c r="O300" s="3">
        <v>149</v>
      </c>
      <c r="P300" s="1">
        <v>0</v>
      </c>
      <c r="Q300" s="1" t="s">
        <v>22</v>
      </c>
      <c r="R300" s="1" t="s">
        <v>22</v>
      </c>
      <c r="S300" s="1">
        <v>29</v>
      </c>
      <c r="T300" s="1">
        <v>1</v>
      </c>
      <c r="U300" s="1">
        <v>3</v>
      </c>
    </row>
    <row r="301" spans="1:21" x14ac:dyDescent="0.25">
      <c r="A301" s="4">
        <v>44774</v>
      </c>
      <c r="B301" s="5">
        <v>0.72802083333333334</v>
      </c>
      <c r="C301" s="1">
        <v>1386</v>
      </c>
      <c r="D301" s="1">
        <v>13002561</v>
      </c>
      <c r="E301" s="1">
        <v>13</v>
      </c>
      <c r="F301" s="1">
        <v>22589</v>
      </c>
      <c r="G301" s="1" t="s">
        <v>18</v>
      </c>
      <c r="H301" s="1">
        <v>18</v>
      </c>
      <c r="I301" s="1">
        <v>185661</v>
      </c>
      <c r="J301" s="1" t="s">
        <v>401</v>
      </c>
      <c r="K301" s="1" t="s">
        <v>107</v>
      </c>
      <c r="L301" s="1" t="s">
        <v>402</v>
      </c>
      <c r="M301" s="1">
        <v>1</v>
      </c>
      <c r="N301" s="2">
        <v>127.93</v>
      </c>
      <c r="O301" s="3">
        <v>176</v>
      </c>
      <c r="P301" s="1">
        <v>0</v>
      </c>
      <c r="Q301" s="1" t="s">
        <v>22</v>
      </c>
      <c r="R301" s="1" t="s">
        <v>22</v>
      </c>
      <c r="S301" s="1">
        <v>29</v>
      </c>
      <c r="T301" s="1">
        <v>1</v>
      </c>
      <c r="U301" s="1">
        <v>2</v>
      </c>
    </row>
    <row r="302" spans="1:21" x14ac:dyDescent="0.25">
      <c r="A302" s="4">
        <v>44774</v>
      </c>
      <c r="B302" s="5">
        <v>0.72908564814814814</v>
      </c>
      <c r="C302" s="1">
        <v>1387</v>
      </c>
      <c r="D302" s="1">
        <v>13002561</v>
      </c>
      <c r="E302" s="1">
        <v>13</v>
      </c>
      <c r="F302" s="1">
        <v>22589</v>
      </c>
      <c r="G302" s="1" t="s">
        <v>18</v>
      </c>
      <c r="H302" s="1">
        <v>18</v>
      </c>
      <c r="I302" s="1">
        <v>36124</v>
      </c>
      <c r="J302" s="1" t="s">
        <v>403</v>
      </c>
      <c r="K302" s="1" t="s">
        <v>114</v>
      </c>
      <c r="L302" s="1" t="s">
        <v>404</v>
      </c>
      <c r="M302" s="1">
        <v>1</v>
      </c>
      <c r="N302" s="2">
        <v>9.83</v>
      </c>
      <c r="O302" s="3">
        <v>17</v>
      </c>
      <c r="P302" s="1">
        <v>1</v>
      </c>
      <c r="Q302" s="1">
        <v>9</v>
      </c>
      <c r="R302" s="1">
        <v>200010023529</v>
      </c>
      <c r="S302" s="1">
        <v>29</v>
      </c>
      <c r="T302" s="1">
        <v>1</v>
      </c>
      <c r="U302" s="1">
        <v>1</v>
      </c>
    </row>
    <row r="303" spans="1:21" x14ac:dyDescent="0.25">
      <c r="A303" s="4">
        <v>44774</v>
      </c>
      <c r="B303" s="5">
        <v>0.72908564814814814</v>
      </c>
      <c r="C303" s="1">
        <v>1387</v>
      </c>
      <c r="D303" s="1">
        <v>13002561</v>
      </c>
      <c r="E303" s="1">
        <v>13</v>
      </c>
      <c r="F303" s="1">
        <v>22589</v>
      </c>
      <c r="G303" s="1" t="s">
        <v>18</v>
      </c>
      <c r="H303" s="1">
        <v>18</v>
      </c>
      <c r="I303" s="1">
        <v>354211</v>
      </c>
      <c r="J303" s="1" t="s">
        <v>405</v>
      </c>
      <c r="K303" s="1" t="s">
        <v>45</v>
      </c>
      <c r="L303" s="1" t="s">
        <v>96</v>
      </c>
      <c r="M303" s="1">
        <v>1</v>
      </c>
      <c r="N303" s="2">
        <v>14.4</v>
      </c>
      <c r="O303" s="3">
        <v>24</v>
      </c>
      <c r="P303" s="1">
        <v>2</v>
      </c>
      <c r="Q303" s="1">
        <v>9</v>
      </c>
      <c r="R303" s="1">
        <v>200010023529</v>
      </c>
      <c r="S303" s="1">
        <v>29</v>
      </c>
      <c r="T303" s="1">
        <v>1</v>
      </c>
      <c r="U303" s="1">
        <v>2</v>
      </c>
    </row>
    <row r="304" spans="1:21" x14ac:dyDescent="0.25">
      <c r="A304" s="4">
        <v>44774</v>
      </c>
      <c r="B304" s="5">
        <v>0.72908564814814814</v>
      </c>
      <c r="C304" s="1">
        <v>1387</v>
      </c>
      <c r="D304" s="1">
        <v>13002561</v>
      </c>
      <c r="E304" s="1">
        <v>13</v>
      </c>
      <c r="F304" s="1">
        <v>22589</v>
      </c>
      <c r="G304" s="1" t="s">
        <v>18</v>
      </c>
      <c r="H304" s="1">
        <v>18</v>
      </c>
      <c r="I304" s="1">
        <v>354211</v>
      </c>
      <c r="J304" s="1" t="s">
        <v>405</v>
      </c>
      <c r="K304" s="1" t="s">
        <v>45</v>
      </c>
      <c r="L304" s="1" t="s">
        <v>96</v>
      </c>
      <c r="M304" s="1">
        <v>1</v>
      </c>
      <c r="N304" s="2">
        <v>14.4</v>
      </c>
      <c r="O304" s="3">
        <v>24</v>
      </c>
      <c r="P304" s="1">
        <v>2</v>
      </c>
      <c r="Q304" s="1">
        <v>9</v>
      </c>
      <c r="R304" s="1">
        <v>200010023529</v>
      </c>
      <c r="S304" s="1">
        <v>29</v>
      </c>
      <c r="T304" s="1">
        <v>1</v>
      </c>
      <c r="U304" s="1">
        <v>3</v>
      </c>
    </row>
    <row r="305" spans="1:21" x14ac:dyDescent="0.25">
      <c r="A305" s="4">
        <v>44774</v>
      </c>
      <c r="B305" s="5">
        <v>0.73450231481481476</v>
      </c>
      <c r="C305" s="1">
        <v>1388</v>
      </c>
      <c r="D305" s="1">
        <v>13002561</v>
      </c>
      <c r="E305" s="1">
        <v>13</v>
      </c>
      <c r="F305" s="1">
        <v>22589</v>
      </c>
      <c r="G305" s="1" t="s">
        <v>18</v>
      </c>
      <c r="H305" s="1">
        <v>15</v>
      </c>
      <c r="I305" s="1">
        <v>151073</v>
      </c>
      <c r="J305" s="1" t="s">
        <v>406</v>
      </c>
      <c r="K305" s="1" t="s">
        <v>114</v>
      </c>
      <c r="L305" s="1" t="s">
        <v>407</v>
      </c>
      <c r="M305" s="1">
        <v>1</v>
      </c>
      <c r="N305" s="2">
        <v>265.95999999999998</v>
      </c>
      <c r="O305" s="3">
        <v>418</v>
      </c>
      <c r="P305" s="1">
        <v>41</v>
      </c>
      <c r="Q305" s="1">
        <v>9</v>
      </c>
      <c r="R305" s="1">
        <v>200010016544</v>
      </c>
      <c r="S305" s="1">
        <v>29</v>
      </c>
      <c r="T305" s="1">
        <v>1</v>
      </c>
      <c r="U305" s="1">
        <v>1</v>
      </c>
    </row>
    <row r="306" spans="1:21" x14ac:dyDescent="0.25">
      <c r="A306" s="4">
        <v>44774</v>
      </c>
      <c r="B306" s="5">
        <v>0.73576388888888888</v>
      </c>
      <c r="C306" s="1">
        <v>1389</v>
      </c>
      <c r="D306" s="1">
        <v>13002561</v>
      </c>
      <c r="E306" s="1">
        <v>13</v>
      </c>
      <c r="F306" s="1">
        <v>22589</v>
      </c>
      <c r="G306" s="1" t="s">
        <v>18</v>
      </c>
      <c r="H306" s="1">
        <v>15</v>
      </c>
      <c r="I306" s="1">
        <v>463100</v>
      </c>
      <c r="J306" s="1" t="s">
        <v>408</v>
      </c>
      <c r="K306" s="1" t="s">
        <v>48</v>
      </c>
      <c r="L306" s="1" t="s">
        <v>32</v>
      </c>
      <c r="M306" s="1">
        <v>1</v>
      </c>
      <c r="N306" s="2">
        <v>47.5</v>
      </c>
      <c r="O306" s="3">
        <v>73</v>
      </c>
      <c r="P306" s="1">
        <v>0</v>
      </c>
      <c r="Q306" s="1" t="s">
        <v>22</v>
      </c>
      <c r="R306" s="1" t="s">
        <v>22</v>
      </c>
      <c r="S306" s="1">
        <v>29</v>
      </c>
      <c r="T306" s="1">
        <v>1</v>
      </c>
      <c r="U306" s="1">
        <v>1</v>
      </c>
    </row>
    <row r="307" spans="1:21" x14ac:dyDescent="0.25">
      <c r="A307" s="4">
        <v>44774</v>
      </c>
      <c r="B307" s="5">
        <v>0.73609953703703701</v>
      </c>
      <c r="C307" s="1">
        <v>1390</v>
      </c>
      <c r="D307" s="1">
        <v>13002561</v>
      </c>
      <c r="E307" s="1">
        <v>13</v>
      </c>
      <c r="F307" s="1">
        <v>22589</v>
      </c>
      <c r="G307" s="1" t="s">
        <v>18</v>
      </c>
      <c r="H307" s="1">
        <v>15</v>
      </c>
      <c r="I307" s="1">
        <v>51314</v>
      </c>
      <c r="J307" s="1" t="s">
        <v>409</v>
      </c>
      <c r="K307" s="1" t="s">
        <v>48</v>
      </c>
      <c r="L307" s="1" t="s">
        <v>410</v>
      </c>
      <c r="M307" s="1">
        <v>1</v>
      </c>
      <c r="N307" s="2">
        <v>587.62</v>
      </c>
      <c r="O307" s="3">
        <v>759</v>
      </c>
      <c r="P307" s="1">
        <v>0</v>
      </c>
      <c r="Q307" s="1" t="s">
        <v>22</v>
      </c>
      <c r="R307" s="1" t="s">
        <v>22</v>
      </c>
      <c r="S307" s="1">
        <v>29</v>
      </c>
      <c r="T307" s="1">
        <v>1</v>
      </c>
      <c r="U307" s="1">
        <v>1</v>
      </c>
    </row>
    <row r="308" spans="1:21" x14ac:dyDescent="0.25">
      <c r="A308" s="4">
        <v>44774</v>
      </c>
      <c r="B308" s="5">
        <v>0.74195601851851856</v>
      </c>
      <c r="C308" s="1">
        <v>1391</v>
      </c>
      <c r="D308" s="1">
        <v>13002561</v>
      </c>
      <c r="E308" s="1">
        <v>13</v>
      </c>
      <c r="F308" s="1">
        <v>22589</v>
      </c>
      <c r="G308" s="1" t="s">
        <v>18</v>
      </c>
      <c r="H308" s="1">
        <v>15</v>
      </c>
      <c r="I308" s="1">
        <v>493777</v>
      </c>
      <c r="J308" s="1" t="s">
        <v>411</v>
      </c>
      <c r="K308" s="1" t="s">
        <v>31</v>
      </c>
      <c r="L308" s="1" t="s">
        <v>412</v>
      </c>
      <c r="M308" s="1">
        <v>1</v>
      </c>
      <c r="N308" s="2">
        <v>198.23</v>
      </c>
      <c r="O308" s="3">
        <v>272</v>
      </c>
      <c r="P308" s="1">
        <v>0</v>
      </c>
      <c r="Q308" s="1" t="s">
        <v>22</v>
      </c>
      <c r="R308" s="1" t="s">
        <v>22</v>
      </c>
      <c r="S308" s="1">
        <v>29</v>
      </c>
      <c r="T308" s="1">
        <v>1</v>
      </c>
      <c r="U308" s="1">
        <v>1</v>
      </c>
    </row>
    <row r="309" spans="1:21" x14ac:dyDescent="0.25">
      <c r="A309" s="4">
        <v>44774</v>
      </c>
      <c r="B309" s="5">
        <v>0.74195601851851856</v>
      </c>
      <c r="C309" s="1">
        <v>1391</v>
      </c>
      <c r="D309" s="1">
        <v>13002561</v>
      </c>
      <c r="E309" s="1">
        <v>13</v>
      </c>
      <c r="F309" s="1">
        <v>22589</v>
      </c>
      <c r="G309" s="1" t="s">
        <v>18</v>
      </c>
      <c r="H309" s="1">
        <v>15</v>
      </c>
      <c r="I309" s="1">
        <v>13574</v>
      </c>
      <c r="J309" s="1" t="s">
        <v>413</v>
      </c>
      <c r="K309" s="1" t="s">
        <v>45</v>
      </c>
      <c r="L309" s="1" t="s">
        <v>414</v>
      </c>
      <c r="M309" s="1">
        <v>0.1</v>
      </c>
      <c r="N309" s="2">
        <v>927.61</v>
      </c>
      <c r="O309" s="3">
        <v>1197</v>
      </c>
      <c r="P309" s="1">
        <v>0</v>
      </c>
      <c r="Q309" s="1" t="s">
        <v>22</v>
      </c>
      <c r="R309" s="1" t="s">
        <v>22</v>
      </c>
      <c r="S309" s="1">
        <v>29</v>
      </c>
      <c r="T309" s="1">
        <v>1</v>
      </c>
      <c r="U309" s="1">
        <v>2</v>
      </c>
    </row>
    <row r="310" spans="1:21" x14ac:dyDescent="0.25">
      <c r="A310" s="4">
        <v>44774</v>
      </c>
      <c r="B310" s="5">
        <v>0.74328703703703702</v>
      </c>
      <c r="C310" s="1">
        <v>1392</v>
      </c>
      <c r="D310" s="1">
        <v>13002561</v>
      </c>
      <c r="E310" s="1">
        <v>13</v>
      </c>
      <c r="F310" s="1">
        <v>22589</v>
      </c>
      <c r="G310" s="1" t="s">
        <v>18</v>
      </c>
      <c r="H310" s="1">
        <v>18</v>
      </c>
      <c r="I310" s="1">
        <v>418134</v>
      </c>
      <c r="J310" s="1" t="s">
        <v>415</v>
      </c>
      <c r="K310" s="1" t="s">
        <v>48</v>
      </c>
      <c r="L310" s="1" t="s">
        <v>73</v>
      </c>
      <c r="M310" s="1">
        <v>1</v>
      </c>
      <c r="N310" s="2">
        <v>30.25</v>
      </c>
      <c r="O310" s="3">
        <v>35</v>
      </c>
      <c r="P310" s="1">
        <v>0</v>
      </c>
      <c r="Q310" s="1" t="s">
        <v>22</v>
      </c>
      <c r="R310" s="1" t="s">
        <v>22</v>
      </c>
      <c r="S310" s="1">
        <v>29</v>
      </c>
      <c r="T310" s="1">
        <v>1</v>
      </c>
      <c r="U310" s="1">
        <v>1</v>
      </c>
    </row>
    <row r="311" spans="1:21" x14ac:dyDescent="0.25">
      <c r="A311" s="4">
        <v>44774</v>
      </c>
      <c r="B311" s="5">
        <v>0.74328703703703702</v>
      </c>
      <c r="C311" s="1">
        <v>1392</v>
      </c>
      <c r="D311" s="1">
        <v>13002561</v>
      </c>
      <c r="E311" s="1">
        <v>13</v>
      </c>
      <c r="F311" s="1">
        <v>22589</v>
      </c>
      <c r="G311" s="1" t="s">
        <v>18</v>
      </c>
      <c r="H311" s="1">
        <v>18</v>
      </c>
      <c r="I311" s="1">
        <v>418134</v>
      </c>
      <c r="J311" s="1" t="s">
        <v>415</v>
      </c>
      <c r="K311" s="1" t="s">
        <v>48</v>
      </c>
      <c r="L311" s="1" t="s">
        <v>73</v>
      </c>
      <c r="M311" s="1">
        <v>1</v>
      </c>
      <c r="N311" s="2">
        <v>30.25</v>
      </c>
      <c r="O311" s="3">
        <v>35</v>
      </c>
      <c r="P311" s="1">
        <v>0</v>
      </c>
      <c r="Q311" s="1" t="s">
        <v>22</v>
      </c>
      <c r="R311" s="1" t="s">
        <v>22</v>
      </c>
      <c r="S311" s="1">
        <v>29</v>
      </c>
      <c r="T311" s="1">
        <v>1</v>
      </c>
      <c r="U311" s="1">
        <v>2</v>
      </c>
    </row>
    <row r="312" spans="1:21" x14ac:dyDescent="0.25">
      <c r="A312" s="4">
        <v>44774</v>
      </c>
      <c r="B312" s="5">
        <v>0.74328703703703702</v>
      </c>
      <c r="C312" s="1">
        <v>1392</v>
      </c>
      <c r="D312" s="1">
        <v>13002561</v>
      </c>
      <c r="E312" s="1">
        <v>13</v>
      </c>
      <c r="F312" s="1">
        <v>22589</v>
      </c>
      <c r="G312" s="1" t="s">
        <v>18</v>
      </c>
      <c r="H312" s="1">
        <v>18</v>
      </c>
      <c r="I312" s="1">
        <v>348186</v>
      </c>
      <c r="J312" s="1" t="s">
        <v>416</v>
      </c>
      <c r="K312" s="1" t="s">
        <v>138</v>
      </c>
      <c r="L312" s="1" t="s">
        <v>170</v>
      </c>
      <c r="M312" s="1">
        <v>2</v>
      </c>
      <c r="N312" s="2">
        <v>5.83</v>
      </c>
      <c r="O312" s="3">
        <v>8</v>
      </c>
      <c r="P312" s="1">
        <v>0</v>
      </c>
      <c r="Q312" s="1" t="s">
        <v>22</v>
      </c>
      <c r="R312" s="1" t="s">
        <v>22</v>
      </c>
      <c r="S312" s="1">
        <v>29</v>
      </c>
      <c r="T312" s="1">
        <v>1</v>
      </c>
      <c r="U312" s="1">
        <v>4</v>
      </c>
    </row>
    <row r="313" spans="1:21" x14ac:dyDescent="0.25">
      <c r="A313" s="4">
        <v>44774</v>
      </c>
      <c r="B313" s="5">
        <v>0.74442129629629628</v>
      </c>
      <c r="C313" s="1">
        <v>1393</v>
      </c>
      <c r="D313" s="1">
        <v>13002561</v>
      </c>
      <c r="E313" s="1">
        <v>13</v>
      </c>
      <c r="F313" s="1">
        <v>22589</v>
      </c>
      <c r="G313" s="1" t="s">
        <v>18</v>
      </c>
      <c r="H313" s="1">
        <v>18</v>
      </c>
      <c r="I313" s="1">
        <v>494512</v>
      </c>
      <c r="J313" s="1" t="s">
        <v>417</v>
      </c>
      <c r="K313" s="1" t="s">
        <v>42</v>
      </c>
      <c r="L313" s="1" t="s">
        <v>418</v>
      </c>
      <c r="M313" s="1">
        <v>1</v>
      </c>
      <c r="N313" s="2">
        <v>297.98</v>
      </c>
      <c r="O313" s="3">
        <v>403</v>
      </c>
      <c r="P313" s="1">
        <v>28</v>
      </c>
      <c r="Q313" s="1">
        <v>9</v>
      </c>
      <c r="R313" s="1">
        <v>200010021967</v>
      </c>
      <c r="S313" s="1">
        <v>29</v>
      </c>
      <c r="T313" s="1">
        <v>1</v>
      </c>
      <c r="U313" s="1">
        <v>3</v>
      </c>
    </row>
    <row r="314" spans="1:21" x14ac:dyDescent="0.25">
      <c r="A314" s="4">
        <v>44774</v>
      </c>
      <c r="B314" s="5">
        <v>0.74442129629629628</v>
      </c>
      <c r="C314" s="1">
        <v>1393</v>
      </c>
      <c r="D314" s="1">
        <v>13002561</v>
      </c>
      <c r="E314" s="1">
        <v>13</v>
      </c>
      <c r="F314" s="1">
        <v>22589</v>
      </c>
      <c r="G314" s="1" t="s">
        <v>18</v>
      </c>
      <c r="H314" s="1">
        <v>18</v>
      </c>
      <c r="I314" s="1">
        <v>509419</v>
      </c>
      <c r="J314" s="1" t="s">
        <v>419</v>
      </c>
      <c r="K314" s="1" t="s">
        <v>26</v>
      </c>
      <c r="L314" s="1" t="s">
        <v>420</v>
      </c>
      <c r="M314" s="1">
        <v>1</v>
      </c>
      <c r="N314" s="2">
        <v>76.180000000000007</v>
      </c>
      <c r="O314" s="3">
        <v>109</v>
      </c>
      <c r="P314" s="1">
        <v>7</v>
      </c>
      <c r="Q314" s="1">
        <v>9</v>
      </c>
      <c r="R314" s="1">
        <v>200010021967</v>
      </c>
      <c r="S314" s="1">
        <v>29</v>
      </c>
      <c r="T314" s="1">
        <v>1</v>
      </c>
      <c r="U314" s="1">
        <v>1</v>
      </c>
    </row>
    <row r="315" spans="1:21" x14ac:dyDescent="0.25">
      <c r="A315" s="4">
        <v>44774</v>
      </c>
      <c r="B315" s="5">
        <v>0.74442129629629628</v>
      </c>
      <c r="C315" s="1">
        <v>1393</v>
      </c>
      <c r="D315" s="1">
        <v>13002561</v>
      </c>
      <c r="E315" s="1">
        <v>13</v>
      </c>
      <c r="F315" s="1">
        <v>22589</v>
      </c>
      <c r="G315" s="1" t="s">
        <v>18</v>
      </c>
      <c r="H315" s="1">
        <v>18</v>
      </c>
      <c r="I315" s="1">
        <v>32969</v>
      </c>
      <c r="J315" s="1" t="s">
        <v>421</v>
      </c>
      <c r="K315" s="1" t="s">
        <v>61</v>
      </c>
      <c r="L315" s="1" t="s">
        <v>422</v>
      </c>
      <c r="M315" s="1">
        <v>0.2</v>
      </c>
      <c r="N315" s="2">
        <v>169.54</v>
      </c>
      <c r="O315" s="3">
        <v>204.36</v>
      </c>
      <c r="P315" s="1">
        <v>1.87</v>
      </c>
      <c r="Q315" s="1">
        <v>9</v>
      </c>
      <c r="R315" s="1">
        <v>200010021967</v>
      </c>
      <c r="S315" s="1">
        <v>29</v>
      </c>
      <c r="T315" s="1">
        <v>1</v>
      </c>
      <c r="U315" s="1">
        <v>2</v>
      </c>
    </row>
    <row r="316" spans="1:21" x14ac:dyDescent="0.25">
      <c r="A316" s="4">
        <v>44774</v>
      </c>
      <c r="B316" s="5">
        <v>0.7457407407407407</v>
      </c>
      <c r="C316" s="1">
        <v>1394</v>
      </c>
      <c r="D316" s="1">
        <v>13002561</v>
      </c>
      <c r="E316" s="1">
        <v>13</v>
      </c>
      <c r="F316" s="1">
        <v>22589</v>
      </c>
      <c r="G316" s="1" t="s">
        <v>18</v>
      </c>
      <c r="H316" s="1">
        <v>18</v>
      </c>
      <c r="I316" s="1">
        <v>127007</v>
      </c>
      <c r="J316" s="1" t="s">
        <v>423</v>
      </c>
      <c r="K316" s="1" t="s">
        <v>48</v>
      </c>
      <c r="L316" s="1" t="s">
        <v>77</v>
      </c>
      <c r="M316" s="1">
        <v>1</v>
      </c>
      <c r="N316" s="2">
        <v>125.44</v>
      </c>
      <c r="O316" s="3">
        <v>195</v>
      </c>
      <c r="P316" s="1">
        <v>0</v>
      </c>
      <c r="Q316" s="1" t="s">
        <v>22</v>
      </c>
      <c r="R316" s="1" t="s">
        <v>22</v>
      </c>
      <c r="S316" s="1">
        <v>29</v>
      </c>
      <c r="T316" s="1">
        <v>1</v>
      </c>
      <c r="U316" s="1">
        <v>2</v>
      </c>
    </row>
    <row r="317" spans="1:21" x14ac:dyDescent="0.25">
      <c r="A317" s="4">
        <v>44774</v>
      </c>
      <c r="B317" s="5">
        <v>0.76192129629629635</v>
      </c>
      <c r="C317" s="1">
        <v>1395</v>
      </c>
      <c r="D317" s="1">
        <v>13002561</v>
      </c>
      <c r="E317" s="1">
        <v>13</v>
      </c>
      <c r="F317" s="1">
        <v>22589</v>
      </c>
      <c r="G317" s="1" t="s">
        <v>18</v>
      </c>
      <c r="H317" s="1">
        <v>15</v>
      </c>
      <c r="I317" s="1">
        <v>6678</v>
      </c>
      <c r="J317" s="1" t="s">
        <v>424</v>
      </c>
      <c r="K317" s="1" t="s">
        <v>48</v>
      </c>
      <c r="L317" s="1" t="s">
        <v>192</v>
      </c>
      <c r="M317" s="1">
        <v>1</v>
      </c>
      <c r="N317" s="2">
        <v>458.63</v>
      </c>
      <c r="O317" s="3">
        <v>588</v>
      </c>
      <c r="P317" s="1">
        <v>41</v>
      </c>
      <c r="Q317" s="1">
        <v>9</v>
      </c>
      <c r="R317" s="1">
        <v>200010020276</v>
      </c>
      <c r="S317" s="1">
        <v>29</v>
      </c>
      <c r="T317" s="1">
        <v>1</v>
      </c>
      <c r="U317" s="1">
        <v>3</v>
      </c>
    </row>
    <row r="318" spans="1:21" x14ac:dyDescent="0.25">
      <c r="A318" s="4">
        <v>44774</v>
      </c>
      <c r="B318" s="5">
        <v>0.76192129629629635</v>
      </c>
      <c r="C318" s="1">
        <v>1395</v>
      </c>
      <c r="D318" s="1">
        <v>13002561</v>
      </c>
      <c r="E318" s="1">
        <v>13</v>
      </c>
      <c r="F318" s="1">
        <v>22589</v>
      </c>
      <c r="G318" s="1" t="s">
        <v>18</v>
      </c>
      <c r="H318" s="1">
        <v>15</v>
      </c>
      <c r="I318" s="1">
        <v>375178</v>
      </c>
      <c r="J318" s="1" t="s">
        <v>425</v>
      </c>
      <c r="K318" s="1" t="s">
        <v>31</v>
      </c>
      <c r="L318" s="1" t="s">
        <v>426</v>
      </c>
      <c r="M318" s="1">
        <v>1</v>
      </c>
      <c r="N318" s="2">
        <v>1478.37</v>
      </c>
      <c r="O318" s="3">
        <v>1848</v>
      </c>
      <c r="P318" s="1">
        <v>129</v>
      </c>
      <c r="Q318" s="1">
        <v>9</v>
      </c>
      <c r="R318" s="1">
        <v>200010020276</v>
      </c>
      <c r="S318" s="1">
        <v>29</v>
      </c>
      <c r="T318" s="1">
        <v>1</v>
      </c>
      <c r="U318" s="1">
        <v>1</v>
      </c>
    </row>
    <row r="319" spans="1:21" x14ac:dyDescent="0.25">
      <c r="A319" s="4">
        <v>44774</v>
      </c>
      <c r="B319" s="5">
        <v>0.76192129629629635</v>
      </c>
      <c r="C319" s="1">
        <v>1395</v>
      </c>
      <c r="D319" s="1">
        <v>13002561</v>
      </c>
      <c r="E319" s="1">
        <v>13</v>
      </c>
      <c r="F319" s="1">
        <v>22589</v>
      </c>
      <c r="G319" s="1" t="s">
        <v>18</v>
      </c>
      <c r="H319" s="1">
        <v>15</v>
      </c>
      <c r="I319" s="1">
        <v>375178</v>
      </c>
      <c r="J319" s="1" t="s">
        <v>425</v>
      </c>
      <c r="K319" s="1" t="s">
        <v>31</v>
      </c>
      <c r="L319" s="1" t="s">
        <v>426</v>
      </c>
      <c r="M319" s="1">
        <v>1</v>
      </c>
      <c r="N319" s="2">
        <v>1478.56</v>
      </c>
      <c r="O319" s="3">
        <v>1849</v>
      </c>
      <c r="P319" s="1">
        <v>129</v>
      </c>
      <c r="Q319" s="1">
        <v>9</v>
      </c>
      <c r="R319" s="1">
        <v>200010020276</v>
      </c>
      <c r="S319" s="1">
        <v>29</v>
      </c>
      <c r="T319" s="1">
        <v>1</v>
      </c>
      <c r="U319" s="1">
        <v>2</v>
      </c>
    </row>
    <row r="320" spans="1:21" x14ac:dyDescent="0.25">
      <c r="A320" s="4">
        <v>44774</v>
      </c>
      <c r="B320" s="5">
        <v>0.76312500000000005</v>
      </c>
      <c r="C320" s="1">
        <v>1396</v>
      </c>
      <c r="D320" s="1">
        <v>13002561</v>
      </c>
      <c r="E320" s="1">
        <v>13</v>
      </c>
      <c r="F320" s="1">
        <v>22589</v>
      </c>
      <c r="G320" s="1" t="s">
        <v>18</v>
      </c>
      <c r="H320" s="1">
        <v>15</v>
      </c>
      <c r="I320" s="1">
        <v>120285</v>
      </c>
      <c r="J320" s="1" t="s">
        <v>427</v>
      </c>
      <c r="K320" s="1" t="s">
        <v>48</v>
      </c>
      <c r="L320" s="1" t="s">
        <v>428</v>
      </c>
      <c r="M320" s="1">
        <v>1</v>
      </c>
      <c r="N320" s="2">
        <v>467.69</v>
      </c>
      <c r="O320" s="3">
        <v>585</v>
      </c>
      <c r="P320" s="1">
        <v>0</v>
      </c>
      <c r="Q320" s="1" t="s">
        <v>22</v>
      </c>
      <c r="R320" s="1" t="s">
        <v>22</v>
      </c>
      <c r="S320" s="1">
        <v>29</v>
      </c>
      <c r="T320" s="1">
        <v>1</v>
      </c>
      <c r="U320" s="1">
        <v>1</v>
      </c>
    </row>
    <row r="321" spans="1:21" x14ac:dyDescent="0.25">
      <c r="A321" s="4">
        <v>44774</v>
      </c>
      <c r="B321" s="5">
        <v>0.76443287037037033</v>
      </c>
      <c r="C321" s="1">
        <v>1397</v>
      </c>
      <c r="D321" s="1">
        <v>13002561</v>
      </c>
      <c r="E321" s="1">
        <v>13</v>
      </c>
      <c r="F321" s="1">
        <v>22589</v>
      </c>
      <c r="G321" s="1" t="s">
        <v>18</v>
      </c>
      <c r="H321" s="1">
        <v>15</v>
      </c>
      <c r="I321" s="1">
        <v>10895</v>
      </c>
      <c r="J321" s="1" t="s">
        <v>429</v>
      </c>
      <c r="K321" s="1" t="s">
        <v>26</v>
      </c>
      <c r="L321" s="1" t="s">
        <v>217</v>
      </c>
      <c r="M321" s="1">
        <v>1</v>
      </c>
      <c r="N321" s="2">
        <v>44.03</v>
      </c>
      <c r="O321" s="3">
        <v>56.1</v>
      </c>
      <c r="P321" s="1">
        <v>2.1</v>
      </c>
      <c r="Q321" s="1">
        <v>9</v>
      </c>
      <c r="R321" s="1">
        <v>200010016460</v>
      </c>
      <c r="S321" s="1">
        <v>29</v>
      </c>
      <c r="T321" s="1">
        <v>1</v>
      </c>
      <c r="U321" s="1">
        <v>1</v>
      </c>
    </row>
    <row r="322" spans="1:21" x14ac:dyDescent="0.25">
      <c r="A322" s="4">
        <v>44774</v>
      </c>
      <c r="B322" s="5">
        <v>0.76443287037037033</v>
      </c>
      <c r="C322" s="1">
        <v>1397</v>
      </c>
      <c r="D322" s="1">
        <v>13002561</v>
      </c>
      <c r="E322" s="1">
        <v>13</v>
      </c>
      <c r="F322" s="1">
        <v>22589</v>
      </c>
      <c r="G322" s="1" t="s">
        <v>18</v>
      </c>
      <c r="H322" s="1">
        <v>15</v>
      </c>
      <c r="I322" s="1">
        <v>354089</v>
      </c>
      <c r="J322" s="1" t="s">
        <v>366</v>
      </c>
      <c r="K322" s="1" t="s">
        <v>20</v>
      </c>
      <c r="L322" s="1" t="s">
        <v>73</v>
      </c>
      <c r="M322" s="1">
        <v>1</v>
      </c>
      <c r="N322" s="2">
        <v>39.47</v>
      </c>
      <c r="O322" s="3">
        <v>60</v>
      </c>
      <c r="P322" s="1">
        <v>4</v>
      </c>
      <c r="Q322" s="1">
        <v>9</v>
      </c>
      <c r="R322" s="1">
        <v>200010016460</v>
      </c>
      <c r="S322" s="1">
        <v>29</v>
      </c>
      <c r="T322" s="1">
        <v>1</v>
      </c>
      <c r="U322" s="1">
        <v>2</v>
      </c>
    </row>
    <row r="323" spans="1:21" x14ac:dyDescent="0.25">
      <c r="A323" s="4">
        <v>44774</v>
      </c>
      <c r="B323" s="5">
        <v>0.7713888888888889</v>
      </c>
      <c r="C323" s="1">
        <v>1398</v>
      </c>
      <c r="D323" s="1">
        <v>13002561</v>
      </c>
      <c r="E323" s="1">
        <v>13</v>
      </c>
      <c r="F323" s="1">
        <v>22589</v>
      </c>
      <c r="G323" s="1" t="s">
        <v>18</v>
      </c>
      <c r="H323" s="1">
        <v>18</v>
      </c>
      <c r="I323" s="1">
        <v>184993</v>
      </c>
      <c r="J323" s="1" t="s">
        <v>430</v>
      </c>
      <c r="K323" s="1" t="s">
        <v>107</v>
      </c>
      <c r="L323" s="1" t="s">
        <v>156</v>
      </c>
      <c r="M323" s="1">
        <v>1</v>
      </c>
      <c r="N323" s="2">
        <v>197.45</v>
      </c>
      <c r="O323" s="3">
        <v>235</v>
      </c>
      <c r="P323" s="1">
        <v>11</v>
      </c>
      <c r="Q323" s="1">
        <v>9</v>
      </c>
      <c r="R323" s="1">
        <v>200010019161</v>
      </c>
      <c r="S323" s="1">
        <v>29</v>
      </c>
      <c r="T323" s="1">
        <v>1</v>
      </c>
      <c r="U323" s="1">
        <v>1</v>
      </c>
    </row>
    <row r="324" spans="1:21" x14ac:dyDescent="0.25">
      <c r="A324" s="4">
        <v>44774</v>
      </c>
      <c r="B324" s="5">
        <v>0.78233796296296299</v>
      </c>
      <c r="C324" s="1">
        <v>1402</v>
      </c>
      <c r="D324" s="1">
        <v>13002561</v>
      </c>
      <c r="E324" s="1">
        <v>13</v>
      </c>
      <c r="F324" s="1">
        <v>22589</v>
      </c>
      <c r="G324" s="1" t="s">
        <v>18</v>
      </c>
      <c r="H324" s="1">
        <v>18</v>
      </c>
      <c r="I324" s="1">
        <v>184993</v>
      </c>
      <c r="J324" s="1" t="s">
        <v>430</v>
      </c>
      <c r="K324" s="1" t="s">
        <v>107</v>
      </c>
      <c r="L324" s="1" t="s">
        <v>156</v>
      </c>
      <c r="M324" s="1">
        <v>1</v>
      </c>
      <c r="N324" s="2">
        <v>197.45</v>
      </c>
      <c r="O324" s="3">
        <v>235</v>
      </c>
      <c r="P324" s="1">
        <v>11</v>
      </c>
      <c r="Q324" s="1">
        <v>9</v>
      </c>
      <c r="R324" s="1">
        <v>200010012073</v>
      </c>
      <c r="S324" s="1">
        <v>29</v>
      </c>
      <c r="T324" s="1">
        <v>1</v>
      </c>
      <c r="U324" s="1">
        <v>4</v>
      </c>
    </row>
    <row r="325" spans="1:21" x14ac:dyDescent="0.25">
      <c r="A325" s="4">
        <v>44774</v>
      </c>
      <c r="B325" s="5">
        <v>0.77285879629629628</v>
      </c>
      <c r="C325" s="1">
        <v>1399</v>
      </c>
      <c r="D325" s="1">
        <v>13002561</v>
      </c>
      <c r="E325" s="1">
        <v>13</v>
      </c>
      <c r="F325" s="1">
        <v>22589</v>
      </c>
      <c r="G325" s="1" t="s">
        <v>18</v>
      </c>
      <c r="H325" s="1">
        <v>18</v>
      </c>
      <c r="I325" s="1">
        <v>3970</v>
      </c>
      <c r="J325" s="1" t="s">
        <v>431</v>
      </c>
      <c r="K325" s="1" t="s">
        <v>114</v>
      </c>
      <c r="L325" s="1" t="s">
        <v>115</v>
      </c>
      <c r="M325" s="1">
        <v>1</v>
      </c>
      <c r="N325" s="2">
        <v>120.94</v>
      </c>
      <c r="O325" s="3">
        <v>166</v>
      </c>
      <c r="P325" s="1">
        <v>11</v>
      </c>
      <c r="Q325" s="1">
        <v>9</v>
      </c>
      <c r="R325" s="1">
        <v>200010012028</v>
      </c>
      <c r="S325" s="1">
        <v>29</v>
      </c>
      <c r="T325" s="1">
        <v>1</v>
      </c>
      <c r="U325" s="1">
        <v>2</v>
      </c>
    </row>
    <row r="326" spans="1:21" x14ac:dyDescent="0.25">
      <c r="A326" s="4">
        <v>44774</v>
      </c>
      <c r="B326" s="5">
        <v>0.77285879629629628</v>
      </c>
      <c r="C326" s="1">
        <v>1399</v>
      </c>
      <c r="D326" s="1">
        <v>13002561</v>
      </c>
      <c r="E326" s="1">
        <v>13</v>
      </c>
      <c r="F326" s="1">
        <v>22589</v>
      </c>
      <c r="G326" s="1" t="s">
        <v>18</v>
      </c>
      <c r="H326" s="1">
        <v>18</v>
      </c>
      <c r="I326" s="1">
        <v>3970</v>
      </c>
      <c r="J326" s="1" t="s">
        <v>431</v>
      </c>
      <c r="K326" s="1" t="s">
        <v>114</v>
      </c>
      <c r="L326" s="1" t="s">
        <v>115</v>
      </c>
      <c r="M326" s="1">
        <v>1</v>
      </c>
      <c r="N326" s="2">
        <v>120.94</v>
      </c>
      <c r="O326" s="3">
        <v>166</v>
      </c>
      <c r="P326" s="1">
        <v>11</v>
      </c>
      <c r="Q326" s="1">
        <v>9</v>
      </c>
      <c r="R326" s="1">
        <v>200010012028</v>
      </c>
      <c r="S326" s="1">
        <v>29</v>
      </c>
      <c r="T326" s="1">
        <v>1</v>
      </c>
      <c r="U326" s="1">
        <v>3</v>
      </c>
    </row>
    <row r="327" spans="1:21" x14ac:dyDescent="0.25">
      <c r="A327" s="4">
        <v>44774</v>
      </c>
      <c r="B327" s="5">
        <v>0.77285879629629628</v>
      </c>
      <c r="C327" s="1">
        <v>1399</v>
      </c>
      <c r="D327" s="1">
        <v>13002561</v>
      </c>
      <c r="E327" s="1">
        <v>13</v>
      </c>
      <c r="F327" s="1">
        <v>22589</v>
      </c>
      <c r="G327" s="1" t="s">
        <v>18</v>
      </c>
      <c r="H327" s="1">
        <v>18</v>
      </c>
      <c r="I327" s="1">
        <v>3970</v>
      </c>
      <c r="J327" s="1" t="s">
        <v>431</v>
      </c>
      <c r="K327" s="1" t="s">
        <v>114</v>
      </c>
      <c r="L327" s="1" t="s">
        <v>115</v>
      </c>
      <c r="M327" s="1">
        <v>1</v>
      </c>
      <c r="N327" s="2">
        <v>120.94</v>
      </c>
      <c r="O327" s="3">
        <v>166</v>
      </c>
      <c r="P327" s="1">
        <v>11</v>
      </c>
      <c r="Q327" s="1">
        <v>9</v>
      </c>
      <c r="R327" s="1">
        <v>200010012028</v>
      </c>
      <c r="S327" s="1">
        <v>29</v>
      </c>
      <c r="T327" s="1">
        <v>1</v>
      </c>
      <c r="U327" s="1">
        <v>4</v>
      </c>
    </row>
    <row r="328" spans="1:21" x14ac:dyDescent="0.25">
      <c r="A328" s="4">
        <v>44774</v>
      </c>
      <c r="B328" s="5">
        <v>0.77285879629629628</v>
      </c>
      <c r="C328" s="1">
        <v>1399</v>
      </c>
      <c r="D328" s="1">
        <v>13002561</v>
      </c>
      <c r="E328" s="1">
        <v>13</v>
      </c>
      <c r="F328" s="1">
        <v>22589</v>
      </c>
      <c r="G328" s="1" t="s">
        <v>18</v>
      </c>
      <c r="H328" s="1">
        <v>18</v>
      </c>
      <c r="I328" s="1">
        <v>100269</v>
      </c>
      <c r="J328" s="1" t="s">
        <v>432</v>
      </c>
      <c r="K328" s="1" t="s">
        <v>26</v>
      </c>
      <c r="L328" s="1" t="s">
        <v>433</v>
      </c>
      <c r="M328" s="1">
        <v>1</v>
      </c>
      <c r="N328" s="2">
        <v>726.99</v>
      </c>
      <c r="O328" s="3">
        <v>895</v>
      </c>
      <c r="P328" s="1">
        <v>62</v>
      </c>
      <c r="Q328" s="1">
        <v>9</v>
      </c>
      <c r="R328" s="1">
        <v>200010012028</v>
      </c>
      <c r="S328" s="1">
        <v>29</v>
      </c>
      <c r="T328" s="1">
        <v>1</v>
      </c>
      <c r="U328" s="1">
        <v>1</v>
      </c>
    </row>
    <row r="329" spans="1:21" x14ac:dyDescent="0.25">
      <c r="A329" s="4">
        <v>44774</v>
      </c>
      <c r="B329" s="5">
        <v>0.77875000000000005</v>
      </c>
      <c r="C329" s="1">
        <v>1400</v>
      </c>
      <c r="D329" s="1">
        <v>13002561</v>
      </c>
      <c r="E329" s="1">
        <v>13</v>
      </c>
      <c r="F329" s="1">
        <v>22589</v>
      </c>
      <c r="G329" s="1" t="s">
        <v>18</v>
      </c>
      <c r="H329" s="1">
        <v>15</v>
      </c>
      <c r="I329" s="1">
        <v>328252</v>
      </c>
      <c r="J329" s="1" t="s">
        <v>434</v>
      </c>
      <c r="K329" s="1" t="s">
        <v>114</v>
      </c>
      <c r="L329" s="1" t="s">
        <v>435</v>
      </c>
      <c r="M329" s="1">
        <v>1</v>
      </c>
      <c r="N329" s="2">
        <v>37.270000000000003</v>
      </c>
      <c r="O329" s="3">
        <v>57</v>
      </c>
      <c r="P329" s="1">
        <v>3</v>
      </c>
      <c r="Q329" s="1">
        <v>9</v>
      </c>
      <c r="R329" s="1">
        <v>200010022584</v>
      </c>
      <c r="S329" s="1">
        <v>29</v>
      </c>
      <c r="T329" s="1">
        <v>1</v>
      </c>
      <c r="U329" s="1">
        <v>3</v>
      </c>
    </row>
    <row r="330" spans="1:21" x14ac:dyDescent="0.25">
      <c r="A330" s="4">
        <v>44774</v>
      </c>
      <c r="B330" s="5">
        <v>0.77875000000000005</v>
      </c>
      <c r="C330" s="1">
        <v>1400</v>
      </c>
      <c r="D330" s="1">
        <v>13002561</v>
      </c>
      <c r="E330" s="1">
        <v>13</v>
      </c>
      <c r="F330" s="1">
        <v>22589</v>
      </c>
      <c r="G330" s="1" t="s">
        <v>18</v>
      </c>
      <c r="H330" s="1">
        <v>15</v>
      </c>
      <c r="I330" s="1">
        <v>328252</v>
      </c>
      <c r="J330" s="1" t="s">
        <v>434</v>
      </c>
      <c r="K330" s="1" t="s">
        <v>114</v>
      </c>
      <c r="L330" s="1" t="s">
        <v>435</v>
      </c>
      <c r="M330" s="1">
        <v>1</v>
      </c>
      <c r="N330" s="2">
        <v>37.270000000000003</v>
      </c>
      <c r="O330" s="3">
        <v>57</v>
      </c>
      <c r="P330" s="1">
        <v>3</v>
      </c>
      <c r="Q330" s="1">
        <v>9</v>
      </c>
      <c r="R330" s="1">
        <v>200010022584</v>
      </c>
      <c r="S330" s="1">
        <v>29</v>
      </c>
      <c r="T330" s="1">
        <v>1</v>
      </c>
      <c r="U330" s="1">
        <v>4</v>
      </c>
    </row>
    <row r="331" spans="1:21" x14ac:dyDescent="0.25">
      <c r="A331" s="4">
        <v>44774</v>
      </c>
      <c r="B331" s="5">
        <v>0.77875000000000005</v>
      </c>
      <c r="C331" s="1">
        <v>1400</v>
      </c>
      <c r="D331" s="1">
        <v>13002561</v>
      </c>
      <c r="E331" s="1">
        <v>13</v>
      </c>
      <c r="F331" s="1">
        <v>22589</v>
      </c>
      <c r="G331" s="1" t="s">
        <v>18</v>
      </c>
      <c r="H331" s="1">
        <v>15</v>
      </c>
      <c r="I331" s="1">
        <v>555</v>
      </c>
      <c r="J331" s="1" t="s">
        <v>436</v>
      </c>
      <c r="K331" s="1" t="s">
        <v>26</v>
      </c>
      <c r="L331" s="1" t="s">
        <v>32</v>
      </c>
      <c r="M331" s="1">
        <v>1</v>
      </c>
      <c r="N331" s="2">
        <v>113.8</v>
      </c>
      <c r="O331" s="3">
        <v>137</v>
      </c>
      <c r="P331" s="1">
        <v>6</v>
      </c>
      <c r="Q331" s="1">
        <v>9</v>
      </c>
      <c r="R331" s="1">
        <v>200010022584</v>
      </c>
      <c r="S331" s="1">
        <v>29</v>
      </c>
      <c r="T331" s="1">
        <v>1</v>
      </c>
      <c r="U331" s="1">
        <v>1</v>
      </c>
    </row>
    <row r="332" spans="1:21" x14ac:dyDescent="0.25">
      <c r="A332" s="4">
        <v>44774</v>
      </c>
      <c r="B332" s="5">
        <v>0.77875000000000005</v>
      </c>
      <c r="C332" s="1">
        <v>1400</v>
      </c>
      <c r="D332" s="1">
        <v>13002561</v>
      </c>
      <c r="E332" s="1">
        <v>13</v>
      </c>
      <c r="F332" s="1">
        <v>22589</v>
      </c>
      <c r="G332" s="1" t="s">
        <v>18</v>
      </c>
      <c r="H332" s="1">
        <v>15</v>
      </c>
      <c r="I332" s="1">
        <v>61476</v>
      </c>
      <c r="J332" s="1" t="s">
        <v>437</v>
      </c>
      <c r="K332" s="1" t="s">
        <v>26</v>
      </c>
      <c r="L332" s="1" t="s">
        <v>438</v>
      </c>
      <c r="M332" s="1">
        <v>1</v>
      </c>
      <c r="N332" s="2">
        <v>7.88</v>
      </c>
      <c r="O332" s="3">
        <v>14</v>
      </c>
      <c r="P332" s="1">
        <v>1</v>
      </c>
      <c r="Q332" s="1">
        <v>9</v>
      </c>
      <c r="R332" s="1">
        <v>200010022584</v>
      </c>
      <c r="S332" s="1">
        <v>29</v>
      </c>
      <c r="T332" s="1">
        <v>1</v>
      </c>
      <c r="U332" s="1">
        <v>2</v>
      </c>
    </row>
    <row r="333" spans="1:21" x14ac:dyDescent="0.25">
      <c r="A333" s="4">
        <v>44774</v>
      </c>
      <c r="B333" s="5">
        <v>0.78034722222222219</v>
      </c>
      <c r="C333" s="1">
        <v>1401</v>
      </c>
      <c r="D333" s="1">
        <v>13002561</v>
      </c>
      <c r="E333" s="1">
        <v>13</v>
      </c>
      <c r="F333" s="1">
        <v>22589</v>
      </c>
      <c r="G333" s="1" t="s">
        <v>18</v>
      </c>
      <c r="H333" s="1">
        <v>15</v>
      </c>
      <c r="I333" s="1">
        <v>498325</v>
      </c>
      <c r="J333" s="1" t="s">
        <v>439</v>
      </c>
      <c r="K333" s="1" t="s">
        <v>48</v>
      </c>
      <c r="L333" s="1" t="s">
        <v>62</v>
      </c>
      <c r="M333" s="1">
        <v>1</v>
      </c>
      <c r="N333" s="2">
        <v>114.58</v>
      </c>
      <c r="O333" s="3">
        <v>157</v>
      </c>
      <c r="P333" s="1">
        <v>0</v>
      </c>
      <c r="Q333" s="1" t="s">
        <v>22</v>
      </c>
      <c r="R333" s="1" t="s">
        <v>22</v>
      </c>
      <c r="S333" s="1">
        <v>29</v>
      </c>
      <c r="T333" s="1">
        <v>1</v>
      </c>
      <c r="U333" s="1">
        <v>1</v>
      </c>
    </row>
    <row r="334" spans="1:21" x14ac:dyDescent="0.25">
      <c r="A334" s="4">
        <v>44774</v>
      </c>
      <c r="B334" s="5">
        <v>0.78233796296296299</v>
      </c>
      <c r="C334" s="1">
        <v>1402</v>
      </c>
      <c r="D334" s="1">
        <v>13002561</v>
      </c>
      <c r="E334" s="1">
        <v>13</v>
      </c>
      <c r="F334" s="1">
        <v>22589</v>
      </c>
      <c r="G334" s="1" t="s">
        <v>18</v>
      </c>
      <c r="H334" s="1">
        <v>18</v>
      </c>
      <c r="I334" s="1">
        <v>338768</v>
      </c>
      <c r="J334" s="1" t="s">
        <v>440</v>
      </c>
      <c r="K334" s="1" t="s">
        <v>48</v>
      </c>
      <c r="L334" s="1" t="s">
        <v>34</v>
      </c>
      <c r="M334" s="1">
        <v>1</v>
      </c>
      <c r="N334" s="2">
        <v>88.21</v>
      </c>
      <c r="O334" s="3">
        <v>121</v>
      </c>
      <c r="P334" s="1">
        <v>8</v>
      </c>
      <c r="Q334" s="1">
        <v>9</v>
      </c>
      <c r="R334" s="1">
        <v>200010012073</v>
      </c>
      <c r="S334" s="1">
        <v>29</v>
      </c>
      <c r="T334" s="1">
        <v>1</v>
      </c>
      <c r="U334" s="1">
        <v>6</v>
      </c>
    </row>
    <row r="335" spans="1:21" x14ac:dyDescent="0.25">
      <c r="A335" s="4">
        <v>44774</v>
      </c>
      <c r="B335" s="5">
        <v>0.78233796296296299</v>
      </c>
      <c r="C335" s="1">
        <v>1402</v>
      </c>
      <c r="D335" s="1">
        <v>13002561</v>
      </c>
      <c r="E335" s="1">
        <v>13</v>
      </c>
      <c r="F335" s="1">
        <v>22589</v>
      </c>
      <c r="G335" s="1" t="s">
        <v>18</v>
      </c>
      <c r="H335" s="1">
        <v>18</v>
      </c>
      <c r="I335" s="1">
        <v>148734</v>
      </c>
      <c r="J335" s="1" t="s">
        <v>441</v>
      </c>
      <c r="K335" s="1" t="s">
        <v>20</v>
      </c>
      <c r="L335" s="1" t="s">
        <v>156</v>
      </c>
      <c r="M335" s="1">
        <v>1</v>
      </c>
      <c r="N335" s="2">
        <v>141.9</v>
      </c>
      <c r="O335" s="3">
        <v>169</v>
      </c>
      <c r="P335" s="1">
        <v>8</v>
      </c>
      <c r="Q335" s="1">
        <v>9</v>
      </c>
      <c r="R335" s="1">
        <v>200010012073</v>
      </c>
      <c r="S335" s="1">
        <v>29</v>
      </c>
      <c r="T335" s="1">
        <v>1</v>
      </c>
      <c r="U335" s="1">
        <v>1</v>
      </c>
    </row>
    <row r="336" spans="1:21" x14ac:dyDescent="0.25">
      <c r="A336" s="4">
        <v>44774</v>
      </c>
      <c r="B336" s="5">
        <v>0.78233796296296299</v>
      </c>
      <c r="C336" s="1">
        <v>1402</v>
      </c>
      <c r="D336" s="1">
        <v>13002561</v>
      </c>
      <c r="E336" s="1">
        <v>13</v>
      </c>
      <c r="F336" s="1">
        <v>22589</v>
      </c>
      <c r="G336" s="1" t="s">
        <v>18</v>
      </c>
      <c r="H336" s="1">
        <v>18</v>
      </c>
      <c r="I336" s="1">
        <v>187304</v>
      </c>
      <c r="J336" s="1" t="s">
        <v>442</v>
      </c>
      <c r="K336" s="1" t="s">
        <v>107</v>
      </c>
      <c r="L336" s="1" t="s">
        <v>156</v>
      </c>
      <c r="M336" s="1">
        <v>1</v>
      </c>
      <c r="N336" s="2">
        <v>152.46</v>
      </c>
      <c r="O336" s="3">
        <v>181</v>
      </c>
      <c r="P336" s="1">
        <v>9</v>
      </c>
      <c r="Q336" s="1">
        <v>9</v>
      </c>
      <c r="R336" s="1">
        <v>200010012073</v>
      </c>
      <c r="S336" s="1">
        <v>29</v>
      </c>
      <c r="T336" s="1">
        <v>1</v>
      </c>
      <c r="U336" s="1">
        <v>2</v>
      </c>
    </row>
    <row r="337" spans="1:21" x14ac:dyDescent="0.25">
      <c r="A337" s="4">
        <v>44774</v>
      </c>
      <c r="B337" s="5">
        <v>0.78341435185185182</v>
      </c>
      <c r="C337" s="1">
        <v>1403</v>
      </c>
      <c r="D337" s="1">
        <v>13002561</v>
      </c>
      <c r="E337" s="1">
        <v>13</v>
      </c>
      <c r="F337" s="1">
        <v>22589</v>
      </c>
      <c r="G337" s="1" t="s">
        <v>18</v>
      </c>
      <c r="H337" s="1">
        <v>15</v>
      </c>
      <c r="I337" s="1">
        <v>346980</v>
      </c>
      <c r="J337" s="1" t="s">
        <v>443</v>
      </c>
      <c r="K337" s="1" t="s">
        <v>48</v>
      </c>
      <c r="L337" s="1" t="s">
        <v>444</v>
      </c>
      <c r="M337" s="1">
        <v>1</v>
      </c>
      <c r="N337" s="2">
        <v>39.75</v>
      </c>
      <c r="O337" s="3">
        <v>50</v>
      </c>
      <c r="P337" s="1">
        <v>2</v>
      </c>
      <c r="Q337" s="1">
        <v>9</v>
      </c>
      <c r="R337" s="1">
        <v>200010004835</v>
      </c>
      <c r="S337" s="1">
        <v>29</v>
      </c>
      <c r="T337" s="1">
        <v>1</v>
      </c>
      <c r="U337" s="1">
        <v>2</v>
      </c>
    </row>
    <row r="338" spans="1:21" x14ac:dyDescent="0.25">
      <c r="A338" s="4">
        <v>44774</v>
      </c>
      <c r="B338" s="5">
        <v>0.78341435185185182</v>
      </c>
      <c r="C338" s="1">
        <v>1403</v>
      </c>
      <c r="D338" s="1">
        <v>13002561</v>
      </c>
      <c r="E338" s="1">
        <v>13</v>
      </c>
      <c r="F338" s="1">
        <v>22589</v>
      </c>
      <c r="G338" s="1" t="s">
        <v>18</v>
      </c>
      <c r="H338" s="1">
        <v>15</v>
      </c>
      <c r="I338" s="1">
        <v>393135</v>
      </c>
      <c r="J338" s="1" t="s">
        <v>445</v>
      </c>
      <c r="K338" s="1" t="s">
        <v>48</v>
      </c>
      <c r="L338" s="1" t="s">
        <v>446</v>
      </c>
      <c r="M338" s="1">
        <v>1</v>
      </c>
      <c r="N338" s="2">
        <v>211.4</v>
      </c>
      <c r="O338" s="3">
        <v>252</v>
      </c>
      <c r="P338" s="1">
        <v>12</v>
      </c>
      <c r="Q338" s="1">
        <v>9</v>
      </c>
      <c r="R338" s="1">
        <v>200010004835</v>
      </c>
      <c r="S338" s="1">
        <v>29</v>
      </c>
      <c r="T338" s="1">
        <v>1</v>
      </c>
      <c r="U338" s="1">
        <v>1</v>
      </c>
    </row>
    <row r="339" spans="1:21" x14ac:dyDescent="0.25">
      <c r="A339" s="4">
        <v>44774</v>
      </c>
      <c r="B339" s="5">
        <v>0.78697916666666667</v>
      </c>
      <c r="C339" s="1">
        <v>1404</v>
      </c>
      <c r="D339" s="1">
        <v>13002561</v>
      </c>
      <c r="E339" s="1">
        <v>13</v>
      </c>
      <c r="F339" s="1">
        <v>22589</v>
      </c>
      <c r="G339" s="1" t="s">
        <v>18</v>
      </c>
      <c r="H339" s="1">
        <v>15</v>
      </c>
      <c r="I339" s="1">
        <v>439855</v>
      </c>
      <c r="J339" s="1" t="s">
        <v>447</v>
      </c>
      <c r="K339" s="1" t="s">
        <v>20</v>
      </c>
      <c r="L339" s="1" t="s">
        <v>34</v>
      </c>
      <c r="M339" s="1">
        <v>1</v>
      </c>
      <c r="N339" s="2">
        <v>484.71</v>
      </c>
      <c r="O339" s="3">
        <v>640</v>
      </c>
      <c r="P339" s="1">
        <v>44</v>
      </c>
      <c r="Q339" s="1">
        <v>9</v>
      </c>
      <c r="R339" s="1">
        <v>200010011838</v>
      </c>
      <c r="S339" s="1">
        <v>29</v>
      </c>
      <c r="T339" s="1">
        <v>1</v>
      </c>
      <c r="U339" s="1">
        <v>1</v>
      </c>
    </row>
    <row r="340" spans="1:21" x14ac:dyDescent="0.25">
      <c r="A340" s="4">
        <v>44774</v>
      </c>
      <c r="B340" s="5">
        <v>0.79040509259259262</v>
      </c>
      <c r="C340" s="1">
        <v>1405</v>
      </c>
      <c r="D340" s="1">
        <v>13002561</v>
      </c>
      <c r="E340" s="1">
        <v>13</v>
      </c>
      <c r="F340" s="1">
        <v>22589</v>
      </c>
      <c r="G340" s="1" t="s">
        <v>18</v>
      </c>
      <c r="H340" s="1">
        <v>18</v>
      </c>
      <c r="I340" s="1">
        <v>81988</v>
      </c>
      <c r="J340" s="1" t="s">
        <v>448</v>
      </c>
      <c r="K340" s="1" t="s">
        <v>58</v>
      </c>
      <c r="L340" s="1" t="s">
        <v>266</v>
      </c>
      <c r="M340" s="1">
        <v>10</v>
      </c>
      <c r="N340" s="2">
        <v>4.62</v>
      </c>
      <c r="O340" s="3">
        <v>8</v>
      </c>
      <c r="P340" s="1">
        <v>0</v>
      </c>
      <c r="Q340" s="1" t="s">
        <v>22</v>
      </c>
      <c r="R340" s="1" t="s">
        <v>22</v>
      </c>
      <c r="S340" s="1">
        <v>29</v>
      </c>
      <c r="T340" s="1">
        <v>1</v>
      </c>
      <c r="U340" s="1">
        <v>5</v>
      </c>
    </row>
    <row r="341" spans="1:21" x14ac:dyDescent="0.25">
      <c r="A341" s="4">
        <v>44774</v>
      </c>
      <c r="B341" s="5">
        <v>0.79040509259259262</v>
      </c>
      <c r="C341" s="1">
        <v>1405</v>
      </c>
      <c r="D341" s="1">
        <v>13002561</v>
      </c>
      <c r="E341" s="1">
        <v>13</v>
      </c>
      <c r="F341" s="1">
        <v>22589</v>
      </c>
      <c r="G341" s="1" t="s">
        <v>18</v>
      </c>
      <c r="H341" s="1">
        <v>18</v>
      </c>
      <c r="I341" s="1">
        <v>362224</v>
      </c>
      <c r="J341" s="1" t="s">
        <v>449</v>
      </c>
      <c r="K341" s="1" t="s">
        <v>114</v>
      </c>
      <c r="L341" s="1" t="s">
        <v>450</v>
      </c>
      <c r="M341" s="1">
        <v>1</v>
      </c>
      <c r="N341" s="2">
        <v>304.06</v>
      </c>
      <c r="O341" s="3">
        <v>402</v>
      </c>
      <c r="P341" s="1">
        <v>0</v>
      </c>
      <c r="Q341" s="1" t="s">
        <v>22</v>
      </c>
      <c r="R341" s="1" t="s">
        <v>22</v>
      </c>
      <c r="S341" s="1">
        <v>29</v>
      </c>
      <c r="T341" s="1">
        <v>1</v>
      </c>
      <c r="U341" s="1">
        <v>8</v>
      </c>
    </row>
    <row r="342" spans="1:21" x14ac:dyDescent="0.25">
      <c r="A342" s="4">
        <v>44774</v>
      </c>
      <c r="B342" s="5">
        <v>0.79040509259259262</v>
      </c>
      <c r="C342" s="1">
        <v>1405</v>
      </c>
      <c r="D342" s="1">
        <v>13002561</v>
      </c>
      <c r="E342" s="1">
        <v>13</v>
      </c>
      <c r="F342" s="1">
        <v>22589</v>
      </c>
      <c r="G342" s="1" t="s">
        <v>18</v>
      </c>
      <c r="H342" s="1">
        <v>18</v>
      </c>
      <c r="I342" s="1">
        <v>80861</v>
      </c>
      <c r="J342" s="1" t="s">
        <v>451</v>
      </c>
      <c r="K342" s="1" t="s">
        <v>48</v>
      </c>
      <c r="L342" s="1" t="s">
        <v>266</v>
      </c>
      <c r="M342" s="1">
        <v>1</v>
      </c>
      <c r="N342" s="2">
        <v>58.96</v>
      </c>
      <c r="O342" s="3">
        <v>93</v>
      </c>
      <c r="P342" s="1">
        <v>0</v>
      </c>
      <c r="Q342" s="1" t="s">
        <v>22</v>
      </c>
      <c r="R342" s="1" t="s">
        <v>22</v>
      </c>
      <c r="S342" s="1">
        <v>29</v>
      </c>
      <c r="T342" s="1">
        <v>1</v>
      </c>
      <c r="U342" s="1">
        <v>3</v>
      </c>
    </row>
    <row r="343" spans="1:21" x14ac:dyDescent="0.25">
      <c r="A343" s="4">
        <v>44774</v>
      </c>
      <c r="B343" s="5">
        <v>0.79040509259259262</v>
      </c>
      <c r="C343" s="1">
        <v>1405</v>
      </c>
      <c r="D343" s="1">
        <v>13002561</v>
      </c>
      <c r="E343" s="1">
        <v>13</v>
      </c>
      <c r="F343" s="1">
        <v>22589</v>
      </c>
      <c r="G343" s="1" t="s">
        <v>18</v>
      </c>
      <c r="H343" s="1">
        <v>18</v>
      </c>
      <c r="I343" s="1">
        <v>80861</v>
      </c>
      <c r="J343" s="1" t="s">
        <v>451</v>
      </c>
      <c r="K343" s="1" t="s">
        <v>48</v>
      </c>
      <c r="L343" s="1" t="s">
        <v>266</v>
      </c>
      <c r="M343" s="1">
        <v>1</v>
      </c>
      <c r="N343" s="2">
        <v>58.75</v>
      </c>
      <c r="O343" s="3">
        <v>93</v>
      </c>
      <c r="P343" s="1">
        <v>0</v>
      </c>
      <c r="Q343" s="1" t="s">
        <v>22</v>
      </c>
      <c r="R343" s="1" t="s">
        <v>22</v>
      </c>
      <c r="S343" s="1">
        <v>29</v>
      </c>
      <c r="T343" s="1">
        <v>1</v>
      </c>
      <c r="U343" s="1">
        <v>4</v>
      </c>
    </row>
    <row r="344" spans="1:21" x14ac:dyDescent="0.25">
      <c r="A344" s="4">
        <v>44774</v>
      </c>
      <c r="B344" s="5">
        <v>0.79040509259259262</v>
      </c>
      <c r="C344" s="1">
        <v>1405</v>
      </c>
      <c r="D344" s="1">
        <v>13002561</v>
      </c>
      <c r="E344" s="1">
        <v>13</v>
      </c>
      <c r="F344" s="1">
        <v>22589</v>
      </c>
      <c r="G344" s="1" t="s">
        <v>18</v>
      </c>
      <c r="H344" s="1">
        <v>18</v>
      </c>
      <c r="I344" s="1">
        <v>83110</v>
      </c>
      <c r="J344" s="1" t="s">
        <v>452</v>
      </c>
      <c r="K344" s="1" t="s">
        <v>48</v>
      </c>
      <c r="L344" s="1" t="s">
        <v>453</v>
      </c>
      <c r="M344" s="1">
        <v>2</v>
      </c>
      <c r="N344" s="2">
        <v>85.88</v>
      </c>
      <c r="O344" s="3">
        <v>135</v>
      </c>
      <c r="P344" s="1">
        <v>0</v>
      </c>
      <c r="Q344" s="1" t="s">
        <v>22</v>
      </c>
      <c r="R344" s="1" t="s">
        <v>22</v>
      </c>
      <c r="S344" s="1">
        <v>29</v>
      </c>
      <c r="T344" s="1">
        <v>1</v>
      </c>
      <c r="U344" s="1">
        <v>1</v>
      </c>
    </row>
    <row r="345" spans="1:21" x14ac:dyDescent="0.25">
      <c r="A345" s="4">
        <v>44774</v>
      </c>
      <c r="B345" s="5">
        <v>0.79040509259259262</v>
      </c>
      <c r="C345" s="1">
        <v>1405</v>
      </c>
      <c r="D345" s="1">
        <v>13002561</v>
      </c>
      <c r="E345" s="1">
        <v>13</v>
      </c>
      <c r="F345" s="1">
        <v>22589</v>
      </c>
      <c r="G345" s="1" t="s">
        <v>18</v>
      </c>
      <c r="H345" s="1">
        <v>18</v>
      </c>
      <c r="I345" s="1">
        <v>280592</v>
      </c>
      <c r="J345" s="1" t="s">
        <v>454</v>
      </c>
      <c r="K345" s="1" t="s">
        <v>48</v>
      </c>
      <c r="L345" s="1" t="s">
        <v>455</v>
      </c>
      <c r="M345" s="1">
        <v>1</v>
      </c>
      <c r="N345" s="2">
        <v>154.13</v>
      </c>
      <c r="O345" s="3">
        <v>239</v>
      </c>
      <c r="P345" s="1">
        <v>0</v>
      </c>
      <c r="Q345" s="1" t="s">
        <v>22</v>
      </c>
      <c r="R345" s="1" t="s">
        <v>22</v>
      </c>
      <c r="S345" s="1">
        <v>29</v>
      </c>
      <c r="T345" s="1">
        <v>1</v>
      </c>
      <c r="U345" s="1">
        <v>6</v>
      </c>
    </row>
    <row r="346" spans="1:21" x14ac:dyDescent="0.25">
      <c r="A346" s="4">
        <v>44774</v>
      </c>
      <c r="B346" s="5">
        <v>0.79335648148148152</v>
      </c>
      <c r="C346" s="1">
        <v>1406</v>
      </c>
      <c r="D346" s="1">
        <v>13002561</v>
      </c>
      <c r="E346" s="1">
        <v>13</v>
      </c>
      <c r="F346" s="1">
        <v>22589</v>
      </c>
      <c r="G346" s="1" t="s">
        <v>18</v>
      </c>
      <c r="H346" s="1">
        <v>15</v>
      </c>
      <c r="I346" s="1">
        <v>418109</v>
      </c>
      <c r="J346" s="1" t="s">
        <v>456</v>
      </c>
      <c r="K346" s="1" t="s">
        <v>48</v>
      </c>
      <c r="L346" s="1" t="s">
        <v>73</v>
      </c>
      <c r="M346" s="1">
        <v>1</v>
      </c>
      <c r="N346" s="2">
        <v>39.26</v>
      </c>
      <c r="O346" s="3">
        <v>46</v>
      </c>
      <c r="P346" s="1">
        <v>3</v>
      </c>
      <c r="Q346" s="1">
        <v>9</v>
      </c>
      <c r="R346" s="1">
        <v>200010022528</v>
      </c>
      <c r="S346" s="1">
        <v>29</v>
      </c>
      <c r="T346" s="1">
        <v>1</v>
      </c>
      <c r="U346" s="1">
        <v>1</v>
      </c>
    </row>
    <row r="347" spans="1:21" x14ac:dyDescent="0.25">
      <c r="A347" s="4">
        <v>44774</v>
      </c>
      <c r="B347" s="5">
        <v>0.79335648148148152</v>
      </c>
      <c r="C347" s="1">
        <v>1406</v>
      </c>
      <c r="D347" s="1">
        <v>13002561</v>
      </c>
      <c r="E347" s="1">
        <v>13</v>
      </c>
      <c r="F347" s="1">
        <v>22589</v>
      </c>
      <c r="G347" s="1" t="s">
        <v>18</v>
      </c>
      <c r="H347" s="1">
        <v>15</v>
      </c>
      <c r="I347" s="1">
        <v>120091</v>
      </c>
      <c r="J347" s="1" t="s">
        <v>457</v>
      </c>
      <c r="K347" s="1" t="s">
        <v>48</v>
      </c>
      <c r="L347" s="1" t="s">
        <v>62</v>
      </c>
      <c r="M347" s="1">
        <v>1</v>
      </c>
      <c r="N347" s="2">
        <v>34.020000000000003</v>
      </c>
      <c r="O347" s="3">
        <v>42</v>
      </c>
      <c r="P347" s="1">
        <v>2</v>
      </c>
      <c r="Q347" s="1">
        <v>9</v>
      </c>
      <c r="R347" s="1">
        <v>200010022528</v>
      </c>
      <c r="S347" s="1">
        <v>29</v>
      </c>
      <c r="T347" s="1">
        <v>1</v>
      </c>
      <c r="U347" s="1">
        <v>2</v>
      </c>
    </row>
    <row r="348" spans="1:21" x14ac:dyDescent="0.25">
      <c r="A348" s="4">
        <v>44774</v>
      </c>
      <c r="B348" s="5">
        <v>0.79335648148148152</v>
      </c>
      <c r="C348" s="1">
        <v>1406</v>
      </c>
      <c r="D348" s="1">
        <v>13002561</v>
      </c>
      <c r="E348" s="1">
        <v>13</v>
      </c>
      <c r="F348" s="1">
        <v>22589</v>
      </c>
      <c r="G348" s="1" t="s">
        <v>18</v>
      </c>
      <c r="H348" s="1">
        <v>15</v>
      </c>
      <c r="I348" s="1">
        <v>546</v>
      </c>
      <c r="J348" s="1" t="s">
        <v>458</v>
      </c>
      <c r="K348" s="1" t="s">
        <v>114</v>
      </c>
      <c r="L348" s="1" t="s">
        <v>459</v>
      </c>
      <c r="M348" s="1">
        <v>1</v>
      </c>
      <c r="N348" s="2">
        <v>476.47</v>
      </c>
      <c r="O348" s="3">
        <v>629</v>
      </c>
      <c r="P348" s="1">
        <v>44</v>
      </c>
      <c r="Q348" s="1">
        <v>9</v>
      </c>
      <c r="R348" s="1">
        <v>200010022528</v>
      </c>
      <c r="S348" s="1">
        <v>29</v>
      </c>
      <c r="T348" s="1">
        <v>1</v>
      </c>
      <c r="U348" s="1">
        <v>4</v>
      </c>
    </row>
    <row r="349" spans="1:21" x14ac:dyDescent="0.25">
      <c r="A349" s="4">
        <v>44774</v>
      </c>
      <c r="B349" s="5">
        <v>0.79335648148148152</v>
      </c>
      <c r="C349" s="1">
        <v>1406</v>
      </c>
      <c r="D349" s="1">
        <v>13002561</v>
      </c>
      <c r="E349" s="1">
        <v>13</v>
      </c>
      <c r="F349" s="1">
        <v>22589</v>
      </c>
      <c r="G349" s="1" t="s">
        <v>18</v>
      </c>
      <c r="H349" s="1">
        <v>15</v>
      </c>
      <c r="I349" s="1">
        <v>149562</v>
      </c>
      <c r="J349" s="1" t="s">
        <v>460</v>
      </c>
      <c r="K349" s="1" t="s">
        <v>20</v>
      </c>
      <c r="L349" s="1" t="s">
        <v>156</v>
      </c>
      <c r="M349" s="1">
        <v>1</v>
      </c>
      <c r="N349" s="2">
        <v>79.2</v>
      </c>
      <c r="O349" s="3">
        <v>97</v>
      </c>
      <c r="P349" s="1">
        <v>4</v>
      </c>
      <c r="Q349" s="1">
        <v>9</v>
      </c>
      <c r="R349" s="1">
        <v>200010022528</v>
      </c>
      <c r="S349" s="1">
        <v>29</v>
      </c>
      <c r="T349" s="1">
        <v>1</v>
      </c>
      <c r="U349" s="1">
        <v>3</v>
      </c>
    </row>
    <row r="350" spans="1:21" x14ac:dyDescent="0.25">
      <c r="A350" s="4">
        <v>44774</v>
      </c>
      <c r="B350" s="5">
        <v>0.79517361111111107</v>
      </c>
      <c r="C350" s="1">
        <v>1407</v>
      </c>
      <c r="D350" s="1">
        <v>13002561</v>
      </c>
      <c r="E350" s="1">
        <v>13</v>
      </c>
      <c r="F350" s="1">
        <v>22589</v>
      </c>
      <c r="G350" s="1" t="s">
        <v>18</v>
      </c>
      <c r="H350" s="1">
        <v>18</v>
      </c>
      <c r="I350" s="1">
        <v>504585</v>
      </c>
      <c r="J350" s="1" t="s">
        <v>461</v>
      </c>
      <c r="K350" s="1" t="s">
        <v>48</v>
      </c>
      <c r="L350" s="1" t="s">
        <v>245</v>
      </c>
      <c r="M350" s="1">
        <v>1</v>
      </c>
      <c r="N350" s="2">
        <v>247.7</v>
      </c>
      <c r="O350" s="3">
        <v>299</v>
      </c>
      <c r="P350" s="1">
        <v>14</v>
      </c>
      <c r="Q350" s="1">
        <v>9</v>
      </c>
      <c r="R350" s="1">
        <v>200010020276</v>
      </c>
      <c r="S350" s="1">
        <v>29</v>
      </c>
      <c r="T350" s="1">
        <v>1</v>
      </c>
      <c r="U350" s="1">
        <v>1</v>
      </c>
    </row>
    <row r="351" spans="1:21" x14ac:dyDescent="0.25">
      <c r="A351" s="4">
        <v>44774</v>
      </c>
      <c r="B351" s="5">
        <v>0.81342592592592589</v>
      </c>
      <c r="C351" s="1">
        <v>1408</v>
      </c>
      <c r="D351" s="1">
        <v>13002561</v>
      </c>
      <c r="E351" s="1">
        <v>13</v>
      </c>
      <c r="F351" s="1">
        <v>22589</v>
      </c>
      <c r="G351" s="1" t="s">
        <v>18</v>
      </c>
      <c r="H351" s="1">
        <v>18</v>
      </c>
      <c r="I351" s="1">
        <v>5939</v>
      </c>
      <c r="J351" s="1" t="s">
        <v>462</v>
      </c>
      <c r="K351" s="1" t="s">
        <v>463</v>
      </c>
      <c r="L351" s="1" t="s">
        <v>172</v>
      </c>
      <c r="M351" s="1">
        <v>1</v>
      </c>
      <c r="N351" s="2">
        <v>1201.31</v>
      </c>
      <c r="O351" s="3">
        <v>1258</v>
      </c>
      <c r="P351" s="1">
        <v>0</v>
      </c>
      <c r="Q351" s="1" t="s">
        <v>22</v>
      </c>
      <c r="R351" s="1" t="s">
        <v>22</v>
      </c>
      <c r="S351" s="1">
        <v>29</v>
      </c>
      <c r="T351" s="1">
        <v>2</v>
      </c>
      <c r="U351" s="1">
        <v>1</v>
      </c>
    </row>
    <row r="352" spans="1:21" x14ac:dyDescent="0.25">
      <c r="A352" s="4">
        <v>44774</v>
      </c>
      <c r="B352" s="5">
        <v>0.81616898148148154</v>
      </c>
      <c r="C352" s="1">
        <v>1409</v>
      </c>
      <c r="D352" s="1">
        <v>13002561</v>
      </c>
      <c r="E352" s="1">
        <v>13</v>
      </c>
      <c r="F352" s="1">
        <v>22589</v>
      </c>
      <c r="G352" s="1" t="s">
        <v>18</v>
      </c>
      <c r="H352" s="1">
        <v>18</v>
      </c>
      <c r="I352" s="1">
        <v>21022</v>
      </c>
      <c r="J352" s="1" t="s">
        <v>464</v>
      </c>
      <c r="K352" s="1" t="s">
        <v>58</v>
      </c>
      <c r="L352" s="1" t="s">
        <v>172</v>
      </c>
      <c r="M352" s="1">
        <v>1</v>
      </c>
      <c r="N352" s="2">
        <v>316.14</v>
      </c>
      <c r="O352" s="3">
        <v>418</v>
      </c>
      <c r="P352" s="1">
        <v>39.35</v>
      </c>
      <c r="Q352" s="1">
        <v>925</v>
      </c>
      <c r="R352" s="1">
        <v>200000000492</v>
      </c>
      <c r="S352" s="1">
        <v>29</v>
      </c>
      <c r="T352" s="1">
        <v>1</v>
      </c>
      <c r="U352" s="1">
        <v>1</v>
      </c>
    </row>
    <row r="353" spans="1:21" x14ac:dyDescent="0.25">
      <c r="A353" s="4">
        <v>44774</v>
      </c>
      <c r="B353" s="5">
        <v>0.81616898148148154</v>
      </c>
      <c r="C353" s="1">
        <v>1409</v>
      </c>
      <c r="D353" s="1">
        <v>13002561</v>
      </c>
      <c r="E353" s="1">
        <v>13</v>
      </c>
      <c r="F353" s="1">
        <v>22589</v>
      </c>
      <c r="G353" s="1" t="s">
        <v>18</v>
      </c>
      <c r="H353" s="1">
        <v>18</v>
      </c>
      <c r="I353" s="1">
        <v>6402</v>
      </c>
      <c r="J353" s="1" t="s">
        <v>465</v>
      </c>
      <c r="K353" s="1" t="s">
        <v>42</v>
      </c>
      <c r="L353" s="1" t="s">
        <v>73</v>
      </c>
      <c r="M353" s="1">
        <v>1</v>
      </c>
      <c r="N353" s="2">
        <v>18.18</v>
      </c>
      <c r="O353" s="3">
        <v>30</v>
      </c>
      <c r="P353" s="1">
        <v>2.83</v>
      </c>
      <c r="Q353" s="1">
        <v>925</v>
      </c>
      <c r="R353" s="1">
        <v>200000000492</v>
      </c>
      <c r="S353" s="1">
        <v>29</v>
      </c>
      <c r="T353" s="1">
        <v>1</v>
      </c>
      <c r="U353" s="1">
        <v>2</v>
      </c>
    </row>
    <row r="354" spans="1:21" x14ac:dyDescent="0.25">
      <c r="A354" s="4">
        <v>44774</v>
      </c>
      <c r="B354" s="5">
        <v>0.81616898148148154</v>
      </c>
      <c r="C354" s="1">
        <v>1409</v>
      </c>
      <c r="D354" s="1">
        <v>13002561</v>
      </c>
      <c r="E354" s="1">
        <v>13</v>
      </c>
      <c r="F354" s="1">
        <v>22589</v>
      </c>
      <c r="G354" s="1" t="s">
        <v>18</v>
      </c>
      <c r="H354" s="1">
        <v>18</v>
      </c>
      <c r="I354" s="1">
        <v>6402</v>
      </c>
      <c r="J354" s="1" t="s">
        <v>465</v>
      </c>
      <c r="K354" s="1" t="s">
        <v>42</v>
      </c>
      <c r="L354" s="1" t="s">
        <v>73</v>
      </c>
      <c r="M354" s="1">
        <v>1</v>
      </c>
      <c r="N354" s="2">
        <v>18.18</v>
      </c>
      <c r="O354" s="3">
        <v>30</v>
      </c>
      <c r="P354" s="1">
        <v>2.82</v>
      </c>
      <c r="Q354" s="1">
        <v>925</v>
      </c>
      <c r="R354" s="1">
        <v>200000000492</v>
      </c>
      <c r="S354" s="1">
        <v>29</v>
      </c>
      <c r="T354" s="1">
        <v>1</v>
      </c>
      <c r="U354" s="1">
        <v>3</v>
      </c>
    </row>
    <row r="355" spans="1:21" x14ac:dyDescent="0.25">
      <c r="A355" s="4">
        <v>44774</v>
      </c>
      <c r="B355" s="5">
        <v>0.81680555555555556</v>
      </c>
      <c r="C355" s="1">
        <v>1410</v>
      </c>
      <c r="D355" s="1">
        <v>13002561</v>
      </c>
      <c r="E355" s="1">
        <v>13</v>
      </c>
      <c r="F355" s="1">
        <v>22589</v>
      </c>
      <c r="G355" s="1" t="s">
        <v>18</v>
      </c>
      <c r="H355" s="1">
        <v>18</v>
      </c>
      <c r="I355" s="1">
        <v>132492</v>
      </c>
      <c r="J355" s="1" t="s">
        <v>466</v>
      </c>
      <c r="K355" s="1" t="s">
        <v>61</v>
      </c>
      <c r="L355" s="1" t="s">
        <v>467</v>
      </c>
      <c r="M355" s="1">
        <v>1</v>
      </c>
      <c r="N355" s="2">
        <v>18</v>
      </c>
      <c r="O355" s="3">
        <v>30</v>
      </c>
      <c r="P355" s="1">
        <v>3</v>
      </c>
      <c r="Q355" s="1">
        <v>9</v>
      </c>
      <c r="R355" s="1">
        <v>200010015192</v>
      </c>
      <c r="S355" s="1">
        <v>29</v>
      </c>
      <c r="T355" s="1">
        <v>1</v>
      </c>
      <c r="U355" s="1">
        <v>1</v>
      </c>
    </row>
    <row r="356" spans="1:21" x14ac:dyDescent="0.25">
      <c r="A356" s="4">
        <v>44774</v>
      </c>
      <c r="B356" s="5">
        <v>0.81778935185185186</v>
      </c>
      <c r="C356" s="1">
        <v>1411</v>
      </c>
      <c r="D356" s="1">
        <v>13002561</v>
      </c>
      <c r="E356" s="1">
        <v>13</v>
      </c>
      <c r="F356" s="1">
        <v>22589</v>
      </c>
      <c r="G356" s="1" t="s">
        <v>18</v>
      </c>
      <c r="H356" s="1">
        <v>18</v>
      </c>
      <c r="I356" s="1">
        <v>260993</v>
      </c>
      <c r="J356" s="1" t="s">
        <v>468</v>
      </c>
      <c r="K356" s="1" t="s">
        <v>31</v>
      </c>
      <c r="L356" s="1" t="s">
        <v>34</v>
      </c>
      <c r="M356" s="1">
        <v>1</v>
      </c>
      <c r="N356" s="2">
        <v>144.94999999999999</v>
      </c>
      <c r="O356" s="3">
        <v>199</v>
      </c>
      <c r="P356" s="1">
        <v>0</v>
      </c>
      <c r="Q356" s="1" t="s">
        <v>22</v>
      </c>
      <c r="R356" s="1" t="s">
        <v>22</v>
      </c>
      <c r="S356" s="1">
        <v>29</v>
      </c>
      <c r="T356" s="1">
        <v>1</v>
      </c>
      <c r="U356" s="1">
        <v>1</v>
      </c>
    </row>
    <row r="357" spans="1:21" x14ac:dyDescent="0.25">
      <c r="A357" s="4">
        <v>44774</v>
      </c>
      <c r="B357" s="5">
        <v>0.82155092592592593</v>
      </c>
      <c r="C357" s="1">
        <v>1412</v>
      </c>
      <c r="D357" s="1">
        <v>13002561</v>
      </c>
      <c r="E357" s="1">
        <v>13</v>
      </c>
      <c r="F357" s="1">
        <v>22589</v>
      </c>
      <c r="G357" s="1" t="s">
        <v>18</v>
      </c>
      <c r="H357" s="1">
        <v>15</v>
      </c>
      <c r="I357" s="1">
        <v>20094</v>
      </c>
      <c r="J357" s="1" t="s">
        <v>469</v>
      </c>
      <c r="K357" s="1" t="s">
        <v>26</v>
      </c>
      <c r="L357" s="1" t="s">
        <v>207</v>
      </c>
      <c r="M357" s="1">
        <v>1</v>
      </c>
      <c r="N357" s="2">
        <v>196.48</v>
      </c>
      <c r="O357" s="3">
        <v>270</v>
      </c>
      <c r="P357" s="1">
        <v>18</v>
      </c>
      <c r="Q357" s="1">
        <v>9</v>
      </c>
      <c r="R357" s="1">
        <v>200010022499</v>
      </c>
      <c r="S357" s="1">
        <v>29</v>
      </c>
      <c r="T357" s="1">
        <v>1</v>
      </c>
      <c r="U357" s="1">
        <v>1</v>
      </c>
    </row>
    <row r="358" spans="1:21" x14ac:dyDescent="0.25">
      <c r="A358" s="4">
        <v>44774</v>
      </c>
      <c r="B358" s="5">
        <v>0.82774305555555561</v>
      </c>
      <c r="C358" s="1">
        <v>1413</v>
      </c>
      <c r="D358" s="1">
        <v>13002561</v>
      </c>
      <c r="E358" s="1">
        <v>13</v>
      </c>
      <c r="F358" s="1">
        <v>22589</v>
      </c>
      <c r="G358" s="1" t="s">
        <v>18</v>
      </c>
      <c r="H358" s="1">
        <v>15</v>
      </c>
      <c r="I358" s="1">
        <v>384302</v>
      </c>
      <c r="J358" s="1" t="s">
        <v>470</v>
      </c>
      <c r="K358" s="1" t="s">
        <v>48</v>
      </c>
      <c r="L358" s="1" t="s">
        <v>471</v>
      </c>
      <c r="M358" s="1">
        <v>1</v>
      </c>
      <c r="N358" s="2">
        <v>305</v>
      </c>
      <c r="O358" s="3">
        <v>403</v>
      </c>
      <c r="P358" s="1">
        <v>0</v>
      </c>
      <c r="Q358" s="1" t="s">
        <v>22</v>
      </c>
      <c r="R358" s="1" t="s">
        <v>22</v>
      </c>
      <c r="S358" s="1">
        <v>29</v>
      </c>
      <c r="T358" s="1">
        <v>1</v>
      </c>
      <c r="U358" s="1">
        <v>1</v>
      </c>
    </row>
    <row r="359" spans="1:21" x14ac:dyDescent="0.25">
      <c r="A359" s="4">
        <v>44774</v>
      </c>
      <c r="B359" s="5">
        <v>0.82774305555555561</v>
      </c>
      <c r="C359" s="1">
        <v>1413</v>
      </c>
      <c r="D359" s="1">
        <v>13002561</v>
      </c>
      <c r="E359" s="1">
        <v>13</v>
      </c>
      <c r="F359" s="1">
        <v>22589</v>
      </c>
      <c r="G359" s="1" t="s">
        <v>18</v>
      </c>
      <c r="H359" s="1">
        <v>15</v>
      </c>
      <c r="I359" s="1">
        <v>12643</v>
      </c>
      <c r="J359" s="1" t="s">
        <v>397</v>
      </c>
      <c r="K359" s="1" t="s">
        <v>48</v>
      </c>
      <c r="L359" s="1" t="s">
        <v>53</v>
      </c>
      <c r="M359" s="1">
        <v>1</v>
      </c>
      <c r="N359" s="2">
        <v>145.52000000000001</v>
      </c>
      <c r="O359" s="3">
        <v>175</v>
      </c>
      <c r="P359" s="1">
        <v>0</v>
      </c>
      <c r="Q359" s="1" t="s">
        <v>22</v>
      </c>
      <c r="R359" s="1" t="s">
        <v>22</v>
      </c>
      <c r="S359" s="1">
        <v>29</v>
      </c>
      <c r="T359" s="1">
        <v>1</v>
      </c>
      <c r="U359" s="1">
        <v>3</v>
      </c>
    </row>
    <row r="360" spans="1:21" x14ac:dyDescent="0.25">
      <c r="A360" s="4">
        <v>44774</v>
      </c>
      <c r="B360" s="5">
        <v>0.82774305555555561</v>
      </c>
      <c r="C360" s="1">
        <v>1413</v>
      </c>
      <c r="D360" s="1">
        <v>13002561</v>
      </c>
      <c r="E360" s="1">
        <v>13</v>
      </c>
      <c r="F360" s="1">
        <v>22589</v>
      </c>
      <c r="G360" s="1" t="s">
        <v>18</v>
      </c>
      <c r="H360" s="1">
        <v>15</v>
      </c>
      <c r="I360" s="1">
        <v>110605</v>
      </c>
      <c r="J360" s="1" t="s">
        <v>472</v>
      </c>
      <c r="K360" s="1" t="s">
        <v>42</v>
      </c>
      <c r="L360" s="1" t="s">
        <v>211</v>
      </c>
      <c r="M360" s="1">
        <v>1</v>
      </c>
      <c r="N360" s="2">
        <v>119.22</v>
      </c>
      <c r="O360" s="3">
        <v>143</v>
      </c>
      <c r="P360" s="1">
        <v>0</v>
      </c>
      <c r="Q360" s="1" t="s">
        <v>22</v>
      </c>
      <c r="R360" s="1" t="s">
        <v>22</v>
      </c>
      <c r="S360" s="1">
        <v>29</v>
      </c>
      <c r="T360" s="1">
        <v>1</v>
      </c>
      <c r="U360" s="1">
        <v>2</v>
      </c>
    </row>
    <row r="361" spans="1:21" x14ac:dyDescent="0.25">
      <c r="A361" s="4">
        <v>44775</v>
      </c>
      <c r="B361" s="5">
        <v>0.3550462962962963</v>
      </c>
      <c r="C361" s="1">
        <v>1417</v>
      </c>
      <c r="D361" s="1">
        <v>13002581</v>
      </c>
      <c r="E361" s="1">
        <v>13</v>
      </c>
      <c r="F361" s="1">
        <v>22589</v>
      </c>
      <c r="G361" s="1" t="s">
        <v>18</v>
      </c>
      <c r="H361" s="1">
        <v>18</v>
      </c>
      <c r="I361" s="1">
        <v>62871</v>
      </c>
      <c r="J361" s="1" t="s">
        <v>473</v>
      </c>
      <c r="K361" s="1" t="s">
        <v>138</v>
      </c>
      <c r="L361" s="1" t="s">
        <v>474</v>
      </c>
      <c r="M361" s="1">
        <v>1</v>
      </c>
      <c r="N361" s="2">
        <v>817.18</v>
      </c>
      <c r="O361" s="3">
        <v>907</v>
      </c>
      <c r="P361" s="1">
        <v>27</v>
      </c>
      <c r="Q361" s="1">
        <v>9</v>
      </c>
      <c r="R361" s="1">
        <v>200010015571</v>
      </c>
      <c r="S361" s="1">
        <v>29</v>
      </c>
      <c r="T361" s="1">
        <v>1</v>
      </c>
      <c r="U361" s="1">
        <v>1</v>
      </c>
    </row>
    <row r="362" spans="1:21" x14ac:dyDescent="0.25">
      <c r="A362" s="4">
        <v>44775</v>
      </c>
      <c r="B362" s="5">
        <v>0.37064814814814817</v>
      </c>
      <c r="C362" s="1">
        <v>1418</v>
      </c>
      <c r="D362" s="1">
        <v>13002581</v>
      </c>
      <c r="E362" s="1">
        <v>13</v>
      </c>
      <c r="F362" s="1">
        <v>22589</v>
      </c>
      <c r="G362" s="1" t="s">
        <v>18</v>
      </c>
      <c r="H362" s="1">
        <v>18</v>
      </c>
      <c r="I362" s="1">
        <v>271689</v>
      </c>
      <c r="J362" s="1" t="s">
        <v>475</v>
      </c>
      <c r="K362" s="1" t="s">
        <v>31</v>
      </c>
      <c r="L362" s="1" t="s">
        <v>245</v>
      </c>
      <c r="M362" s="1">
        <v>1</v>
      </c>
      <c r="N362" s="2">
        <v>307.19</v>
      </c>
      <c r="O362" s="3">
        <v>406</v>
      </c>
      <c r="P362" s="1">
        <v>28</v>
      </c>
      <c r="Q362" s="1">
        <v>9</v>
      </c>
      <c r="R362" s="1">
        <v>200010020497</v>
      </c>
      <c r="S362" s="1">
        <v>29</v>
      </c>
      <c r="T362" s="1">
        <v>1</v>
      </c>
      <c r="U362" s="1">
        <v>1</v>
      </c>
    </row>
    <row r="363" spans="1:21" x14ac:dyDescent="0.25">
      <c r="A363" s="4">
        <v>44775</v>
      </c>
      <c r="B363" s="5">
        <v>0.37135416666666665</v>
      </c>
      <c r="C363" s="1">
        <v>1419</v>
      </c>
      <c r="D363" s="1">
        <v>13002581</v>
      </c>
      <c r="E363" s="1">
        <v>13</v>
      </c>
      <c r="F363" s="1">
        <v>22589</v>
      </c>
      <c r="G363" s="1" t="s">
        <v>18</v>
      </c>
      <c r="H363" s="1">
        <v>15</v>
      </c>
      <c r="I363" s="1">
        <v>340852</v>
      </c>
      <c r="J363" s="1" t="s">
        <v>476</v>
      </c>
      <c r="K363" s="1" t="s">
        <v>20</v>
      </c>
      <c r="L363" s="1" t="s">
        <v>273</v>
      </c>
      <c r="M363" s="1">
        <v>1</v>
      </c>
      <c r="N363" s="2">
        <v>714.65</v>
      </c>
      <c r="O363" s="3">
        <v>922</v>
      </c>
      <c r="P363" s="1">
        <v>0</v>
      </c>
      <c r="Q363" s="1" t="s">
        <v>22</v>
      </c>
      <c r="R363" s="1" t="s">
        <v>22</v>
      </c>
      <c r="S363" s="1">
        <v>29</v>
      </c>
      <c r="T363" s="1">
        <v>1</v>
      </c>
      <c r="U363" s="1">
        <v>1</v>
      </c>
    </row>
    <row r="364" spans="1:21" x14ac:dyDescent="0.25">
      <c r="A364" s="4">
        <v>44775</v>
      </c>
      <c r="B364" s="5">
        <v>0.37314814814814817</v>
      </c>
      <c r="C364" s="1">
        <v>1420</v>
      </c>
      <c r="D364" s="1">
        <v>13002581</v>
      </c>
      <c r="E364" s="1">
        <v>13</v>
      </c>
      <c r="F364" s="1">
        <v>22589</v>
      </c>
      <c r="G364" s="1" t="s">
        <v>18</v>
      </c>
      <c r="H364" s="1">
        <v>15</v>
      </c>
      <c r="I364" s="1">
        <v>120093</v>
      </c>
      <c r="J364" s="1" t="s">
        <v>477</v>
      </c>
      <c r="K364" s="1" t="s">
        <v>48</v>
      </c>
      <c r="L364" s="1" t="s">
        <v>62</v>
      </c>
      <c r="M364" s="1">
        <v>1</v>
      </c>
      <c r="N364" s="2">
        <v>32.99</v>
      </c>
      <c r="O364" s="3">
        <v>41</v>
      </c>
      <c r="P364" s="1">
        <v>2</v>
      </c>
      <c r="Q364" s="1">
        <v>9</v>
      </c>
      <c r="R364" s="1">
        <v>200010011822</v>
      </c>
      <c r="S364" s="1">
        <v>29</v>
      </c>
      <c r="T364" s="1">
        <v>1</v>
      </c>
      <c r="U364" s="1">
        <v>2</v>
      </c>
    </row>
    <row r="365" spans="1:21" x14ac:dyDescent="0.25">
      <c r="A365" s="4">
        <v>44775</v>
      </c>
      <c r="B365" s="5">
        <v>0.46819444444444447</v>
      </c>
      <c r="C365" s="1">
        <v>1442</v>
      </c>
      <c r="D365" s="1">
        <v>13002581</v>
      </c>
      <c r="E365" s="1">
        <v>13</v>
      </c>
      <c r="F365" s="1">
        <v>22589</v>
      </c>
      <c r="G365" s="1" t="s">
        <v>18</v>
      </c>
      <c r="H365" s="1">
        <v>18</v>
      </c>
      <c r="I365" s="1">
        <v>120093</v>
      </c>
      <c r="J365" s="1" t="s">
        <v>477</v>
      </c>
      <c r="K365" s="1" t="s">
        <v>48</v>
      </c>
      <c r="L365" s="1" t="s">
        <v>62</v>
      </c>
      <c r="M365" s="1">
        <v>1</v>
      </c>
      <c r="N365" s="2">
        <v>32.99</v>
      </c>
      <c r="O365" s="3">
        <v>41</v>
      </c>
      <c r="P365" s="1">
        <v>2</v>
      </c>
      <c r="Q365" s="1">
        <v>9</v>
      </c>
      <c r="R365" s="1">
        <v>200010000466</v>
      </c>
      <c r="S365" s="1">
        <v>29</v>
      </c>
      <c r="T365" s="1">
        <v>1</v>
      </c>
      <c r="U365" s="1">
        <v>1</v>
      </c>
    </row>
    <row r="366" spans="1:21" x14ac:dyDescent="0.25">
      <c r="A366" s="4">
        <v>44775</v>
      </c>
      <c r="B366" s="5">
        <v>0.37314814814814817</v>
      </c>
      <c r="C366" s="1">
        <v>1420</v>
      </c>
      <c r="D366" s="1">
        <v>13002581</v>
      </c>
      <c r="E366" s="1">
        <v>13</v>
      </c>
      <c r="F366" s="1">
        <v>22589</v>
      </c>
      <c r="G366" s="1" t="s">
        <v>18</v>
      </c>
      <c r="H366" s="1">
        <v>15</v>
      </c>
      <c r="I366" s="1">
        <v>342266</v>
      </c>
      <c r="J366" s="1" t="s">
        <v>478</v>
      </c>
      <c r="K366" s="1" t="s">
        <v>48</v>
      </c>
      <c r="L366" s="1" t="s">
        <v>332</v>
      </c>
      <c r="M366" s="1">
        <v>1</v>
      </c>
      <c r="N366" s="2">
        <v>52.91</v>
      </c>
      <c r="O366" s="3">
        <v>76</v>
      </c>
      <c r="P366" s="1">
        <v>5</v>
      </c>
      <c r="Q366" s="1">
        <v>9</v>
      </c>
      <c r="R366" s="1">
        <v>200010011822</v>
      </c>
      <c r="S366" s="1">
        <v>29</v>
      </c>
      <c r="T366" s="1">
        <v>1</v>
      </c>
      <c r="U366" s="1">
        <v>1</v>
      </c>
    </row>
    <row r="367" spans="1:21" x14ac:dyDescent="0.25">
      <c r="A367" s="4">
        <v>44775</v>
      </c>
      <c r="B367" s="5">
        <v>0.37431712962962965</v>
      </c>
      <c r="C367" s="1">
        <v>1421</v>
      </c>
      <c r="D367" s="1">
        <v>13002581</v>
      </c>
      <c r="E367" s="1">
        <v>13</v>
      </c>
      <c r="F367" s="1">
        <v>22589</v>
      </c>
      <c r="G367" s="1" t="s">
        <v>18</v>
      </c>
      <c r="H367" s="1">
        <v>15</v>
      </c>
      <c r="I367" s="1">
        <v>338912</v>
      </c>
      <c r="J367" s="1" t="s">
        <v>119</v>
      </c>
      <c r="K367" s="1" t="s">
        <v>61</v>
      </c>
      <c r="L367" s="1" t="s">
        <v>120</v>
      </c>
      <c r="M367" s="1">
        <v>1</v>
      </c>
      <c r="N367" s="2">
        <v>37.96</v>
      </c>
      <c r="O367" s="3">
        <v>47.05</v>
      </c>
      <c r="P367" s="1">
        <v>2.0499999999999998</v>
      </c>
      <c r="Q367" s="1">
        <v>9</v>
      </c>
      <c r="R367" s="1">
        <v>200010011822</v>
      </c>
      <c r="S367" s="1">
        <v>29</v>
      </c>
      <c r="T367" s="1">
        <v>1</v>
      </c>
      <c r="U367" s="1">
        <v>1</v>
      </c>
    </row>
    <row r="368" spans="1:21" x14ac:dyDescent="0.25">
      <c r="A368" s="4">
        <v>44775</v>
      </c>
      <c r="B368" s="5">
        <v>0.38119212962962962</v>
      </c>
      <c r="C368" s="1">
        <v>1422</v>
      </c>
      <c r="D368" s="1">
        <v>13002581</v>
      </c>
      <c r="E368" s="1">
        <v>13</v>
      </c>
      <c r="F368" s="1">
        <v>22589</v>
      </c>
      <c r="G368" s="1" t="s">
        <v>18</v>
      </c>
      <c r="H368" s="1">
        <v>18</v>
      </c>
      <c r="I368" s="1">
        <v>403561</v>
      </c>
      <c r="J368" s="1" t="s">
        <v>479</v>
      </c>
      <c r="K368" s="1" t="s">
        <v>48</v>
      </c>
      <c r="L368" s="1" t="s">
        <v>480</v>
      </c>
      <c r="M368" s="1">
        <v>1</v>
      </c>
      <c r="N368" s="2">
        <v>57.56</v>
      </c>
      <c r="O368" s="3">
        <v>91</v>
      </c>
      <c r="P368" s="1">
        <v>9</v>
      </c>
      <c r="Q368" s="1">
        <v>9</v>
      </c>
      <c r="R368" s="1">
        <v>200010004069</v>
      </c>
      <c r="S368" s="1">
        <v>29</v>
      </c>
      <c r="T368" s="1">
        <v>1</v>
      </c>
      <c r="U368" s="1">
        <v>9</v>
      </c>
    </row>
    <row r="369" spans="1:21" x14ac:dyDescent="0.25">
      <c r="A369" s="4">
        <v>44775</v>
      </c>
      <c r="B369" s="5">
        <v>0.38119212962962962</v>
      </c>
      <c r="C369" s="1">
        <v>1422</v>
      </c>
      <c r="D369" s="1">
        <v>13002581</v>
      </c>
      <c r="E369" s="1">
        <v>13</v>
      </c>
      <c r="F369" s="1">
        <v>22589</v>
      </c>
      <c r="G369" s="1" t="s">
        <v>18</v>
      </c>
      <c r="H369" s="1">
        <v>18</v>
      </c>
      <c r="I369" s="1">
        <v>154353</v>
      </c>
      <c r="J369" s="1" t="s">
        <v>481</v>
      </c>
      <c r="K369" s="1" t="s">
        <v>20</v>
      </c>
      <c r="L369" s="1" t="s">
        <v>21</v>
      </c>
      <c r="M369" s="1">
        <v>1</v>
      </c>
      <c r="N369" s="2">
        <v>186.32</v>
      </c>
      <c r="O369" s="3">
        <v>256</v>
      </c>
      <c r="P369" s="1">
        <v>17</v>
      </c>
      <c r="Q369" s="1">
        <v>9</v>
      </c>
      <c r="R369" s="1">
        <v>200010004069</v>
      </c>
      <c r="S369" s="1">
        <v>29</v>
      </c>
      <c r="T369" s="1">
        <v>1</v>
      </c>
      <c r="U369" s="1">
        <v>3</v>
      </c>
    </row>
    <row r="370" spans="1:21" x14ac:dyDescent="0.25">
      <c r="A370" s="4">
        <v>44775</v>
      </c>
      <c r="B370" s="5">
        <v>0.38119212962962962</v>
      </c>
      <c r="C370" s="1">
        <v>1422</v>
      </c>
      <c r="D370" s="1">
        <v>13002581</v>
      </c>
      <c r="E370" s="1">
        <v>13</v>
      </c>
      <c r="F370" s="1">
        <v>22589</v>
      </c>
      <c r="G370" s="1" t="s">
        <v>18</v>
      </c>
      <c r="H370" s="1">
        <v>18</v>
      </c>
      <c r="I370" s="1">
        <v>101346</v>
      </c>
      <c r="J370" s="1" t="s">
        <v>482</v>
      </c>
      <c r="K370" s="1" t="s">
        <v>114</v>
      </c>
      <c r="L370" s="1" t="s">
        <v>36</v>
      </c>
      <c r="M370" s="1">
        <v>1</v>
      </c>
      <c r="N370" s="2">
        <v>107.34</v>
      </c>
      <c r="O370" s="3">
        <v>148</v>
      </c>
      <c r="P370" s="1">
        <v>10</v>
      </c>
      <c r="Q370" s="1">
        <v>9</v>
      </c>
      <c r="R370" s="1">
        <v>200010004069</v>
      </c>
      <c r="S370" s="1">
        <v>29</v>
      </c>
      <c r="T370" s="1">
        <v>1</v>
      </c>
      <c r="U370" s="1">
        <v>7</v>
      </c>
    </row>
    <row r="371" spans="1:21" x14ac:dyDescent="0.25">
      <c r="A371" s="4">
        <v>44775</v>
      </c>
      <c r="B371" s="5">
        <v>0.38119212962962962</v>
      </c>
      <c r="C371" s="1">
        <v>1422</v>
      </c>
      <c r="D371" s="1">
        <v>13002581</v>
      </c>
      <c r="E371" s="1">
        <v>13</v>
      </c>
      <c r="F371" s="1">
        <v>22589</v>
      </c>
      <c r="G371" s="1" t="s">
        <v>18</v>
      </c>
      <c r="H371" s="1">
        <v>18</v>
      </c>
      <c r="I371" s="1">
        <v>255427</v>
      </c>
      <c r="J371" s="1" t="s">
        <v>483</v>
      </c>
      <c r="K371" s="1" t="s">
        <v>20</v>
      </c>
      <c r="L371" s="1" t="s">
        <v>484</v>
      </c>
      <c r="M371" s="1">
        <v>1</v>
      </c>
      <c r="N371" s="2">
        <v>456.34</v>
      </c>
      <c r="O371" s="3">
        <v>603</v>
      </c>
      <c r="P371" s="1">
        <v>42</v>
      </c>
      <c r="Q371" s="1">
        <v>9</v>
      </c>
      <c r="R371" s="1">
        <v>200010004069</v>
      </c>
      <c r="S371" s="1">
        <v>29</v>
      </c>
      <c r="T371" s="1">
        <v>1</v>
      </c>
      <c r="U371" s="1">
        <v>2</v>
      </c>
    </row>
    <row r="372" spans="1:21" x14ac:dyDescent="0.25">
      <c r="A372" s="4">
        <v>44775</v>
      </c>
      <c r="B372" s="5">
        <v>0.38119212962962962</v>
      </c>
      <c r="C372" s="1">
        <v>1422</v>
      </c>
      <c r="D372" s="1">
        <v>13002581</v>
      </c>
      <c r="E372" s="1">
        <v>13</v>
      </c>
      <c r="F372" s="1">
        <v>22589</v>
      </c>
      <c r="G372" s="1" t="s">
        <v>18</v>
      </c>
      <c r="H372" s="1">
        <v>18</v>
      </c>
      <c r="I372" s="1">
        <v>508726</v>
      </c>
      <c r="J372" s="1" t="s">
        <v>485</v>
      </c>
      <c r="K372" s="1" t="s">
        <v>48</v>
      </c>
      <c r="L372" s="1" t="s">
        <v>271</v>
      </c>
      <c r="M372" s="1">
        <v>1</v>
      </c>
      <c r="N372" s="2">
        <v>174.59</v>
      </c>
      <c r="O372" s="3">
        <v>240</v>
      </c>
      <c r="P372" s="1">
        <v>16</v>
      </c>
      <c r="Q372" s="1">
        <v>9</v>
      </c>
      <c r="R372" s="1">
        <v>200010004069</v>
      </c>
      <c r="S372" s="1">
        <v>29</v>
      </c>
      <c r="T372" s="1">
        <v>1</v>
      </c>
      <c r="U372" s="1">
        <v>8</v>
      </c>
    </row>
    <row r="373" spans="1:21" x14ac:dyDescent="0.25">
      <c r="A373" s="4">
        <v>44775</v>
      </c>
      <c r="B373" s="5">
        <v>0.38119212962962962</v>
      </c>
      <c r="C373" s="1">
        <v>1422</v>
      </c>
      <c r="D373" s="1">
        <v>13002581</v>
      </c>
      <c r="E373" s="1">
        <v>13</v>
      </c>
      <c r="F373" s="1">
        <v>22589</v>
      </c>
      <c r="G373" s="1" t="s">
        <v>18</v>
      </c>
      <c r="H373" s="1">
        <v>18</v>
      </c>
      <c r="I373" s="1">
        <v>19381</v>
      </c>
      <c r="J373" s="1" t="s">
        <v>486</v>
      </c>
      <c r="K373" s="1" t="s">
        <v>48</v>
      </c>
      <c r="L373" s="1" t="s">
        <v>269</v>
      </c>
      <c r="M373" s="1">
        <v>1</v>
      </c>
      <c r="N373" s="2">
        <v>698.41</v>
      </c>
      <c r="O373" s="3">
        <v>901</v>
      </c>
      <c r="P373" s="1">
        <v>63</v>
      </c>
      <c r="Q373" s="1">
        <v>9</v>
      </c>
      <c r="R373" s="1">
        <v>200010004069</v>
      </c>
      <c r="S373" s="1">
        <v>29</v>
      </c>
      <c r="T373" s="1">
        <v>1</v>
      </c>
      <c r="U373" s="1">
        <v>1</v>
      </c>
    </row>
    <row r="374" spans="1:21" x14ac:dyDescent="0.25">
      <c r="A374" s="4">
        <v>44775</v>
      </c>
      <c r="B374" s="5">
        <v>0.38119212962962962</v>
      </c>
      <c r="C374" s="1">
        <v>1422</v>
      </c>
      <c r="D374" s="1">
        <v>13002581</v>
      </c>
      <c r="E374" s="1">
        <v>13</v>
      </c>
      <c r="F374" s="1">
        <v>22589</v>
      </c>
      <c r="G374" s="1" t="s">
        <v>18</v>
      </c>
      <c r="H374" s="1">
        <v>18</v>
      </c>
      <c r="I374" s="1">
        <v>291429</v>
      </c>
      <c r="J374" s="1" t="s">
        <v>487</v>
      </c>
      <c r="K374" s="1" t="s">
        <v>48</v>
      </c>
      <c r="L374" s="1" t="s">
        <v>73</v>
      </c>
      <c r="M374" s="1">
        <v>1</v>
      </c>
      <c r="N374" s="2">
        <v>455.83</v>
      </c>
      <c r="O374" s="3">
        <v>602</v>
      </c>
      <c r="P374" s="1">
        <v>42</v>
      </c>
      <c r="Q374" s="1">
        <v>9</v>
      </c>
      <c r="R374" s="1">
        <v>200010004069</v>
      </c>
      <c r="S374" s="1">
        <v>29</v>
      </c>
      <c r="T374" s="1">
        <v>1</v>
      </c>
      <c r="U374" s="1">
        <v>4</v>
      </c>
    </row>
    <row r="375" spans="1:21" x14ac:dyDescent="0.25">
      <c r="A375" s="4">
        <v>44775</v>
      </c>
      <c r="B375" s="5">
        <v>0.38119212962962962</v>
      </c>
      <c r="C375" s="1">
        <v>1422</v>
      </c>
      <c r="D375" s="1">
        <v>13002581</v>
      </c>
      <c r="E375" s="1">
        <v>13</v>
      </c>
      <c r="F375" s="1">
        <v>22589</v>
      </c>
      <c r="G375" s="1" t="s">
        <v>18</v>
      </c>
      <c r="H375" s="1">
        <v>18</v>
      </c>
      <c r="I375" s="1">
        <v>291429</v>
      </c>
      <c r="J375" s="1" t="s">
        <v>487</v>
      </c>
      <c r="K375" s="1" t="s">
        <v>48</v>
      </c>
      <c r="L375" s="1" t="s">
        <v>73</v>
      </c>
      <c r="M375" s="1">
        <v>1</v>
      </c>
      <c r="N375" s="2">
        <v>451.18</v>
      </c>
      <c r="O375" s="3">
        <v>596</v>
      </c>
      <c r="P375" s="1">
        <v>41</v>
      </c>
      <c r="Q375" s="1">
        <v>9</v>
      </c>
      <c r="R375" s="1">
        <v>200010004069</v>
      </c>
      <c r="S375" s="1">
        <v>29</v>
      </c>
      <c r="T375" s="1">
        <v>1</v>
      </c>
      <c r="U375" s="1">
        <v>5</v>
      </c>
    </row>
    <row r="376" spans="1:21" x14ac:dyDescent="0.25">
      <c r="A376" s="4">
        <v>44775</v>
      </c>
      <c r="B376" s="5">
        <v>0.38119212962962962</v>
      </c>
      <c r="C376" s="1">
        <v>1422</v>
      </c>
      <c r="D376" s="1">
        <v>13002581</v>
      </c>
      <c r="E376" s="1">
        <v>13</v>
      </c>
      <c r="F376" s="1">
        <v>22589</v>
      </c>
      <c r="G376" s="1" t="s">
        <v>18</v>
      </c>
      <c r="H376" s="1">
        <v>18</v>
      </c>
      <c r="I376" s="1">
        <v>116131</v>
      </c>
      <c r="J376" s="1" t="s">
        <v>488</v>
      </c>
      <c r="K376" s="1" t="s">
        <v>48</v>
      </c>
      <c r="L376" s="1" t="s">
        <v>489</v>
      </c>
      <c r="M376" s="1">
        <v>1</v>
      </c>
      <c r="N376" s="2">
        <v>247.84</v>
      </c>
      <c r="O376" s="3">
        <v>377</v>
      </c>
      <c r="P376" s="1">
        <v>37</v>
      </c>
      <c r="Q376" s="1">
        <v>9</v>
      </c>
      <c r="R376" s="1">
        <v>200010004069</v>
      </c>
      <c r="S376" s="1">
        <v>29</v>
      </c>
      <c r="T376" s="1">
        <v>1</v>
      </c>
      <c r="U376" s="1">
        <v>6</v>
      </c>
    </row>
    <row r="377" spans="1:21" x14ac:dyDescent="0.25">
      <c r="A377" s="4">
        <v>44775</v>
      </c>
      <c r="B377" s="5">
        <v>0.38211805555555556</v>
      </c>
      <c r="C377" s="1">
        <v>1423</v>
      </c>
      <c r="D377" s="1">
        <v>13002581</v>
      </c>
      <c r="E377" s="1">
        <v>13</v>
      </c>
      <c r="F377" s="1">
        <v>22589</v>
      </c>
      <c r="G377" s="1" t="s">
        <v>18</v>
      </c>
      <c r="H377" s="1">
        <v>18</v>
      </c>
      <c r="I377" s="1">
        <v>386904</v>
      </c>
      <c r="J377" s="1" t="s">
        <v>490</v>
      </c>
      <c r="K377" s="1" t="s">
        <v>114</v>
      </c>
      <c r="L377" s="1" t="s">
        <v>491</v>
      </c>
      <c r="M377" s="1">
        <v>1</v>
      </c>
      <c r="N377" s="2">
        <v>199.03</v>
      </c>
      <c r="O377" s="3">
        <v>309</v>
      </c>
      <c r="P377" s="1">
        <v>0</v>
      </c>
      <c r="Q377" s="1" t="s">
        <v>22</v>
      </c>
      <c r="R377" s="1" t="s">
        <v>22</v>
      </c>
      <c r="S377" s="1">
        <v>29</v>
      </c>
      <c r="T377" s="1">
        <v>1</v>
      </c>
      <c r="U377" s="1">
        <v>1</v>
      </c>
    </row>
    <row r="378" spans="1:21" x14ac:dyDescent="0.25">
      <c r="A378" s="4">
        <v>44775</v>
      </c>
      <c r="B378" s="5">
        <v>0.38267361111111109</v>
      </c>
      <c r="C378" s="1">
        <v>1424</v>
      </c>
      <c r="D378" s="1">
        <v>13002581</v>
      </c>
      <c r="E378" s="1">
        <v>13</v>
      </c>
      <c r="F378" s="1">
        <v>22589</v>
      </c>
      <c r="G378" s="1" t="s">
        <v>18</v>
      </c>
      <c r="H378" s="1">
        <v>15</v>
      </c>
      <c r="I378" s="1">
        <v>443168</v>
      </c>
      <c r="J378" s="1" t="s">
        <v>492</v>
      </c>
      <c r="K378" s="1" t="s">
        <v>48</v>
      </c>
      <c r="L378" s="1" t="s">
        <v>49</v>
      </c>
      <c r="M378" s="1">
        <v>1</v>
      </c>
      <c r="N378" s="2">
        <v>69.83</v>
      </c>
      <c r="O378" s="3">
        <v>110</v>
      </c>
      <c r="P378" s="1">
        <v>11</v>
      </c>
      <c r="Q378" s="1">
        <v>9</v>
      </c>
      <c r="R378" s="1">
        <v>200010019507</v>
      </c>
      <c r="S378" s="1">
        <v>29</v>
      </c>
      <c r="T378" s="1">
        <v>1</v>
      </c>
      <c r="U378" s="1">
        <v>1</v>
      </c>
    </row>
    <row r="379" spans="1:21" x14ac:dyDescent="0.25">
      <c r="A379" s="4">
        <v>44775</v>
      </c>
      <c r="B379" s="5">
        <v>0.38592592592592595</v>
      </c>
      <c r="C379" s="1">
        <v>1425</v>
      </c>
      <c r="D379" s="1">
        <v>13002581</v>
      </c>
      <c r="E379" s="1">
        <v>13</v>
      </c>
      <c r="F379" s="1">
        <v>22589</v>
      </c>
      <c r="G379" s="1" t="s">
        <v>18</v>
      </c>
      <c r="H379" s="1">
        <v>18</v>
      </c>
      <c r="I379" s="1">
        <v>142036</v>
      </c>
      <c r="J379" s="1" t="s">
        <v>98</v>
      </c>
      <c r="K379" s="1" t="s">
        <v>20</v>
      </c>
      <c r="L379" s="1" t="s">
        <v>73</v>
      </c>
      <c r="M379" s="1">
        <v>1</v>
      </c>
      <c r="N379" s="2">
        <v>187.36</v>
      </c>
      <c r="O379" s="3">
        <v>220</v>
      </c>
      <c r="P379" s="1">
        <v>15</v>
      </c>
      <c r="Q379" s="1">
        <v>9</v>
      </c>
      <c r="R379" s="1">
        <v>200010004820</v>
      </c>
      <c r="S379" s="1">
        <v>29</v>
      </c>
      <c r="T379" s="1">
        <v>1</v>
      </c>
      <c r="U379" s="1">
        <v>1</v>
      </c>
    </row>
    <row r="380" spans="1:21" x14ac:dyDescent="0.25">
      <c r="A380" s="4">
        <v>44775</v>
      </c>
      <c r="B380" s="5">
        <v>0.38670138888888889</v>
      </c>
      <c r="C380" s="1">
        <v>1426</v>
      </c>
      <c r="D380" s="1">
        <v>13002581</v>
      </c>
      <c r="E380" s="1">
        <v>13</v>
      </c>
      <c r="F380" s="1">
        <v>22589</v>
      </c>
      <c r="G380" s="1" t="s">
        <v>18</v>
      </c>
      <c r="H380" s="1">
        <v>18</v>
      </c>
      <c r="I380" s="1">
        <v>137821</v>
      </c>
      <c r="J380" s="1" t="s">
        <v>493</v>
      </c>
      <c r="K380" s="1" t="s">
        <v>31</v>
      </c>
      <c r="L380" s="1" t="s">
        <v>494</v>
      </c>
      <c r="M380" s="1">
        <v>1</v>
      </c>
      <c r="N380" s="2">
        <v>123.42</v>
      </c>
      <c r="O380" s="3">
        <v>192</v>
      </c>
      <c r="P380" s="1">
        <v>19</v>
      </c>
      <c r="Q380" s="1">
        <v>9</v>
      </c>
      <c r="R380" s="1">
        <v>200010004820</v>
      </c>
      <c r="S380" s="1">
        <v>29</v>
      </c>
      <c r="T380" s="1">
        <v>1</v>
      </c>
      <c r="U380" s="1">
        <v>1</v>
      </c>
    </row>
    <row r="381" spans="1:21" x14ac:dyDescent="0.25">
      <c r="A381" s="4">
        <v>44775</v>
      </c>
      <c r="B381" s="5">
        <v>0.38952546296296298</v>
      </c>
      <c r="C381" s="1">
        <v>1427</v>
      </c>
      <c r="D381" s="1">
        <v>13002581</v>
      </c>
      <c r="E381" s="1">
        <v>13</v>
      </c>
      <c r="F381" s="1">
        <v>22589</v>
      </c>
      <c r="G381" s="1" t="s">
        <v>18</v>
      </c>
      <c r="H381" s="1">
        <v>15</v>
      </c>
      <c r="I381" s="1">
        <v>176133</v>
      </c>
      <c r="J381" s="1" t="s">
        <v>495</v>
      </c>
      <c r="K381" s="1" t="s">
        <v>20</v>
      </c>
      <c r="L381" s="1" t="s">
        <v>252</v>
      </c>
      <c r="M381" s="1">
        <v>1</v>
      </c>
      <c r="N381" s="2">
        <v>128.32</v>
      </c>
      <c r="O381" s="3">
        <v>156</v>
      </c>
      <c r="P381" s="1">
        <v>7</v>
      </c>
      <c r="Q381" s="1">
        <v>9</v>
      </c>
      <c r="R381" s="1">
        <v>200010021998</v>
      </c>
      <c r="S381" s="1">
        <v>29</v>
      </c>
      <c r="T381" s="1">
        <v>1</v>
      </c>
      <c r="U381" s="1">
        <v>1</v>
      </c>
    </row>
    <row r="382" spans="1:21" x14ac:dyDescent="0.25">
      <c r="A382" s="4">
        <v>44775</v>
      </c>
      <c r="B382" s="5">
        <v>0.38952546296296298</v>
      </c>
      <c r="C382" s="1">
        <v>1427</v>
      </c>
      <c r="D382" s="1">
        <v>13002581</v>
      </c>
      <c r="E382" s="1">
        <v>13</v>
      </c>
      <c r="F382" s="1">
        <v>22589</v>
      </c>
      <c r="G382" s="1" t="s">
        <v>18</v>
      </c>
      <c r="H382" s="1">
        <v>15</v>
      </c>
      <c r="I382" s="1">
        <v>347642</v>
      </c>
      <c r="J382" s="1" t="s">
        <v>496</v>
      </c>
      <c r="K382" s="1" t="s">
        <v>48</v>
      </c>
      <c r="L382" s="1" t="s">
        <v>489</v>
      </c>
      <c r="M382" s="1">
        <v>1</v>
      </c>
      <c r="N382" s="2">
        <v>334.63</v>
      </c>
      <c r="O382" s="3">
        <v>492</v>
      </c>
      <c r="P382" s="1">
        <v>49</v>
      </c>
      <c r="Q382" s="1">
        <v>9</v>
      </c>
      <c r="R382" s="1">
        <v>200010021998</v>
      </c>
      <c r="S382" s="1">
        <v>29</v>
      </c>
      <c r="T382" s="1">
        <v>1</v>
      </c>
      <c r="U382" s="1">
        <v>2</v>
      </c>
    </row>
    <row r="383" spans="1:21" x14ac:dyDescent="0.25">
      <c r="A383" s="4">
        <v>44775</v>
      </c>
      <c r="B383" s="5">
        <v>0.38952546296296298</v>
      </c>
      <c r="C383" s="1">
        <v>1427</v>
      </c>
      <c r="D383" s="1">
        <v>13002581</v>
      </c>
      <c r="E383" s="1">
        <v>13</v>
      </c>
      <c r="F383" s="1">
        <v>22589</v>
      </c>
      <c r="G383" s="1" t="s">
        <v>18</v>
      </c>
      <c r="H383" s="1">
        <v>15</v>
      </c>
      <c r="I383" s="1">
        <v>1185</v>
      </c>
      <c r="J383" s="1" t="s">
        <v>497</v>
      </c>
      <c r="K383" s="1" t="s">
        <v>48</v>
      </c>
      <c r="L383" s="1" t="s">
        <v>498</v>
      </c>
      <c r="M383" s="1">
        <v>1</v>
      </c>
      <c r="N383" s="2">
        <v>241.83</v>
      </c>
      <c r="O383" s="3">
        <v>327</v>
      </c>
      <c r="P383" s="1">
        <v>22</v>
      </c>
      <c r="Q383" s="1">
        <v>9</v>
      </c>
      <c r="R383" s="1">
        <v>200010021998</v>
      </c>
      <c r="S383" s="1">
        <v>29</v>
      </c>
      <c r="T383" s="1">
        <v>1</v>
      </c>
      <c r="U383" s="1">
        <v>3</v>
      </c>
    </row>
    <row r="384" spans="1:21" x14ac:dyDescent="0.25">
      <c r="A384" s="4">
        <v>44775</v>
      </c>
      <c r="B384" s="5">
        <v>0.39520833333333333</v>
      </c>
      <c r="C384" s="1">
        <v>1428</v>
      </c>
      <c r="D384" s="1">
        <v>13002581</v>
      </c>
      <c r="E384" s="1">
        <v>13</v>
      </c>
      <c r="F384" s="1">
        <v>22589</v>
      </c>
      <c r="G384" s="1" t="s">
        <v>18</v>
      </c>
      <c r="H384" s="1">
        <v>15</v>
      </c>
      <c r="I384" s="1">
        <v>345211</v>
      </c>
      <c r="J384" s="1" t="s">
        <v>89</v>
      </c>
      <c r="K384" s="1" t="s">
        <v>48</v>
      </c>
      <c r="L384" s="1" t="s">
        <v>90</v>
      </c>
      <c r="M384" s="1">
        <v>1</v>
      </c>
      <c r="N384" s="2">
        <v>25.71</v>
      </c>
      <c r="O384" s="3">
        <v>31</v>
      </c>
      <c r="P384" s="1">
        <v>1</v>
      </c>
      <c r="Q384" s="1">
        <v>9</v>
      </c>
      <c r="R384" s="1">
        <v>200010021941</v>
      </c>
      <c r="S384" s="1">
        <v>29</v>
      </c>
      <c r="T384" s="1">
        <v>1</v>
      </c>
      <c r="U384" s="1">
        <v>2</v>
      </c>
    </row>
    <row r="385" spans="1:21" x14ac:dyDescent="0.25">
      <c r="A385" s="4">
        <v>44775</v>
      </c>
      <c r="B385" s="5">
        <v>0.39520833333333333</v>
      </c>
      <c r="C385" s="1">
        <v>1428</v>
      </c>
      <c r="D385" s="1">
        <v>13002581</v>
      </c>
      <c r="E385" s="1">
        <v>13</v>
      </c>
      <c r="F385" s="1">
        <v>22589</v>
      </c>
      <c r="G385" s="1" t="s">
        <v>18</v>
      </c>
      <c r="H385" s="1">
        <v>15</v>
      </c>
      <c r="I385" s="1">
        <v>346980</v>
      </c>
      <c r="J385" s="1" t="s">
        <v>443</v>
      </c>
      <c r="K385" s="1" t="s">
        <v>48</v>
      </c>
      <c r="L385" s="1" t="s">
        <v>444</v>
      </c>
      <c r="M385" s="1">
        <v>1</v>
      </c>
      <c r="N385" s="2">
        <v>39.75</v>
      </c>
      <c r="O385" s="3">
        <v>50</v>
      </c>
      <c r="P385" s="1">
        <v>2</v>
      </c>
      <c r="Q385" s="1">
        <v>9</v>
      </c>
      <c r="R385" s="1">
        <v>200010021941</v>
      </c>
      <c r="S385" s="1">
        <v>29</v>
      </c>
      <c r="T385" s="1">
        <v>1</v>
      </c>
      <c r="U385" s="1">
        <v>3</v>
      </c>
    </row>
    <row r="386" spans="1:21" x14ac:dyDescent="0.25">
      <c r="A386" s="4">
        <v>44775</v>
      </c>
      <c r="B386" s="5">
        <v>0.39520833333333333</v>
      </c>
      <c r="C386" s="1">
        <v>1428</v>
      </c>
      <c r="D386" s="1">
        <v>13002581</v>
      </c>
      <c r="E386" s="1">
        <v>13</v>
      </c>
      <c r="F386" s="1">
        <v>22589</v>
      </c>
      <c r="G386" s="1" t="s">
        <v>18</v>
      </c>
      <c r="H386" s="1">
        <v>15</v>
      </c>
      <c r="I386" s="1">
        <v>191546</v>
      </c>
      <c r="J386" s="1" t="s">
        <v>499</v>
      </c>
      <c r="K386" s="1" t="s">
        <v>48</v>
      </c>
      <c r="L386" s="1" t="s">
        <v>245</v>
      </c>
      <c r="M386" s="1">
        <v>1</v>
      </c>
      <c r="N386" s="2">
        <v>76.010000000000005</v>
      </c>
      <c r="O386" s="3">
        <v>95</v>
      </c>
      <c r="P386" s="1">
        <v>4</v>
      </c>
      <c r="Q386" s="1">
        <v>9</v>
      </c>
      <c r="R386" s="1">
        <v>200010021941</v>
      </c>
      <c r="S386" s="1">
        <v>29</v>
      </c>
      <c r="T386" s="1">
        <v>1</v>
      </c>
      <c r="U386" s="1">
        <v>1</v>
      </c>
    </row>
    <row r="387" spans="1:21" x14ac:dyDescent="0.25">
      <c r="A387" s="4">
        <v>44775</v>
      </c>
      <c r="B387" s="5">
        <v>0.39520833333333333</v>
      </c>
      <c r="C387" s="1">
        <v>1428</v>
      </c>
      <c r="D387" s="1">
        <v>13002581</v>
      </c>
      <c r="E387" s="1">
        <v>13</v>
      </c>
      <c r="F387" s="1">
        <v>22589</v>
      </c>
      <c r="G387" s="1" t="s">
        <v>18</v>
      </c>
      <c r="H387" s="1">
        <v>15</v>
      </c>
      <c r="I387" s="1">
        <v>195924</v>
      </c>
      <c r="J387" s="1" t="s">
        <v>500</v>
      </c>
      <c r="K387" s="1" t="s">
        <v>107</v>
      </c>
      <c r="L387" s="1" t="s">
        <v>501</v>
      </c>
      <c r="M387" s="1">
        <v>1</v>
      </c>
      <c r="N387" s="2">
        <v>76.319999999999993</v>
      </c>
      <c r="O387" s="3">
        <v>120</v>
      </c>
      <c r="P387" s="1">
        <v>12</v>
      </c>
      <c r="Q387" s="1">
        <v>9</v>
      </c>
      <c r="R387" s="1">
        <v>200010021941</v>
      </c>
      <c r="S387" s="1">
        <v>29</v>
      </c>
      <c r="T387" s="1">
        <v>1</v>
      </c>
      <c r="U387" s="1">
        <v>4</v>
      </c>
    </row>
    <row r="388" spans="1:21" x14ac:dyDescent="0.25">
      <c r="A388" s="4">
        <v>44775</v>
      </c>
      <c r="B388" s="5">
        <v>0.41244212962962962</v>
      </c>
      <c r="C388" s="1">
        <v>1429</v>
      </c>
      <c r="D388" s="1">
        <v>13002581</v>
      </c>
      <c r="E388" s="1">
        <v>13</v>
      </c>
      <c r="F388" s="1">
        <v>22589</v>
      </c>
      <c r="G388" s="1" t="s">
        <v>18</v>
      </c>
      <c r="H388" s="1">
        <v>15</v>
      </c>
      <c r="I388" s="1">
        <v>11488</v>
      </c>
      <c r="J388" s="1" t="s">
        <v>502</v>
      </c>
      <c r="K388" s="1" t="s">
        <v>114</v>
      </c>
      <c r="L388" s="1" t="s">
        <v>503</v>
      </c>
      <c r="M388" s="1">
        <v>1</v>
      </c>
      <c r="N388" s="2">
        <v>157.47999999999999</v>
      </c>
      <c r="O388" s="3">
        <v>216</v>
      </c>
      <c r="P388" s="1">
        <v>15</v>
      </c>
      <c r="Q388" s="1">
        <v>9</v>
      </c>
      <c r="R388" s="1">
        <v>200010001074</v>
      </c>
      <c r="S388" s="1">
        <v>29</v>
      </c>
      <c r="T388" s="1">
        <v>1</v>
      </c>
      <c r="U388" s="1">
        <v>1</v>
      </c>
    </row>
    <row r="389" spans="1:21" x14ac:dyDescent="0.25">
      <c r="A389" s="4">
        <v>44775</v>
      </c>
      <c r="B389" s="5">
        <v>0.41244212962962962</v>
      </c>
      <c r="C389" s="1">
        <v>1429</v>
      </c>
      <c r="D389" s="1">
        <v>13002581</v>
      </c>
      <c r="E389" s="1">
        <v>13</v>
      </c>
      <c r="F389" s="1">
        <v>22589</v>
      </c>
      <c r="G389" s="1" t="s">
        <v>18</v>
      </c>
      <c r="H389" s="1">
        <v>15</v>
      </c>
      <c r="I389" s="1">
        <v>485587</v>
      </c>
      <c r="J389" s="1" t="s">
        <v>504</v>
      </c>
      <c r="K389" s="1" t="s">
        <v>26</v>
      </c>
      <c r="L389" s="1" t="s">
        <v>94</v>
      </c>
      <c r="M389" s="1">
        <v>1</v>
      </c>
      <c r="N389" s="2">
        <v>15.2</v>
      </c>
      <c r="O389" s="3">
        <v>24</v>
      </c>
      <c r="P389" s="1">
        <v>1</v>
      </c>
      <c r="Q389" s="1">
        <v>9</v>
      </c>
      <c r="R389" s="1">
        <v>200010001074</v>
      </c>
      <c r="S389" s="1">
        <v>29</v>
      </c>
      <c r="T389" s="1">
        <v>1</v>
      </c>
      <c r="U389" s="1">
        <v>2</v>
      </c>
    </row>
    <row r="390" spans="1:21" x14ac:dyDescent="0.25">
      <c r="A390" s="4">
        <v>44775</v>
      </c>
      <c r="B390" s="5">
        <v>0.41244212962962962</v>
      </c>
      <c r="C390" s="1">
        <v>1429</v>
      </c>
      <c r="D390" s="1">
        <v>13002581</v>
      </c>
      <c r="E390" s="1">
        <v>13</v>
      </c>
      <c r="F390" s="1">
        <v>22589</v>
      </c>
      <c r="G390" s="1" t="s">
        <v>18</v>
      </c>
      <c r="H390" s="1">
        <v>15</v>
      </c>
      <c r="I390" s="1">
        <v>564775</v>
      </c>
      <c r="J390" s="1" t="s">
        <v>505</v>
      </c>
      <c r="K390" s="1" t="s">
        <v>48</v>
      </c>
      <c r="L390" s="1" t="s">
        <v>506</v>
      </c>
      <c r="M390" s="1">
        <v>1</v>
      </c>
      <c r="N390" s="2">
        <v>6.87</v>
      </c>
      <c r="O390" s="3">
        <v>12</v>
      </c>
      <c r="P390" s="1">
        <v>1</v>
      </c>
      <c r="Q390" s="1">
        <v>9</v>
      </c>
      <c r="R390" s="1">
        <v>200010001074</v>
      </c>
      <c r="S390" s="1">
        <v>29</v>
      </c>
      <c r="T390" s="1">
        <v>1</v>
      </c>
      <c r="U390" s="1">
        <v>3</v>
      </c>
    </row>
    <row r="391" spans="1:21" x14ac:dyDescent="0.25">
      <c r="A391" s="4">
        <v>44775</v>
      </c>
      <c r="B391" s="5">
        <v>0.41516203703703702</v>
      </c>
      <c r="C391" s="1">
        <v>1430</v>
      </c>
      <c r="D391" s="1">
        <v>13002581</v>
      </c>
      <c r="E391" s="1">
        <v>13</v>
      </c>
      <c r="F391" s="1">
        <v>22589</v>
      </c>
      <c r="G391" s="1" t="s">
        <v>18</v>
      </c>
      <c r="H391" s="1">
        <v>15</v>
      </c>
      <c r="I391" s="1">
        <v>82008</v>
      </c>
      <c r="J391" s="1" t="s">
        <v>212</v>
      </c>
      <c r="K391" s="1" t="s">
        <v>20</v>
      </c>
      <c r="L391" s="1" t="s">
        <v>276</v>
      </c>
      <c r="M391" s="1">
        <v>1</v>
      </c>
      <c r="N391" s="2">
        <v>35.9</v>
      </c>
      <c r="O391" s="3">
        <v>41</v>
      </c>
      <c r="P391" s="1">
        <v>2</v>
      </c>
      <c r="Q391" s="1">
        <v>9</v>
      </c>
      <c r="R391" s="1">
        <v>200010022582</v>
      </c>
      <c r="S391" s="1">
        <v>29</v>
      </c>
      <c r="T391" s="1">
        <v>1</v>
      </c>
      <c r="U391" s="1">
        <v>2</v>
      </c>
    </row>
    <row r="392" spans="1:21" x14ac:dyDescent="0.25">
      <c r="A392" s="4">
        <v>44775</v>
      </c>
      <c r="B392" s="5">
        <v>0.41516203703703702</v>
      </c>
      <c r="C392" s="1">
        <v>1430</v>
      </c>
      <c r="D392" s="1">
        <v>13002581</v>
      </c>
      <c r="E392" s="1">
        <v>13</v>
      </c>
      <c r="F392" s="1">
        <v>22589</v>
      </c>
      <c r="G392" s="1" t="s">
        <v>18</v>
      </c>
      <c r="H392" s="1">
        <v>15</v>
      </c>
      <c r="I392" s="1">
        <v>5225</v>
      </c>
      <c r="J392" s="1" t="s">
        <v>507</v>
      </c>
      <c r="K392" s="1" t="s">
        <v>20</v>
      </c>
      <c r="L392" s="1" t="s">
        <v>508</v>
      </c>
      <c r="M392" s="1">
        <v>1</v>
      </c>
      <c r="N392" s="2">
        <v>562.1</v>
      </c>
      <c r="O392" s="3">
        <v>726</v>
      </c>
      <c r="P392" s="1">
        <v>50</v>
      </c>
      <c r="Q392" s="1">
        <v>9</v>
      </c>
      <c r="R392" s="1">
        <v>200010022582</v>
      </c>
      <c r="S392" s="1">
        <v>29</v>
      </c>
      <c r="T392" s="1">
        <v>1</v>
      </c>
      <c r="U392" s="1">
        <v>1</v>
      </c>
    </row>
    <row r="393" spans="1:21" x14ac:dyDescent="0.25">
      <c r="A393" s="4">
        <v>44775</v>
      </c>
      <c r="B393" s="5">
        <v>0.41516203703703702</v>
      </c>
      <c r="C393" s="1">
        <v>1430</v>
      </c>
      <c r="D393" s="1">
        <v>13002581</v>
      </c>
      <c r="E393" s="1">
        <v>13</v>
      </c>
      <c r="F393" s="1">
        <v>22589</v>
      </c>
      <c r="G393" s="1" t="s">
        <v>18</v>
      </c>
      <c r="H393" s="1">
        <v>15</v>
      </c>
      <c r="I393" s="1">
        <v>82008</v>
      </c>
      <c r="J393" s="1" t="s">
        <v>212</v>
      </c>
      <c r="K393" s="1" t="s">
        <v>20</v>
      </c>
      <c r="L393" s="1" t="s">
        <v>276</v>
      </c>
      <c r="M393" s="1">
        <v>1</v>
      </c>
      <c r="N393" s="2">
        <v>35.9</v>
      </c>
      <c r="O393" s="3">
        <v>41</v>
      </c>
      <c r="P393" s="1">
        <v>2</v>
      </c>
      <c r="Q393" s="1">
        <v>9</v>
      </c>
      <c r="R393" s="1">
        <v>200010022582</v>
      </c>
      <c r="S393" s="1">
        <v>29</v>
      </c>
      <c r="T393" s="1">
        <v>1</v>
      </c>
      <c r="U393" s="1">
        <v>3</v>
      </c>
    </row>
    <row r="394" spans="1:21" x14ac:dyDescent="0.25">
      <c r="A394" s="4">
        <v>44775</v>
      </c>
      <c r="B394" s="5">
        <v>0.41692129629629632</v>
      </c>
      <c r="C394" s="1">
        <v>1431</v>
      </c>
      <c r="D394" s="1">
        <v>13002581</v>
      </c>
      <c r="E394" s="1">
        <v>13</v>
      </c>
      <c r="F394" s="1">
        <v>22589</v>
      </c>
      <c r="G394" s="1" t="s">
        <v>18</v>
      </c>
      <c r="H394" s="1">
        <v>15</v>
      </c>
      <c r="I394" s="1">
        <v>131362</v>
      </c>
      <c r="J394" s="1" t="s">
        <v>509</v>
      </c>
      <c r="K394" s="1" t="s">
        <v>31</v>
      </c>
      <c r="L394" s="1" t="s">
        <v>152</v>
      </c>
      <c r="M394" s="1">
        <v>1</v>
      </c>
      <c r="N394" s="2">
        <v>86.22</v>
      </c>
      <c r="O394" s="3">
        <v>136</v>
      </c>
      <c r="P394" s="1">
        <v>13</v>
      </c>
      <c r="Q394" s="1">
        <v>9</v>
      </c>
      <c r="R394" s="1">
        <v>200010018003</v>
      </c>
      <c r="S394" s="1">
        <v>29</v>
      </c>
      <c r="T394" s="1">
        <v>1</v>
      </c>
      <c r="U394" s="1">
        <v>3</v>
      </c>
    </row>
    <row r="395" spans="1:21" x14ac:dyDescent="0.25">
      <c r="A395" s="4">
        <v>44775</v>
      </c>
      <c r="B395" s="5">
        <v>0.41692129629629632</v>
      </c>
      <c r="C395" s="1">
        <v>1431</v>
      </c>
      <c r="D395" s="1">
        <v>13002581</v>
      </c>
      <c r="E395" s="1">
        <v>13</v>
      </c>
      <c r="F395" s="1">
        <v>22589</v>
      </c>
      <c r="G395" s="1" t="s">
        <v>18</v>
      </c>
      <c r="H395" s="1">
        <v>15</v>
      </c>
      <c r="I395" s="1">
        <v>348748</v>
      </c>
      <c r="J395" s="1" t="s">
        <v>257</v>
      </c>
      <c r="K395" s="1" t="s">
        <v>26</v>
      </c>
      <c r="L395" s="1" t="s">
        <v>258</v>
      </c>
      <c r="M395" s="1">
        <v>1</v>
      </c>
      <c r="N395" s="2">
        <v>56.03</v>
      </c>
      <c r="O395" s="3">
        <v>70</v>
      </c>
      <c r="P395" s="1">
        <v>3</v>
      </c>
      <c r="Q395" s="1">
        <v>9</v>
      </c>
      <c r="R395" s="1">
        <v>200010018003</v>
      </c>
      <c r="S395" s="1">
        <v>29</v>
      </c>
      <c r="T395" s="1">
        <v>1</v>
      </c>
      <c r="U395" s="1">
        <v>2</v>
      </c>
    </row>
    <row r="396" spans="1:21" x14ac:dyDescent="0.25">
      <c r="A396" s="4">
        <v>44775</v>
      </c>
      <c r="B396" s="5">
        <v>0.41692129629629632</v>
      </c>
      <c r="C396" s="1">
        <v>1431</v>
      </c>
      <c r="D396" s="1">
        <v>13002581</v>
      </c>
      <c r="E396" s="1">
        <v>13</v>
      </c>
      <c r="F396" s="1">
        <v>22589</v>
      </c>
      <c r="G396" s="1" t="s">
        <v>18</v>
      </c>
      <c r="H396" s="1">
        <v>15</v>
      </c>
      <c r="I396" s="1">
        <v>12822</v>
      </c>
      <c r="J396" s="1" t="s">
        <v>510</v>
      </c>
      <c r="K396" s="1" t="s">
        <v>20</v>
      </c>
      <c r="L396" s="1" t="s">
        <v>172</v>
      </c>
      <c r="M396" s="1">
        <v>1</v>
      </c>
      <c r="N396" s="2">
        <v>187.98</v>
      </c>
      <c r="O396" s="3">
        <v>258</v>
      </c>
      <c r="P396" s="1">
        <v>18</v>
      </c>
      <c r="Q396" s="1">
        <v>9</v>
      </c>
      <c r="R396" s="1">
        <v>200010018003</v>
      </c>
      <c r="S396" s="1">
        <v>29</v>
      </c>
      <c r="T396" s="1">
        <v>1</v>
      </c>
      <c r="U396" s="1">
        <v>1</v>
      </c>
    </row>
    <row r="397" spans="1:21" x14ac:dyDescent="0.25">
      <c r="A397" s="4">
        <v>44775</v>
      </c>
      <c r="B397" s="5">
        <v>0.41692129629629632</v>
      </c>
      <c r="C397" s="1">
        <v>1431</v>
      </c>
      <c r="D397" s="1">
        <v>13002581</v>
      </c>
      <c r="E397" s="1">
        <v>13</v>
      </c>
      <c r="F397" s="1">
        <v>22589</v>
      </c>
      <c r="G397" s="1" t="s">
        <v>18</v>
      </c>
      <c r="H397" s="1">
        <v>15</v>
      </c>
      <c r="I397" s="1">
        <v>296315</v>
      </c>
      <c r="J397" s="1" t="s">
        <v>511</v>
      </c>
      <c r="K397" s="1" t="s">
        <v>61</v>
      </c>
      <c r="L397" s="1" t="s">
        <v>512</v>
      </c>
      <c r="M397" s="1">
        <v>1</v>
      </c>
      <c r="N397" s="2">
        <v>33.08</v>
      </c>
      <c r="O397" s="3">
        <v>54</v>
      </c>
      <c r="P397" s="1">
        <v>5</v>
      </c>
      <c r="Q397" s="1">
        <v>9</v>
      </c>
      <c r="R397" s="1">
        <v>200010018003</v>
      </c>
      <c r="S397" s="1">
        <v>29</v>
      </c>
      <c r="T397" s="1">
        <v>1</v>
      </c>
      <c r="U397" s="1">
        <v>4</v>
      </c>
    </row>
    <row r="398" spans="1:21" x14ac:dyDescent="0.25">
      <c r="A398" s="4">
        <v>44775</v>
      </c>
      <c r="B398" s="5">
        <v>0.42370370370370369</v>
      </c>
      <c r="C398" s="1">
        <v>1432</v>
      </c>
      <c r="D398" s="1">
        <v>13002581</v>
      </c>
      <c r="E398" s="1">
        <v>13</v>
      </c>
      <c r="F398" s="1">
        <v>22589</v>
      </c>
      <c r="G398" s="1" t="s">
        <v>18</v>
      </c>
      <c r="H398" s="1">
        <v>15</v>
      </c>
      <c r="I398" s="1">
        <v>393311</v>
      </c>
      <c r="J398" s="1" t="s">
        <v>513</v>
      </c>
      <c r="K398" s="1" t="s">
        <v>45</v>
      </c>
      <c r="L398" s="1" t="s">
        <v>96</v>
      </c>
      <c r="M398" s="1">
        <v>1</v>
      </c>
      <c r="N398" s="2">
        <v>97.46</v>
      </c>
      <c r="O398" s="3">
        <v>154</v>
      </c>
      <c r="P398" s="1">
        <v>15</v>
      </c>
      <c r="Q398" s="1">
        <v>9</v>
      </c>
      <c r="R398" s="1">
        <v>200010001077</v>
      </c>
      <c r="S398" s="1">
        <v>29</v>
      </c>
      <c r="T398" s="1">
        <v>1</v>
      </c>
      <c r="U398" s="1">
        <v>1</v>
      </c>
    </row>
    <row r="399" spans="1:21" x14ac:dyDescent="0.25">
      <c r="A399" s="4">
        <v>44775</v>
      </c>
      <c r="B399" s="5">
        <v>0.42370370370370369</v>
      </c>
      <c r="C399" s="1">
        <v>1432</v>
      </c>
      <c r="D399" s="1">
        <v>13002581</v>
      </c>
      <c r="E399" s="1">
        <v>13</v>
      </c>
      <c r="F399" s="1">
        <v>22589</v>
      </c>
      <c r="G399" s="1" t="s">
        <v>18</v>
      </c>
      <c r="H399" s="1">
        <v>15</v>
      </c>
      <c r="I399" s="1">
        <v>173202</v>
      </c>
      <c r="J399" s="1" t="s">
        <v>270</v>
      </c>
      <c r="K399" s="1" t="s">
        <v>20</v>
      </c>
      <c r="L399" s="1" t="s">
        <v>271</v>
      </c>
      <c r="M399" s="1">
        <v>1</v>
      </c>
      <c r="N399" s="2">
        <v>25.78</v>
      </c>
      <c r="O399" s="3">
        <v>40</v>
      </c>
      <c r="P399" s="1">
        <v>2</v>
      </c>
      <c r="Q399" s="1">
        <v>9</v>
      </c>
      <c r="R399" s="1">
        <v>200010001077</v>
      </c>
      <c r="S399" s="1">
        <v>29</v>
      </c>
      <c r="T399" s="1">
        <v>1</v>
      </c>
      <c r="U399" s="1">
        <v>2</v>
      </c>
    </row>
    <row r="400" spans="1:21" x14ac:dyDescent="0.25">
      <c r="A400" s="4">
        <v>44775</v>
      </c>
      <c r="B400" s="5">
        <v>0.72925925925925927</v>
      </c>
      <c r="C400" s="1">
        <v>1511</v>
      </c>
      <c r="D400" s="1">
        <v>13002581</v>
      </c>
      <c r="E400" s="1">
        <v>13</v>
      </c>
      <c r="F400" s="1">
        <v>22589</v>
      </c>
      <c r="G400" s="1" t="s">
        <v>18</v>
      </c>
      <c r="H400" s="1">
        <v>18</v>
      </c>
      <c r="I400" s="1">
        <v>173202</v>
      </c>
      <c r="J400" s="1" t="s">
        <v>270</v>
      </c>
      <c r="K400" s="1" t="s">
        <v>20</v>
      </c>
      <c r="L400" s="1" t="s">
        <v>271</v>
      </c>
      <c r="M400" s="1">
        <v>1</v>
      </c>
      <c r="N400" s="2">
        <v>25.78</v>
      </c>
      <c r="O400" s="3">
        <v>40</v>
      </c>
      <c r="P400" s="1">
        <v>2</v>
      </c>
      <c r="Q400" s="1">
        <v>9</v>
      </c>
      <c r="R400" s="1">
        <v>200010005098</v>
      </c>
      <c r="S400" s="1">
        <v>29</v>
      </c>
      <c r="T400" s="1">
        <v>1</v>
      </c>
      <c r="U400" s="1">
        <v>1</v>
      </c>
    </row>
    <row r="401" spans="1:21" x14ac:dyDescent="0.25">
      <c r="A401" s="4">
        <v>44775</v>
      </c>
      <c r="B401" s="5">
        <v>0.43678240740740742</v>
      </c>
      <c r="C401" s="1">
        <v>1433</v>
      </c>
      <c r="D401" s="1">
        <v>13002581</v>
      </c>
      <c r="E401" s="1">
        <v>13</v>
      </c>
      <c r="F401" s="1">
        <v>22589</v>
      </c>
      <c r="G401" s="1" t="s">
        <v>18</v>
      </c>
      <c r="H401" s="1">
        <v>15</v>
      </c>
      <c r="I401" s="1">
        <v>18836</v>
      </c>
      <c r="J401" s="1" t="s">
        <v>514</v>
      </c>
      <c r="K401" s="1" t="s">
        <v>48</v>
      </c>
      <c r="L401" s="1" t="s">
        <v>64</v>
      </c>
      <c r="M401" s="1">
        <v>1</v>
      </c>
      <c r="N401" s="2">
        <v>110.21</v>
      </c>
      <c r="O401" s="3">
        <v>124</v>
      </c>
      <c r="P401" s="1">
        <v>8</v>
      </c>
      <c r="Q401" s="1">
        <v>9</v>
      </c>
      <c r="R401" s="1">
        <v>200010002062</v>
      </c>
      <c r="S401" s="1">
        <v>29</v>
      </c>
      <c r="T401" s="1">
        <v>1</v>
      </c>
      <c r="U401" s="1">
        <v>3</v>
      </c>
    </row>
    <row r="402" spans="1:21" x14ac:dyDescent="0.25">
      <c r="A402" s="4">
        <v>44775</v>
      </c>
      <c r="B402" s="5">
        <v>0.53684027777777776</v>
      </c>
      <c r="C402" s="1">
        <v>1469</v>
      </c>
      <c r="D402" s="1">
        <v>13002581</v>
      </c>
      <c r="E402" s="1">
        <v>13</v>
      </c>
      <c r="F402" s="1">
        <v>22589</v>
      </c>
      <c r="G402" s="1" t="s">
        <v>18</v>
      </c>
      <c r="H402" s="1">
        <v>15</v>
      </c>
      <c r="I402" s="1">
        <v>18836</v>
      </c>
      <c r="J402" s="1" t="s">
        <v>514</v>
      </c>
      <c r="K402" s="1" t="s">
        <v>48</v>
      </c>
      <c r="L402" s="1" t="s">
        <v>64</v>
      </c>
      <c r="M402" s="1">
        <v>1</v>
      </c>
      <c r="N402" s="2">
        <v>110.21</v>
      </c>
      <c r="O402" s="3">
        <v>124</v>
      </c>
      <c r="P402" s="1">
        <v>21.24</v>
      </c>
      <c r="Q402" s="1">
        <v>925</v>
      </c>
      <c r="R402" s="1">
        <v>200000000492</v>
      </c>
      <c r="S402" s="1">
        <v>29</v>
      </c>
      <c r="T402" s="1">
        <v>1</v>
      </c>
      <c r="U402" s="1">
        <v>2</v>
      </c>
    </row>
    <row r="403" spans="1:21" x14ac:dyDescent="0.25">
      <c r="A403" s="4">
        <v>44775</v>
      </c>
      <c r="B403" s="5">
        <v>0.6381944444444444</v>
      </c>
      <c r="C403" s="1">
        <v>1487</v>
      </c>
      <c r="D403" s="1">
        <v>13002581</v>
      </c>
      <c r="E403" s="1">
        <v>13</v>
      </c>
      <c r="F403" s="1">
        <v>22589</v>
      </c>
      <c r="G403" s="1" t="s">
        <v>18</v>
      </c>
      <c r="H403" s="1">
        <v>18</v>
      </c>
      <c r="I403" s="1">
        <v>18836</v>
      </c>
      <c r="J403" s="1" t="s">
        <v>514</v>
      </c>
      <c r="K403" s="1" t="s">
        <v>48</v>
      </c>
      <c r="L403" s="1" t="s">
        <v>64</v>
      </c>
      <c r="M403" s="1">
        <v>1</v>
      </c>
      <c r="N403" s="2">
        <v>110.21</v>
      </c>
      <c r="O403" s="3">
        <v>124</v>
      </c>
      <c r="P403" s="1">
        <v>8</v>
      </c>
      <c r="Q403" s="1">
        <v>9</v>
      </c>
      <c r="R403" s="1">
        <v>200010000401</v>
      </c>
      <c r="S403" s="1">
        <v>29</v>
      </c>
      <c r="T403" s="1">
        <v>1</v>
      </c>
      <c r="U403" s="1">
        <v>3</v>
      </c>
    </row>
    <row r="404" spans="1:21" x14ac:dyDescent="0.25">
      <c r="A404" s="4">
        <v>44775</v>
      </c>
      <c r="B404" s="5">
        <v>0.43678240740740742</v>
      </c>
      <c r="C404" s="1">
        <v>1433</v>
      </c>
      <c r="D404" s="1">
        <v>13002581</v>
      </c>
      <c r="E404" s="1">
        <v>13</v>
      </c>
      <c r="F404" s="1">
        <v>22589</v>
      </c>
      <c r="G404" s="1" t="s">
        <v>18</v>
      </c>
      <c r="H404" s="1">
        <v>15</v>
      </c>
      <c r="I404" s="1">
        <v>9594</v>
      </c>
      <c r="J404" s="1" t="s">
        <v>299</v>
      </c>
      <c r="K404" s="1" t="s">
        <v>20</v>
      </c>
      <c r="L404" s="1" t="s">
        <v>300</v>
      </c>
      <c r="M404" s="1">
        <v>1</v>
      </c>
      <c r="N404" s="2">
        <v>62.12</v>
      </c>
      <c r="O404" s="3">
        <v>75</v>
      </c>
      <c r="P404" s="1">
        <v>5</v>
      </c>
      <c r="Q404" s="1">
        <v>9</v>
      </c>
      <c r="R404" s="1">
        <v>200010002062</v>
      </c>
      <c r="S404" s="1">
        <v>29</v>
      </c>
      <c r="T404" s="1">
        <v>1</v>
      </c>
      <c r="U404" s="1">
        <v>4</v>
      </c>
    </row>
    <row r="405" spans="1:21" x14ac:dyDescent="0.25">
      <c r="A405" s="4">
        <v>44775</v>
      </c>
      <c r="B405" s="5">
        <v>0.43678240740740742</v>
      </c>
      <c r="C405" s="1">
        <v>1433</v>
      </c>
      <c r="D405" s="1">
        <v>13002581</v>
      </c>
      <c r="E405" s="1">
        <v>13</v>
      </c>
      <c r="F405" s="1">
        <v>22589</v>
      </c>
      <c r="G405" s="1" t="s">
        <v>18</v>
      </c>
      <c r="H405" s="1">
        <v>15</v>
      </c>
      <c r="I405" s="1">
        <v>78687</v>
      </c>
      <c r="J405" s="1" t="s">
        <v>515</v>
      </c>
      <c r="K405" s="1" t="s">
        <v>48</v>
      </c>
      <c r="L405" s="1" t="s">
        <v>516</v>
      </c>
      <c r="M405" s="1">
        <v>1</v>
      </c>
      <c r="N405" s="2">
        <v>66.400000000000006</v>
      </c>
      <c r="O405" s="3">
        <v>105</v>
      </c>
      <c r="P405" s="1">
        <v>10</v>
      </c>
      <c r="Q405" s="1">
        <v>9</v>
      </c>
      <c r="R405" s="1">
        <v>200010002062</v>
      </c>
      <c r="S405" s="1">
        <v>29</v>
      </c>
      <c r="T405" s="1">
        <v>1</v>
      </c>
      <c r="U405" s="1">
        <v>1</v>
      </c>
    </row>
    <row r="406" spans="1:21" x14ac:dyDescent="0.25">
      <c r="A406" s="4">
        <v>44775</v>
      </c>
      <c r="B406" s="5">
        <v>0.43678240740740742</v>
      </c>
      <c r="C406" s="1">
        <v>1433</v>
      </c>
      <c r="D406" s="1">
        <v>13002581</v>
      </c>
      <c r="E406" s="1">
        <v>13</v>
      </c>
      <c r="F406" s="1">
        <v>22589</v>
      </c>
      <c r="G406" s="1" t="s">
        <v>18</v>
      </c>
      <c r="H406" s="1">
        <v>15</v>
      </c>
      <c r="I406" s="1">
        <v>29118</v>
      </c>
      <c r="J406" s="1" t="s">
        <v>517</v>
      </c>
      <c r="K406" s="1" t="s">
        <v>48</v>
      </c>
      <c r="L406" s="1" t="s">
        <v>266</v>
      </c>
      <c r="M406" s="1">
        <v>2</v>
      </c>
      <c r="N406" s="2">
        <v>29.75</v>
      </c>
      <c r="O406" s="3">
        <v>49</v>
      </c>
      <c r="P406" s="1">
        <v>9</v>
      </c>
      <c r="Q406" s="1">
        <v>9</v>
      </c>
      <c r="R406" s="1">
        <v>200010002062</v>
      </c>
      <c r="S406" s="1">
        <v>29</v>
      </c>
      <c r="T406" s="1">
        <v>1</v>
      </c>
      <c r="U406" s="1">
        <v>2</v>
      </c>
    </row>
    <row r="407" spans="1:21" x14ac:dyDescent="0.25">
      <c r="A407" s="4">
        <v>44775</v>
      </c>
      <c r="B407" s="5">
        <v>0.4375</v>
      </c>
      <c r="C407" s="1">
        <v>1434</v>
      </c>
      <c r="D407" s="1">
        <v>13002581</v>
      </c>
      <c r="E407" s="1">
        <v>13</v>
      </c>
      <c r="F407" s="1">
        <v>22589</v>
      </c>
      <c r="G407" s="1" t="s">
        <v>18</v>
      </c>
      <c r="H407" s="1">
        <v>15</v>
      </c>
      <c r="I407" s="1">
        <v>473</v>
      </c>
      <c r="J407" s="1" t="s">
        <v>518</v>
      </c>
      <c r="K407" s="1" t="s">
        <v>20</v>
      </c>
      <c r="L407" s="1" t="s">
        <v>300</v>
      </c>
      <c r="M407" s="1">
        <v>1</v>
      </c>
      <c r="N407" s="2">
        <v>47.59</v>
      </c>
      <c r="O407" s="3">
        <v>73</v>
      </c>
      <c r="P407" s="1">
        <v>5</v>
      </c>
      <c r="Q407" s="1">
        <v>9</v>
      </c>
      <c r="R407" s="1">
        <v>200010007796</v>
      </c>
      <c r="S407" s="1">
        <v>29</v>
      </c>
      <c r="T407" s="1">
        <v>1</v>
      </c>
      <c r="U407" s="1">
        <v>1</v>
      </c>
    </row>
    <row r="408" spans="1:21" x14ac:dyDescent="0.25">
      <c r="A408" s="4">
        <v>44775</v>
      </c>
      <c r="B408" s="5">
        <v>0.4375</v>
      </c>
      <c r="C408" s="1">
        <v>1434</v>
      </c>
      <c r="D408" s="1">
        <v>13002581</v>
      </c>
      <c r="E408" s="1">
        <v>13</v>
      </c>
      <c r="F408" s="1">
        <v>22589</v>
      </c>
      <c r="G408" s="1" t="s">
        <v>18</v>
      </c>
      <c r="H408" s="1">
        <v>15</v>
      </c>
      <c r="I408" s="1">
        <v>473</v>
      </c>
      <c r="J408" s="1" t="s">
        <v>518</v>
      </c>
      <c r="K408" s="1" t="s">
        <v>20</v>
      </c>
      <c r="L408" s="1" t="s">
        <v>300</v>
      </c>
      <c r="M408" s="1">
        <v>1</v>
      </c>
      <c r="N408" s="2">
        <v>47.59</v>
      </c>
      <c r="O408" s="3">
        <v>73</v>
      </c>
      <c r="P408" s="1">
        <v>5</v>
      </c>
      <c r="Q408" s="1">
        <v>9</v>
      </c>
      <c r="R408" s="1">
        <v>200010007796</v>
      </c>
      <c r="S408" s="1">
        <v>29</v>
      </c>
      <c r="T408" s="1">
        <v>1</v>
      </c>
      <c r="U408" s="1">
        <v>2</v>
      </c>
    </row>
    <row r="409" spans="1:21" x14ac:dyDescent="0.25">
      <c r="A409" s="4">
        <v>44775</v>
      </c>
      <c r="B409" s="5">
        <v>0.4375</v>
      </c>
      <c r="C409" s="1">
        <v>1434</v>
      </c>
      <c r="D409" s="1">
        <v>13002581</v>
      </c>
      <c r="E409" s="1">
        <v>13</v>
      </c>
      <c r="F409" s="1">
        <v>22589</v>
      </c>
      <c r="G409" s="1" t="s">
        <v>18</v>
      </c>
      <c r="H409" s="1">
        <v>15</v>
      </c>
      <c r="I409" s="1">
        <v>2302</v>
      </c>
      <c r="J409" s="1" t="s">
        <v>78</v>
      </c>
      <c r="K409" s="1" t="s">
        <v>58</v>
      </c>
      <c r="L409" s="1" t="s">
        <v>79</v>
      </c>
      <c r="M409" s="1">
        <v>1</v>
      </c>
      <c r="N409" s="2">
        <v>148.28</v>
      </c>
      <c r="O409" s="3">
        <v>174</v>
      </c>
      <c r="P409" s="1">
        <v>8</v>
      </c>
      <c r="Q409" s="1">
        <v>9</v>
      </c>
      <c r="R409" s="1">
        <v>200010007796</v>
      </c>
      <c r="S409" s="1">
        <v>29</v>
      </c>
      <c r="T409" s="1">
        <v>1</v>
      </c>
      <c r="U409" s="1">
        <v>3</v>
      </c>
    </row>
    <row r="410" spans="1:21" x14ac:dyDescent="0.25">
      <c r="A410" s="4">
        <v>44775</v>
      </c>
      <c r="B410" s="5">
        <v>0.44471064814814815</v>
      </c>
      <c r="C410" s="1">
        <v>1435</v>
      </c>
      <c r="D410" s="1">
        <v>13002581</v>
      </c>
      <c r="E410" s="1">
        <v>13</v>
      </c>
      <c r="F410" s="1">
        <v>22589</v>
      </c>
      <c r="G410" s="1" t="s">
        <v>18</v>
      </c>
      <c r="H410" s="1">
        <v>18</v>
      </c>
      <c r="I410" s="1">
        <v>168705</v>
      </c>
      <c r="J410" s="1" t="s">
        <v>519</v>
      </c>
      <c r="K410" s="1" t="s">
        <v>107</v>
      </c>
      <c r="L410" s="1" t="s">
        <v>446</v>
      </c>
      <c r="M410" s="1">
        <v>1</v>
      </c>
      <c r="N410" s="2">
        <v>98.01</v>
      </c>
      <c r="O410" s="3">
        <v>121</v>
      </c>
      <c r="P410" s="1">
        <v>0</v>
      </c>
      <c r="Q410" s="1" t="s">
        <v>22</v>
      </c>
      <c r="R410" s="1" t="s">
        <v>22</v>
      </c>
      <c r="S410" s="1">
        <v>29</v>
      </c>
      <c r="T410" s="1">
        <v>1</v>
      </c>
      <c r="U410" s="1">
        <v>1</v>
      </c>
    </row>
    <row r="411" spans="1:21" x14ac:dyDescent="0.25">
      <c r="A411" s="4">
        <v>44775</v>
      </c>
      <c r="B411" s="5">
        <v>0.44946759259259261</v>
      </c>
      <c r="C411" s="1">
        <v>1436</v>
      </c>
      <c r="D411" s="1">
        <v>13002581</v>
      </c>
      <c r="E411" s="1">
        <v>13</v>
      </c>
      <c r="F411" s="1">
        <v>22589</v>
      </c>
      <c r="G411" s="1" t="s">
        <v>18</v>
      </c>
      <c r="H411" s="1">
        <v>18</v>
      </c>
      <c r="I411" s="1">
        <v>347696</v>
      </c>
      <c r="J411" s="1" t="s">
        <v>520</v>
      </c>
      <c r="K411" s="1" t="s">
        <v>48</v>
      </c>
      <c r="L411" s="1" t="s">
        <v>489</v>
      </c>
      <c r="M411" s="1">
        <v>1</v>
      </c>
      <c r="N411" s="2">
        <v>288.08</v>
      </c>
      <c r="O411" s="3">
        <v>438</v>
      </c>
      <c r="P411" s="1">
        <v>43</v>
      </c>
      <c r="Q411" s="1">
        <v>9</v>
      </c>
      <c r="R411" s="1">
        <v>200010011842</v>
      </c>
      <c r="S411" s="1">
        <v>29</v>
      </c>
      <c r="T411" s="1">
        <v>1</v>
      </c>
      <c r="U411" s="1">
        <v>2</v>
      </c>
    </row>
    <row r="412" spans="1:21" x14ac:dyDescent="0.25">
      <c r="A412" s="4">
        <v>44775</v>
      </c>
      <c r="B412" s="5">
        <v>0.44946759259259261</v>
      </c>
      <c r="C412" s="1">
        <v>1436</v>
      </c>
      <c r="D412" s="1">
        <v>13002581</v>
      </c>
      <c r="E412" s="1">
        <v>13</v>
      </c>
      <c r="F412" s="1">
        <v>22589</v>
      </c>
      <c r="G412" s="1" t="s">
        <v>18</v>
      </c>
      <c r="H412" s="1">
        <v>18</v>
      </c>
      <c r="I412" s="1">
        <v>317995</v>
      </c>
      <c r="J412" s="1" t="s">
        <v>521</v>
      </c>
      <c r="K412" s="1" t="s">
        <v>61</v>
      </c>
      <c r="L412" s="1" t="s">
        <v>303</v>
      </c>
      <c r="M412" s="1">
        <v>1</v>
      </c>
      <c r="N412" s="2">
        <v>108.5</v>
      </c>
      <c r="O412" s="3">
        <v>149</v>
      </c>
      <c r="P412" s="1">
        <v>10</v>
      </c>
      <c r="Q412" s="1">
        <v>9</v>
      </c>
      <c r="R412" s="1">
        <v>200010011842</v>
      </c>
      <c r="S412" s="1">
        <v>29</v>
      </c>
      <c r="T412" s="1">
        <v>1</v>
      </c>
      <c r="U412" s="1">
        <v>3</v>
      </c>
    </row>
    <row r="413" spans="1:21" x14ac:dyDescent="0.25">
      <c r="A413" s="4">
        <v>44775</v>
      </c>
      <c r="B413" s="5">
        <v>0.44946759259259261</v>
      </c>
      <c r="C413" s="1">
        <v>1436</v>
      </c>
      <c r="D413" s="1">
        <v>13002581</v>
      </c>
      <c r="E413" s="1">
        <v>13</v>
      </c>
      <c r="F413" s="1">
        <v>22589</v>
      </c>
      <c r="G413" s="1" t="s">
        <v>18</v>
      </c>
      <c r="H413" s="1">
        <v>18</v>
      </c>
      <c r="I413" s="1">
        <v>323715</v>
      </c>
      <c r="J413" s="1" t="s">
        <v>522</v>
      </c>
      <c r="K413" s="1" t="s">
        <v>26</v>
      </c>
      <c r="L413" s="1" t="s">
        <v>523</v>
      </c>
      <c r="M413" s="1">
        <v>1</v>
      </c>
      <c r="N413" s="2">
        <v>145.06</v>
      </c>
      <c r="O413" s="3">
        <v>225</v>
      </c>
      <c r="P413" s="1">
        <v>22</v>
      </c>
      <c r="Q413" s="1">
        <v>9</v>
      </c>
      <c r="R413" s="1">
        <v>200010011842</v>
      </c>
      <c r="S413" s="1">
        <v>29</v>
      </c>
      <c r="T413" s="1">
        <v>1</v>
      </c>
      <c r="U413" s="1">
        <v>1</v>
      </c>
    </row>
    <row r="414" spans="1:21" x14ac:dyDescent="0.25">
      <c r="A414" s="4">
        <v>44775</v>
      </c>
      <c r="B414" s="5">
        <v>0.59129629629629632</v>
      </c>
      <c r="C414" s="1">
        <v>1480</v>
      </c>
      <c r="D414" s="1">
        <v>13002581</v>
      </c>
      <c r="E414" s="1">
        <v>13</v>
      </c>
      <c r="F414" s="1">
        <v>22589</v>
      </c>
      <c r="G414" s="1" t="s">
        <v>18</v>
      </c>
      <c r="H414" s="1">
        <v>18</v>
      </c>
      <c r="I414" s="1">
        <v>323715</v>
      </c>
      <c r="J414" s="1" t="s">
        <v>522</v>
      </c>
      <c r="K414" s="1" t="s">
        <v>26</v>
      </c>
      <c r="L414" s="1" t="s">
        <v>523</v>
      </c>
      <c r="M414" s="1">
        <v>1</v>
      </c>
      <c r="N414" s="2">
        <v>145.06</v>
      </c>
      <c r="O414" s="3">
        <v>225</v>
      </c>
      <c r="P414" s="1">
        <v>0</v>
      </c>
      <c r="Q414" s="1" t="s">
        <v>22</v>
      </c>
      <c r="R414" s="1" t="s">
        <v>22</v>
      </c>
      <c r="S414" s="1">
        <v>29</v>
      </c>
      <c r="T414" s="1">
        <v>1</v>
      </c>
      <c r="U414" s="1">
        <v>1</v>
      </c>
    </row>
    <row r="415" spans="1:21" x14ac:dyDescent="0.25">
      <c r="A415" s="4">
        <v>44775</v>
      </c>
      <c r="B415" s="5">
        <v>0.45052083333333331</v>
      </c>
      <c r="C415" s="1">
        <v>1437</v>
      </c>
      <c r="D415" s="1">
        <v>13002581</v>
      </c>
      <c r="E415" s="1">
        <v>13</v>
      </c>
      <c r="F415" s="1">
        <v>22589</v>
      </c>
      <c r="G415" s="1" t="s">
        <v>18</v>
      </c>
      <c r="H415" s="1">
        <v>18</v>
      </c>
      <c r="I415" s="1">
        <v>114</v>
      </c>
      <c r="J415" s="1" t="s">
        <v>524</v>
      </c>
      <c r="K415" s="1" t="s">
        <v>114</v>
      </c>
      <c r="L415" s="1" t="s">
        <v>525</v>
      </c>
      <c r="M415" s="1">
        <v>1</v>
      </c>
      <c r="N415" s="2">
        <v>338.92</v>
      </c>
      <c r="O415" s="3">
        <v>448</v>
      </c>
      <c r="P415" s="1">
        <v>0</v>
      </c>
      <c r="Q415" s="1" t="s">
        <v>22</v>
      </c>
      <c r="R415" s="1" t="s">
        <v>22</v>
      </c>
      <c r="S415" s="1">
        <v>29</v>
      </c>
      <c r="T415" s="1">
        <v>1</v>
      </c>
      <c r="U415" s="1">
        <v>1</v>
      </c>
    </row>
    <row r="416" spans="1:21" x14ac:dyDescent="0.25">
      <c r="A416" s="4">
        <v>44775</v>
      </c>
      <c r="B416" s="5">
        <v>0.45318287037037036</v>
      </c>
      <c r="C416" s="1">
        <v>1438</v>
      </c>
      <c r="D416" s="1">
        <v>13002581</v>
      </c>
      <c r="E416" s="1">
        <v>13</v>
      </c>
      <c r="F416" s="1">
        <v>22589</v>
      </c>
      <c r="G416" s="1" t="s">
        <v>18</v>
      </c>
      <c r="H416" s="1">
        <v>15</v>
      </c>
      <c r="I416" s="1">
        <v>344242</v>
      </c>
      <c r="J416" s="1" t="s">
        <v>259</v>
      </c>
      <c r="K416" s="1" t="s">
        <v>48</v>
      </c>
      <c r="L416" s="1" t="s">
        <v>219</v>
      </c>
      <c r="M416" s="1">
        <v>1</v>
      </c>
      <c r="N416" s="2">
        <v>44.59</v>
      </c>
      <c r="O416" s="3">
        <v>55</v>
      </c>
      <c r="P416" s="1">
        <v>2</v>
      </c>
      <c r="Q416" s="1">
        <v>9</v>
      </c>
      <c r="R416" s="1">
        <v>200010001691</v>
      </c>
      <c r="S416" s="1">
        <v>29</v>
      </c>
      <c r="T416" s="1">
        <v>1</v>
      </c>
      <c r="U416" s="1">
        <v>1</v>
      </c>
    </row>
    <row r="417" spans="1:21" x14ac:dyDescent="0.25">
      <c r="A417" s="4">
        <v>44775</v>
      </c>
      <c r="B417" s="5">
        <v>0.45318287037037036</v>
      </c>
      <c r="C417" s="1">
        <v>1438</v>
      </c>
      <c r="D417" s="1">
        <v>13002581</v>
      </c>
      <c r="E417" s="1">
        <v>13</v>
      </c>
      <c r="F417" s="1">
        <v>22589</v>
      </c>
      <c r="G417" s="1" t="s">
        <v>18</v>
      </c>
      <c r="H417" s="1">
        <v>15</v>
      </c>
      <c r="I417" s="1">
        <v>344242</v>
      </c>
      <c r="J417" s="1" t="s">
        <v>259</v>
      </c>
      <c r="K417" s="1" t="s">
        <v>48</v>
      </c>
      <c r="L417" s="1" t="s">
        <v>219</v>
      </c>
      <c r="M417" s="1">
        <v>1</v>
      </c>
      <c r="N417" s="2">
        <v>44.59</v>
      </c>
      <c r="O417" s="3">
        <v>55</v>
      </c>
      <c r="P417" s="1">
        <v>2</v>
      </c>
      <c r="Q417" s="1">
        <v>9</v>
      </c>
      <c r="R417" s="1">
        <v>200010001691</v>
      </c>
      <c r="S417" s="1">
        <v>29</v>
      </c>
      <c r="T417" s="1">
        <v>1</v>
      </c>
      <c r="U417" s="1">
        <v>2</v>
      </c>
    </row>
    <row r="418" spans="1:21" x14ac:dyDescent="0.25">
      <c r="A418" s="4">
        <v>44775</v>
      </c>
      <c r="B418" s="5">
        <v>0.46902777777777777</v>
      </c>
      <c r="C418" s="1">
        <v>1443</v>
      </c>
      <c r="D418" s="1">
        <v>13002581</v>
      </c>
      <c r="E418" s="1">
        <v>13</v>
      </c>
      <c r="F418" s="1">
        <v>22589</v>
      </c>
      <c r="G418" s="1" t="s">
        <v>18</v>
      </c>
      <c r="H418" s="1">
        <v>18</v>
      </c>
      <c r="I418" s="1">
        <v>344242</v>
      </c>
      <c r="J418" s="1" t="s">
        <v>259</v>
      </c>
      <c r="K418" s="1" t="s">
        <v>48</v>
      </c>
      <c r="L418" s="1" t="s">
        <v>219</v>
      </c>
      <c r="M418" s="1">
        <v>1</v>
      </c>
      <c r="N418" s="2">
        <v>44.59</v>
      </c>
      <c r="O418" s="3">
        <v>55</v>
      </c>
      <c r="P418" s="1">
        <v>2</v>
      </c>
      <c r="Q418" s="1">
        <v>9</v>
      </c>
      <c r="R418" s="1">
        <v>200010022530</v>
      </c>
      <c r="S418" s="1">
        <v>29</v>
      </c>
      <c r="T418" s="1">
        <v>1</v>
      </c>
      <c r="U418" s="1">
        <v>1</v>
      </c>
    </row>
    <row r="419" spans="1:21" x14ac:dyDescent="0.25">
      <c r="A419" s="4">
        <v>44775</v>
      </c>
      <c r="B419" s="5">
        <v>0.46049768518518519</v>
      </c>
      <c r="C419" s="1">
        <v>1439</v>
      </c>
      <c r="D419" s="1">
        <v>13002581</v>
      </c>
      <c r="E419" s="1">
        <v>13</v>
      </c>
      <c r="F419" s="1">
        <v>22589</v>
      </c>
      <c r="G419" s="1" t="s">
        <v>18</v>
      </c>
      <c r="H419" s="1">
        <v>15</v>
      </c>
      <c r="I419" s="1">
        <v>2302</v>
      </c>
      <c r="J419" s="1" t="s">
        <v>78</v>
      </c>
      <c r="K419" s="1" t="s">
        <v>58</v>
      </c>
      <c r="L419" s="1" t="s">
        <v>79</v>
      </c>
      <c r="M419" s="1">
        <v>1</v>
      </c>
      <c r="N419" s="2">
        <v>148.28</v>
      </c>
      <c r="O419" s="3">
        <v>174</v>
      </c>
      <c r="P419" s="1">
        <v>8</v>
      </c>
      <c r="Q419" s="1">
        <v>9</v>
      </c>
      <c r="R419" s="1">
        <v>200010022427</v>
      </c>
      <c r="S419" s="1">
        <v>29</v>
      </c>
      <c r="T419" s="1">
        <v>1</v>
      </c>
      <c r="U419" s="1">
        <v>2</v>
      </c>
    </row>
    <row r="420" spans="1:21" x14ac:dyDescent="0.25">
      <c r="A420" s="4">
        <v>44775</v>
      </c>
      <c r="B420" s="5">
        <v>0.46049768518518519</v>
      </c>
      <c r="C420" s="1">
        <v>1439</v>
      </c>
      <c r="D420" s="1">
        <v>13002581</v>
      </c>
      <c r="E420" s="1">
        <v>13</v>
      </c>
      <c r="F420" s="1">
        <v>22589</v>
      </c>
      <c r="G420" s="1" t="s">
        <v>18</v>
      </c>
      <c r="H420" s="1">
        <v>15</v>
      </c>
      <c r="I420" s="1">
        <v>724</v>
      </c>
      <c r="J420" s="1" t="s">
        <v>526</v>
      </c>
      <c r="K420" s="1" t="s">
        <v>20</v>
      </c>
      <c r="L420" s="1" t="s">
        <v>211</v>
      </c>
      <c r="M420" s="1">
        <v>1</v>
      </c>
      <c r="N420" s="2">
        <v>66.09</v>
      </c>
      <c r="O420" s="3">
        <v>78</v>
      </c>
      <c r="P420" s="1">
        <v>3</v>
      </c>
      <c r="Q420" s="1">
        <v>9</v>
      </c>
      <c r="R420" s="1">
        <v>200010022427</v>
      </c>
      <c r="S420" s="1">
        <v>29</v>
      </c>
      <c r="T420" s="1">
        <v>1</v>
      </c>
      <c r="U420" s="1">
        <v>1</v>
      </c>
    </row>
    <row r="421" spans="1:21" x14ac:dyDescent="0.25">
      <c r="A421" s="4">
        <v>44775</v>
      </c>
      <c r="B421" s="5">
        <v>0.46228009259259262</v>
      </c>
      <c r="C421" s="1">
        <v>1440</v>
      </c>
      <c r="D421" s="1">
        <v>13002581</v>
      </c>
      <c r="E421" s="1">
        <v>13</v>
      </c>
      <c r="F421" s="1">
        <v>22589</v>
      </c>
      <c r="G421" s="1" t="s">
        <v>18</v>
      </c>
      <c r="H421" s="1">
        <v>18</v>
      </c>
      <c r="I421" s="1">
        <v>1398</v>
      </c>
      <c r="J421" s="1" t="s">
        <v>527</v>
      </c>
      <c r="K421" s="1" t="s">
        <v>48</v>
      </c>
      <c r="L421" s="1" t="s">
        <v>528</v>
      </c>
      <c r="M421" s="1">
        <v>1</v>
      </c>
      <c r="N421" s="2">
        <v>530.53</v>
      </c>
      <c r="O421" s="3">
        <v>685</v>
      </c>
      <c r="P421" s="1">
        <v>0</v>
      </c>
      <c r="Q421" s="1" t="s">
        <v>22</v>
      </c>
      <c r="R421" s="1" t="s">
        <v>22</v>
      </c>
      <c r="S421" s="1">
        <v>29</v>
      </c>
      <c r="T421" s="1">
        <v>1</v>
      </c>
      <c r="U421" s="1">
        <v>3</v>
      </c>
    </row>
    <row r="422" spans="1:21" x14ac:dyDescent="0.25">
      <c r="A422" s="4">
        <v>44775</v>
      </c>
      <c r="B422" s="5">
        <v>0.46228009259259262</v>
      </c>
      <c r="C422" s="1">
        <v>1440</v>
      </c>
      <c r="D422" s="1">
        <v>13002581</v>
      </c>
      <c r="E422" s="1">
        <v>13</v>
      </c>
      <c r="F422" s="1">
        <v>22589</v>
      </c>
      <c r="G422" s="1" t="s">
        <v>18</v>
      </c>
      <c r="H422" s="1">
        <v>18</v>
      </c>
      <c r="I422" s="1">
        <v>132492</v>
      </c>
      <c r="J422" s="1" t="s">
        <v>466</v>
      </c>
      <c r="K422" s="1" t="s">
        <v>61</v>
      </c>
      <c r="L422" s="1" t="s">
        <v>467</v>
      </c>
      <c r="M422" s="1">
        <v>1</v>
      </c>
      <c r="N422" s="2">
        <v>18</v>
      </c>
      <c r="O422" s="3">
        <v>30</v>
      </c>
      <c r="P422" s="1">
        <v>0</v>
      </c>
      <c r="Q422" s="1" t="s">
        <v>22</v>
      </c>
      <c r="R422" s="1" t="s">
        <v>22</v>
      </c>
      <c r="S422" s="1">
        <v>29</v>
      </c>
      <c r="T422" s="1">
        <v>1</v>
      </c>
      <c r="U422" s="1">
        <v>2</v>
      </c>
    </row>
    <row r="423" spans="1:21" x14ac:dyDescent="0.25">
      <c r="A423" s="4">
        <v>44775</v>
      </c>
      <c r="B423" s="5">
        <v>0.46228009259259262</v>
      </c>
      <c r="C423" s="1">
        <v>1440</v>
      </c>
      <c r="D423" s="1">
        <v>13002581</v>
      </c>
      <c r="E423" s="1">
        <v>13</v>
      </c>
      <c r="F423" s="1">
        <v>22589</v>
      </c>
      <c r="G423" s="1" t="s">
        <v>18</v>
      </c>
      <c r="H423" s="1">
        <v>18</v>
      </c>
      <c r="I423" s="1">
        <v>30028</v>
      </c>
      <c r="J423" s="1" t="s">
        <v>163</v>
      </c>
      <c r="K423" s="1" t="s">
        <v>48</v>
      </c>
      <c r="L423" s="1" t="s">
        <v>164</v>
      </c>
      <c r="M423" s="1">
        <v>2</v>
      </c>
      <c r="N423" s="2">
        <v>10.01</v>
      </c>
      <c r="O423" s="3">
        <v>17</v>
      </c>
      <c r="P423" s="1">
        <v>0</v>
      </c>
      <c r="Q423" s="1" t="s">
        <v>22</v>
      </c>
      <c r="R423" s="1" t="s">
        <v>22</v>
      </c>
      <c r="S423" s="1">
        <v>29</v>
      </c>
      <c r="T423" s="1">
        <v>1</v>
      </c>
      <c r="U423" s="1">
        <v>1</v>
      </c>
    </row>
    <row r="424" spans="1:21" x14ac:dyDescent="0.25">
      <c r="A424" s="4">
        <v>44775</v>
      </c>
      <c r="B424" s="5">
        <v>0.7406018518518519</v>
      </c>
      <c r="C424" s="1">
        <v>1516</v>
      </c>
      <c r="D424" s="1">
        <v>13002581</v>
      </c>
      <c r="E424" s="1">
        <v>13</v>
      </c>
      <c r="F424" s="1">
        <v>22589</v>
      </c>
      <c r="G424" s="1" t="s">
        <v>18</v>
      </c>
      <c r="H424" s="1">
        <v>15</v>
      </c>
      <c r="I424" s="1">
        <v>30028</v>
      </c>
      <c r="J424" s="1" t="s">
        <v>163</v>
      </c>
      <c r="K424" s="1" t="s">
        <v>48</v>
      </c>
      <c r="L424" s="1" t="s">
        <v>164</v>
      </c>
      <c r="M424" s="1">
        <v>1</v>
      </c>
      <c r="N424" s="2">
        <v>10.01</v>
      </c>
      <c r="O424" s="3">
        <v>17</v>
      </c>
      <c r="P424" s="1">
        <v>1</v>
      </c>
      <c r="Q424" s="1">
        <v>9</v>
      </c>
      <c r="R424" s="1">
        <v>200010018923</v>
      </c>
      <c r="S424" s="1">
        <v>29</v>
      </c>
      <c r="T424" s="1">
        <v>1</v>
      </c>
      <c r="U424" s="1">
        <v>1</v>
      </c>
    </row>
    <row r="425" spans="1:21" x14ac:dyDescent="0.25">
      <c r="A425" s="4">
        <v>44775</v>
      </c>
      <c r="B425" s="5">
        <v>0.46716435185185184</v>
      </c>
      <c r="C425" s="1">
        <v>1441</v>
      </c>
      <c r="D425" s="1">
        <v>13002581</v>
      </c>
      <c r="E425" s="1">
        <v>13</v>
      </c>
      <c r="F425" s="1">
        <v>22589</v>
      </c>
      <c r="G425" s="1" t="s">
        <v>18</v>
      </c>
      <c r="H425" s="1">
        <v>18</v>
      </c>
      <c r="I425" s="1">
        <v>83</v>
      </c>
      <c r="J425" s="1" t="s">
        <v>529</v>
      </c>
      <c r="K425" s="1" t="s">
        <v>48</v>
      </c>
      <c r="L425" s="1" t="s">
        <v>530</v>
      </c>
      <c r="M425" s="1">
        <v>1</v>
      </c>
      <c r="N425" s="2">
        <v>308.89999999999998</v>
      </c>
      <c r="O425" s="3">
        <v>371</v>
      </c>
      <c r="P425" s="1">
        <v>25</v>
      </c>
      <c r="Q425" s="1">
        <v>9</v>
      </c>
      <c r="R425" s="1">
        <v>200010022273</v>
      </c>
      <c r="S425" s="1">
        <v>29</v>
      </c>
      <c r="T425" s="1">
        <v>1</v>
      </c>
      <c r="U425" s="1">
        <v>1</v>
      </c>
    </row>
    <row r="426" spans="1:21" x14ac:dyDescent="0.25">
      <c r="A426" s="4">
        <v>44775</v>
      </c>
      <c r="B426" s="5">
        <v>0.46716435185185184</v>
      </c>
      <c r="C426" s="1">
        <v>1441</v>
      </c>
      <c r="D426" s="1">
        <v>13002581</v>
      </c>
      <c r="E426" s="1">
        <v>13</v>
      </c>
      <c r="F426" s="1">
        <v>22589</v>
      </c>
      <c r="G426" s="1" t="s">
        <v>18</v>
      </c>
      <c r="H426" s="1">
        <v>18</v>
      </c>
      <c r="I426" s="1">
        <v>182633</v>
      </c>
      <c r="J426" s="1" t="s">
        <v>531</v>
      </c>
      <c r="K426" s="1" t="s">
        <v>114</v>
      </c>
      <c r="L426" s="1" t="s">
        <v>391</v>
      </c>
      <c r="M426" s="1">
        <v>1</v>
      </c>
      <c r="N426" s="2">
        <v>210.19</v>
      </c>
      <c r="O426" s="3">
        <v>253</v>
      </c>
      <c r="P426" s="1">
        <v>12</v>
      </c>
      <c r="Q426" s="1">
        <v>9</v>
      </c>
      <c r="R426" s="1">
        <v>200010022273</v>
      </c>
      <c r="S426" s="1">
        <v>29</v>
      </c>
      <c r="T426" s="1">
        <v>1</v>
      </c>
      <c r="U426" s="1">
        <v>2</v>
      </c>
    </row>
    <row r="427" spans="1:21" x14ac:dyDescent="0.25">
      <c r="A427" s="4">
        <v>44775</v>
      </c>
      <c r="B427" s="5">
        <v>0.46902777777777777</v>
      </c>
      <c r="C427" s="1">
        <v>1443</v>
      </c>
      <c r="D427" s="1">
        <v>13002581</v>
      </c>
      <c r="E427" s="1">
        <v>13</v>
      </c>
      <c r="F427" s="1">
        <v>22589</v>
      </c>
      <c r="G427" s="1" t="s">
        <v>18</v>
      </c>
      <c r="H427" s="1">
        <v>18</v>
      </c>
      <c r="I427" s="1">
        <v>418134</v>
      </c>
      <c r="J427" s="1" t="s">
        <v>415</v>
      </c>
      <c r="K427" s="1" t="s">
        <v>48</v>
      </c>
      <c r="L427" s="1" t="s">
        <v>73</v>
      </c>
      <c r="M427" s="1">
        <v>1</v>
      </c>
      <c r="N427" s="2">
        <v>30.25</v>
      </c>
      <c r="O427" s="3">
        <v>35</v>
      </c>
      <c r="P427" s="1">
        <v>2</v>
      </c>
      <c r="Q427" s="1">
        <v>9</v>
      </c>
      <c r="R427" s="1">
        <v>200010022530</v>
      </c>
      <c r="S427" s="1">
        <v>29</v>
      </c>
      <c r="T427" s="1">
        <v>1</v>
      </c>
      <c r="U427" s="1">
        <v>2</v>
      </c>
    </row>
    <row r="428" spans="1:21" x14ac:dyDescent="0.25">
      <c r="A428" s="4">
        <v>44775</v>
      </c>
      <c r="B428" s="5">
        <v>0.46902777777777777</v>
      </c>
      <c r="C428" s="1">
        <v>1443</v>
      </c>
      <c r="D428" s="1">
        <v>13002581</v>
      </c>
      <c r="E428" s="1">
        <v>13</v>
      </c>
      <c r="F428" s="1">
        <v>22589</v>
      </c>
      <c r="G428" s="1" t="s">
        <v>18</v>
      </c>
      <c r="H428" s="1">
        <v>18</v>
      </c>
      <c r="I428" s="1">
        <v>418134</v>
      </c>
      <c r="J428" s="1" t="s">
        <v>415</v>
      </c>
      <c r="K428" s="1" t="s">
        <v>48</v>
      </c>
      <c r="L428" s="1" t="s">
        <v>73</v>
      </c>
      <c r="M428" s="1">
        <v>1</v>
      </c>
      <c r="N428" s="2">
        <v>30.25</v>
      </c>
      <c r="O428" s="3">
        <v>35</v>
      </c>
      <c r="P428" s="1">
        <v>2</v>
      </c>
      <c r="Q428" s="1">
        <v>9</v>
      </c>
      <c r="R428" s="1">
        <v>200010022530</v>
      </c>
      <c r="S428" s="1">
        <v>29</v>
      </c>
      <c r="T428" s="1">
        <v>1</v>
      </c>
      <c r="U428" s="1">
        <v>3</v>
      </c>
    </row>
    <row r="429" spans="1:21" x14ac:dyDescent="0.25">
      <c r="A429" s="4">
        <v>44775</v>
      </c>
      <c r="B429" s="5">
        <v>0.46902777777777777</v>
      </c>
      <c r="C429" s="1">
        <v>1443</v>
      </c>
      <c r="D429" s="1">
        <v>13002581</v>
      </c>
      <c r="E429" s="1">
        <v>13</v>
      </c>
      <c r="F429" s="1">
        <v>22589</v>
      </c>
      <c r="G429" s="1" t="s">
        <v>18</v>
      </c>
      <c r="H429" s="1">
        <v>18</v>
      </c>
      <c r="I429" s="1">
        <v>418134</v>
      </c>
      <c r="J429" s="1" t="s">
        <v>415</v>
      </c>
      <c r="K429" s="1" t="s">
        <v>48</v>
      </c>
      <c r="L429" s="1" t="s">
        <v>73</v>
      </c>
      <c r="M429" s="1">
        <v>1</v>
      </c>
      <c r="N429" s="2">
        <v>30.25</v>
      </c>
      <c r="O429" s="3">
        <v>35</v>
      </c>
      <c r="P429" s="1">
        <v>2</v>
      </c>
      <c r="Q429" s="1">
        <v>9</v>
      </c>
      <c r="R429" s="1">
        <v>200010022530</v>
      </c>
      <c r="S429" s="1">
        <v>29</v>
      </c>
      <c r="T429" s="1">
        <v>1</v>
      </c>
      <c r="U429" s="1">
        <v>4</v>
      </c>
    </row>
    <row r="430" spans="1:21" x14ac:dyDescent="0.25">
      <c r="A430" s="4">
        <v>44775</v>
      </c>
      <c r="B430" s="5">
        <v>0.46902777777777777</v>
      </c>
      <c r="C430" s="1">
        <v>1443</v>
      </c>
      <c r="D430" s="1">
        <v>13002581</v>
      </c>
      <c r="E430" s="1">
        <v>13</v>
      </c>
      <c r="F430" s="1">
        <v>22589</v>
      </c>
      <c r="G430" s="1" t="s">
        <v>18</v>
      </c>
      <c r="H430" s="1">
        <v>18</v>
      </c>
      <c r="I430" s="1">
        <v>418134</v>
      </c>
      <c r="J430" s="1" t="s">
        <v>415</v>
      </c>
      <c r="K430" s="1" t="s">
        <v>48</v>
      </c>
      <c r="L430" s="1" t="s">
        <v>73</v>
      </c>
      <c r="M430" s="1">
        <v>1</v>
      </c>
      <c r="N430" s="2">
        <v>30.25</v>
      </c>
      <c r="O430" s="3">
        <v>35</v>
      </c>
      <c r="P430" s="1">
        <v>2</v>
      </c>
      <c r="Q430" s="1">
        <v>9</v>
      </c>
      <c r="R430" s="1">
        <v>200010022530</v>
      </c>
      <c r="S430" s="1">
        <v>29</v>
      </c>
      <c r="T430" s="1">
        <v>1</v>
      </c>
      <c r="U430" s="1">
        <v>5</v>
      </c>
    </row>
    <row r="431" spans="1:21" x14ac:dyDescent="0.25">
      <c r="A431" s="4">
        <v>44775</v>
      </c>
      <c r="B431" s="5">
        <v>0.5242013888888889</v>
      </c>
      <c r="C431" s="1">
        <v>1464</v>
      </c>
      <c r="D431" s="1">
        <v>13002581</v>
      </c>
      <c r="E431" s="1">
        <v>13</v>
      </c>
      <c r="F431" s="1">
        <v>22589</v>
      </c>
      <c r="G431" s="1" t="s">
        <v>18</v>
      </c>
      <c r="H431" s="1">
        <v>15</v>
      </c>
      <c r="I431" s="1">
        <v>418134</v>
      </c>
      <c r="J431" s="1" t="s">
        <v>415</v>
      </c>
      <c r="K431" s="1" t="s">
        <v>48</v>
      </c>
      <c r="L431" s="1" t="s">
        <v>73</v>
      </c>
      <c r="M431" s="1">
        <v>1</v>
      </c>
      <c r="N431" s="2">
        <v>30.25</v>
      </c>
      <c r="O431" s="3">
        <v>35</v>
      </c>
      <c r="P431" s="1">
        <v>2</v>
      </c>
      <c r="Q431" s="1">
        <v>9</v>
      </c>
      <c r="R431" s="1">
        <v>200010009449</v>
      </c>
      <c r="S431" s="1">
        <v>29</v>
      </c>
      <c r="T431" s="1">
        <v>1</v>
      </c>
      <c r="U431" s="1">
        <v>1</v>
      </c>
    </row>
    <row r="432" spans="1:21" x14ac:dyDescent="0.25">
      <c r="A432" s="4">
        <v>44775</v>
      </c>
      <c r="B432" s="5">
        <v>0.47571759259259261</v>
      </c>
      <c r="C432" s="1">
        <v>1444</v>
      </c>
      <c r="D432" s="1">
        <v>13002581</v>
      </c>
      <c r="E432" s="1">
        <v>13</v>
      </c>
      <c r="F432" s="1">
        <v>22589</v>
      </c>
      <c r="G432" s="1" t="s">
        <v>18</v>
      </c>
      <c r="H432" s="1">
        <v>15</v>
      </c>
      <c r="I432" s="1">
        <v>347426</v>
      </c>
      <c r="J432" s="1" t="s">
        <v>532</v>
      </c>
      <c r="K432" s="1" t="s">
        <v>48</v>
      </c>
      <c r="L432" s="1" t="s">
        <v>533</v>
      </c>
      <c r="M432" s="1">
        <v>1</v>
      </c>
      <c r="N432" s="2">
        <v>2552.4299999999998</v>
      </c>
      <c r="O432" s="3">
        <v>3497</v>
      </c>
      <c r="P432" s="1">
        <v>349</v>
      </c>
      <c r="Q432" s="1">
        <v>9</v>
      </c>
      <c r="R432" s="1">
        <v>200010001691</v>
      </c>
      <c r="S432" s="1">
        <v>29</v>
      </c>
      <c r="T432" s="1">
        <v>1</v>
      </c>
      <c r="U432" s="1">
        <v>1</v>
      </c>
    </row>
    <row r="433" spans="1:21" x14ac:dyDescent="0.25">
      <c r="A433" s="4">
        <v>44775</v>
      </c>
      <c r="B433" s="5">
        <v>0.47620370370370368</v>
      </c>
      <c r="C433" s="1">
        <v>1445</v>
      </c>
      <c r="D433" s="1">
        <v>13002581</v>
      </c>
      <c r="E433" s="1">
        <v>13</v>
      </c>
      <c r="F433" s="1">
        <v>22589</v>
      </c>
      <c r="G433" s="1" t="s">
        <v>18</v>
      </c>
      <c r="H433" s="1">
        <v>18</v>
      </c>
      <c r="I433" s="1">
        <v>2302</v>
      </c>
      <c r="J433" s="1" t="s">
        <v>78</v>
      </c>
      <c r="K433" s="1" t="s">
        <v>58</v>
      </c>
      <c r="L433" s="1" t="s">
        <v>79</v>
      </c>
      <c r="M433" s="1">
        <v>1</v>
      </c>
      <c r="N433" s="2">
        <v>148.28</v>
      </c>
      <c r="O433" s="3">
        <v>174</v>
      </c>
      <c r="P433" s="1">
        <v>8</v>
      </c>
      <c r="Q433" s="1">
        <v>9</v>
      </c>
      <c r="R433" s="1">
        <v>200010011842</v>
      </c>
      <c r="S433" s="1">
        <v>29</v>
      </c>
      <c r="T433" s="1">
        <v>1</v>
      </c>
      <c r="U433" s="1">
        <v>1</v>
      </c>
    </row>
    <row r="434" spans="1:21" x14ac:dyDescent="0.25">
      <c r="A434" s="4">
        <v>44775</v>
      </c>
      <c r="B434" s="5">
        <v>0.4767824074074074</v>
      </c>
      <c r="C434" s="1">
        <v>1446</v>
      </c>
      <c r="D434" s="1">
        <v>13002581</v>
      </c>
      <c r="E434" s="1">
        <v>13</v>
      </c>
      <c r="F434" s="1">
        <v>22589</v>
      </c>
      <c r="G434" s="1" t="s">
        <v>18</v>
      </c>
      <c r="H434" s="1">
        <v>18</v>
      </c>
      <c r="I434" s="1">
        <v>41241</v>
      </c>
      <c r="J434" s="1" t="s">
        <v>147</v>
      </c>
      <c r="K434" s="1" t="s">
        <v>31</v>
      </c>
      <c r="L434" s="1" t="s">
        <v>148</v>
      </c>
      <c r="M434" s="1">
        <v>1</v>
      </c>
      <c r="N434" s="2">
        <v>99.97</v>
      </c>
      <c r="O434" s="3">
        <v>121.72</v>
      </c>
      <c r="P434" s="1">
        <v>0</v>
      </c>
      <c r="Q434" s="1" t="s">
        <v>22</v>
      </c>
      <c r="R434" s="1" t="s">
        <v>22</v>
      </c>
      <c r="S434" s="1">
        <v>29</v>
      </c>
      <c r="T434" s="1">
        <v>2</v>
      </c>
      <c r="U434" s="1">
        <v>1</v>
      </c>
    </row>
    <row r="435" spans="1:21" x14ac:dyDescent="0.25">
      <c r="A435" s="4">
        <v>44775</v>
      </c>
      <c r="B435" s="5">
        <v>0.7515856481481481</v>
      </c>
      <c r="C435" s="1">
        <v>1521</v>
      </c>
      <c r="D435" s="1">
        <v>13002581</v>
      </c>
      <c r="E435" s="1">
        <v>13</v>
      </c>
      <c r="F435" s="1">
        <v>22589</v>
      </c>
      <c r="G435" s="1" t="s">
        <v>18</v>
      </c>
      <c r="H435" s="1">
        <v>18</v>
      </c>
      <c r="I435" s="1">
        <v>41241</v>
      </c>
      <c r="J435" s="1" t="s">
        <v>147</v>
      </c>
      <c r="K435" s="1" t="s">
        <v>31</v>
      </c>
      <c r="L435" s="1" t="s">
        <v>148</v>
      </c>
      <c r="M435" s="1">
        <v>1</v>
      </c>
      <c r="N435" s="2">
        <v>99.97</v>
      </c>
      <c r="O435" s="3">
        <v>121.72</v>
      </c>
      <c r="P435" s="1">
        <v>0</v>
      </c>
      <c r="Q435" s="1" t="s">
        <v>22</v>
      </c>
      <c r="R435" s="1" t="s">
        <v>22</v>
      </c>
      <c r="S435" s="1">
        <v>29</v>
      </c>
      <c r="T435" s="1">
        <v>2</v>
      </c>
      <c r="U435" s="1">
        <v>2</v>
      </c>
    </row>
    <row r="436" spans="1:21" x14ac:dyDescent="0.25">
      <c r="A436" s="4">
        <v>44775</v>
      </c>
      <c r="B436" s="5">
        <v>0.48201388888888891</v>
      </c>
      <c r="C436" s="1">
        <v>1447</v>
      </c>
      <c r="D436" s="1">
        <v>13002581</v>
      </c>
      <c r="E436" s="1">
        <v>13</v>
      </c>
      <c r="F436" s="1">
        <v>22589</v>
      </c>
      <c r="G436" s="1" t="s">
        <v>18</v>
      </c>
      <c r="H436" s="1">
        <v>18</v>
      </c>
      <c r="I436" s="1">
        <v>312886</v>
      </c>
      <c r="J436" s="1" t="s">
        <v>534</v>
      </c>
      <c r="K436" s="1" t="s">
        <v>58</v>
      </c>
      <c r="L436" s="1" t="s">
        <v>34</v>
      </c>
      <c r="M436" s="1">
        <v>1</v>
      </c>
      <c r="N436" s="2">
        <v>559.67999999999995</v>
      </c>
      <c r="O436" s="3">
        <v>722</v>
      </c>
      <c r="P436" s="1">
        <v>50</v>
      </c>
      <c r="Q436" s="1">
        <v>9</v>
      </c>
      <c r="R436" s="1">
        <v>200010016190</v>
      </c>
      <c r="S436" s="1">
        <v>29</v>
      </c>
      <c r="T436" s="1">
        <v>1</v>
      </c>
      <c r="U436" s="1">
        <v>1</v>
      </c>
    </row>
    <row r="437" spans="1:21" x14ac:dyDescent="0.25">
      <c r="A437" s="4">
        <v>44775</v>
      </c>
      <c r="B437" s="5">
        <v>0.48563657407407407</v>
      </c>
      <c r="C437" s="1">
        <v>1448</v>
      </c>
      <c r="D437" s="1">
        <v>13002581</v>
      </c>
      <c r="E437" s="1">
        <v>13</v>
      </c>
      <c r="F437" s="1">
        <v>22589</v>
      </c>
      <c r="G437" s="1" t="s">
        <v>18</v>
      </c>
      <c r="H437" s="1">
        <v>15</v>
      </c>
      <c r="I437" s="1">
        <v>523021</v>
      </c>
      <c r="J437" s="1" t="s">
        <v>535</v>
      </c>
      <c r="K437" s="1" t="s">
        <v>20</v>
      </c>
      <c r="L437" s="1" t="s">
        <v>536</v>
      </c>
      <c r="M437" s="1">
        <v>1</v>
      </c>
      <c r="N437" s="2">
        <v>127.49</v>
      </c>
      <c r="O437" s="3">
        <v>153</v>
      </c>
      <c r="P437" s="1">
        <v>7</v>
      </c>
      <c r="Q437" s="1">
        <v>9</v>
      </c>
      <c r="R437" s="1">
        <v>200010014189</v>
      </c>
      <c r="S437" s="1">
        <v>29</v>
      </c>
      <c r="T437" s="1">
        <v>1</v>
      </c>
      <c r="U437" s="1">
        <v>1</v>
      </c>
    </row>
    <row r="438" spans="1:21" x14ac:dyDescent="0.25">
      <c r="A438" s="4">
        <v>44775</v>
      </c>
      <c r="B438" s="5">
        <v>0.48563657407407407</v>
      </c>
      <c r="C438" s="1">
        <v>1448</v>
      </c>
      <c r="D438" s="1">
        <v>13002581</v>
      </c>
      <c r="E438" s="1">
        <v>13</v>
      </c>
      <c r="F438" s="1">
        <v>22589</v>
      </c>
      <c r="G438" s="1" t="s">
        <v>18</v>
      </c>
      <c r="H438" s="1">
        <v>15</v>
      </c>
      <c r="I438" s="1">
        <v>1329</v>
      </c>
      <c r="J438" s="1" t="s">
        <v>537</v>
      </c>
      <c r="K438" s="1" t="s">
        <v>31</v>
      </c>
      <c r="L438" s="1" t="s">
        <v>538</v>
      </c>
      <c r="M438" s="1">
        <v>0.2</v>
      </c>
      <c r="N438" s="2">
        <v>419.66</v>
      </c>
      <c r="O438" s="3">
        <v>554</v>
      </c>
      <c r="P438" s="1">
        <v>6.8</v>
      </c>
      <c r="Q438" s="1">
        <v>9</v>
      </c>
      <c r="R438" s="1">
        <v>200010014189</v>
      </c>
      <c r="S438" s="1">
        <v>29</v>
      </c>
      <c r="T438" s="1">
        <v>1</v>
      </c>
      <c r="U438" s="1">
        <v>2</v>
      </c>
    </row>
    <row r="439" spans="1:21" x14ac:dyDescent="0.25">
      <c r="A439" s="4">
        <v>44775</v>
      </c>
      <c r="B439" s="5">
        <v>0.48714120370370373</v>
      </c>
      <c r="C439" s="1">
        <v>1449</v>
      </c>
      <c r="D439" s="1">
        <v>13002581</v>
      </c>
      <c r="E439" s="1">
        <v>13</v>
      </c>
      <c r="F439" s="1">
        <v>22589</v>
      </c>
      <c r="G439" s="1" t="s">
        <v>18</v>
      </c>
      <c r="H439" s="1">
        <v>15</v>
      </c>
      <c r="I439" s="1">
        <v>98751</v>
      </c>
      <c r="J439" s="1" t="s">
        <v>539</v>
      </c>
      <c r="K439" s="1" t="s">
        <v>48</v>
      </c>
      <c r="L439" s="1" t="s">
        <v>540</v>
      </c>
      <c r="M439" s="1">
        <v>1</v>
      </c>
      <c r="N439" s="2">
        <v>77.22</v>
      </c>
      <c r="O439" s="3">
        <v>122</v>
      </c>
      <c r="P439" s="1">
        <v>0</v>
      </c>
      <c r="Q439" s="1" t="s">
        <v>22</v>
      </c>
      <c r="R439" s="1" t="s">
        <v>22</v>
      </c>
      <c r="S439" s="1">
        <v>29</v>
      </c>
      <c r="T439" s="1">
        <v>1</v>
      </c>
      <c r="U439" s="1">
        <v>1</v>
      </c>
    </row>
    <row r="440" spans="1:21" x14ac:dyDescent="0.25">
      <c r="A440" s="4">
        <v>44775</v>
      </c>
      <c r="B440" s="5">
        <v>0.49315972222222221</v>
      </c>
      <c r="C440" s="1">
        <v>1450</v>
      </c>
      <c r="D440" s="1">
        <v>13002581</v>
      </c>
      <c r="E440" s="1">
        <v>13</v>
      </c>
      <c r="F440" s="1">
        <v>22589</v>
      </c>
      <c r="G440" s="1" t="s">
        <v>18</v>
      </c>
      <c r="H440" s="1">
        <v>15</v>
      </c>
      <c r="I440" s="1">
        <v>4189</v>
      </c>
      <c r="J440" s="1" t="s">
        <v>541</v>
      </c>
      <c r="K440" s="1" t="s">
        <v>114</v>
      </c>
      <c r="L440" s="1" t="s">
        <v>542</v>
      </c>
      <c r="M440" s="1">
        <v>1</v>
      </c>
      <c r="N440" s="2">
        <v>559.91</v>
      </c>
      <c r="O440" s="3">
        <v>624</v>
      </c>
      <c r="P440" s="1">
        <v>18</v>
      </c>
      <c r="Q440" s="1">
        <v>9</v>
      </c>
      <c r="R440" s="1">
        <v>200010019550</v>
      </c>
      <c r="S440" s="1">
        <v>29</v>
      </c>
      <c r="T440" s="1">
        <v>1</v>
      </c>
      <c r="U440" s="1">
        <v>1</v>
      </c>
    </row>
    <row r="441" spans="1:21" x14ac:dyDescent="0.25">
      <c r="A441" s="4">
        <v>44775</v>
      </c>
      <c r="B441" s="5">
        <v>0.49315972222222221</v>
      </c>
      <c r="C441" s="1">
        <v>1450</v>
      </c>
      <c r="D441" s="1">
        <v>13002581</v>
      </c>
      <c r="E441" s="1">
        <v>13</v>
      </c>
      <c r="F441" s="1">
        <v>22589</v>
      </c>
      <c r="G441" s="1" t="s">
        <v>18</v>
      </c>
      <c r="H441" s="1">
        <v>15</v>
      </c>
      <c r="I441" s="1">
        <v>256548</v>
      </c>
      <c r="J441" s="1" t="s">
        <v>543</v>
      </c>
      <c r="K441" s="1" t="s">
        <v>114</v>
      </c>
      <c r="L441" s="1" t="s">
        <v>544</v>
      </c>
      <c r="M441" s="1">
        <v>1</v>
      </c>
      <c r="N441" s="2">
        <v>174.32</v>
      </c>
      <c r="O441" s="3">
        <v>231</v>
      </c>
      <c r="P441" s="1">
        <v>23</v>
      </c>
      <c r="Q441" s="1">
        <v>9</v>
      </c>
      <c r="R441" s="1">
        <v>200010019550</v>
      </c>
      <c r="S441" s="1">
        <v>29</v>
      </c>
      <c r="T441" s="1">
        <v>1</v>
      </c>
      <c r="U441" s="1">
        <v>2</v>
      </c>
    </row>
    <row r="442" spans="1:21" x14ac:dyDescent="0.25">
      <c r="A442" s="4">
        <v>44775</v>
      </c>
      <c r="B442" s="5">
        <v>0.49315972222222221</v>
      </c>
      <c r="C442" s="1">
        <v>1450</v>
      </c>
      <c r="D442" s="1">
        <v>13002581</v>
      </c>
      <c r="E442" s="1">
        <v>13</v>
      </c>
      <c r="F442" s="1">
        <v>22589</v>
      </c>
      <c r="G442" s="1" t="s">
        <v>18</v>
      </c>
      <c r="H442" s="1">
        <v>15</v>
      </c>
      <c r="I442" s="1">
        <v>278599</v>
      </c>
      <c r="J442" s="1" t="s">
        <v>95</v>
      </c>
      <c r="K442" s="1" t="s">
        <v>20</v>
      </c>
      <c r="L442" s="1" t="s">
        <v>96</v>
      </c>
      <c r="M442" s="1">
        <v>2</v>
      </c>
      <c r="N442" s="2">
        <v>30.62</v>
      </c>
      <c r="O442" s="3">
        <v>50</v>
      </c>
      <c r="P442" s="1">
        <v>10</v>
      </c>
      <c r="Q442" s="1">
        <v>9</v>
      </c>
      <c r="R442" s="1">
        <v>200010019550</v>
      </c>
      <c r="S442" s="1">
        <v>29</v>
      </c>
      <c r="T442" s="1">
        <v>1</v>
      </c>
      <c r="U442" s="1">
        <v>3</v>
      </c>
    </row>
    <row r="443" spans="1:21" x14ac:dyDescent="0.25">
      <c r="A443" s="4">
        <v>44775</v>
      </c>
      <c r="B443" s="5">
        <v>0.49481481481481482</v>
      </c>
      <c r="C443" s="1">
        <v>1451</v>
      </c>
      <c r="D443" s="1">
        <v>13002581</v>
      </c>
      <c r="E443" s="1">
        <v>13</v>
      </c>
      <c r="F443" s="1">
        <v>22589</v>
      </c>
      <c r="G443" s="1" t="s">
        <v>18</v>
      </c>
      <c r="H443" s="1">
        <v>18</v>
      </c>
      <c r="I443" s="1">
        <v>499560</v>
      </c>
      <c r="J443" s="1" t="s">
        <v>545</v>
      </c>
      <c r="K443" s="1" t="s">
        <v>45</v>
      </c>
      <c r="L443" s="1" t="s">
        <v>544</v>
      </c>
      <c r="M443" s="1">
        <v>1</v>
      </c>
      <c r="N443" s="2">
        <v>107.38</v>
      </c>
      <c r="O443" s="3">
        <v>167</v>
      </c>
      <c r="P443" s="1">
        <v>0</v>
      </c>
      <c r="Q443" s="1" t="s">
        <v>22</v>
      </c>
      <c r="R443" s="1" t="s">
        <v>22</v>
      </c>
      <c r="S443" s="1">
        <v>29</v>
      </c>
      <c r="T443" s="1">
        <v>1</v>
      </c>
      <c r="U443" s="1">
        <v>1</v>
      </c>
    </row>
    <row r="444" spans="1:21" x14ac:dyDescent="0.25">
      <c r="A444" s="4">
        <v>44775</v>
      </c>
      <c r="B444" s="5">
        <v>0.49481481481481482</v>
      </c>
      <c r="C444" s="1">
        <v>1451</v>
      </c>
      <c r="D444" s="1">
        <v>13002581</v>
      </c>
      <c r="E444" s="1">
        <v>13</v>
      </c>
      <c r="F444" s="1">
        <v>22589</v>
      </c>
      <c r="G444" s="1" t="s">
        <v>18</v>
      </c>
      <c r="H444" s="1">
        <v>18</v>
      </c>
      <c r="I444" s="1">
        <v>90385</v>
      </c>
      <c r="J444" s="1" t="s">
        <v>546</v>
      </c>
      <c r="K444" s="1" t="s">
        <v>48</v>
      </c>
      <c r="L444" s="1" t="s">
        <v>365</v>
      </c>
      <c r="M444" s="1">
        <v>1</v>
      </c>
      <c r="N444" s="2">
        <v>35.049999999999997</v>
      </c>
      <c r="O444" s="3">
        <v>57</v>
      </c>
      <c r="P444" s="1">
        <v>0</v>
      </c>
      <c r="Q444" s="1" t="s">
        <v>22</v>
      </c>
      <c r="R444" s="1" t="s">
        <v>22</v>
      </c>
      <c r="S444" s="1">
        <v>29</v>
      </c>
      <c r="T444" s="1">
        <v>1</v>
      </c>
      <c r="U444" s="1">
        <v>2</v>
      </c>
    </row>
    <row r="445" spans="1:21" x14ac:dyDescent="0.25">
      <c r="A445" s="4">
        <v>44775</v>
      </c>
      <c r="B445" s="5">
        <v>0.49568287037037034</v>
      </c>
      <c r="C445" s="1">
        <v>1452</v>
      </c>
      <c r="D445" s="1">
        <v>13002581</v>
      </c>
      <c r="E445" s="1">
        <v>13</v>
      </c>
      <c r="F445" s="1">
        <v>22589</v>
      </c>
      <c r="G445" s="1" t="s">
        <v>18</v>
      </c>
      <c r="H445" s="1">
        <v>15</v>
      </c>
      <c r="I445" s="1">
        <v>345542</v>
      </c>
      <c r="J445" s="1" t="s">
        <v>381</v>
      </c>
      <c r="K445" s="1" t="s">
        <v>48</v>
      </c>
      <c r="L445" s="1" t="s">
        <v>73</v>
      </c>
      <c r="M445" s="1">
        <v>1</v>
      </c>
      <c r="N445" s="2">
        <v>15.18</v>
      </c>
      <c r="O445" s="3">
        <v>19</v>
      </c>
      <c r="P445" s="1">
        <v>0</v>
      </c>
      <c r="Q445" s="1" t="s">
        <v>22</v>
      </c>
      <c r="R445" s="1" t="s">
        <v>22</v>
      </c>
      <c r="S445" s="1">
        <v>29</v>
      </c>
      <c r="T445" s="1">
        <v>1</v>
      </c>
      <c r="U445" s="1">
        <v>1</v>
      </c>
    </row>
    <row r="446" spans="1:21" x14ac:dyDescent="0.25">
      <c r="A446" s="4">
        <v>44775</v>
      </c>
      <c r="B446" s="5">
        <v>0.49568287037037034</v>
      </c>
      <c r="C446" s="1">
        <v>1452</v>
      </c>
      <c r="D446" s="1">
        <v>13002581</v>
      </c>
      <c r="E446" s="1">
        <v>13</v>
      </c>
      <c r="F446" s="1">
        <v>22589</v>
      </c>
      <c r="G446" s="1" t="s">
        <v>18</v>
      </c>
      <c r="H446" s="1">
        <v>15</v>
      </c>
      <c r="I446" s="1">
        <v>9937</v>
      </c>
      <c r="J446" s="1" t="s">
        <v>547</v>
      </c>
      <c r="K446" s="1" t="s">
        <v>114</v>
      </c>
      <c r="L446" s="1" t="s">
        <v>77</v>
      </c>
      <c r="M446" s="1">
        <v>1</v>
      </c>
      <c r="N446" s="2">
        <v>31.28</v>
      </c>
      <c r="O446" s="3">
        <v>54</v>
      </c>
      <c r="P446" s="1">
        <v>0</v>
      </c>
      <c r="Q446" s="1" t="s">
        <v>22</v>
      </c>
      <c r="R446" s="1" t="s">
        <v>22</v>
      </c>
      <c r="S446" s="1">
        <v>29</v>
      </c>
      <c r="T446" s="1">
        <v>1</v>
      </c>
      <c r="U446" s="1">
        <v>2</v>
      </c>
    </row>
    <row r="447" spans="1:21" x14ac:dyDescent="0.25">
      <c r="A447" s="4">
        <v>44775</v>
      </c>
      <c r="B447" s="5">
        <v>0.49611111111111111</v>
      </c>
      <c r="C447" s="1">
        <v>1453</v>
      </c>
      <c r="D447" s="1">
        <v>13002581</v>
      </c>
      <c r="E447" s="1">
        <v>13</v>
      </c>
      <c r="F447" s="1">
        <v>22589</v>
      </c>
      <c r="G447" s="1" t="s">
        <v>18</v>
      </c>
      <c r="H447" s="1">
        <v>18</v>
      </c>
      <c r="I447" s="1">
        <v>105480</v>
      </c>
      <c r="J447" s="1" t="s">
        <v>548</v>
      </c>
      <c r="K447" s="1" t="s">
        <v>138</v>
      </c>
      <c r="L447" s="1" t="s">
        <v>549</v>
      </c>
      <c r="M447" s="1">
        <v>1</v>
      </c>
      <c r="N447" s="2">
        <v>809</v>
      </c>
      <c r="O447" s="3">
        <v>902</v>
      </c>
      <c r="P447" s="1">
        <v>0</v>
      </c>
      <c r="Q447" s="1" t="s">
        <v>22</v>
      </c>
      <c r="R447" s="1" t="s">
        <v>22</v>
      </c>
      <c r="S447" s="1">
        <v>29</v>
      </c>
      <c r="T447" s="1">
        <v>1</v>
      </c>
      <c r="U447" s="1">
        <v>1</v>
      </c>
    </row>
    <row r="448" spans="1:21" x14ac:dyDescent="0.25">
      <c r="A448" s="4">
        <v>44775</v>
      </c>
      <c r="B448" s="5">
        <v>0.49800925925925926</v>
      </c>
      <c r="C448" s="1">
        <v>1454</v>
      </c>
      <c r="D448" s="1">
        <v>13002581</v>
      </c>
      <c r="E448" s="1">
        <v>13</v>
      </c>
      <c r="F448" s="1">
        <v>22589</v>
      </c>
      <c r="G448" s="1" t="s">
        <v>18</v>
      </c>
      <c r="H448" s="1">
        <v>15</v>
      </c>
      <c r="I448" s="1">
        <v>459</v>
      </c>
      <c r="J448" s="1" t="s">
        <v>550</v>
      </c>
      <c r="K448" s="1" t="s">
        <v>31</v>
      </c>
      <c r="L448" s="1" t="s">
        <v>551</v>
      </c>
      <c r="M448" s="1">
        <v>1</v>
      </c>
      <c r="N448" s="2">
        <v>316.54000000000002</v>
      </c>
      <c r="O448" s="3">
        <v>418</v>
      </c>
      <c r="P448" s="1">
        <v>29</v>
      </c>
      <c r="Q448" s="1">
        <v>9</v>
      </c>
      <c r="R448" s="1">
        <v>200010000733</v>
      </c>
      <c r="S448" s="1">
        <v>29</v>
      </c>
      <c r="T448" s="1">
        <v>1</v>
      </c>
      <c r="U448" s="1">
        <v>2</v>
      </c>
    </row>
    <row r="449" spans="1:21" x14ac:dyDescent="0.25">
      <c r="A449" s="4">
        <v>44775</v>
      </c>
      <c r="B449" s="5">
        <v>0.49800925925925926</v>
      </c>
      <c r="C449" s="1">
        <v>1454</v>
      </c>
      <c r="D449" s="1">
        <v>13002581</v>
      </c>
      <c r="E449" s="1">
        <v>13</v>
      </c>
      <c r="F449" s="1">
        <v>22589</v>
      </c>
      <c r="G449" s="1" t="s">
        <v>18</v>
      </c>
      <c r="H449" s="1">
        <v>15</v>
      </c>
      <c r="I449" s="1">
        <v>354089</v>
      </c>
      <c r="J449" s="1" t="s">
        <v>366</v>
      </c>
      <c r="K449" s="1" t="s">
        <v>20</v>
      </c>
      <c r="L449" s="1" t="s">
        <v>73</v>
      </c>
      <c r="M449" s="1">
        <v>1</v>
      </c>
      <c r="N449" s="2">
        <v>39.47</v>
      </c>
      <c r="O449" s="3">
        <v>60</v>
      </c>
      <c r="P449" s="1">
        <v>4</v>
      </c>
      <c r="Q449" s="1">
        <v>9</v>
      </c>
      <c r="R449" s="1">
        <v>200010000733</v>
      </c>
      <c r="S449" s="1">
        <v>29</v>
      </c>
      <c r="T449" s="1">
        <v>1</v>
      </c>
      <c r="U449" s="1">
        <v>4</v>
      </c>
    </row>
    <row r="450" spans="1:21" x14ac:dyDescent="0.25">
      <c r="A450" s="4">
        <v>44775</v>
      </c>
      <c r="B450" s="5">
        <v>0.49800925925925926</v>
      </c>
      <c r="C450" s="1">
        <v>1454</v>
      </c>
      <c r="D450" s="1">
        <v>13002581</v>
      </c>
      <c r="E450" s="1">
        <v>13</v>
      </c>
      <c r="F450" s="1">
        <v>22589</v>
      </c>
      <c r="G450" s="1" t="s">
        <v>18</v>
      </c>
      <c r="H450" s="1">
        <v>15</v>
      </c>
      <c r="I450" s="1">
        <v>51599</v>
      </c>
      <c r="J450" s="1" t="s">
        <v>552</v>
      </c>
      <c r="K450" s="1" t="s">
        <v>31</v>
      </c>
      <c r="L450" s="1" t="s">
        <v>223</v>
      </c>
      <c r="M450" s="1">
        <v>2</v>
      </c>
      <c r="N450" s="2">
        <v>37.49</v>
      </c>
      <c r="O450" s="3">
        <v>61</v>
      </c>
      <c r="P450" s="1">
        <v>12</v>
      </c>
      <c r="Q450" s="1">
        <v>9</v>
      </c>
      <c r="R450" s="1">
        <v>200010000733</v>
      </c>
      <c r="S450" s="1">
        <v>29</v>
      </c>
      <c r="T450" s="1">
        <v>1</v>
      </c>
      <c r="U450" s="1">
        <v>3</v>
      </c>
    </row>
    <row r="451" spans="1:21" x14ac:dyDescent="0.25">
      <c r="A451" s="4">
        <v>44775</v>
      </c>
      <c r="B451" s="5">
        <v>0.49800925925925926</v>
      </c>
      <c r="C451" s="1">
        <v>1454</v>
      </c>
      <c r="D451" s="1">
        <v>13002581</v>
      </c>
      <c r="E451" s="1">
        <v>13</v>
      </c>
      <c r="F451" s="1">
        <v>22589</v>
      </c>
      <c r="G451" s="1" t="s">
        <v>18</v>
      </c>
      <c r="H451" s="1">
        <v>15</v>
      </c>
      <c r="I451" s="1">
        <v>498715</v>
      </c>
      <c r="J451" s="1" t="s">
        <v>553</v>
      </c>
      <c r="K451" s="1" t="s">
        <v>20</v>
      </c>
      <c r="L451" s="1" t="s">
        <v>172</v>
      </c>
      <c r="M451" s="1">
        <v>1</v>
      </c>
      <c r="N451" s="2">
        <v>454.23</v>
      </c>
      <c r="O451" s="3">
        <v>668</v>
      </c>
      <c r="P451" s="1">
        <v>66</v>
      </c>
      <c r="Q451" s="1">
        <v>9</v>
      </c>
      <c r="R451" s="1">
        <v>200010000733</v>
      </c>
      <c r="S451" s="1">
        <v>29</v>
      </c>
      <c r="T451" s="1">
        <v>1</v>
      </c>
      <c r="U451" s="1">
        <v>1</v>
      </c>
    </row>
    <row r="452" spans="1:21" x14ac:dyDescent="0.25">
      <c r="A452" s="4">
        <v>44775</v>
      </c>
      <c r="B452" s="5">
        <v>0.49857638888888889</v>
      </c>
      <c r="C452" s="1">
        <v>1455</v>
      </c>
      <c r="D452" s="1">
        <v>13002581</v>
      </c>
      <c r="E452" s="1">
        <v>13</v>
      </c>
      <c r="F452" s="1">
        <v>22589</v>
      </c>
      <c r="G452" s="1" t="s">
        <v>18</v>
      </c>
      <c r="H452" s="1">
        <v>18</v>
      </c>
      <c r="I452" s="1">
        <v>58685</v>
      </c>
      <c r="J452" s="1" t="s">
        <v>554</v>
      </c>
      <c r="K452" s="1" t="s">
        <v>48</v>
      </c>
      <c r="L452" s="1" t="s">
        <v>194</v>
      </c>
      <c r="M452" s="1">
        <v>1</v>
      </c>
      <c r="N452" s="2">
        <v>155.87</v>
      </c>
      <c r="O452" s="3">
        <v>214</v>
      </c>
      <c r="P452" s="1">
        <v>0</v>
      </c>
      <c r="Q452" s="1" t="s">
        <v>22</v>
      </c>
      <c r="R452" s="1" t="s">
        <v>22</v>
      </c>
      <c r="S452" s="1">
        <v>29</v>
      </c>
      <c r="T452" s="1">
        <v>1</v>
      </c>
      <c r="U452" s="1">
        <v>1</v>
      </c>
    </row>
    <row r="453" spans="1:21" x14ac:dyDescent="0.25">
      <c r="A453" s="4">
        <v>44775</v>
      </c>
      <c r="B453" s="5">
        <v>0.5007638888888889</v>
      </c>
      <c r="C453" s="1">
        <v>1456</v>
      </c>
      <c r="D453" s="1">
        <v>13002581</v>
      </c>
      <c r="E453" s="1">
        <v>13</v>
      </c>
      <c r="F453" s="1">
        <v>22589</v>
      </c>
      <c r="G453" s="1" t="s">
        <v>18</v>
      </c>
      <c r="H453" s="1">
        <v>15</v>
      </c>
      <c r="I453" s="1">
        <v>11811</v>
      </c>
      <c r="J453" s="1" t="s">
        <v>555</v>
      </c>
      <c r="K453" s="1" t="s">
        <v>114</v>
      </c>
      <c r="L453" s="1" t="s">
        <v>556</v>
      </c>
      <c r="M453" s="1">
        <v>1</v>
      </c>
      <c r="N453" s="2">
        <v>357.61</v>
      </c>
      <c r="O453" s="3">
        <v>473</v>
      </c>
      <c r="P453" s="1">
        <v>33</v>
      </c>
      <c r="Q453" s="1">
        <v>9</v>
      </c>
      <c r="R453" s="1">
        <v>200010020256</v>
      </c>
      <c r="S453" s="1">
        <v>29</v>
      </c>
      <c r="T453" s="1">
        <v>1</v>
      </c>
      <c r="U453" s="1">
        <v>2</v>
      </c>
    </row>
    <row r="454" spans="1:21" x14ac:dyDescent="0.25">
      <c r="A454" s="4">
        <v>44775</v>
      </c>
      <c r="B454" s="5">
        <v>0.5007638888888889</v>
      </c>
      <c r="C454" s="1">
        <v>1456</v>
      </c>
      <c r="D454" s="1">
        <v>13002581</v>
      </c>
      <c r="E454" s="1">
        <v>13</v>
      </c>
      <c r="F454" s="1">
        <v>22589</v>
      </c>
      <c r="G454" s="1" t="s">
        <v>18</v>
      </c>
      <c r="H454" s="1">
        <v>15</v>
      </c>
      <c r="I454" s="1">
        <v>149574</v>
      </c>
      <c r="J454" s="1" t="s">
        <v>557</v>
      </c>
      <c r="K454" s="1" t="s">
        <v>20</v>
      </c>
      <c r="L454" s="1" t="s">
        <v>156</v>
      </c>
      <c r="M454" s="1">
        <v>1</v>
      </c>
      <c r="N454" s="2">
        <v>81.400000000000006</v>
      </c>
      <c r="O454" s="3">
        <v>100</v>
      </c>
      <c r="P454" s="1">
        <v>5</v>
      </c>
      <c r="Q454" s="1">
        <v>9</v>
      </c>
      <c r="R454" s="1">
        <v>200010020256</v>
      </c>
      <c r="S454" s="1">
        <v>29</v>
      </c>
      <c r="T454" s="1">
        <v>1</v>
      </c>
      <c r="U454" s="1">
        <v>1</v>
      </c>
    </row>
    <row r="455" spans="1:21" x14ac:dyDescent="0.25">
      <c r="A455" s="4">
        <v>44775</v>
      </c>
      <c r="B455" s="5">
        <v>0.50753472222222218</v>
      </c>
      <c r="C455" s="1">
        <v>1457</v>
      </c>
      <c r="D455" s="1">
        <v>13002581</v>
      </c>
      <c r="E455" s="1">
        <v>13</v>
      </c>
      <c r="F455" s="1">
        <v>22589</v>
      </c>
      <c r="G455" s="1" t="s">
        <v>18</v>
      </c>
      <c r="H455" s="1">
        <v>15</v>
      </c>
      <c r="I455" s="1">
        <v>276370</v>
      </c>
      <c r="J455" s="1" t="s">
        <v>28</v>
      </c>
      <c r="K455" s="1" t="s">
        <v>20</v>
      </c>
      <c r="L455" s="1" t="s">
        <v>29</v>
      </c>
      <c r="M455" s="1">
        <v>1</v>
      </c>
      <c r="N455" s="2">
        <v>443.5</v>
      </c>
      <c r="O455" s="3">
        <v>539</v>
      </c>
      <c r="P455" s="1">
        <v>53</v>
      </c>
      <c r="Q455" s="1">
        <v>30</v>
      </c>
      <c r="R455" s="1">
        <v>200000000024</v>
      </c>
      <c r="S455" s="1">
        <v>29</v>
      </c>
      <c r="T455" s="1">
        <v>1</v>
      </c>
      <c r="U455" s="1">
        <v>1</v>
      </c>
    </row>
    <row r="456" spans="1:21" x14ac:dyDescent="0.25">
      <c r="A456" s="4">
        <v>44775</v>
      </c>
      <c r="B456" s="5">
        <v>0.50753472222222218</v>
      </c>
      <c r="C456" s="1">
        <v>1457</v>
      </c>
      <c r="D456" s="1">
        <v>13002581</v>
      </c>
      <c r="E456" s="1">
        <v>13</v>
      </c>
      <c r="F456" s="1">
        <v>22589</v>
      </c>
      <c r="G456" s="1" t="s">
        <v>18</v>
      </c>
      <c r="H456" s="1">
        <v>15</v>
      </c>
      <c r="I456" s="1">
        <v>276370</v>
      </c>
      <c r="J456" s="1" t="s">
        <v>28</v>
      </c>
      <c r="K456" s="1" t="s">
        <v>20</v>
      </c>
      <c r="L456" s="1" t="s">
        <v>29</v>
      </c>
      <c r="M456" s="1">
        <v>1</v>
      </c>
      <c r="N456" s="2">
        <v>443.5</v>
      </c>
      <c r="O456" s="3">
        <v>539</v>
      </c>
      <c r="P456" s="1">
        <v>53</v>
      </c>
      <c r="Q456" s="1">
        <v>30</v>
      </c>
      <c r="R456" s="1">
        <v>200000000024</v>
      </c>
      <c r="S456" s="1">
        <v>29</v>
      </c>
      <c r="T456" s="1">
        <v>1</v>
      </c>
      <c r="U456" s="1">
        <v>2</v>
      </c>
    </row>
    <row r="457" spans="1:21" x14ac:dyDescent="0.25">
      <c r="A457" s="4">
        <v>44775</v>
      </c>
      <c r="B457" s="5">
        <v>0.50753472222222218</v>
      </c>
      <c r="C457" s="1">
        <v>1457</v>
      </c>
      <c r="D457" s="1">
        <v>13002581</v>
      </c>
      <c r="E457" s="1">
        <v>13</v>
      </c>
      <c r="F457" s="1">
        <v>22589</v>
      </c>
      <c r="G457" s="1" t="s">
        <v>18</v>
      </c>
      <c r="H457" s="1">
        <v>15</v>
      </c>
      <c r="I457" s="1">
        <v>475</v>
      </c>
      <c r="J457" s="1" t="s">
        <v>238</v>
      </c>
      <c r="K457" s="1" t="s">
        <v>114</v>
      </c>
      <c r="L457" s="1" t="s">
        <v>32</v>
      </c>
      <c r="M457" s="1">
        <v>1</v>
      </c>
      <c r="N457" s="2">
        <v>130.46</v>
      </c>
      <c r="O457" s="3">
        <v>179</v>
      </c>
      <c r="P457" s="1">
        <v>0</v>
      </c>
      <c r="Q457" s="1" t="s">
        <v>22</v>
      </c>
      <c r="R457" s="1" t="s">
        <v>22</v>
      </c>
      <c r="S457" s="1">
        <v>29</v>
      </c>
      <c r="T457" s="1">
        <v>1</v>
      </c>
      <c r="U457" s="1">
        <v>3</v>
      </c>
    </row>
    <row r="458" spans="1:21" x14ac:dyDescent="0.25">
      <c r="A458" s="4">
        <v>44775</v>
      </c>
      <c r="B458" s="5">
        <v>0.50753472222222218</v>
      </c>
      <c r="C458" s="1">
        <v>1457</v>
      </c>
      <c r="D458" s="1">
        <v>13002581</v>
      </c>
      <c r="E458" s="1">
        <v>13</v>
      </c>
      <c r="F458" s="1">
        <v>22589</v>
      </c>
      <c r="G458" s="1" t="s">
        <v>18</v>
      </c>
      <c r="H458" s="1">
        <v>15</v>
      </c>
      <c r="I458" s="1">
        <v>2230</v>
      </c>
      <c r="J458" s="1" t="s">
        <v>558</v>
      </c>
      <c r="K458" s="1" t="s">
        <v>31</v>
      </c>
      <c r="L458" s="1" t="s">
        <v>189</v>
      </c>
      <c r="M458" s="1">
        <v>1</v>
      </c>
      <c r="N458" s="2">
        <v>225.28</v>
      </c>
      <c r="O458" s="3">
        <v>282</v>
      </c>
      <c r="P458" s="1">
        <v>0</v>
      </c>
      <c r="Q458" s="1" t="s">
        <v>22</v>
      </c>
      <c r="R458" s="1" t="s">
        <v>22</v>
      </c>
      <c r="S458" s="1">
        <v>29</v>
      </c>
      <c r="T458" s="1">
        <v>1</v>
      </c>
      <c r="U458" s="1">
        <v>5</v>
      </c>
    </row>
    <row r="459" spans="1:21" x14ac:dyDescent="0.25">
      <c r="A459" s="4">
        <v>44775</v>
      </c>
      <c r="B459" s="5">
        <v>0.50753472222222218</v>
      </c>
      <c r="C459" s="1">
        <v>1457</v>
      </c>
      <c r="D459" s="1">
        <v>13002581</v>
      </c>
      <c r="E459" s="1">
        <v>13</v>
      </c>
      <c r="F459" s="1">
        <v>22589</v>
      </c>
      <c r="G459" s="1" t="s">
        <v>18</v>
      </c>
      <c r="H459" s="1">
        <v>15</v>
      </c>
      <c r="I459" s="1">
        <v>292820</v>
      </c>
      <c r="J459" s="1" t="s">
        <v>137</v>
      </c>
      <c r="K459" s="1" t="s">
        <v>138</v>
      </c>
      <c r="L459" s="1" t="s">
        <v>139</v>
      </c>
      <c r="M459" s="1">
        <v>1</v>
      </c>
      <c r="N459" s="2">
        <v>23.04</v>
      </c>
      <c r="O459" s="3">
        <v>38</v>
      </c>
      <c r="P459" s="1">
        <v>0</v>
      </c>
      <c r="Q459" s="1" t="s">
        <v>22</v>
      </c>
      <c r="R459" s="1" t="s">
        <v>22</v>
      </c>
      <c r="S459" s="1">
        <v>29</v>
      </c>
      <c r="T459" s="1">
        <v>1</v>
      </c>
      <c r="U459" s="1">
        <v>4</v>
      </c>
    </row>
    <row r="460" spans="1:21" x14ac:dyDescent="0.25">
      <c r="A460" s="4">
        <v>44775</v>
      </c>
      <c r="B460" s="5">
        <v>0.50859953703703709</v>
      </c>
      <c r="C460" s="1">
        <v>1458</v>
      </c>
      <c r="D460" s="1">
        <v>13002581</v>
      </c>
      <c r="E460" s="1">
        <v>13</v>
      </c>
      <c r="F460" s="1">
        <v>22589</v>
      </c>
      <c r="G460" s="1" t="s">
        <v>18</v>
      </c>
      <c r="H460" s="1">
        <v>15</v>
      </c>
      <c r="I460" s="1">
        <v>18016</v>
      </c>
      <c r="J460" s="1" t="s">
        <v>559</v>
      </c>
      <c r="K460" s="1" t="s">
        <v>42</v>
      </c>
      <c r="L460" s="1" t="s">
        <v>560</v>
      </c>
      <c r="M460" s="1">
        <v>1</v>
      </c>
      <c r="N460" s="2">
        <v>145.37</v>
      </c>
      <c r="O460" s="3">
        <v>226</v>
      </c>
      <c r="P460" s="1">
        <v>22</v>
      </c>
      <c r="Q460" s="1">
        <v>30</v>
      </c>
      <c r="R460" s="1">
        <v>200000000024</v>
      </c>
      <c r="S460" s="1">
        <v>29</v>
      </c>
      <c r="T460" s="1">
        <v>1</v>
      </c>
      <c r="U460" s="1">
        <v>1</v>
      </c>
    </row>
    <row r="461" spans="1:21" x14ac:dyDescent="0.25">
      <c r="A461" s="4">
        <v>44775</v>
      </c>
      <c r="B461" s="5">
        <v>0.51202546296296292</v>
      </c>
      <c r="C461" s="1">
        <v>1459</v>
      </c>
      <c r="D461" s="1">
        <v>13002581</v>
      </c>
      <c r="E461" s="1">
        <v>13</v>
      </c>
      <c r="F461" s="1">
        <v>22589</v>
      </c>
      <c r="G461" s="1" t="s">
        <v>18</v>
      </c>
      <c r="H461" s="1">
        <v>15</v>
      </c>
      <c r="I461" s="1">
        <v>5155</v>
      </c>
      <c r="J461" s="1" t="s">
        <v>290</v>
      </c>
      <c r="K461" s="1" t="s">
        <v>26</v>
      </c>
      <c r="L461" s="1" t="s">
        <v>217</v>
      </c>
      <c r="M461" s="1">
        <v>1</v>
      </c>
      <c r="N461" s="2">
        <v>72.02</v>
      </c>
      <c r="O461" s="3">
        <v>90</v>
      </c>
      <c r="P461" s="1">
        <v>4</v>
      </c>
      <c r="Q461" s="1">
        <v>9</v>
      </c>
      <c r="R461" s="1">
        <v>200010002982</v>
      </c>
      <c r="S461" s="1">
        <v>29</v>
      </c>
      <c r="T461" s="1">
        <v>1</v>
      </c>
      <c r="U461" s="1">
        <v>2</v>
      </c>
    </row>
    <row r="462" spans="1:21" x14ac:dyDescent="0.25">
      <c r="A462" s="4">
        <v>44775</v>
      </c>
      <c r="B462" s="5">
        <v>0.51202546296296292</v>
      </c>
      <c r="C462" s="1">
        <v>1459</v>
      </c>
      <c r="D462" s="1">
        <v>13002581</v>
      </c>
      <c r="E462" s="1">
        <v>13</v>
      </c>
      <c r="F462" s="1">
        <v>22589</v>
      </c>
      <c r="G462" s="1" t="s">
        <v>18</v>
      </c>
      <c r="H462" s="1">
        <v>15</v>
      </c>
      <c r="I462" s="1">
        <v>75946</v>
      </c>
      <c r="J462" s="1" t="s">
        <v>561</v>
      </c>
      <c r="K462" s="1" t="s">
        <v>48</v>
      </c>
      <c r="L462" s="1" t="s">
        <v>213</v>
      </c>
      <c r="M462" s="1">
        <v>1</v>
      </c>
      <c r="N462" s="2">
        <v>89.82</v>
      </c>
      <c r="O462" s="3">
        <v>106</v>
      </c>
      <c r="P462" s="1">
        <v>5</v>
      </c>
      <c r="Q462" s="1">
        <v>9</v>
      </c>
      <c r="R462" s="1">
        <v>200010002982</v>
      </c>
      <c r="S462" s="1">
        <v>29</v>
      </c>
      <c r="T462" s="1">
        <v>1</v>
      </c>
      <c r="U462" s="1">
        <v>3</v>
      </c>
    </row>
    <row r="463" spans="1:21" x14ac:dyDescent="0.25">
      <c r="A463" s="4">
        <v>44775</v>
      </c>
      <c r="B463" s="5">
        <v>0.51202546296296292</v>
      </c>
      <c r="C463" s="1">
        <v>1459</v>
      </c>
      <c r="D463" s="1">
        <v>13002581</v>
      </c>
      <c r="E463" s="1">
        <v>13</v>
      </c>
      <c r="F463" s="1">
        <v>22589</v>
      </c>
      <c r="G463" s="1" t="s">
        <v>18</v>
      </c>
      <c r="H463" s="1">
        <v>15</v>
      </c>
      <c r="I463" s="1">
        <v>338492</v>
      </c>
      <c r="J463" s="1" t="s">
        <v>37</v>
      </c>
      <c r="K463" s="1" t="s">
        <v>20</v>
      </c>
      <c r="L463" s="1" t="s">
        <v>34</v>
      </c>
      <c r="M463" s="1">
        <v>1</v>
      </c>
      <c r="N463" s="2">
        <v>328.53</v>
      </c>
      <c r="O463" s="3">
        <v>413</v>
      </c>
      <c r="P463" s="1">
        <v>20</v>
      </c>
      <c r="Q463" s="1">
        <v>9</v>
      </c>
      <c r="R463" s="1">
        <v>200010002982</v>
      </c>
      <c r="S463" s="1">
        <v>29</v>
      </c>
      <c r="T463" s="1">
        <v>1</v>
      </c>
      <c r="U463" s="1">
        <v>1</v>
      </c>
    </row>
    <row r="464" spans="1:21" x14ac:dyDescent="0.25">
      <c r="A464" s="4">
        <v>44775</v>
      </c>
      <c r="B464" s="5">
        <v>0.51202546296296292</v>
      </c>
      <c r="C464" s="1">
        <v>1459</v>
      </c>
      <c r="D464" s="1">
        <v>13002581</v>
      </c>
      <c r="E464" s="1">
        <v>13</v>
      </c>
      <c r="F464" s="1">
        <v>22589</v>
      </c>
      <c r="G464" s="1" t="s">
        <v>18</v>
      </c>
      <c r="H464" s="1">
        <v>15</v>
      </c>
      <c r="I464" s="1">
        <v>190635</v>
      </c>
      <c r="J464" s="1" t="s">
        <v>25</v>
      </c>
      <c r="K464" s="1" t="s">
        <v>26</v>
      </c>
      <c r="L464" s="1" t="s">
        <v>27</v>
      </c>
      <c r="M464" s="1">
        <v>1</v>
      </c>
      <c r="N464" s="2">
        <v>2320.9899999999998</v>
      </c>
      <c r="O464" s="3">
        <v>2563</v>
      </c>
      <c r="P464" s="1">
        <v>76</v>
      </c>
      <c r="Q464" s="1">
        <v>9</v>
      </c>
      <c r="R464" s="1">
        <v>200010002982</v>
      </c>
      <c r="S464" s="1">
        <v>29</v>
      </c>
      <c r="T464" s="1">
        <v>1</v>
      </c>
      <c r="U464" s="1">
        <v>4</v>
      </c>
    </row>
    <row r="465" spans="1:21" x14ac:dyDescent="0.25">
      <c r="A465" s="4">
        <v>44775</v>
      </c>
      <c r="B465" s="5">
        <v>0.51302083333333337</v>
      </c>
      <c r="C465" s="1">
        <v>1460</v>
      </c>
      <c r="D465" s="1">
        <v>13002581</v>
      </c>
      <c r="E465" s="1">
        <v>13</v>
      </c>
      <c r="F465" s="1">
        <v>22589</v>
      </c>
      <c r="G465" s="1" t="s">
        <v>18</v>
      </c>
      <c r="H465" s="1">
        <v>15</v>
      </c>
      <c r="I465" s="1">
        <v>23788</v>
      </c>
      <c r="J465" s="1" t="s">
        <v>562</v>
      </c>
      <c r="K465" s="1" t="s">
        <v>31</v>
      </c>
      <c r="L465" s="1" t="s">
        <v>563</v>
      </c>
      <c r="M465" s="1">
        <v>1</v>
      </c>
      <c r="N465" s="2">
        <v>299.61</v>
      </c>
      <c r="O465" s="3">
        <v>368</v>
      </c>
      <c r="P465" s="1">
        <v>18</v>
      </c>
      <c r="Q465" s="1">
        <v>9</v>
      </c>
      <c r="R465" s="1">
        <v>200010020276</v>
      </c>
      <c r="S465" s="1">
        <v>29</v>
      </c>
      <c r="T465" s="1">
        <v>1</v>
      </c>
      <c r="U465" s="1">
        <v>1</v>
      </c>
    </row>
    <row r="466" spans="1:21" x14ac:dyDescent="0.25">
      <c r="A466" s="4">
        <v>44775</v>
      </c>
      <c r="B466" s="5">
        <v>0.51391203703703703</v>
      </c>
      <c r="C466" s="1">
        <v>1461</v>
      </c>
      <c r="D466" s="1">
        <v>13002581</v>
      </c>
      <c r="E466" s="1">
        <v>13</v>
      </c>
      <c r="F466" s="1">
        <v>22589</v>
      </c>
      <c r="G466" s="1" t="s">
        <v>18</v>
      </c>
      <c r="H466" s="1">
        <v>15</v>
      </c>
      <c r="I466" s="1">
        <v>310896</v>
      </c>
      <c r="J466" s="1" t="s">
        <v>564</v>
      </c>
      <c r="K466" s="1" t="s">
        <v>20</v>
      </c>
      <c r="L466" s="1" t="s">
        <v>34</v>
      </c>
      <c r="M466" s="1">
        <v>1</v>
      </c>
      <c r="N466" s="2">
        <v>201.88</v>
      </c>
      <c r="O466" s="3">
        <v>273</v>
      </c>
      <c r="P466" s="1">
        <v>19</v>
      </c>
      <c r="Q466" s="1">
        <v>9</v>
      </c>
      <c r="R466" s="1">
        <v>200010002982</v>
      </c>
      <c r="S466" s="1">
        <v>29</v>
      </c>
      <c r="T466" s="1">
        <v>1</v>
      </c>
      <c r="U466" s="1">
        <v>1</v>
      </c>
    </row>
    <row r="467" spans="1:21" x14ac:dyDescent="0.25">
      <c r="A467" s="4">
        <v>44775</v>
      </c>
      <c r="B467" s="5">
        <v>0.52030092592592592</v>
      </c>
      <c r="C467" s="1">
        <v>1462</v>
      </c>
      <c r="D467" s="1">
        <v>13002581</v>
      </c>
      <c r="E467" s="1">
        <v>13</v>
      </c>
      <c r="F467" s="1">
        <v>22589</v>
      </c>
      <c r="G467" s="1" t="s">
        <v>18</v>
      </c>
      <c r="H467" s="1">
        <v>15</v>
      </c>
      <c r="I467" s="1">
        <v>262924</v>
      </c>
      <c r="J467" s="1" t="s">
        <v>565</v>
      </c>
      <c r="K467" s="1" t="s">
        <v>26</v>
      </c>
      <c r="L467" s="1" t="s">
        <v>217</v>
      </c>
      <c r="M467" s="1">
        <v>1</v>
      </c>
      <c r="N467" s="2">
        <v>158.59</v>
      </c>
      <c r="O467" s="3">
        <v>188</v>
      </c>
      <c r="P467" s="1">
        <v>9</v>
      </c>
      <c r="Q467" s="1">
        <v>9</v>
      </c>
      <c r="R467" s="1">
        <v>200010009449</v>
      </c>
      <c r="S467" s="1">
        <v>29</v>
      </c>
      <c r="T467" s="1">
        <v>1</v>
      </c>
      <c r="U467" s="1">
        <v>4</v>
      </c>
    </row>
    <row r="468" spans="1:21" x14ac:dyDescent="0.25">
      <c r="A468" s="4">
        <v>44775</v>
      </c>
      <c r="B468" s="5">
        <v>0.52030092592592592</v>
      </c>
      <c r="C468" s="1">
        <v>1462</v>
      </c>
      <c r="D468" s="1">
        <v>13002581</v>
      </c>
      <c r="E468" s="1">
        <v>13</v>
      </c>
      <c r="F468" s="1">
        <v>22589</v>
      </c>
      <c r="G468" s="1" t="s">
        <v>18</v>
      </c>
      <c r="H468" s="1">
        <v>15</v>
      </c>
      <c r="I468" s="1">
        <v>262924</v>
      </c>
      <c r="J468" s="1" t="s">
        <v>565</v>
      </c>
      <c r="K468" s="1" t="s">
        <v>26</v>
      </c>
      <c r="L468" s="1" t="s">
        <v>217</v>
      </c>
      <c r="M468" s="1">
        <v>1</v>
      </c>
      <c r="N468" s="2">
        <v>158.59</v>
      </c>
      <c r="O468" s="3">
        <v>188</v>
      </c>
      <c r="P468" s="1">
        <v>9</v>
      </c>
      <c r="Q468" s="1">
        <v>9</v>
      </c>
      <c r="R468" s="1">
        <v>200010009449</v>
      </c>
      <c r="S468" s="1">
        <v>29</v>
      </c>
      <c r="T468" s="1">
        <v>1</v>
      </c>
      <c r="U468" s="1">
        <v>5</v>
      </c>
    </row>
    <row r="469" spans="1:21" x14ac:dyDescent="0.25">
      <c r="A469" s="4">
        <v>44775</v>
      </c>
      <c r="B469" s="5">
        <v>0.52030092592592592</v>
      </c>
      <c r="C469" s="1">
        <v>1462</v>
      </c>
      <c r="D469" s="1">
        <v>13002581</v>
      </c>
      <c r="E469" s="1">
        <v>13</v>
      </c>
      <c r="F469" s="1">
        <v>22589</v>
      </c>
      <c r="G469" s="1" t="s">
        <v>18</v>
      </c>
      <c r="H469" s="1">
        <v>15</v>
      </c>
      <c r="I469" s="1">
        <v>406428</v>
      </c>
      <c r="J469" s="1" t="s">
        <v>566</v>
      </c>
      <c r="K469" s="1" t="s">
        <v>48</v>
      </c>
      <c r="L469" s="1" t="s">
        <v>73</v>
      </c>
      <c r="M469" s="1">
        <v>1</v>
      </c>
      <c r="N469" s="2">
        <v>42.56</v>
      </c>
      <c r="O469" s="3">
        <v>65</v>
      </c>
      <c r="P469" s="1">
        <v>4</v>
      </c>
      <c r="Q469" s="1">
        <v>9</v>
      </c>
      <c r="R469" s="1">
        <v>200010009449</v>
      </c>
      <c r="S469" s="1">
        <v>29</v>
      </c>
      <c r="T469" s="1">
        <v>1</v>
      </c>
      <c r="U469" s="1">
        <v>1</v>
      </c>
    </row>
    <row r="470" spans="1:21" x14ac:dyDescent="0.25">
      <c r="A470" s="4">
        <v>44775</v>
      </c>
      <c r="B470" s="5">
        <v>0.52030092592592592</v>
      </c>
      <c r="C470" s="1">
        <v>1462</v>
      </c>
      <c r="D470" s="1">
        <v>13002581</v>
      </c>
      <c r="E470" s="1">
        <v>13</v>
      </c>
      <c r="F470" s="1">
        <v>22589</v>
      </c>
      <c r="G470" s="1" t="s">
        <v>18</v>
      </c>
      <c r="H470" s="1">
        <v>15</v>
      </c>
      <c r="I470" s="1">
        <v>406428</v>
      </c>
      <c r="J470" s="1" t="s">
        <v>566</v>
      </c>
      <c r="K470" s="1" t="s">
        <v>48</v>
      </c>
      <c r="L470" s="1" t="s">
        <v>73</v>
      </c>
      <c r="M470" s="1">
        <v>1</v>
      </c>
      <c r="N470" s="2">
        <v>42.56</v>
      </c>
      <c r="O470" s="3">
        <v>65</v>
      </c>
      <c r="P470" s="1">
        <v>4</v>
      </c>
      <c r="Q470" s="1">
        <v>9</v>
      </c>
      <c r="R470" s="1">
        <v>200010009449</v>
      </c>
      <c r="S470" s="1">
        <v>29</v>
      </c>
      <c r="T470" s="1">
        <v>1</v>
      </c>
      <c r="U470" s="1">
        <v>2</v>
      </c>
    </row>
    <row r="471" spans="1:21" x14ac:dyDescent="0.25">
      <c r="A471" s="4">
        <v>44775</v>
      </c>
      <c r="B471" s="5">
        <v>0.52030092592592592</v>
      </c>
      <c r="C471" s="1">
        <v>1462</v>
      </c>
      <c r="D471" s="1">
        <v>13002581</v>
      </c>
      <c r="E471" s="1">
        <v>13</v>
      </c>
      <c r="F471" s="1">
        <v>22589</v>
      </c>
      <c r="G471" s="1" t="s">
        <v>18</v>
      </c>
      <c r="H471" s="1">
        <v>15</v>
      </c>
      <c r="I471" s="1">
        <v>29611</v>
      </c>
      <c r="J471" s="1" t="s">
        <v>567</v>
      </c>
      <c r="K471" s="1" t="s">
        <v>48</v>
      </c>
      <c r="L471" s="1" t="s">
        <v>560</v>
      </c>
      <c r="M471" s="1">
        <v>1</v>
      </c>
      <c r="N471" s="2">
        <v>152.06</v>
      </c>
      <c r="O471" s="3">
        <v>236</v>
      </c>
      <c r="P471" s="1">
        <v>23</v>
      </c>
      <c r="Q471" s="1">
        <v>9</v>
      </c>
      <c r="R471" s="1">
        <v>200010009449</v>
      </c>
      <c r="S471" s="1">
        <v>29</v>
      </c>
      <c r="T471" s="1">
        <v>1</v>
      </c>
      <c r="U471" s="1">
        <v>3</v>
      </c>
    </row>
    <row r="472" spans="1:21" x14ac:dyDescent="0.25">
      <c r="A472" s="4">
        <v>44775</v>
      </c>
      <c r="B472" s="5">
        <v>0.52342592592592596</v>
      </c>
      <c r="C472" s="1">
        <v>1463</v>
      </c>
      <c r="D472" s="1">
        <v>13002581</v>
      </c>
      <c r="E472" s="1">
        <v>13</v>
      </c>
      <c r="F472" s="1">
        <v>22589</v>
      </c>
      <c r="G472" s="1" t="s">
        <v>18</v>
      </c>
      <c r="H472" s="1">
        <v>18</v>
      </c>
      <c r="I472" s="1">
        <v>106412</v>
      </c>
      <c r="J472" s="1" t="s">
        <v>568</v>
      </c>
      <c r="K472" s="1" t="s">
        <v>42</v>
      </c>
      <c r="L472" s="1" t="s">
        <v>569</v>
      </c>
      <c r="M472" s="1">
        <v>1</v>
      </c>
      <c r="N472" s="2">
        <v>401.19</v>
      </c>
      <c r="O472" s="3">
        <v>530</v>
      </c>
      <c r="P472" s="1">
        <v>37</v>
      </c>
      <c r="Q472" s="1">
        <v>9</v>
      </c>
      <c r="R472" s="1">
        <v>200010000964</v>
      </c>
      <c r="S472" s="1">
        <v>29</v>
      </c>
      <c r="T472" s="1">
        <v>1</v>
      </c>
      <c r="U472" s="1">
        <v>2</v>
      </c>
    </row>
    <row r="473" spans="1:21" x14ac:dyDescent="0.25">
      <c r="A473" s="4">
        <v>44775</v>
      </c>
      <c r="B473" s="5">
        <v>0.52342592592592596</v>
      </c>
      <c r="C473" s="1">
        <v>1463</v>
      </c>
      <c r="D473" s="1">
        <v>13002581</v>
      </c>
      <c r="E473" s="1">
        <v>13</v>
      </c>
      <c r="F473" s="1">
        <v>22589</v>
      </c>
      <c r="G473" s="1" t="s">
        <v>18</v>
      </c>
      <c r="H473" s="1">
        <v>18</v>
      </c>
      <c r="I473" s="1">
        <v>301669</v>
      </c>
      <c r="J473" s="1" t="s">
        <v>570</v>
      </c>
      <c r="K473" s="1" t="s">
        <v>48</v>
      </c>
      <c r="L473" s="1" t="s">
        <v>189</v>
      </c>
      <c r="M473" s="1">
        <v>1</v>
      </c>
      <c r="N473" s="2">
        <v>239.36</v>
      </c>
      <c r="O473" s="3">
        <v>286</v>
      </c>
      <c r="P473" s="1">
        <v>14</v>
      </c>
      <c r="Q473" s="1">
        <v>9</v>
      </c>
      <c r="R473" s="1">
        <v>200010000964</v>
      </c>
      <c r="S473" s="1">
        <v>29</v>
      </c>
      <c r="T473" s="1">
        <v>1</v>
      </c>
      <c r="U473" s="1">
        <v>1</v>
      </c>
    </row>
    <row r="474" spans="1:21" x14ac:dyDescent="0.25">
      <c r="A474" s="4">
        <v>44775</v>
      </c>
      <c r="B474" s="5">
        <v>0.52342592592592596</v>
      </c>
      <c r="C474" s="1">
        <v>1463</v>
      </c>
      <c r="D474" s="1">
        <v>13002581</v>
      </c>
      <c r="E474" s="1">
        <v>13</v>
      </c>
      <c r="F474" s="1">
        <v>22589</v>
      </c>
      <c r="G474" s="1" t="s">
        <v>18</v>
      </c>
      <c r="H474" s="1">
        <v>18</v>
      </c>
      <c r="I474" s="1">
        <v>9594</v>
      </c>
      <c r="J474" s="1" t="s">
        <v>299</v>
      </c>
      <c r="K474" s="1" t="s">
        <v>20</v>
      </c>
      <c r="L474" s="1" t="s">
        <v>300</v>
      </c>
      <c r="M474" s="1">
        <v>1</v>
      </c>
      <c r="N474" s="2">
        <v>61.61</v>
      </c>
      <c r="O474" s="3">
        <v>74</v>
      </c>
      <c r="P474" s="1">
        <v>5</v>
      </c>
      <c r="Q474" s="1">
        <v>9</v>
      </c>
      <c r="R474" s="1">
        <v>200010000964</v>
      </c>
      <c r="S474" s="1">
        <v>29</v>
      </c>
      <c r="T474" s="1">
        <v>1</v>
      </c>
      <c r="U474" s="1">
        <v>3</v>
      </c>
    </row>
    <row r="475" spans="1:21" x14ac:dyDescent="0.25">
      <c r="A475" s="4">
        <v>44775</v>
      </c>
      <c r="B475" s="5">
        <v>0.52342592592592596</v>
      </c>
      <c r="C475" s="1">
        <v>1463</v>
      </c>
      <c r="D475" s="1">
        <v>13002581</v>
      </c>
      <c r="E475" s="1">
        <v>13</v>
      </c>
      <c r="F475" s="1">
        <v>22589</v>
      </c>
      <c r="G475" s="1" t="s">
        <v>18</v>
      </c>
      <c r="H475" s="1">
        <v>18</v>
      </c>
      <c r="I475" s="1">
        <v>9594</v>
      </c>
      <c r="J475" s="1" t="s">
        <v>299</v>
      </c>
      <c r="K475" s="1" t="s">
        <v>20</v>
      </c>
      <c r="L475" s="1" t="s">
        <v>300</v>
      </c>
      <c r="M475" s="1">
        <v>1</v>
      </c>
      <c r="N475" s="2">
        <v>61.61</v>
      </c>
      <c r="O475" s="3">
        <v>74</v>
      </c>
      <c r="P475" s="1">
        <v>5</v>
      </c>
      <c r="Q475" s="1">
        <v>9</v>
      </c>
      <c r="R475" s="1">
        <v>200010000964</v>
      </c>
      <c r="S475" s="1">
        <v>29</v>
      </c>
      <c r="T475" s="1">
        <v>1</v>
      </c>
      <c r="U475" s="1">
        <v>4</v>
      </c>
    </row>
    <row r="476" spans="1:21" x14ac:dyDescent="0.25">
      <c r="A476" s="4">
        <v>44775</v>
      </c>
      <c r="B476" s="5">
        <v>0.5242013888888889</v>
      </c>
      <c r="C476" s="1">
        <v>1464</v>
      </c>
      <c r="D476" s="1">
        <v>13002581</v>
      </c>
      <c r="E476" s="1">
        <v>13</v>
      </c>
      <c r="F476" s="1">
        <v>22589</v>
      </c>
      <c r="G476" s="1" t="s">
        <v>18</v>
      </c>
      <c r="H476" s="1">
        <v>15</v>
      </c>
      <c r="I476" s="1">
        <v>46244</v>
      </c>
      <c r="J476" s="1" t="s">
        <v>571</v>
      </c>
      <c r="K476" s="1" t="s">
        <v>249</v>
      </c>
      <c r="L476" s="1" t="s">
        <v>572</v>
      </c>
      <c r="M476" s="1">
        <v>1</v>
      </c>
      <c r="N476" s="2">
        <v>35.53</v>
      </c>
      <c r="O476" s="3">
        <v>58</v>
      </c>
      <c r="P476" s="1">
        <v>5</v>
      </c>
      <c r="Q476" s="1">
        <v>9</v>
      </c>
      <c r="R476" s="1">
        <v>200010009449</v>
      </c>
      <c r="S476" s="1">
        <v>29</v>
      </c>
      <c r="T476" s="1">
        <v>1</v>
      </c>
      <c r="U476" s="1">
        <v>2</v>
      </c>
    </row>
    <row r="477" spans="1:21" x14ac:dyDescent="0.25">
      <c r="A477" s="4">
        <v>44775</v>
      </c>
      <c r="B477" s="5">
        <v>0.52755787037037039</v>
      </c>
      <c r="C477" s="1">
        <v>1465</v>
      </c>
      <c r="D477" s="1">
        <v>13002581</v>
      </c>
      <c r="E477" s="1">
        <v>13</v>
      </c>
      <c r="F477" s="1">
        <v>22589</v>
      </c>
      <c r="G477" s="1" t="s">
        <v>18</v>
      </c>
      <c r="H477" s="1">
        <v>15</v>
      </c>
      <c r="I477" s="1">
        <v>297417</v>
      </c>
      <c r="J477" s="1" t="s">
        <v>573</v>
      </c>
      <c r="K477" s="1" t="s">
        <v>48</v>
      </c>
      <c r="L477" s="1" t="s">
        <v>574</v>
      </c>
      <c r="M477" s="1">
        <v>1</v>
      </c>
      <c r="N477" s="2">
        <v>69.44</v>
      </c>
      <c r="O477" s="3">
        <v>99</v>
      </c>
      <c r="P477" s="1">
        <v>0</v>
      </c>
      <c r="Q477" s="1" t="s">
        <v>22</v>
      </c>
      <c r="R477" s="1" t="s">
        <v>22</v>
      </c>
      <c r="S477" s="1">
        <v>29</v>
      </c>
      <c r="T477" s="1">
        <v>1</v>
      </c>
      <c r="U477" s="1">
        <v>1</v>
      </c>
    </row>
    <row r="478" spans="1:21" x14ac:dyDescent="0.25">
      <c r="A478" s="4">
        <v>44775</v>
      </c>
      <c r="B478" s="5">
        <v>0.52812499999999996</v>
      </c>
      <c r="C478" s="1">
        <v>1466</v>
      </c>
      <c r="D478" s="1">
        <v>13002581</v>
      </c>
      <c r="E478" s="1">
        <v>13</v>
      </c>
      <c r="F478" s="1">
        <v>22589</v>
      </c>
      <c r="G478" s="1" t="s">
        <v>18</v>
      </c>
      <c r="H478" s="1">
        <v>15</v>
      </c>
      <c r="I478" s="1">
        <v>45613</v>
      </c>
      <c r="J478" s="1" t="s">
        <v>575</v>
      </c>
      <c r="K478" s="1" t="s">
        <v>48</v>
      </c>
      <c r="L478" s="1" t="s">
        <v>388</v>
      </c>
      <c r="M478" s="1">
        <v>1</v>
      </c>
      <c r="N478" s="2">
        <v>79.42</v>
      </c>
      <c r="O478" s="3">
        <v>102</v>
      </c>
      <c r="P478" s="1">
        <v>5</v>
      </c>
      <c r="Q478" s="1">
        <v>9</v>
      </c>
      <c r="R478" s="1">
        <v>200010000719</v>
      </c>
      <c r="S478" s="1">
        <v>29</v>
      </c>
      <c r="T478" s="1">
        <v>1</v>
      </c>
      <c r="U478" s="1">
        <v>1</v>
      </c>
    </row>
    <row r="479" spans="1:21" x14ac:dyDescent="0.25">
      <c r="A479" s="4">
        <v>44775</v>
      </c>
      <c r="B479" s="5">
        <v>0.52878472222222217</v>
      </c>
      <c r="C479" s="1">
        <v>1467</v>
      </c>
      <c r="D479" s="1">
        <v>13002581</v>
      </c>
      <c r="E479" s="1">
        <v>13</v>
      </c>
      <c r="F479" s="1">
        <v>22589</v>
      </c>
      <c r="G479" s="1" t="s">
        <v>18</v>
      </c>
      <c r="H479" s="1">
        <v>18</v>
      </c>
      <c r="I479" s="1">
        <v>9659</v>
      </c>
      <c r="J479" s="1" t="s">
        <v>576</v>
      </c>
      <c r="K479" s="1" t="s">
        <v>48</v>
      </c>
      <c r="L479" s="1" t="s">
        <v>577</v>
      </c>
      <c r="M479" s="1">
        <v>1</v>
      </c>
      <c r="N479" s="2">
        <v>432.5</v>
      </c>
      <c r="O479" s="3">
        <v>571</v>
      </c>
      <c r="P479" s="1">
        <v>39</v>
      </c>
      <c r="Q479" s="1">
        <v>9</v>
      </c>
      <c r="R479" s="1">
        <v>200010026823</v>
      </c>
      <c r="S479" s="1">
        <v>29</v>
      </c>
      <c r="T479" s="1">
        <v>1</v>
      </c>
      <c r="U479" s="1">
        <v>1</v>
      </c>
    </row>
    <row r="480" spans="1:21" x14ac:dyDescent="0.25">
      <c r="A480" s="4">
        <v>44775</v>
      </c>
      <c r="B480" s="5">
        <v>0.53541666666666665</v>
      </c>
      <c r="C480" s="1">
        <v>1468</v>
      </c>
      <c r="D480" s="1">
        <v>13002581</v>
      </c>
      <c r="E480" s="1">
        <v>13</v>
      </c>
      <c r="F480" s="1">
        <v>22589</v>
      </c>
      <c r="G480" s="1" t="s">
        <v>18</v>
      </c>
      <c r="H480" s="1">
        <v>18</v>
      </c>
      <c r="I480" s="1">
        <v>417513</v>
      </c>
      <c r="J480" s="1" t="s">
        <v>578</v>
      </c>
      <c r="K480" s="1" t="s">
        <v>114</v>
      </c>
      <c r="L480" s="1" t="s">
        <v>579</v>
      </c>
      <c r="M480" s="1">
        <v>1</v>
      </c>
      <c r="N480" s="2">
        <v>140.38</v>
      </c>
      <c r="O480" s="3">
        <v>218</v>
      </c>
      <c r="P480" s="1">
        <v>0</v>
      </c>
      <c r="Q480" s="1" t="s">
        <v>22</v>
      </c>
      <c r="R480" s="1" t="s">
        <v>22</v>
      </c>
      <c r="S480" s="1">
        <v>29</v>
      </c>
      <c r="T480" s="1">
        <v>1</v>
      </c>
      <c r="U480" s="1">
        <v>1</v>
      </c>
    </row>
    <row r="481" spans="1:21" x14ac:dyDescent="0.25">
      <c r="A481" s="4">
        <v>44775</v>
      </c>
      <c r="B481" s="5">
        <v>0.53684027777777776</v>
      </c>
      <c r="C481" s="1">
        <v>1469</v>
      </c>
      <c r="D481" s="1">
        <v>13002581</v>
      </c>
      <c r="E481" s="1">
        <v>13</v>
      </c>
      <c r="F481" s="1">
        <v>22589</v>
      </c>
      <c r="G481" s="1" t="s">
        <v>18</v>
      </c>
      <c r="H481" s="1">
        <v>15</v>
      </c>
      <c r="I481" s="1">
        <v>30258</v>
      </c>
      <c r="J481" s="1" t="s">
        <v>580</v>
      </c>
      <c r="K481" s="1" t="s">
        <v>31</v>
      </c>
      <c r="L481" s="1" t="s">
        <v>412</v>
      </c>
      <c r="M481" s="1">
        <v>1</v>
      </c>
      <c r="N481" s="2">
        <v>36.97</v>
      </c>
      <c r="O481" s="3">
        <v>57</v>
      </c>
      <c r="P481" s="1">
        <v>9.76</v>
      </c>
      <c r="Q481" s="1">
        <v>925</v>
      </c>
      <c r="R481" s="1">
        <v>200000000492</v>
      </c>
      <c r="S481" s="1">
        <v>29</v>
      </c>
      <c r="T481" s="1">
        <v>1</v>
      </c>
      <c r="U481" s="1">
        <v>1</v>
      </c>
    </row>
    <row r="482" spans="1:21" x14ac:dyDescent="0.25">
      <c r="A482" s="4">
        <v>44775</v>
      </c>
      <c r="B482" s="5">
        <v>0.54039351851851847</v>
      </c>
      <c r="C482" s="1">
        <v>1470</v>
      </c>
      <c r="D482" s="1">
        <v>13002581</v>
      </c>
      <c r="E482" s="1">
        <v>13</v>
      </c>
      <c r="F482" s="1">
        <v>22589</v>
      </c>
      <c r="G482" s="1" t="s">
        <v>18</v>
      </c>
      <c r="H482" s="1">
        <v>18</v>
      </c>
      <c r="I482" s="1">
        <v>291205</v>
      </c>
      <c r="J482" s="1" t="s">
        <v>581</v>
      </c>
      <c r="K482" s="1" t="s">
        <v>48</v>
      </c>
      <c r="L482" s="1" t="s">
        <v>582</v>
      </c>
      <c r="M482" s="1">
        <v>1</v>
      </c>
      <c r="N482" s="2">
        <v>34.26</v>
      </c>
      <c r="O482" s="3">
        <v>56</v>
      </c>
      <c r="P482" s="1">
        <v>5</v>
      </c>
      <c r="Q482" s="1">
        <v>9</v>
      </c>
      <c r="R482" s="1">
        <v>200010017048</v>
      </c>
      <c r="S482" s="1">
        <v>29</v>
      </c>
      <c r="T482" s="1">
        <v>1</v>
      </c>
      <c r="U482" s="1">
        <v>1</v>
      </c>
    </row>
    <row r="483" spans="1:21" x14ac:dyDescent="0.25">
      <c r="A483" s="4">
        <v>44775</v>
      </c>
      <c r="B483" s="5">
        <v>0.54039351851851847</v>
      </c>
      <c r="C483" s="1">
        <v>1470</v>
      </c>
      <c r="D483" s="1">
        <v>13002581</v>
      </c>
      <c r="E483" s="1">
        <v>13</v>
      </c>
      <c r="F483" s="1">
        <v>22589</v>
      </c>
      <c r="G483" s="1" t="s">
        <v>18</v>
      </c>
      <c r="H483" s="1">
        <v>18</v>
      </c>
      <c r="I483" s="1">
        <v>314970</v>
      </c>
      <c r="J483" s="1" t="s">
        <v>583</v>
      </c>
      <c r="K483" s="1" t="s">
        <v>58</v>
      </c>
      <c r="L483" s="1" t="s">
        <v>584</v>
      </c>
      <c r="M483" s="1">
        <v>2</v>
      </c>
      <c r="N483" s="2">
        <v>8.58</v>
      </c>
      <c r="O483" s="3">
        <v>14</v>
      </c>
      <c r="P483" s="1">
        <v>2</v>
      </c>
      <c r="Q483" s="1">
        <v>9</v>
      </c>
      <c r="R483" s="1">
        <v>200010017048</v>
      </c>
      <c r="S483" s="1">
        <v>29</v>
      </c>
      <c r="T483" s="1">
        <v>1</v>
      </c>
      <c r="U483" s="1">
        <v>2</v>
      </c>
    </row>
    <row r="484" spans="1:21" x14ac:dyDescent="0.25">
      <c r="A484" s="4">
        <v>44775</v>
      </c>
      <c r="B484" s="5">
        <v>0.71498842592592593</v>
      </c>
      <c r="C484" s="1">
        <v>1502</v>
      </c>
      <c r="D484" s="1">
        <v>13002581</v>
      </c>
      <c r="E484" s="1">
        <v>13</v>
      </c>
      <c r="F484" s="1">
        <v>22589</v>
      </c>
      <c r="G484" s="1" t="s">
        <v>18</v>
      </c>
      <c r="H484" s="1">
        <v>18</v>
      </c>
      <c r="I484" s="1">
        <v>314970</v>
      </c>
      <c r="J484" s="1" t="s">
        <v>583</v>
      </c>
      <c r="K484" s="1" t="s">
        <v>58</v>
      </c>
      <c r="L484" s="1" t="s">
        <v>584</v>
      </c>
      <c r="M484" s="1">
        <v>20</v>
      </c>
      <c r="N484" s="2">
        <v>8.58</v>
      </c>
      <c r="O484" s="3">
        <v>14</v>
      </c>
      <c r="P484" s="1">
        <v>28</v>
      </c>
      <c r="Q484" s="1">
        <v>9</v>
      </c>
      <c r="R484" s="1">
        <v>200010016761</v>
      </c>
      <c r="S484" s="1">
        <v>29</v>
      </c>
      <c r="T484" s="1">
        <v>1</v>
      </c>
      <c r="U484" s="1">
        <v>1</v>
      </c>
    </row>
    <row r="485" spans="1:21" x14ac:dyDescent="0.25">
      <c r="A485" s="4">
        <v>44775</v>
      </c>
      <c r="B485" s="5">
        <v>0.54039351851851847</v>
      </c>
      <c r="C485" s="1">
        <v>1470</v>
      </c>
      <c r="D485" s="1">
        <v>13002581</v>
      </c>
      <c r="E485" s="1">
        <v>13</v>
      </c>
      <c r="F485" s="1">
        <v>22589</v>
      </c>
      <c r="G485" s="1" t="s">
        <v>18</v>
      </c>
      <c r="H485" s="1">
        <v>18</v>
      </c>
      <c r="I485" s="1">
        <v>3101</v>
      </c>
      <c r="J485" s="1" t="s">
        <v>585</v>
      </c>
      <c r="K485" s="1" t="s">
        <v>48</v>
      </c>
      <c r="L485" s="1" t="s">
        <v>586</v>
      </c>
      <c r="M485" s="1">
        <v>1</v>
      </c>
      <c r="N485" s="2">
        <v>566.32000000000005</v>
      </c>
      <c r="O485" s="3">
        <v>731</v>
      </c>
      <c r="P485" s="1">
        <v>51</v>
      </c>
      <c r="Q485" s="1">
        <v>9</v>
      </c>
      <c r="R485" s="1">
        <v>200010017048</v>
      </c>
      <c r="S485" s="1">
        <v>29</v>
      </c>
      <c r="T485" s="1">
        <v>1</v>
      </c>
      <c r="U485" s="1">
        <v>3</v>
      </c>
    </row>
    <row r="486" spans="1:21" x14ac:dyDescent="0.25">
      <c r="A486" s="4">
        <v>44775</v>
      </c>
      <c r="B486" s="5">
        <v>0.54645833333333338</v>
      </c>
      <c r="C486" s="1">
        <v>1471</v>
      </c>
      <c r="D486" s="1">
        <v>13002581</v>
      </c>
      <c r="E486" s="1">
        <v>13</v>
      </c>
      <c r="F486" s="1">
        <v>22589</v>
      </c>
      <c r="G486" s="1" t="s">
        <v>18</v>
      </c>
      <c r="H486" s="1">
        <v>15</v>
      </c>
      <c r="I486" s="1">
        <v>532019</v>
      </c>
      <c r="J486" s="1" t="s">
        <v>587</v>
      </c>
      <c r="K486" s="1" t="s">
        <v>20</v>
      </c>
      <c r="L486" s="1" t="s">
        <v>588</v>
      </c>
      <c r="M486" s="1">
        <v>1</v>
      </c>
      <c r="N486" s="2">
        <v>25.63</v>
      </c>
      <c r="O486" s="3">
        <v>31</v>
      </c>
      <c r="P486" s="1">
        <v>0</v>
      </c>
      <c r="Q486" s="1" t="s">
        <v>22</v>
      </c>
      <c r="R486" s="1" t="s">
        <v>22</v>
      </c>
      <c r="S486" s="1">
        <v>29</v>
      </c>
      <c r="T486" s="1">
        <v>1</v>
      </c>
      <c r="U486" s="1">
        <v>1</v>
      </c>
    </row>
    <row r="487" spans="1:21" x14ac:dyDescent="0.25">
      <c r="A487" s="4">
        <v>44775</v>
      </c>
      <c r="B487" s="5">
        <v>0.54645833333333338</v>
      </c>
      <c r="C487" s="1">
        <v>1471</v>
      </c>
      <c r="D487" s="1">
        <v>13002581</v>
      </c>
      <c r="E487" s="1">
        <v>13</v>
      </c>
      <c r="F487" s="1">
        <v>22589</v>
      </c>
      <c r="G487" s="1" t="s">
        <v>18</v>
      </c>
      <c r="H487" s="1">
        <v>15</v>
      </c>
      <c r="I487" s="1">
        <v>532019</v>
      </c>
      <c r="J487" s="1" t="s">
        <v>587</v>
      </c>
      <c r="K487" s="1" t="s">
        <v>20</v>
      </c>
      <c r="L487" s="1" t="s">
        <v>588</v>
      </c>
      <c r="M487" s="1">
        <v>1</v>
      </c>
      <c r="N487" s="2">
        <v>25.63</v>
      </c>
      <c r="O487" s="3">
        <v>31</v>
      </c>
      <c r="P487" s="1">
        <v>0</v>
      </c>
      <c r="Q487" s="1" t="s">
        <v>22</v>
      </c>
      <c r="R487" s="1" t="s">
        <v>22</v>
      </c>
      <c r="S487" s="1">
        <v>29</v>
      </c>
      <c r="T487" s="1">
        <v>1</v>
      </c>
      <c r="U487" s="1">
        <v>2</v>
      </c>
    </row>
    <row r="488" spans="1:21" x14ac:dyDescent="0.25">
      <c r="A488" s="4">
        <v>44775</v>
      </c>
      <c r="B488" s="5">
        <v>0.54645833333333338</v>
      </c>
      <c r="C488" s="1">
        <v>1471</v>
      </c>
      <c r="D488" s="1">
        <v>13002581</v>
      </c>
      <c r="E488" s="1">
        <v>13</v>
      </c>
      <c r="F488" s="1">
        <v>22589</v>
      </c>
      <c r="G488" s="1" t="s">
        <v>18</v>
      </c>
      <c r="H488" s="1">
        <v>15</v>
      </c>
      <c r="I488" s="1">
        <v>532019</v>
      </c>
      <c r="J488" s="1" t="s">
        <v>587</v>
      </c>
      <c r="K488" s="1" t="s">
        <v>20</v>
      </c>
      <c r="L488" s="1" t="s">
        <v>588</v>
      </c>
      <c r="M488" s="1">
        <v>1</v>
      </c>
      <c r="N488" s="2">
        <v>25.63</v>
      </c>
      <c r="O488" s="3">
        <v>31</v>
      </c>
      <c r="P488" s="1">
        <v>0</v>
      </c>
      <c r="Q488" s="1" t="s">
        <v>22</v>
      </c>
      <c r="R488" s="1" t="s">
        <v>22</v>
      </c>
      <c r="S488" s="1">
        <v>29</v>
      </c>
      <c r="T488" s="1">
        <v>1</v>
      </c>
      <c r="U488" s="1">
        <v>3</v>
      </c>
    </row>
    <row r="489" spans="1:21" x14ac:dyDescent="0.25">
      <c r="A489" s="4">
        <v>44775</v>
      </c>
      <c r="B489" s="5">
        <v>0.54811342592592593</v>
      </c>
      <c r="C489" s="1">
        <v>1472</v>
      </c>
      <c r="D489" s="1">
        <v>13002581</v>
      </c>
      <c r="E489" s="1">
        <v>13</v>
      </c>
      <c r="F489" s="1">
        <v>22589</v>
      </c>
      <c r="G489" s="1" t="s">
        <v>18</v>
      </c>
      <c r="H489" s="1">
        <v>18</v>
      </c>
      <c r="I489" s="1">
        <v>461654</v>
      </c>
      <c r="J489" s="1" t="s">
        <v>63</v>
      </c>
      <c r="K489" s="1" t="s">
        <v>20</v>
      </c>
      <c r="L489" s="1" t="s">
        <v>64</v>
      </c>
      <c r="M489" s="1">
        <v>1</v>
      </c>
      <c r="N489" s="2">
        <v>687.83</v>
      </c>
      <c r="O489" s="3">
        <v>791</v>
      </c>
      <c r="P489" s="1">
        <v>55</v>
      </c>
      <c r="Q489" s="1">
        <v>9</v>
      </c>
      <c r="R489" s="1">
        <v>200010020914</v>
      </c>
      <c r="S489" s="1">
        <v>29</v>
      </c>
      <c r="T489" s="1">
        <v>1</v>
      </c>
      <c r="U489" s="1">
        <v>1</v>
      </c>
    </row>
    <row r="490" spans="1:21" x14ac:dyDescent="0.25">
      <c r="A490" s="4">
        <v>44775</v>
      </c>
      <c r="B490" s="5">
        <v>0.55350694444444448</v>
      </c>
      <c r="C490" s="1">
        <v>1473</v>
      </c>
      <c r="D490" s="1">
        <v>13002581</v>
      </c>
      <c r="E490" s="1">
        <v>13</v>
      </c>
      <c r="F490" s="1">
        <v>22589</v>
      </c>
      <c r="G490" s="1" t="s">
        <v>18</v>
      </c>
      <c r="H490" s="1">
        <v>15</v>
      </c>
      <c r="I490" s="1">
        <v>340852</v>
      </c>
      <c r="J490" s="1" t="s">
        <v>476</v>
      </c>
      <c r="K490" s="1" t="s">
        <v>26</v>
      </c>
      <c r="L490" s="1" t="s">
        <v>433</v>
      </c>
      <c r="M490" s="1">
        <v>1</v>
      </c>
      <c r="N490" s="2">
        <v>712.51</v>
      </c>
      <c r="O490" s="3">
        <v>920</v>
      </c>
      <c r="P490" s="1">
        <v>64</v>
      </c>
      <c r="Q490" s="1">
        <v>9</v>
      </c>
      <c r="R490" s="1">
        <v>200010026827</v>
      </c>
      <c r="S490" s="1">
        <v>29</v>
      </c>
      <c r="T490" s="1">
        <v>1</v>
      </c>
      <c r="U490" s="1">
        <v>2</v>
      </c>
    </row>
    <row r="491" spans="1:21" x14ac:dyDescent="0.25">
      <c r="A491" s="4">
        <v>44775</v>
      </c>
      <c r="B491" s="5">
        <v>0.55350694444444448</v>
      </c>
      <c r="C491" s="1">
        <v>1473</v>
      </c>
      <c r="D491" s="1">
        <v>13002581</v>
      </c>
      <c r="E491" s="1">
        <v>13</v>
      </c>
      <c r="F491" s="1">
        <v>22589</v>
      </c>
      <c r="G491" s="1" t="s">
        <v>18</v>
      </c>
      <c r="H491" s="1">
        <v>15</v>
      </c>
      <c r="I491" s="1">
        <v>47735</v>
      </c>
      <c r="J491" s="1" t="s">
        <v>589</v>
      </c>
      <c r="K491" s="1" t="s">
        <v>20</v>
      </c>
      <c r="L491" s="1" t="s">
        <v>172</v>
      </c>
      <c r="M491" s="1">
        <v>1</v>
      </c>
      <c r="N491" s="2">
        <v>97.32</v>
      </c>
      <c r="O491" s="3">
        <v>139</v>
      </c>
      <c r="P491" s="1">
        <v>9</v>
      </c>
      <c r="Q491" s="1">
        <v>9</v>
      </c>
      <c r="R491" s="1">
        <v>200010026827</v>
      </c>
      <c r="S491" s="1">
        <v>29</v>
      </c>
      <c r="T491" s="1">
        <v>1</v>
      </c>
      <c r="U491" s="1">
        <v>1</v>
      </c>
    </row>
    <row r="492" spans="1:21" x14ac:dyDescent="0.25">
      <c r="A492" s="4">
        <v>44775</v>
      </c>
      <c r="B492" s="5">
        <v>0.55350694444444448</v>
      </c>
      <c r="C492" s="1">
        <v>1473</v>
      </c>
      <c r="D492" s="1">
        <v>13002581</v>
      </c>
      <c r="E492" s="1">
        <v>13</v>
      </c>
      <c r="F492" s="1">
        <v>22589</v>
      </c>
      <c r="G492" s="1" t="s">
        <v>18</v>
      </c>
      <c r="H492" s="1">
        <v>15</v>
      </c>
      <c r="I492" s="1">
        <v>347235</v>
      </c>
      <c r="J492" s="1" t="s">
        <v>590</v>
      </c>
      <c r="K492" s="1" t="s">
        <v>31</v>
      </c>
      <c r="L492" s="1" t="s">
        <v>380</v>
      </c>
      <c r="M492" s="1">
        <v>1</v>
      </c>
      <c r="N492" s="2">
        <v>11.55</v>
      </c>
      <c r="O492" s="3">
        <v>14</v>
      </c>
      <c r="P492" s="1">
        <v>0</v>
      </c>
      <c r="Q492" s="1" t="s">
        <v>22</v>
      </c>
      <c r="R492" s="1" t="s">
        <v>22</v>
      </c>
      <c r="S492" s="1">
        <v>29</v>
      </c>
      <c r="T492" s="1">
        <v>1</v>
      </c>
      <c r="U492" s="1">
        <v>3</v>
      </c>
    </row>
    <row r="493" spans="1:21" x14ac:dyDescent="0.25">
      <c r="A493" s="4">
        <v>44775</v>
      </c>
      <c r="B493" s="5">
        <v>0.55423611111111115</v>
      </c>
      <c r="C493" s="1">
        <v>1474</v>
      </c>
      <c r="D493" s="1">
        <v>13002581</v>
      </c>
      <c r="E493" s="1">
        <v>13</v>
      </c>
      <c r="F493" s="1">
        <v>22589</v>
      </c>
      <c r="G493" s="1" t="s">
        <v>18</v>
      </c>
      <c r="H493" s="1">
        <v>18</v>
      </c>
      <c r="I493" s="1">
        <v>346727</v>
      </c>
      <c r="J493" s="1" t="s">
        <v>386</v>
      </c>
      <c r="K493" s="1" t="s">
        <v>48</v>
      </c>
      <c r="L493" s="1" t="s">
        <v>271</v>
      </c>
      <c r="M493" s="1">
        <v>1</v>
      </c>
      <c r="N493" s="2">
        <v>30.64</v>
      </c>
      <c r="O493" s="3">
        <v>37</v>
      </c>
      <c r="P493" s="1">
        <v>1</v>
      </c>
      <c r="Q493" s="1">
        <v>9</v>
      </c>
      <c r="R493" s="1">
        <v>200010019532</v>
      </c>
      <c r="S493" s="1">
        <v>29</v>
      </c>
      <c r="T493" s="1">
        <v>1</v>
      </c>
      <c r="U493" s="1">
        <v>1</v>
      </c>
    </row>
    <row r="494" spans="1:21" x14ac:dyDescent="0.25">
      <c r="A494" s="4">
        <v>44775</v>
      </c>
      <c r="B494" s="5">
        <v>0.55945601851851856</v>
      </c>
      <c r="C494" s="1">
        <v>1475</v>
      </c>
      <c r="D494" s="1">
        <v>13002581</v>
      </c>
      <c r="E494" s="1">
        <v>13</v>
      </c>
      <c r="F494" s="1">
        <v>22589</v>
      </c>
      <c r="G494" s="1" t="s">
        <v>18</v>
      </c>
      <c r="H494" s="1">
        <v>15</v>
      </c>
      <c r="I494" s="1">
        <v>338502</v>
      </c>
      <c r="J494" s="1" t="s">
        <v>261</v>
      </c>
      <c r="K494" s="1" t="s">
        <v>48</v>
      </c>
      <c r="L494" s="1" t="s">
        <v>34</v>
      </c>
      <c r="M494" s="1">
        <v>1</v>
      </c>
      <c r="N494" s="2">
        <v>182.82</v>
      </c>
      <c r="O494" s="3">
        <v>234</v>
      </c>
      <c r="P494" s="1">
        <v>11</v>
      </c>
      <c r="Q494" s="1">
        <v>9</v>
      </c>
      <c r="R494" s="1">
        <v>200010011850</v>
      </c>
      <c r="S494" s="1">
        <v>29</v>
      </c>
      <c r="T494" s="1">
        <v>1</v>
      </c>
      <c r="U494" s="1">
        <v>1</v>
      </c>
    </row>
    <row r="495" spans="1:21" x14ac:dyDescent="0.25">
      <c r="A495" s="4">
        <v>44775</v>
      </c>
      <c r="B495" s="5">
        <v>0.5696296296296296</v>
      </c>
      <c r="C495" s="1">
        <v>1476</v>
      </c>
      <c r="D495" s="1">
        <v>13002581</v>
      </c>
      <c r="E495" s="1">
        <v>13</v>
      </c>
      <c r="F495" s="1">
        <v>22589</v>
      </c>
      <c r="G495" s="1" t="s">
        <v>18</v>
      </c>
      <c r="H495" s="1">
        <v>18</v>
      </c>
      <c r="I495" s="1">
        <v>117949</v>
      </c>
      <c r="J495" s="1" t="s">
        <v>591</v>
      </c>
      <c r="K495" s="1" t="s">
        <v>138</v>
      </c>
      <c r="L495" s="1" t="s">
        <v>94</v>
      </c>
      <c r="M495" s="1">
        <v>5</v>
      </c>
      <c r="N495" s="2">
        <v>10.02</v>
      </c>
      <c r="O495" s="3">
        <v>17</v>
      </c>
      <c r="P495" s="1">
        <v>8</v>
      </c>
      <c r="Q495" s="1">
        <v>9</v>
      </c>
      <c r="R495" s="1">
        <v>200010022389</v>
      </c>
      <c r="S495" s="1">
        <v>29</v>
      </c>
      <c r="T495" s="1">
        <v>1</v>
      </c>
      <c r="U495" s="1">
        <v>2</v>
      </c>
    </row>
    <row r="496" spans="1:21" x14ac:dyDescent="0.25">
      <c r="A496" s="4">
        <v>44775</v>
      </c>
      <c r="B496" s="5">
        <v>0.5696296296296296</v>
      </c>
      <c r="C496" s="1">
        <v>1476</v>
      </c>
      <c r="D496" s="1">
        <v>13002581</v>
      </c>
      <c r="E496" s="1">
        <v>13</v>
      </c>
      <c r="F496" s="1">
        <v>22589</v>
      </c>
      <c r="G496" s="1" t="s">
        <v>18</v>
      </c>
      <c r="H496" s="1">
        <v>18</v>
      </c>
      <c r="I496" s="1">
        <v>420703</v>
      </c>
      <c r="J496" s="1" t="s">
        <v>592</v>
      </c>
      <c r="K496" s="1" t="s">
        <v>48</v>
      </c>
      <c r="L496" s="1" t="s">
        <v>394</v>
      </c>
      <c r="M496" s="1">
        <v>1</v>
      </c>
      <c r="N496" s="2">
        <v>19.989999999999998</v>
      </c>
      <c r="O496" s="3">
        <v>24</v>
      </c>
      <c r="P496" s="1">
        <v>1</v>
      </c>
      <c r="Q496" s="1">
        <v>9</v>
      </c>
      <c r="R496" s="1">
        <v>200010022389</v>
      </c>
      <c r="S496" s="1">
        <v>29</v>
      </c>
      <c r="T496" s="1">
        <v>1</v>
      </c>
      <c r="U496" s="1">
        <v>3</v>
      </c>
    </row>
    <row r="497" spans="1:21" x14ac:dyDescent="0.25">
      <c r="A497" s="4">
        <v>44775</v>
      </c>
      <c r="B497" s="5">
        <v>0.5696296296296296</v>
      </c>
      <c r="C497" s="1">
        <v>1476</v>
      </c>
      <c r="D497" s="1">
        <v>13002581</v>
      </c>
      <c r="E497" s="1">
        <v>13</v>
      </c>
      <c r="F497" s="1">
        <v>22589</v>
      </c>
      <c r="G497" s="1" t="s">
        <v>18</v>
      </c>
      <c r="H497" s="1">
        <v>18</v>
      </c>
      <c r="I497" s="1">
        <v>420703</v>
      </c>
      <c r="J497" s="1" t="s">
        <v>592</v>
      </c>
      <c r="K497" s="1" t="s">
        <v>48</v>
      </c>
      <c r="L497" s="1" t="s">
        <v>394</v>
      </c>
      <c r="M497" s="1">
        <v>1</v>
      </c>
      <c r="N497" s="2">
        <v>19.989999999999998</v>
      </c>
      <c r="O497" s="3">
        <v>24</v>
      </c>
      <c r="P497" s="1">
        <v>1</v>
      </c>
      <c r="Q497" s="1">
        <v>9</v>
      </c>
      <c r="R497" s="1">
        <v>200010022389</v>
      </c>
      <c r="S497" s="1">
        <v>29</v>
      </c>
      <c r="T497" s="1">
        <v>1</v>
      </c>
      <c r="U497" s="1">
        <v>4</v>
      </c>
    </row>
    <row r="498" spans="1:21" x14ac:dyDescent="0.25">
      <c r="A498" s="4">
        <v>44775</v>
      </c>
      <c r="B498" s="5">
        <v>0.5696296296296296</v>
      </c>
      <c r="C498" s="1">
        <v>1476</v>
      </c>
      <c r="D498" s="1">
        <v>13002581</v>
      </c>
      <c r="E498" s="1">
        <v>13</v>
      </c>
      <c r="F498" s="1">
        <v>22589</v>
      </c>
      <c r="G498" s="1" t="s">
        <v>18</v>
      </c>
      <c r="H498" s="1">
        <v>18</v>
      </c>
      <c r="I498" s="1">
        <v>420703</v>
      </c>
      <c r="J498" s="1" t="s">
        <v>592</v>
      </c>
      <c r="K498" s="1" t="s">
        <v>48</v>
      </c>
      <c r="L498" s="1" t="s">
        <v>394</v>
      </c>
      <c r="M498" s="1">
        <v>1</v>
      </c>
      <c r="N498" s="2">
        <v>19.989999999999998</v>
      </c>
      <c r="O498" s="3">
        <v>24</v>
      </c>
      <c r="P498" s="1">
        <v>1</v>
      </c>
      <c r="Q498" s="1">
        <v>9</v>
      </c>
      <c r="R498" s="1">
        <v>200010022389</v>
      </c>
      <c r="S498" s="1">
        <v>29</v>
      </c>
      <c r="T498" s="1">
        <v>1</v>
      </c>
      <c r="U498" s="1">
        <v>5</v>
      </c>
    </row>
    <row r="499" spans="1:21" x14ac:dyDescent="0.25">
      <c r="A499" s="4">
        <v>44775</v>
      </c>
      <c r="B499" s="5">
        <v>0.5696296296296296</v>
      </c>
      <c r="C499" s="1">
        <v>1476</v>
      </c>
      <c r="D499" s="1">
        <v>13002581</v>
      </c>
      <c r="E499" s="1">
        <v>13</v>
      </c>
      <c r="F499" s="1">
        <v>22589</v>
      </c>
      <c r="G499" s="1" t="s">
        <v>18</v>
      </c>
      <c r="H499" s="1">
        <v>18</v>
      </c>
      <c r="I499" s="1">
        <v>420703</v>
      </c>
      <c r="J499" s="1" t="s">
        <v>592</v>
      </c>
      <c r="K499" s="1" t="s">
        <v>48</v>
      </c>
      <c r="L499" s="1" t="s">
        <v>394</v>
      </c>
      <c r="M499" s="1">
        <v>1</v>
      </c>
      <c r="N499" s="2">
        <v>19.989999999999998</v>
      </c>
      <c r="O499" s="3">
        <v>24</v>
      </c>
      <c r="P499" s="1">
        <v>1</v>
      </c>
      <c r="Q499" s="1">
        <v>9</v>
      </c>
      <c r="R499" s="1">
        <v>200010022389</v>
      </c>
      <c r="S499" s="1">
        <v>29</v>
      </c>
      <c r="T499" s="1">
        <v>1</v>
      </c>
      <c r="U499" s="1">
        <v>6</v>
      </c>
    </row>
    <row r="500" spans="1:21" x14ac:dyDescent="0.25">
      <c r="A500" s="4">
        <v>44775</v>
      </c>
      <c r="B500" s="5">
        <v>0.5696296296296296</v>
      </c>
      <c r="C500" s="1">
        <v>1476</v>
      </c>
      <c r="D500" s="1">
        <v>13002581</v>
      </c>
      <c r="E500" s="1">
        <v>13</v>
      </c>
      <c r="F500" s="1">
        <v>22589</v>
      </c>
      <c r="G500" s="1" t="s">
        <v>18</v>
      </c>
      <c r="H500" s="1">
        <v>18</v>
      </c>
      <c r="I500" s="1">
        <v>420703</v>
      </c>
      <c r="J500" s="1" t="s">
        <v>592</v>
      </c>
      <c r="K500" s="1" t="s">
        <v>48</v>
      </c>
      <c r="L500" s="1" t="s">
        <v>394</v>
      </c>
      <c r="M500" s="1">
        <v>1</v>
      </c>
      <c r="N500" s="2">
        <v>19.989999999999998</v>
      </c>
      <c r="O500" s="3">
        <v>24</v>
      </c>
      <c r="P500" s="1">
        <v>1</v>
      </c>
      <c r="Q500" s="1">
        <v>9</v>
      </c>
      <c r="R500" s="1">
        <v>200010022389</v>
      </c>
      <c r="S500" s="1">
        <v>29</v>
      </c>
      <c r="T500" s="1">
        <v>1</v>
      </c>
      <c r="U500" s="1">
        <v>7</v>
      </c>
    </row>
    <row r="501" spans="1:21" x14ac:dyDescent="0.25">
      <c r="A501" s="4">
        <v>44775</v>
      </c>
      <c r="B501" s="5">
        <v>0.5696296296296296</v>
      </c>
      <c r="C501" s="1">
        <v>1476</v>
      </c>
      <c r="D501" s="1">
        <v>13002581</v>
      </c>
      <c r="E501" s="1">
        <v>13</v>
      </c>
      <c r="F501" s="1">
        <v>22589</v>
      </c>
      <c r="G501" s="1" t="s">
        <v>18</v>
      </c>
      <c r="H501" s="1">
        <v>18</v>
      </c>
      <c r="I501" s="1">
        <v>66792</v>
      </c>
      <c r="J501" s="1" t="s">
        <v>593</v>
      </c>
      <c r="K501" s="1" t="s">
        <v>48</v>
      </c>
      <c r="L501" s="1" t="s">
        <v>594</v>
      </c>
      <c r="M501" s="1">
        <v>1</v>
      </c>
      <c r="N501" s="2">
        <v>432.5</v>
      </c>
      <c r="O501" s="3">
        <v>636</v>
      </c>
      <c r="P501" s="1">
        <v>63</v>
      </c>
      <c r="Q501" s="1">
        <v>9</v>
      </c>
      <c r="R501" s="1">
        <v>200010022389</v>
      </c>
      <c r="S501" s="1">
        <v>29</v>
      </c>
      <c r="T501" s="1">
        <v>1</v>
      </c>
      <c r="U501" s="1">
        <v>1</v>
      </c>
    </row>
    <row r="502" spans="1:21" x14ac:dyDescent="0.25">
      <c r="A502" s="4">
        <v>44775</v>
      </c>
      <c r="B502" s="5">
        <v>0.5696296296296296</v>
      </c>
      <c r="C502" s="1">
        <v>1476</v>
      </c>
      <c r="D502" s="1">
        <v>13002581</v>
      </c>
      <c r="E502" s="1">
        <v>13</v>
      </c>
      <c r="F502" s="1">
        <v>22589</v>
      </c>
      <c r="G502" s="1" t="s">
        <v>18</v>
      </c>
      <c r="H502" s="1">
        <v>18</v>
      </c>
      <c r="I502" s="1">
        <v>133150</v>
      </c>
      <c r="J502" s="1" t="s">
        <v>595</v>
      </c>
      <c r="K502" s="1" t="s">
        <v>48</v>
      </c>
      <c r="L502" s="1" t="s">
        <v>544</v>
      </c>
      <c r="M502" s="1">
        <v>1</v>
      </c>
      <c r="N502" s="2">
        <v>201.02</v>
      </c>
      <c r="O502" s="3">
        <v>306</v>
      </c>
      <c r="P502" s="1">
        <v>30</v>
      </c>
      <c r="Q502" s="1">
        <v>9</v>
      </c>
      <c r="R502" s="1">
        <v>200010022389</v>
      </c>
      <c r="S502" s="1">
        <v>29</v>
      </c>
      <c r="T502" s="1">
        <v>1</v>
      </c>
      <c r="U502" s="1">
        <v>8</v>
      </c>
    </row>
    <row r="503" spans="1:21" x14ac:dyDescent="0.25">
      <c r="A503" s="4">
        <v>44775</v>
      </c>
      <c r="B503" s="5">
        <v>0.57376157407407402</v>
      </c>
      <c r="C503" s="1">
        <v>1477</v>
      </c>
      <c r="D503" s="1">
        <v>13002581</v>
      </c>
      <c r="E503" s="1">
        <v>13</v>
      </c>
      <c r="F503" s="1">
        <v>22589</v>
      </c>
      <c r="G503" s="1" t="s">
        <v>18</v>
      </c>
      <c r="H503" s="1">
        <v>18</v>
      </c>
      <c r="I503" s="1">
        <v>1504015</v>
      </c>
      <c r="J503" s="1" t="s">
        <v>91</v>
      </c>
      <c r="K503" s="1" t="s">
        <v>92</v>
      </c>
      <c r="L503" s="1" t="s">
        <v>544</v>
      </c>
      <c r="M503" s="1">
        <v>1</v>
      </c>
      <c r="N503" s="2">
        <v>1.1499999999999999</v>
      </c>
      <c r="O503" s="3">
        <v>2</v>
      </c>
      <c r="P503" s="1">
        <v>0</v>
      </c>
      <c r="Q503" s="1" t="s">
        <v>22</v>
      </c>
      <c r="R503" s="1" t="s">
        <v>22</v>
      </c>
      <c r="S503" s="1">
        <v>29</v>
      </c>
      <c r="T503" s="1">
        <v>1</v>
      </c>
      <c r="U503" s="1">
        <v>5</v>
      </c>
    </row>
    <row r="504" spans="1:21" x14ac:dyDescent="0.25">
      <c r="A504" s="4">
        <v>44775</v>
      </c>
      <c r="B504" s="5">
        <v>0.67931712962962965</v>
      </c>
      <c r="C504" s="1">
        <v>1495</v>
      </c>
      <c r="D504" s="1">
        <v>13002581</v>
      </c>
      <c r="E504" s="1">
        <v>13</v>
      </c>
      <c r="F504" s="1">
        <v>22589</v>
      </c>
      <c r="G504" s="1" t="s">
        <v>18</v>
      </c>
      <c r="H504" s="1">
        <v>15</v>
      </c>
      <c r="I504" s="1">
        <v>1504015</v>
      </c>
      <c r="J504" s="1" t="s">
        <v>91</v>
      </c>
      <c r="K504" s="1" t="s">
        <v>92</v>
      </c>
      <c r="L504" s="1" t="s">
        <v>544</v>
      </c>
      <c r="M504" s="1">
        <v>1</v>
      </c>
      <c r="N504" s="2">
        <v>1.1499999999999999</v>
      </c>
      <c r="O504" s="3">
        <v>2</v>
      </c>
      <c r="P504" s="1">
        <v>0</v>
      </c>
      <c r="Q504" s="1" t="s">
        <v>22</v>
      </c>
      <c r="R504" s="1" t="s">
        <v>22</v>
      </c>
      <c r="S504" s="1">
        <v>29</v>
      </c>
      <c r="T504" s="1">
        <v>1</v>
      </c>
      <c r="U504" s="1">
        <v>1</v>
      </c>
    </row>
    <row r="505" spans="1:21" x14ac:dyDescent="0.25">
      <c r="A505" s="4">
        <v>44775</v>
      </c>
      <c r="B505" s="5">
        <v>0.74380787037037033</v>
      </c>
      <c r="C505" s="1">
        <v>1517</v>
      </c>
      <c r="D505" s="1">
        <v>13002581</v>
      </c>
      <c r="E505" s="1">
        <v>13</v>
      </c>
      <c r="F505" s="1">
        <v>22589</v>
      </c>
      <c r="G505" s="1" t="s">
        <v>18</v>
      </c>
      <c r="H505" s="1">
        <v>18</v>
      </c>
      <c r="I505" s="1">
        <v>1504015</v>
      </c>
      <c r="J505" s="1" t="s">
        <v>91</v>
      </c>
      <c r="K505" s="1" t="s">
        <v>92</v>
      </c>
      <c r="L505" s="1" t="s">
        <v>544</v>
      </c>
      <c r="M505" s="1">
        <v>1</v>
      </c>
      <c r="N505" s="2">
        <v>1.1499999999999999</v>
      </c>
      <c r="O505" s="3">
        <v>2</v>
      </c>
      <c r="P505" s="1">
        <v>0</v>
      </c>
      <c r="Q505" s="1" t="s">
        <v>22</v>
      </c>
      <c r="R505" s="1" t="s">
        <v>22</v>
      </c>
      <c r="S505" s="1">
        <v>29</v>
      </c>
      <c r="T505" s="1">
        <v>1</v>
      </c>
      <c r="U505" s="1">
        <v>2</v>
      </c>
    </row>
    <row r="506" spans="1:21" x14ac:dyDescent="0.25">
      <c r="A506" s="4">
        <v>44775</v>
      </c>
      <c r="B506" s="5">
        <v>0.57376157407407402</v>
      </c>
      <c r="C506" s="1">
        <v>1477</v>
      </c>
      <c r="D506" s="1">
        <v>13002581</v>
      </c>
      <c r="E506" s="1">
        <v>13</v>
      </c>
      <c r="F506" s="1">
        <v>22589</v>
      </c>
      <c r="G506" s="1" t="s">
        <v>18</v>
      </c>
      <c r="H506" s="1">
        <v>18</v>
      </c>
      <c r="I506" s="1">
        <v>53825</v>
      </c>
      <c r="J506" s="1" t="s">
        <v>596</v>
      </c>
      <c r="K506" s="1" t="s">
        <v>138</v>
      </c>
      <c r="L506" s="1" t="s">
        <v>597</v>
      </c>
      <c r="M506" s="1">
        <v>1</v>
      </c>
      <c r="N506" s="2">
        <v>230.23</v>
      </c>
      <c r="O506" s="3">
        <v>273</v>
      </c>
      <c r="P506" s="1">
        <v>0</v>
      </c>
      <c r="Q506" s="1" t="s">
        <v>22</v>
      </c>
      <c r="R506" s="1" t="s">
        <v>22</v>
      </c>
      <c r="S506" s="1">
        <v>29</v>
      </c>
      <c r="T506" s="1">
        <v>1</v>
      </c>
      <c r="U506" s="1">
        <v>1</v>
      </c>
    </row>
    <row r="507" spans="1:21" x14ac:dyDescent="0.25">
      <c r="A507" s="4">
        <v>44775</v>
      </c>
      <c r="B507" s="5">
        <v>0.57376157407407402</v>
      </c>
      <c r="C507" s="1">
        <v>1477</v>
      </c>
      <c r="D507" s="1">
        <v>13002581</v>
      </c>
      <c r="E507" s="1">
        <v>13</v>
      </c>
      <c r="F507" s="1">
        <v>22589</v>
      </c>
      <c r="G507" s="1" t="s">
        <v>18</v>
      </c>
      <c r="H507" s="1">
        <v>18</v>
      </c>
      <c r="I507" s="1">
        <v>198198</v>
      </c>
      <c r="J507" s="1" t="s">
        <v>598</v>
      </c>
      <c r="K507" s="1" t="s">
        <v>26</v>
      </c>
      <c r="L507" s="1" t="s">
        <v>126</v>
      </c>
      <c r="M507" s="1">
        <v>1</v>
      </c>
      <c r="N507" s="2">
        <v>330.01</v>
      </c>
      <c r="O507" s="3">
        <v>436</v>
      </c>
      <c r="P507" s="1">
        <v>0</v>
      </c>
      <c r="Q507" s="1" t="s">
        <v>22</v>
      </c>
      <c r="R507" s="1" t="s">
        <v>22</v>
      </c>
      <c r="S507" s="1">
        <v>29</v>
      </c>
      <c r="T507" s="1">
        <v>1</v>
      </c>
      <c r="U507" s="1">
        <v>2</v>
      </c>
    </row>
    <row r="508" spans="1:21" x14ac:dyDescent="0.25">
      <c r="A508" s="4">
        <v>44775</v>
      </c>
      <c r="B508" s="5">
        <v>0.57376157407407402</v>
      </c>
      <c r="C508" s="1">
        <v>1477</v>
      </c>
      <c r="D508" s="1">
        <v>13002581</v>
      </c>
      <c r="E508" s="1">
        <v>13</v>
      </c>
      <c r="F508" s="1">
        <v>22589</v>
      </c>
      <c r="G508" s="1" t="s">
        <v>18</v>
      </c>
      <c r="H508" s="1">
        <v>18</v>
      </c>
      <c r="I508" s="1">
        <v>424540</v>
      </c>
      <c r="J508" s="1" t="s">
        <v>599</v>
      </c>
      <c r="K508" s="1" t="s">
        <v>48</v>
      </c>
      <c r="L508" s="1" t="s">
        <v>73</v>
      </c>
      <c r="M508" s="1">
        <v>1</v>
      </c>
      <c r="N508" s="2">
        <v>185.89</v>
      </c>
      <c r="O508" s="3">
        <v>255</v>
      </c>
      <c r="P508" s="1">
        <v>0</v>
      </c>
      <c r="Q508" s="1" t="s">
        <v>22</v>
      </c>
      <c r="R508" s="1" t="s">
        <v>22</v>
      </c>
      <c r="S508" s="1">
        <v>29</v>
      </c>
      <c r="T508" s="1">
        <v>1</v>
      </c>
      <c r="U508" s="1">
        <v>7</v>
      </c>
    </row>
    <row r="509" spans="1:21" x14ac:dyDescent="0.25">
      <c r="A509" s="4">
        <v>44775</v>
      </c>
      <c r="B509" s="5">
        <v>0.57376157407407402</v>
      </c>
      <c r="C509" s="1">
        <v>1477</v>
      </c>
      <c r="D509" s="1">
        <v>13002581</v>
      </c>
      <c r="E509" s="1">
        <v>13</v>
      </c>
      <c r="F509" s="1">
        <v>22589</v>
      </c>
      <c r="G509" s="1" t="s">
        <v>18</v>
      </c>
      <c r="H509" s="1">
        <v>18</v>
      </c>
      <c r="I509" s="1">
        <v>254242</v>
      </c>
      <c r="J509" s="1" t="s">
        <v>600</v>
      </c>
      <c r="K509" s="1" t="s">
        <v>58</v>
      </c>
      <c r="L509" s="1" t="s">
        <v>601</v>
      </c>
      <c r="M509" s="1">
        <v>1</v>
      </c>
      <c r="N509" s="2">
        <v>513.24</v>
      </c>
      <c r="O509" s="3">
        <v>719</v>
      </c>
      <c r="P509" s="1">
        <v>0</v>
      </c>
      <c r="Q509" s="1" t="s">
        <v>22</v>
      </c>
      <c r="R509" s="1" t="s">
        <v>22</v>
      </c>
      <c r="S509" s="1">
        <v>29</v>
      </c>
      <c r="T509" s="1">
        <v>1</v>
      </c>
      <c r="U509" s="1">
        <v>4</v>
      </c>
    </row>
    <row r="510" spans="1:21" x14ac:dyDescent="0.25">
      <c r="A510" s="4">
        <v>44775</v>
      </c>
      <c r="B510" s="5">
        <v>0.57376157407407402</v>
      </c>
      <c r="C510" s="1">
        <v>1477</v>
      </c>
      <c r="D510" s="1">
        <v>13002581</v>
      </c>
      <c r="E510" s="1">
        <v>13</v>
      </c>
      <c r="F510" s="1">
        <v>22589</v>
      </c>
      <c r="G510" s="1" t="s">
        <v>18</v>
      </c>
      <c r="H510" s="1">
        <v>18</v>
      </c>
      <c r="I510" s="1">
        <v>27580</v>
      </c>
      <c r="J510" s="1" t="s">
        <v>602</v>
      </c>
      <c r="K510" s="1" t="s">
        <v>26</v>
      </c>
      <c r="L510" s="1" t="s">
        <v>391</v>
      </c>
      <c r="M510" s="1">
        <v>0.25</v>
      </c>
      <c r="N510" s="2">
        <v>597.80999999999995</v>
      </c>
      <c r="O510" s="3">
        <v>656</v>
      </c>
      <c r="P510" s="1">
        <v>0</v>
      </c>
      <c r="Q510" s="1" t="s">
        <v>22</v>
      </c>
      <c r="R510" s="1" t="s">
        <v>22</v>
      </c>
      <c r="S510" s="1">
        <v>29</v>
      </c>
      <c r="T510" s="1">
        <v>1</v>
      </c>
      <c r="U510" s="1">
        <v>8</v>
      </c>
    </row>
    <row r="511" spans="1:21" x14ac:dyDescent="0.25">
      <c r="A511" s="4">
        <v>44775</v>
      </c>
      <c r="B511" s="5">
        <v>0.57376157407407402</v>
      </c>
      <c r="C511" s="1">
        <v>1477</v>
      </c>
      <c r="D511" s="1">
        <v>13002581</v>
      </c>
      <c r="E511" s="1">
        <v>13</v>
      </c>
      <c r="F511" s="1">
        <v>22589</v>
      </c>
      <c r="G511" s="1" t="s">
        <v>18</v>
      </c>
      <c r="H511" s="1">
        <v>18</v>
      </c>
      <c r="I511" s="1">
        <v>142036</v>
      </c>
      <c r="J511" s="1" t="s">
        <v>98</v>
      </c>
      <c r="K511" s="1" t="s">
        <v>20</v>
      </c>
      <c r="L511" s="1" t="s">
        <v>73</v>
      </c>
      <c r="M511" s="1">
        <v>1</v>
      </c>
      <c r="N511" s="2">
        <v>187.36</v>
      </c>
      <c r="O511" s="3">
        <v>220</v>
      </c>
      <c r="P511" s="1">
        <v>0</v>
      </c>
      <c r="Q511" s="1" t="s">
        <v>22</v>
      </c>
      <c r="R511" s="1" t="s">
        <v>22</v>
      </c>
      <c r="S511" s="1">
        <v>29</v>
      </c>
      <c r="T511" s="1">
        <v>1</v>
      </c>
      <c r="U511" s="1">
        <v>6</v>
      </c>
    </row>
    <row r="512" spans="1:21" x14ac:dyDescent="0.25">
      <c r="A512" s="4">
        <v>44775</v>
      </c>
      <c r="B512" s="5">
        <v>0.57376157407407402</v>
      </c>
      <c r="C512" s="1">
        <v>1477</v>
      </c>
      <c r="D512" s="1">
        <v>13002581</v>
      </c>
      <c r="E512" s="1">
        <v>13</v>
      </c>
      <c r="F512" s="1">
        <v>22589</v>
      </c>
      <c r="G512" s="1" t="s">
        <v>18</v>
      </c>
      <c r="H512" s="1">
        <v>18</v>
      </c>
      <c r="I512" s="1">
        <v>404534</v>
      </c>
      <c r="J512" s="1" t="s">
        <v>603</v>
      </c>
      <c r="K512" s="1" t="s">
        <v>48</v>
      </c>
      <c r="L512" s="1" t="s">
        <v>446</v>
      </c>
      <c r="M512" s="1">
        <v>1</v>
      </c>
      <c r="N512" s="2">
        <v>647.25</v>
      </c>
      <c r="O512" s="3">
        <v>835</v>
      </c>
      <c r="P512" s="1">
        <v>0</v>
      </c>
      <c r="Q512" s="1" t="s">
        <v>22</v>
      </c>
      <c r="R512" s="1" t="s">
        <v>22</v>
      </c>
      <c r="S512" s="1">
        <v>29</v>
      </c>
      <c r="T512" s="1">
        <v>1</v>
      </c>
      <c r="U512" s="1">
        <v>3</v>
      </c>
    </row>
    <row r="513" spans="1:21" x14ac:dyDescent="0.25">
      <c r="A513" s="4">
        <v>44775</v>
      </c>
      <c r="B513" s="5">
        <v>0.58020833333333333</v>
      </c>
      <c r="C513" s="1">
        <v>1478</v>
      </c>
      <c r="D513" s="1">
        <v>13002581</v>
      </c>
      <c r="E513" s="1">
        <v>13</v>
      </c>
      <c r="F513" s="1">
        <v>22589</v>
      </c>
      <c r="G513" s="1" t="s">
        <v>18</v>
      </c>
      <c r="H513" s="1">
        <v>15</v>
      </c>
      <c r="I513" s="1">
        <v>7308</v>
      </c>
      <c r="J513" s="1" t="s">
        <v>604</v>
      </c>
      <c r="K513" s="1" t="s">
        <v>45</v>
      </c>
      <c r="L513" s="1" t="s">
        <v>29</v>
      </c>
      <c r="M513" s="1">
        <v>1</v>
      </c>
      <c r="N513" s="2">
        <v>546.04</v>
      </c>
      <c r="O513" s="3">
        <v>611</v>
      </c>
      <c r="P513" s="1">
        <v>18</v>
      </c>
      <c r="Q513" s="1">
        <v>9</v>
      </c>
      <c r="R513" s="1">
        <v>200010017757</v>
      </c>
      <c r="S513" s="1">
        <v>29</v>
      </c>
      <c r="T513" s="1">
        <v>1</v>
      </c>
      <c r="U513" s="1">
        <v>1</v>
      </c>
    </row>
    <row r="514" spans="1:21" x14ac:dyDescent="0.25">
      <c r="A514" s="4">
        <v>44775</v>
      </c>
      <c r="B514" s="5">
        <v>0.58020833333333333</v>
      </c>
      <c r="C514" s="1">
        <v>1478</v>
      </c>
      <c r="D514" s="1">
        <v>13002581</v>
      </c>
      <c r="E514" s="1">
        <v>13</v>
      </c>
      <c r="F514" s="1">
        <v>22589</v>
      </c>
      <c r="G514" s="1" t="s">
        <v>18</v>
      </c>
      <c r="H514" s="1">
        <v>15</v>
      </c>
      <c r="I514" s="1">
        <v>103081</v>
      </c>
      <c r="J514" s="1" t="s">
        <v>605</v>
      </c>
      <c r="K514" s="1" t="s">
        <v>58</v>
      </c>
      <c r="L514" s="1" t="s">
        <v>606</v>
      </c>
      <c r="M514" s="1">
        <v>1</v>
      </c>
      <c r="N514" s="2">
        <v>308.99</v>
      </c>
      <c r="O514" s="3">
        <v>408</v>
      </c>
      <c r="P514" s="1">
        <v>28</v>
      </c>
      <c r="Q514" s="1">
        <v>9</v>
      </c>
      <c r="R514" s="1">
        <v>200010017757</v>
      </c>
      <c r="S514" s="1">
        <v>29</v>
      </c>
      <c r="T514" s="1">
        <v>1</v>
      </c>
      <c r="U514" s="1">
        <v>3</v>
      </c>
    </row>
    <row r="515" spans="1:21" x14ac:dyDescent="0.25">
      <c r="A515" s="4">
        <v>44775</v>
      </c>
      <c r="B515" s="5">
        <v>0.58020833333333333</v>
      </c>
      <c r="C515" s="1">
        <v>1478</v>
      </c>
      <c r="D515" s="1">
        <v>13002581</v>
      </c>
      <c r="E515" s="1">
        <v>13</v>
      </c>
      <c r="F515" s="1">
        <v>22589</v>
      </c>
      <c r="G515" s="1" t="s">
        <v>18</v>
      </c>
      <c r="H515" s="1">
        <v>15</v>
      </c>
      <c r="I515" s="1">
        <v>82396</v>
      </c>
      <c r="J515" s="1" t="s">
        <v>607</v>
      </c>
      <c r="K515" s="1" t="s">
        <v>48</v>
      </c>
      <c r="L515" s="1" t="s">
        <v>213</v>
      </c>
      <c r="M515" s="1">
        <v>1</v>
      </c>
      <c r="N515" s="2">
        <v>80.650000000000006</v>
      </c>
      <c r="O515" s="3">
        <v>101</v>
      </c>
      <c r="P515" s="1">
        <v>5</v>
      </c>
      <c r="Q515" s="1">
        <v>9</v>
      </c>
      <c r="R515" s="1">
        <v>200010017757</v>
      </c>
      <c r="S515" s="1">
        <v>29</v>
      </c>
      <c r="T515" s="1">
        <v>1</v>
      </c>
      <c r="U515" s="1">
        <v>2</v>
      </c>
    </row>
    <row r="516" spans="1:21" x14ac:dyDescent="0.25">
      <c r="A516" s="4">
        <v>44775</v>
      </c>
      <c r="B516" s="5">
        <v>0.58399305555555558</v>
      </c>
      <c r="C516" s="1">
        <v>1479</v>
      </c>
      <c r="D516" s="1">
        <v>13002581</v>
      </c>
      <c r="E516" s="1">
        <v>13</v>
      </c>
      <c r="F516" s="1">
        <v>22589</v>
      </c>
      <c r="G516" s="1" t="s">
        <v>18</v>
      </c>
      <c r="H516" s="1">
        <v>18</v>
      </c>
      <c r="I516" s="1">
        <v>192223</v>
      </c>
      <c r="J516" s="1" t="s">
        <v>608</v>
      </c>
      <c r="K516" s="1" t="s">
        <v>48</v>
      </c>
      <c r="L516" s="1" t="s">
        <v>609</v>
      </c>
      <c r="M516" s="1">
        <v>1</v>
      </c>
      <c r="N516" s="2">
        <v>214.43</v>
      </c>
      <c r="O516" s="3">
        <v>269</v>
      </c>
      <c r="P516" s="1">
        <v>0</v>
      </c>
      <c r="Q516" s="1" t="s">
        <v>22</v>
      </c>
      <c r="R516" s="1" t="s">
        <v>22</v>
      </c>
      <c r="S516" s="1">
        <v>29</v>
      </c>
      <c r="T516" s="1">
        <v>1</v>
      </c>
      <c r="U516" s="1">
        <v>1</v>
      </c>
    </row>
    <row r="517" spans="1:21" x14ac:dyDescent="0.25">
      <c r="A517" s="4">
        <v>44775</v>
      </c>
      <c r="B517" s="5">
        <v>0.58399305555555558</v>
      </c>
      <c r="C517" s="1">
        <v>1479</v>
      </c>
      <c r="D517" s="1">
        <v>13002581</v>
      </c>
      <c r="E517" s="1">
        <v>13</v>
      </c>
      <c r="F517" s="1">
        <v>22589</v>
      </c>
      <c r="G517" s="1" t="s">
        <v>18</v>
      </c>
      <c r="H517" s="1">
        <v>18</v>
      </c>
      <c r="I517" s="1">
        <v>11237</v>
      </c>
      <c r="J517" s="1" t="s">
        <v>610</v>
      </c>
      <c r="K517" s="1" t="s">
        <v>48</v>
      </c>
      <c r="L517" s="1" t="s">
        <v>611</v>
      </c>
      <c r="M517" s="1">
        <v>1</v>
      </c>
      <c r="N517" s="2">
        <v>89.29</v>
      </c>
      <c r="O517" s="3">
        <v>141</v>
      </c>
      <c r="P517" s="1">
        <v>0</v>
      </c>
      <c r="Q517" s="1" t="s">
        <v>22</v>
      </c>
      <c r="R517" s="1" t="s">
        <v>22</v>
      </c>
      <c r="S517" s="1">
        <v>29</v>
      </c>
      <c r="T517" s="1">
        <v>1</v>
      </c>
      <c r="U517" s="1">
        <v>2</v>
      </c>
    </row>
    <row r="518" spans="1:21" x14ac:dyDescent="0.25">
      <c r="A518" s="4">
        <v>44775</v>
      </c>
      <c r="B518" s="5">
        <v>0.58399305555555558</v>
      </c>
      <c r="C518" s="1">
        <v>1479</v>
      </c>
      <c r="D518" s="1">
        <v>13002581</v>
      </c>
      <c r="E518" s="1">
        <v>13</v>
      </c>
      <c r="F518" s="1">
        <v>22589</v>
      </c>
      <c r="G518" s="1" t="s">
        <v>18</v>
      </c>
      <c r="H518" s="1">
        <v>18</v>
      </c>
      <c r="I518" s="1">
        <v>354089</v>
      </c>
      <c r="J518" s="1" t="s">
        <v>366</v>
      </c>
      <c r="K518" s="1" t="s">
        <v>20</v>
      </c>
      <c r="L518" s="1" t="s">
        <v>73</v>
      </c>
      <c r="M518" s="1">
        <v>1</v>
      </c>
      <c r="N518" s="2">
        <v>39.47</v>
      </c>
      <c r="O518" s="3">
        <v>60</v>
      </c>
      <c r="P518" s="1">
        <v>0</v>
      </c>
      <c r="Q518" s="1" t="s">
        <v>22</v>
      </c>
      <c r="R518" s="1" t="s">
        <v>22</v>
      </c>
      <c r="S518" s="1">
        <v>29</v>
      </c>
      <c r="T518" s="1">
        <v>1</v>
      </c>
      <c r="U518" s="1">
        <v>3</v>
      </c>
    </row>
    <row r="519" spans="1:21" x14ac:dyDescent="0.25">
      <c r="A519" s="4">
        <v>44775</v>
      </c>
      <c r="B519" s="5">
        <v>0.58399305555555558</v>
      </c>
      <c r="C519" s="1">
        <v>1479</v>
      </c>
      <c r="D519" s="1">
        <v>13002581</v>
      </c>
      <c r="E519" s="1">
        <v>13</v>
      </c>
      <c r="F519" s="1">
        <v>22589</v>
      </c>
      <c r="G519" s="1" t="s">
        <v>18</v>
      </c>
      <c r="H519" s="1">
        <v>18</v>
      </c>
      <c r="I519" s="1">
        <v>6402</v>
      </c>
      <c r="J519" s="1" t="s">
        <v>465</v>
      </c>
      <c r="K519" s="1" t="s">
        <v>42</v>
      </c>
      <c r="L519" s="1" t="s">
        <v>73</v>
      </c>
      <c r="M519" s="1">
        <v>1</v>
      </c>
      <c r="N519" s="2">
        <v>18.18</v>
      </c>
      <c r="O519" s="3">
        <v>30</v>
      </c>
      <c r="P519" s="1">
        <v>0</v>
      </c>
      <c r="Q519" s="1" t="s">
        <v>22</v>
      </c>
      <c r="R519" s="1" t="s">
        <v>22</v>
      </c>
      <c r="S519" s="1">
        <v>29</v>
      </c>
      <c r="T519" s="1">
        <v>1</v>
      </c>
      <c r="U519" s="1">
        <v>4</v>
      </c>
    </row>
    <row r="520" spans="1:21" x14ac:dyDescent="0.25">
      <c r="A520" s="4">
        <v>44775</v>
      </c>
      <c r="B520" s="5">
        <v>0.6083912037037037</v>
      </c>
      <c r="C520" s="1">
        <v>1481</v>
      </c>
      <c r="D520" s="1">
        <v>13002581</v>
      </c>
      <c r="E520" s="1">
        <v>13</v>
      </c>
      <c r="F520" s="1">
        <v>22589</v>
      </c>
      <c r="G520" s="1" t="s">
        <v>18</v>
      </c>
      <c r="H520" s="1">
        <v>15</v>
      </c>
      <c r="I520" s="1">
        <v>339753</v>
      </c>
      <c r="J520" s="1" t="s">
        <v>612</v>
      </c>
      <c r="K520" s="1" t="s">
        <v>48</v>
      </c>
      <c r="L520" s="1" t="s">
        <v>215</v>
      </c>
      <c r="M520" s="1">
        <v>1</v>
      </c>
      <c r="N520" s="2">
        <v>25.77</v>
      </c>
      <c r="O520" s="3">
        <v>32</v>
      </c>
      <c r="P520" s="1">
        <v>0</v>
      </c>
      <c r="Q520" s="1" t="s">
        <v>22</v>
      </c>
      <c r="R520" s="1" t="s">
        <v>22</v>
      </c>
      <c r="S520" s="1">
        <v>29</v>
      </c>
      <c r="T520" s="1">
        <v>1</v>
      </c>
      <c r="U520" s="1">
        <v>6</v>
      </c>
    </row>
    <row r="521" spans="1:21" x14ac:dyDescent="0.25">
      <c r="A521" s="4">
        <v>44775</v>
      </c>
      <c r="B521" s="5">
        <v>0.6083912037037037</v>
      </c>
      <c r="C521" s="1">
        <v>1481</v>
      </c>
      <c r="D521" s="1">
        <v>13002581</v>
      </c>
      <c r="E521" s="1">
        <v>13</v>
      </c>
      <c r="F521" s="1">
        <v>22589</v>
      </c>
      <c r="G521" s="1" t="s">
        <v>18</v>
      </c>
      <c r="H521" s="1">
        <v>15</v>
      </c>
      <c r="I521" s="1">
        <v>339753</v>
      </c>
      <c r="J521" s="1" t="s">
        <v>612</v>
      </c>
      <c r="K521" s="1" t="s">
        <v>48</v>
      </c>
      <c r="L521" s="1" t="s">
        <v>215</v>
      </c>
      <c r="M521" s="1">
        <v>1</v>
      </c>
      <c r="N521" s="2">
        <v>25.77</v>
      </c>
      <c r="O521" s="3">
        <v>32</v>
      </c>
      <c r="P521" s="1">
        <v>0</v>
      </c>
      <c r="Q521" s="1" t="s">
        <v>22</v>
      </c>
      <c r="R521" s="1" t="s">
        <v>22</v>
      </c>
      <c r="S521" s="1">
        <v>29</v>
      </c>
      <c r="T521" s="1">
        <v>1</v>
      </c>
      <c r="U521" s="1">
        <v>7</v>
      </c>
    </row>
    <row r="522" spans="1:21" x14ac:dyDescent="0.25">
      <c r="A522" s="4">
        <v>44775</v>
      </c>
      <c r="B522" s="5">
        <v>0.6083912037037037</v>
      </c>
      <c r="C522" s="1">
        <v>1481</v>
      </c>
      <c r="D522" s="1">
        <v>13002581</v>
      </c>
      <c r="E522" s="1">
        <v>13</v>
      </c>
      <c r="F522" s="1">
        <v>22589</v>
      </c>
      <c r="G522" s="1" t="s">
        <v>18</v>
      </c>
      <c r="H522" s="1">
        <v>15</v>
      </c>
      <c r="I522" s="1">
        <v>446021</v>
      </c>
      <c r="J522" s="1" t="s">
        <v>236</v>
      </c>
      <c r="K522" s="1" t="s">
        <v>20</v>
      </c>
      <c r="L522" s="1" t="s">
        <v>94</v>
      </c>
      <c r="M522" s="1">
        <v>1</v>
      </c>
      <c r="N522" s="2">
        <v>23.38</v>
      </c>
      <c r="O522" s="3">
        <v>36</v>
      </c>
      <c r="P522" s="1">
        <v>0</v>
      </c>
      <c r="Q522" s="1" t="s">
        <v>22</v>
      </c>
      <c r="R522" s="1" t="s">
        <v>22</v>
      </c>
      <c r="S522" s="1">
        <v>29</v>
      </c>
      <c r="T522" s="1">
        <v>1</v>
      </c>
      <c r="U522" s="1">
        <v>2</v>
      </c>
    </row>
    <row r="523" spans="1:21" x14ac:dyDescent="0.25">
      <c r="A523" s="4">
        <v>44775</v>
      </c>
      <c r="B523" s="5">
        <v>0.6083912037037037</v>
      </c>
      <c r="C523" s="1">
        <v>1481</v>
      </c>
      <c r="D523" s="1">
        <v>13002581</v>
      </c>
      <c r="E523" s="1">
        <v>13</v>
      </c>
      <c r="F523" s="1">
        <v>22589</v>
      </c>
      <c r="G523" s="1" t="s">
        <v>18</v>
      </c>
      <c r="H523" s="1">
        <v>15</v>
      </c>
      <c r="I523" s="1">
        <v>446021</v>
      </c>
      <c r="J523" s="1" t="s">
        <v>236</v>
      </c>
      <c r="K523" s="1" t="s">
        <v>20</v>
      </c>
      <c r="L523" s="1" t="s">
        <v>94</v>
      </c>
      <c r="M523" s="1">
        <v>1</v>
      </c>
      <c r="N523" s="2">
        <v>23.38</v>
      </c>
      <c r="O523" s="3">
        <v>36</v>
      </c>
      <c r="P523" s="1">
        <v>0</v>
      </c>
      <c r="Q523" s="1" t="s">
        <v>22</v>
      </c>
      <c r="R523" s="1" t="s">
        <v>22</v>
      </c>
      <c r="S523" s="1">
        <v>29</v>
      </c>
      <c r="T523" s="1">
        <v>1</v>
      </c>
      <c r="U523" s="1">
        <v>3</v>
      </c>
    </row>
    <row r="524" spans="1:21" x14ac:dyDescent="0.25">
      <c r="A524" s="4">
        <v>44775</v>
      </c>
      <c r="B524" s="5">
        <v>0.6083912037037037</v>
      </c>
      <c r="C524" s="1">
        <v>1481</v>
      </c>
      <c r="D524" s="1">
        <v>13002581</v>
      </c>
      <c r="E524" s="1">
        <v>13</v>
      </c>
      <c r="F524" s="1">
        <v>22589</v>
      </c>
      <c r="G524" s="1" t="s">
        <v>18</v>
      </c>
      <c r="H524" s="1">
        <v>15</v>
      </c>
      <c r="I524" s="1">
        <v>446021</v>
      </c>
      <c r="J524" s="1" t="s">
        <v>236</v>
      </c>
      <c r="K524" s="1" t="s">
        <v>20</v>
      </c>
      <c r="L524" s="1" t="s">
        <v>94</v>
      </c>
      <c r="M524" s="1">
        <v>1</v>
      </c>
      <c r="N524" s="2">
        <v>23.38</v>
      </c>
      <c r="O524" s="3">
        <v>36</v>
      </c>
      <c r="P524" s="1">
        <v>0</v>
      </c>
      <c r="Q524" s="1" t="s">
        <v>22</v>
      </c>
      <c r="R524" s="1" t="s">
        <v>22</v>
      </c>
      <c r="S524" s="1">
        <v>29</v>
      </c>
      <c r="T524" s="1">
        <v>1</v>
      </c>
      <c r="U524" s="1">
        <v>4</v>
      </c>
    </row>
    <row r="525" spans="1:21" x14ac:dyDescent="0.25">
      <c r="A525" s="4">
        <v>44775</v>
      </c>
      <c r="B525" s="5">
        <v>0.6083912037037037</v>
      </c>
      <c r="C525" s="1">
        <v>1481</v>
      </c>
      <c r="D525" s="1">
        <v>13002581</v>
      </c>
      <c r="E525" s="1">
        <v>13</v>
      </c>
      <c r="F525" s="1">
        <v>22589</v>
      </c>
      <c r="G525" s="1" t="s">
        <v>18</v>
      </c>
      <c r="H525" s="1">
        <v>15</v>
      </c>
      <c r="I525" s="1">
        <v>446021</v>
      </c>
      <c r="J525" s="1" t="s">
        <v>236</v>
      </c>
      <c r="K525" s="1" t="s">
        <v>20</v>
      </c>
      <c r="L525" s="1" t="s">
        <v>94</v>
      </c>
      <c r="M525" s="1">
        <v>1</v>
      </c>
      <c r="N525" s="2">
        <v>23.38</v>
      </c>
      <c r="O525" s="3">
        <v>36</v>
      </c>
      <c r="P525" s="1">
        <v>0</v>
      </c>
      <c r="Q525" s="1" t="s">
        <v>22</v>
      </c>
      <c r="R525" s="1" t="s">
        <v>22</v>
      </c>
      <c r="S525" s="1">
        <v>29</v>
      </c>
      <c r="T525" s="1">
        <v>1</v>
      </c>
      <c r="U525" s="1">
        <v>5</v>
      </c>
    </row>
    <row r="526" spans="1:21" x14ac:dyDescent="0.25">
      <c r="A526" s="4">
        <v>44775</v>
      </c>
      <c r="B526" s="5">
        <v>0.82254629629629628</v>
      </c>
      <c r="C526" s="1">
        <v>1534</v>
      </c>
      <c r="D526" s="1">
        <v>13002581</v>
      </c>
      <c r="E526" s="1">
        <v>13</v>
      </c>
      <c r="F526" s="1">
        <v>22589</v>
      </c>
      <c r="G526" s="1" t="s">
        <v>18</v>
      </c>
      <c r="H526" s="1">
        <v>18</v>
      </c>
      <c r="I526" s="1">
        <v>446021</v>
      </c>
      <c r="J526" s="1" t="s">
        <v>236</v>
      </c>
      <c r="K526" s="1" t="s">
        <v>20</v>
      </c>
      <c r="L526" s="1" t="s">
        <v>94</v>
      </c>
      <c r="M526" s="1">
        <v>1</v>
      </c>
      <c r="N526" s="2">
        <v>23.38</v>
      </c>
      <c r="O526" s="3">
        <v>36</v>
      </c>
      <c r="P526" s="1">
        <v>0</v>
      </c>
      <c r="Q526" s="1" t="s">
        <v>22</v>
      </c>
      <c r="R526" s="1" t="s">
        <v>22</v>
      </c>
      <c r="S526" s="1">
        <v>29</v>
      </c>
      <c r="T526" s="1">
        <v>1</v>
      </c>
      <c r="U526" s="1">
        <v>1</v>
      </c>
    </row>
    <row r="527" spans="1:21" x14ac:dyDescent="0.25">
      <c r="A527" s="4">
        <v>44775</v>
      </c>
      <c r="B527" s="5">
        <v>0.82254629629629628</v>
      </c>
      <c r="C527" s="1">
        <v>1534</v>
      </c>
      <c r="D527" s="1">
        <v>13002581</v>
      </c>
      <c r="E527" s="1">
        <v>13</v>
      </c>
      <c r="F527" s="1">
        <v>22589</v>
      </c>
      <c r="G527" s="1" t="s">
        <v>18</v>
      </c>
      <c r="H527" s="1">
        <v>18</v>
      </c>
      <c r="I527" s="1">
        <v>446021</v>
      </c>
      <c r="J527" s="1" t="s">
        <v>236</v>
      </c>
      <c r="K527" s="1" t="s">
        <v>20</v>
      </c>
      <c r="L527" s="1" t="s">
        <v>94</v>
      </c>
      <c r="M527" s="1">
        <v>1</v>
      </c>
      <c r="N527" s="2">
        <v>23.38</v>
      </c>
      <c r="O527" s="3">
        <v>36</v>
      </c>
      <c r="P527" s="1">
        <v>0</v>
      </c>
      <c r="Q527" s="1" t="s">
        <v>22</v>
      </c>
      <c r="R527" s="1" t="s">
        <v>22</v>
      </c>
      <c r="S527" s="1">
        <v>29</v>
      </c>
      <c r="T527" s="1">
        <v>1</v>
      </c>
      <c r="U527" s="1">
        <v>2</v>
      </c>
    </row>
    <row r="528" spans="1:21" x14ac:dyDescent="0.25">
      <c r="A528" s="4">
        <v>44775</v>
      </c>
      <c r="B528" s="5">
        <v>0.6083912037037037</v>
      </c>
      <c r="C528" s="1">
        <v>1481</v>
      </c>
      <c r="D528" s="1">
        <v>13002581</v>
      </c>
      <c r="E528" s="1">
        <v>13</v>
      </c>
      <c r="F528" s="1">
        <v>22589</v>
      </c>
      <c r="G528" s="1" t="s">
        <v>18</v>
      </c>
      <c r="H528" s="1">
        <v>15</v>
      </c>
      <c r="I528" s="1">
        <v>58220</v>
      </c>
      <c r="J528" s="1" t="s">
        <v>613</v>
      </c>
      <c r="K528" s="1" t="s">
        <v>48</v>
      </c>
      <c r="L528" s="1" t="s">
        <v>71</v>
      </c>
      <c r="M528" s="1">
        <v>1</v>
      </c>
      <c r="N528" s="2">
        <v>22.28</v>
      </c>
      <c r="O528" s="3">
        <v>37</v>
      </c>
      <c r="P528" s="1">
        <v>0</v>
      </c>
      <c r="Q528" s="1" t="s">
        <v>22</v>
      </c>
      <c r="R528" s="1" t="s">
        <v>22</v>
      </c>
      <c r="S528" s="1">
        <v>29</v>
      </c>
      <c r="T528" s="1">
        <v>1</v>
      </c>
      <c r="U528" s="1">
        <v>1</v>
      </c>
    </row>
    <row r="529" spans="1:21" x14ac:dyDescent="0.25">
      <c r="A529" s="4">
        <v>44775</v>
      </c>
      <c r="B529" s="5">
        <v>0.6083912037037037</v>
      </c>
      <c r="C529" s="1">
        <v>1481</v>
      </c>
      <c r="D529" s="1">
        <v>13002581</v>
      </c>
      <c r="E529" s="1">
        <v>13</v>
      </c>
      <c r="F529" s="1">
        <v>22589</v>
      </c>
      <c r="G529" s="1" t="s">
        <v>18</v>
      </c>
      <c r="H529" s="1">
        <v>15</v>
      </c>
      <c r="I529" s="1">
        <v>57712</v>
      </c>
      <c r="J529" s="1" t="s">
        <v>614</v>
      </c>
      <c r="K529" s="1" t="s">
        <v>31</v>
      </c>
      <c r="L529" s="1" t="s">
        <v>412</v>
      </c>
      <c r="M529" s="1">
        <v>1</v>
      </c>
      <c r="N529" s="2">
        <v>20.23</v>
      </c>
      <c r="O529" s="3">
        <v>25</v>
      </c>
      <c r="P529" s="1">
        <v>0</v>
      </c>
      <c r="Q529" s="1" t="s">
        <v>22</v>
      </c>
      <c r="R529" s="1" t="s">
        <v>22</v>
      </c>
      <c r="S529" s="1">
        <v>29</v>
      </c>
      <c r="T529" s="1">
        <v>1</v>
      </c>
      <c r="U529" s="1">
        <v>8</v>
      </c>
    </row>
    <row r="530" spans="1:21" x14ac:dyDescent="0.25">
      <c r="A530" s="4">
        <v>44775</v>
      </c>
      <c r="B530" s="5">
        <v>0.6083912037037037</v>
      </c>
      <c r="C530" s="1">
        <v>1481</v>
      </c>
      <c r="D530" s="1">
        <v>13002581</v>
      </c>
      <c r="E530" s="1">
        <v>13</v>
      </c>
      <c r="F530" s="1">
        <v>22589</v>
      </c>
      <c r="G530" s="1" t="s">
        <v>18</v>
      </c>
      <c r="H530" s="1">
        <v>15</v>
      </c>
      <c r="I530" s="1">
        <v>57712</v>
      </c>
      <c r="J530" s="1" t="s">
        <v>614</v>
      </c>
      <c r="K530" s="1" t="s">
        <v>31</v>
      </c>
      <c r="L530" s="1" t="s">
        <v>412</v>
      </c>
      <c r="M530" s="1">
        <v>1</v>
      </c>
      <c r="N530" s="2">
        <v>20.23</v>
      </c>
      <c r="O530" s="3">
        <v>25</v>
      </c>
      <c r="P530" s="1">
        <v>0</v>
      </c>
      <c r="Q530" s="1" t="s">
        <v>22</v>
      </c>
      <c r="R530" s="1" t="s">
        <v>22</v>
      </c>
      <c r="S530" s="1">
        <v>29</v>
      </c>
      <c r="T530" s="1">
        <v>1</v>
      </c>
      <c r="U530" s="1">
        <v>9</v>
      </c>
    </row>
    <row r="531" spans="1:21" x14ac:dyDescent="0.25">
      <c r="A531" s="4">
        <v>44775</v>
      </c>
      <c r="B531" s="5">
        <v>0.60966435185185186</v>
      </c>
      <c r="C531" s="1">
        <v>1482</v>
      </c>
      <c r="D531" s="1">
        <v>13002581</v>
      </c>
      <c r="E531" s="1">
        <v>13</v>
      </c>
      <c r="F531" s="1">
        <v>22589</v>
      </c>
      <c r="G531" s="1" t="s">
        <v>18</v>
      </c>
      <c r="H531" s="1">
        <v>18</v>
      </c>
      <c r="I531" s="1">
        <v>8179</v>
      </c>
      <c r="J531" s="1" t="s">
        <v>615</v>
      </c>
      <c r="K531" s="1" t="s">
        <v>31</v>
      </c>
      <c r="L531" s="1" t="s">
        <v>172</v>
      </c>
      <c r="M531" s="1">
        <v>1</v>
      </c>
      <c r="N531" s="2">
        <v>35.22</v>
      </c>
      <c r="O531" s="3">
        <v>44</v>
      </c>
      <c r="P531" s="1">
        <v>2</v>
      </c>
      <c r="Q531" s="1">
        <v>9</v>
      </c>
      <c r="R531" s="1">
        <v>200010000717</v>
      </c>
      <c r="S531" s="1">
        <v>29</v>
      </c>
      <c r="T531" s="1">
        <v>1</v>
      </c>
      <c r="U531" s="1">
        <v>1</v>
      </c>
    </row>
    <row r="532" spans="1:21" x14ac:dyDescent="0.25">
      <c r="A532" s="4">
        <v>44775</v>
      </c>
      <c r="B532" s="5">
        <v>0.60966435185185186</v>
      </c>
      <c r="C532" s="1">
        <v>1482</v>
      </c>
      <c r="D532" s="1">
        <v>13002581</v>
      </c>
      <c r="E532" s="1">
        <v>13</v>
      </c>
      <c r="F532" s="1">
        <v>22589</v>
      </c>
      <c r="G532" s="1" t="s">
        <v>18</v>
      </c>
      <c r="H532" s="1">
        <v>18</v>
      </c>
      <c r="I532" s="1">
        <v>8179</v>
      </c>
      <c r="J532" s="1" t="s">
        <v>615</v>
      </c>
      <c r="K532" s="1" t="s">
        <v>31</v>
      </c>
      <c r="L532" s="1" t="s">
        <v>172</v>
      </c>
      <c r="M532" s="1">
        <v>1</v>
      </c>
      <c r="N532" s="2">
        <v>35.22</v>
      </c>
      <c r="O532" s="3">
        <v>44</v>
      </c>
      <c r="P532" s="1">
        <v>2</v>
      </c>
      <c r="Q532" s="1">
        <v>9</v>
      </c>
      <c r="R532" s="1">
        <v>200010000717</v>
      </c>
      <c r="S532" s="1">
        <v>29</v>
      </c>
      <c r="T532" s="1">
        <v>1</v>
      </c>
      <c r="U532" s="1">
        <v>2</v>
      </c>
    </row>
    <row r="533" spans="1:21" x14ac:dyDescent="0.25">
      <c r="A533" s="4">
        <v>44775</v>
      </c>
      <c r="B533" s="5">
        <v>0.60966435185185186</v>
      </c>
      <c r="C533" s="1">
        <v>1482</v>
      </c>
      <c r="D533" s="1">
        <v>13002581</v>
      </c>
      <c r="E533" s="1">
        <v>13</v>
      </c>
      <c r="F533" s="1">
        <v>22589</v>
      </c>
      <c r="G533" s="1" t="s">
        <v>18</v>
      </c>
      <c r="H533" s="1">
        <v>18</v>
      </c>
      <c r="I533" s="1">
        <v>8179</v>
      </c>
      <c r="J533" s="1" t="s">
        <v>615</v>
      </c>
      <c r="K533" s="1" t="s">
        <v>31</v>
      </c>
      <c r="L533" s="1" t="s">
        <v>172</v>
      </c>
      <c r="M533" s="1">
        <v>1</v>
      </c>
      <c r="N533" s="2">
        <v>35.22</v>
      </c>
      <c r="O533" s="3">
        <v>44</v>
      </c>
      <c r="P533" s="1">
        <v>2</v>
      </c>
      <c r="Q533" s="1">
        <v>9</v>
      </c>
      <c r="R533" s="1">
        <v>200010000717</v>
      </c>
      <c r="S533" s="1">
        <v>29</v>
      </c>
      <c r="T533" s="1">
        <v>1</v>
      </c>
      <c r="U533" s="1">
        <v>3</v>
      </c>
    </row>
    <row r="534" spans="1:21" x14ac:dyDescent="0.25">
      <c r="A534" s="4">
        <v>44775</v>
      </c>
      <c r="B534" s="5">
        <v>0.60966435185185186</v>
      </c>
      <c r="C534" s="1">
        <v>1482</v>
      </c>
      <c r="D534" s="1">
        <v>13002581</v>
      </c>
      <c r="E534" s="1">
        <v>13</v>
      </c>
      <c r="F534" s="1">
        <v>22589</v>
      </c>
      <c r="G534" s="1" t="s">
        <v>18</v>
      </c>
      <c r="H534" s="1">
        <v>18</v>
      </c>
      <c r="I534" s="1">
        <v>105480</v>
      </c>
      <c r="J534" s="1" t="s">
        <v>548</v>
      </c>
      <c r="K534" s="1" t="s">
        <v>58</v>
      </c>
      <c r="L534" s="1" t="s">
        <v>266</v>
      </c>
      <c r="M534" s="1">
        <v>1</v>
      </c>
      <c r="N534" s="2">
        <v>815.21</v>
      </c>
      <c r="O534" s="3">
        <v>908</v>
      </c>
      <c r="P534" s="1">
        <v>27</v>
      </c>
      <c r="Q534" s="1">
        <v>9</v>
      </c>
      <c r="R534" s="1">
        <v>200010000717</v>
      </c>
      <c r="S534" s="1">
        <v>29</v>
      </c>
      <c r="T534" s="1">
        <v>1</v>
      </c>
      <c r="U534" s="1">
        <v>4</v>
      </c>
    </row>
    <row r="535" spans="1:21" x14ac:dyDescent="0.25">
      <c r="A535" s="4">
        <v>44775</v>
      </c>
      <c r="B535" s="5">
        <v>0.61479166666666663</v>
      </c>
      <c r="C535" s="1">
        <v>1483</v>
      </c>
      <c r="D535" s="1">
        <v>13002581</v>
      </c>
      <c r="E535" s="1">
        <v>13</v>
      </c>
      <c r="F535" s="1">
        <v>22589</v>
      </c>
      <c r="G535" s="1" t="s">
        <v>18</v>
      </c>
      <c r="H535" s="1">
        <v>18</v>
      </c>
      <c r="I535" s="1">
        <v>116451</v>
      </c>
      <c r="J535" s="1" t="s">
        <v>616</v>
      </c>
      <c r="K535" s="1" t="s">
        <v>31</v>
      </c>
      <c r="L535" s="1" t="s">
        <v>617</v>
      </c>
      <c r="M535" s="1">
        <v>1</v>
      </c>
      <c r="N535" s="2">
        <v>1263.26</v>
      </c>
      <c r="O535" s="3">
        <v>1316</v>
      </c>
      <c r="P535" s="1">
        <v>0</v>
      </c>
      <c r="Q535" s="1" t="s">
        <v>22</v>
      </c>
      <c r="R535" s="1" t="s">
        <v>22</v>
      </c>
      <c r="S535" s="1">
        <v>29</v>
      </c>
      <c r="T535" s="1">
        <v>2</v>
      </c>
      <c r="U535" s="1">
        <v>1</v>
      </c>
    </row>
    <row r="536" spans="1:21" x14ac:dyDescent="0.25">
      <c r="A536" s="4">
        <v>44775</v>
      </c>
      <c r="B536" s="5">
        <v>0.62216435185185182</v>
      </c>
      <c r="C536" s="1">
        <v>1484</v>
      </c>
      <c r="D536" s="1">
        <v>13002581</v>
      </c>
      <c r="E536" s="1">
        <v>13</v>
      </c>
      <c r="F536" s="1">
        <v>22589</v>
      </c>
      <c r="G536" s="1" t="s">
        <v>18</v>
      </c>
      <c r="H536" s="1">
        <v>15</v>
      </c>
      <c r="I536" s="1">
        <v>143150</v>
      </c>
      <c r="J536" s="1" t="s">
        <v>83</v>
      </c>
      <c r="K536" s="1" t="s">
        <v>58</v>
      </c>
      <c r="L536" s="1" t="s">
        <v>84</v>
      </c>
      <c r="M536" s="1">
        <v>1</v>
      </c>
      <c r="N536" s="2">
        <v>1042.25</v>
      </c>
      <c r="O536" s="3">
        <v>1314</v>
      </c>
      <c r="P536" s="1">
        <v>91</v>
      </c>
      <c r="Q536" s="1">
        <v>9</v>
      </c>
      <c r="R536" s="1">
        <v>200010026887</v>
      </c>
      <c r="S536" s="1">
        <v>29</v>
      </c>
      <c r="T536" s="1">
        <v>1</v>
      </c>
      <c r="U536" s="1">
        <v>1</v>
      </c>
    </row>
    <row r="537" spans="1:21" x14ac:dyDescent="0.25">
      <c r="A537" s="4">
        <v>44775</v>
      </c>
      <c r="B537" s="5">
        <v>0.62216435185185182</v>
      </c>
      <c r="C537" s="1">
        <v>1484</v>
      </c>
      <c r="D537" s="1">
        <v>13002581</v>
      </c>
      <c r="E537" s="1">
        <v>13</v>
      </c>
      <c r="F537" s="1">
        <v>22589</v>
      </c>
      <c r="G537" s="1" t="s">
        <v>18</v>
      </c>
      <c r="H537" s="1">
        <v>15</v>
      </c>
      <c r="I537" s="1">
        <v>152071</v>
      </c>
      <c r="J537" s="1" t="s">
        <v>618</v>
      </c>
      <c r="K537" s="1" t="s">
        <v>48</v>
      </c>
      <c r="L537" s="1" t="s">
        <v>619</v>
      </c>
      <c r="M537" s="1">
        <v>1</v>
      </c>
      <c r="N537" s="2">
        <v>724.22</v>
      </c>
      <c r="O537" s="3">
        <v>935</v>
      </c>
      <c r="P537" s="1">
        <v>65</v>
      </c>
      <c r="Q537" s="1">
        <v>9</v>
      </c>
      <c r="R537" s="1">
        <v>200010026887</v>
      </c>
      <c r="S537" s="1">
        <v>29</v>
      </c>
      <c r="T537" s="1">
        <v>1</v>
      </c>
      <c r="U537" s="1">
        <v>2</v>
      </c>
    </row>
    <row r="538" spans="1:21" x14ac:dyDescent="0.25">
      <c r="A538" s="4">
        <v>44775</v>
      </c>
      <c r="B538" s="5">
        <v>0.62817129629629631</v>
      </c>
      <c r="C538" s="1">
        <v>1485</v>
      </c>
      <c r="D538" s="1">
        <v>13002581</v>
      </c>
      <c r="E538" s="1">
        <v>13</v>
      </c>
      <c r="F538" s="1">
        <v>22589</v>
      </c>
      <c r="G538" s="1" t="s">
        <v>18</v>
      </c>
      <c r="H538" s="1">
        <v>18</v>
      </c>
      <c r="I538" s="1">
        <v>45399</v>
      </c>
      <c r="J538" s="1" t="s">
        <v>620</v>
      </c>
      <c r="K538" s="1" t="s">
        <v>20</v>
      </c>
      <c r="L538" s="1" t="s">
        <v>79</v>
      </c>
      <c r="M538" s="1">
        <v>1</v>
      </c>
      <c r="N538" s="2">
        <v>40.14</v>
      </c>
      <c r="O538" s="3">
        <v>50</v>
      </c>
      <c r="P538" s="1">
        <v>0</v>
      </c>
      <c r="Q538" s="1" t="s">
        <v>22</v>
      </c>
      <c r="R538" s="1" t="s">
        <v>22</v>
      </c>
      <c r="S538" s="1">
        <v>29</v>
      </c>
      <c r="T538" s="1">
        <v>1</v>
      </c>
      <c r="U538" s="1">
        <v>1</v>
      </c>
    </row>
    <row r="539" spans="1:21" x14ac:dyDescent="0.25">
      <c r="A539" s="4">
        <v>44775</v>
      </c>
      <c r="B539" s="5">
        <v>0.62817129629629631</v>
      </c>
      <c r="C539" s="1">
        <v>1485</v>
      </c>
      <c r="D539" s="1">
        <v>13002581</v>
      </c>
      <c r="E539" s="1">
        <v>13</v>
      </c>
      <c r="F539" s="1">
        <v>22589</v>
      </c>
      <c r="G539" s="1" t="s">
        <v>18</v>
      </c>
      <c r="H539" s="1">
        <v>18</v>
      </c>
      <c r="I539" s="1">
        <v>434924</v>
      </c>
      <c r="J539" s="1" t="s">
        <v>621</v>
      </c>
      <c r="K539" s="1" t="s">
        <v>48</v>
      </c>
      <c r="L539" s="1" t="s">
        <v>227</v>
      </c>
      <c r="M539" s="1">
        <v>1</v>
      </c>
      <c r="N539" s="2">
        <v>58.12</v>
      </c>
      <c r="O539" s="3">
        <v>83</v>
      </c>
      <c r="P539" s="1">
        <v>0</v>
      </c>
      <c r="Q539" s="1" t="s">
        <v>22</v>
      </c>
      <c r="R539" s="1" t="s">
        <v>22</v>
      </c>
      <c r="S539" s="1">
        <v>29</v>
      </c>
      <c r="T539" s="1">
        <v>1</v>
      </c>
      <c r="U539" s="1">
        <v>2</v>
      </c>
    </row>
    <row r="540" spans="1:21" x14ac:dyDescent="0.25">
      <c r="A540" s="4">
        <v>44775</v>
      </c>
      <c r="B540" s="5">
        <v>0.63192129629629634</v>
      </c>
      <c r="C540" s="1">
        <v>1486</v>
      </c>
      <c r="D540" s="1">
        <v>13002581</v>
      </c>
      <c r="E540" s="1">
        <v>13</v>
      </c>
      <c r="F540" s="1">
        <v>22589</v>
      </c>
      <c r="G540" s="1" t="s">
        <v>18</v>
      </c>
      <c r="H540" s="1">
        <v>18</v>
      </c>
      <c r="I540" s="1">
        <v>284138</v>
      </c>
      <c r="J540" s="1" t="s">
        <v>622</v>
      </c>
      <c r="K540" s="1" t="s">
        <v>31</v>
      </c>
      <c r="L540" s="1" t="s">
        <v>623</v>
      </c>
      <c r="M540" s="1">
        <v>2</v>
      </c>
      <c r="N540" s="2">
        <v>303.32</v>
      </c>
      <c r="O540" s="3">
        <v>327</v>
      </c>
      <c r="P540" s="1">
        <v>0</v>
      </c>
      <c r="Q540" s="1" t="s">
        <v>22</v>
      </c>
      <c r="R540" s="1" t="s">
        <v>22</v>
      </c>
      <c r="S540" s="1">
        <v>29</v>
      </c>
      <c r="T540" s="1">
        <v>2</v>
      </c>
      <c r="U540" s="1">
        <v>1</v>
      </c>
    </row>
    <row r="541" spans="1:21" x14ac:dyDescent="0.25">
      <c r="A541" s="4">
        <v>44775</v>
      </c>
      <c r="B541" s="5">
        <v>0.6381944444444444</v>
      </c>
      <c r="C541" s="1">
        <v>1487</v>
      </c>
      <c r="D541" s="1">
        <v>13002581</v>
      </c>
      <c r="E541" s="1">
        <v>13</v>
      </c>
      <c r="F541" s="1">
        <v>22589</v>
      </c>
      <c r="G541" s="1" t="s">
        <v>18</v>
      </c>
      <c r="H541" s="1">
        <v>18</v>
      </c>
      <c r="I541" s="1">
        <v>440425</v>
      </c>
      <c r="J541" s="1" t="s">
        <v>624</v>
      </c>
      <c r="K541" s="1" t="s">
        <v>48</v>
      </c>
      <c r="L541" s="1" t="s">
        <v>46</v>
      </c>
      <c r="M541" s="1">
        <v>1</v>
      </c>
      <c r="N541" s="2">
        <v>28.73</v>
      </c>
      <c r="O541" s="3">
        <v>36</v>
      </c>
      <c r="P541" s="1">
        <v>2</v>
      </c>
      <c r="Q541" s="1">
        <v>9</v>
      </c>
      <c r="R541" s="1">
        <v>200010000401</v>
      </c>
      <c r="S541" s="1">
        <v>29</v>
      </c>
      <c r="T541" s="1">
        <v>1</v>
      </c>
      <c r="U541" s="1">
        <v>1</v>
      </c>
    </row>
    <row r="542" spans="1:21" x14ac:dyDescent="0.25">
      <c r="A542" s="4">
        <v>44775</v>
      </c>
      <c r="B542" s="5">
        <v>0.6381944444444444</v>
      </c>
      <c r="C542" s="1">
        <v>1487</v>
      </c>
      <c r="D542" s="1">
        <v>13002581</v>
      </c>
      <c r="E542" s="1">
        <v>13</v>
      </c>
      <c r="F542" s="1">
        <v>22589</v>
      </c>
      <c r="G542" s="1" t="s">
        <v>18</v>
      </c>
      <c r="H542" s="1">
        <v>18</v>
      </c>
      <c r="I542" s="1">
        <v>440425</v>
      </c>
      <c r="J542" s="1" t="s">
        <v>624</v>
      </c>
      <c r="K542" s="1" t="s">
        <v>48</v>
      </c>
      <c r="L542" s="1" t="s">
        <v>46</v>
      </c>
      <c r="M542" s="1">
        <v>1</v>
      </c>
      <c r="N542" s="2">
        <v>28.73</v>
      </c>
      <c r="O542" s="3">
        <v>36</v>
      </c>
      <c r="P542" s="1">
        <v>2</v>
      </c>
      <c r="Q542" s="1">
        <v>9</v>
      </c>
      <c r="R542" s="1">
        <v>200010000401</v>
      </c>
      <c r="S542" s="1">
        <v>29</v>
      </c>
      <c r="T542" s="1">
        <v>1</v>
      </c>
      <c r="U542" s="1">
        <v>2</v>
      </c>
    </row>
    <row r="543" spans="1:21" x14ac:dyDescent="0.25">
      <c r="A543" s="4">
        <v>44775</v>
      </c>
      <c r="B543" s="5">
        <v>0.64456018518518521</v>
      </c>
      <c r="C543" s="1">
        <v>1488</v>
      </c>
      <c r="D543" s="1">
        <v>13002581</v>
      </c>
      <c r="E543" s="1">
        <v>13</v>
      </c>
      <c r="F543" s="1">
        <v>22589</v>
      </c>
      <c r="G543" s="1" t="s">
        <v>18</v>
      </c>
      <c r="H543" s="1">
        <v>15</v>
      </c>
      <c r="I543" s="1">
        <v>142544</v>
      </c>
      <c r="J543" s="1" t="s">
        <v>625</v>
      </c>
      <c r="K543" s="1" t="s">
        <v>138</v>
      </c>
      <c r="L543" s="1" t="s">
        <v>626</v>
      </c>
      <c r="M543" s="1">
        <v>0.2</v>
      </c>
      <c r="N543" s="2">
        <v>545.82000000000005</v>
      </c>
      <c r="O543" s="3">
        <v>705</v>
      </c>
      <c r="P543" s="1">
        <v>0</v>
      </c>
      <c r="Q543" s="1" t="s">
        <v>22</v>
      </c>
      <c r="R543" s="1" t="s">
        <v>22</v>
      </c>
      <c r="S543" s="1">
        <v>29</v>
      </c>
      <c r="T543" s="1">
        <v>1</v>
      </c>
      <c r="U543" s="1">
        <v>1</v>
      </c>
    </row>
    <row r="544" spans="1:21" x14ac:dyDescent="0.25">
      <c r="A544" s="4">
        <v>44775</v>
      </c>
      <c r="B544" s="5">
        <v>0.64693287037037039</v>
      </c>
      <c r="C544" s="1">
        <v>1489</v>
      </c>
      <c r="D544" s="1">
        <v>13002581</v>
      </c>
      <c r="E544" s="1">
        <v>13</v>
      </c>
      <c r="F544" s="1">
        <v>22589</v>
      </c>
      <c r="G544" s="1" t="s">
        <v>18</v>
      </c>
      <c r="H544" s="1">
        <v>18</v>
      </c>
      <c r="I544" s="1">
        <v>348186</v>
      </c>
      <c r="J544" s="1" t="s">
        <v>416</v>
      </c>
      <c r="K544" s="1" t="s">
        <v>138</v>
      </c>
      <c r="L544" s="1" t="s">
        <v>170</v>
      </c>
      <c r="M544" s="1">
        <v>10</v>
      </c>
      <c r="N544" s="2">
        <v>5.83</v>
      </c>
      <c r="O544" s="3">
        <v>8</v>
      </c>
      <c r="P544" s="1">
        <v>0</v>
      </c>
      <c r="Q544" s="1" t="s">
        <v>22</v>
      </c>
      <c r="R544" s="1" t="s">
        <v>22</v>
      </c>
      <c r="S544" s="1">
        <v>29</v>
      </c>
      <c r="T544" s="1">
        <v>1</v>
      </c>
      <c r="U544" s="1">
        <v>1</v>
      </c>
    </row>
    <row r="545" spans="1:21" x14ac:dyDescent="0.25">
      <c r="A545" s="4">
        <v>44775</v>
      </c>
      <c r="B545" s="5">
        <v>0.64778935185185182</v>
      </c>
      <c r="C545" s="1">
        <v>1490</v>
      </c>
      <c r="D545" s="1">
        <v>13002581</v>
      </c>
      <c r="E545" s="1">
        <v>13</v>
      </c>
      <c r="F545" s="1">
        <v>22589</v>
      </c>
      <c r="G545" s="1" t="s">
        <v>18</v>
      </c>
      <c r="H545" s="1">
        <v>18</v>
      </c>
      <c r="I545" s="1">
        <v>20621</v>
      </c>
      <c r="J545" s="1" t="s">
        <v>627</v>
      </c>
      <c r="K545" s="1" t="s">
        <v>31</v>
      </c>
      <c r="L545" s="1" t="s">
        <v>628</v>
      </c>
      <c r="M545" s="1">
        <v>1</v>
      </c>
      <c r="N545" s="2">
        <v>337.84</v>
      </c>
      <c r="O545" s="3">
        <v>446</v>
      </c>
      <c r="P545" s="1">
        <v>25</v>
      </c>
      <c r="Q545" s="1">
        <v>925</v>
      </c>
      <c r="R545" s="1">
        <v>200000000492</v>
      </c>
      <c r="S545" s="1">
        <v>29</v>
      </c>
      <c r="T545" s="1">
        <v>1</v>
      </c>
      <c r="U545" s="1">
        <v>1</v>
      </c>
    </row>
    <row r="546" spans="1:21" x14ac:dyDescent="0.25">
      <c r="A546" s="4">
        <v>44775</v>
      </c>
      <c r="B546" s="5">
        <v>0.66707175925925921</v>
      </c>
      <c r="C546" s="1">
        <v>1491</v>
      </c>
      <c r="D546" s="1">
        <v>13002581</v>
      </c>
      <c r="E546" s="1">
        <v>13</v>
      </c>
      <c r="F546" s="1">
        <v>22589</v>
      </c>
      <c r="G546" s="1" t="s">
        <v>18</v>
      </c>
      <c r="H546" s="1">
        <v>15</v>
      </c>
      <c r="I546" s="1">
        <v>22045</v>
      </c>
      <c r="J546" s="1" t="s">
        <v>629</v>
      </c>
      <c r="K546" s="1" t="s">
        <v>20</v>
      </c>
      <c r="L546" s="1" t="s">
        <v>630</v>
      </c>
      <c r="M546" s="1">
        <v>1</v>
      </c>
      <c r="N546" s="2">
        <v>383.15</v>
      </c>
      <c r="O546" s="3">
        <v>506</v>
      </c>
      <c r="P546" s="1">
        <v>35</v>
      </c>
      <c r="Q546" s="1">
        <v>9</v>
      </c>
      <c r="R546" s="1">
        <v>200010013439</v>
      </c>
      <c r="S546" s="1">
        <v>29</v>
      </c>
      <c r="T546" s="1">
        <v>1</v>
      </c>
      <c r="U546" s="1">
        <v>1</v>
      </c>
    </row>
    <row r="547" spans="1:21" x14ac:dyDescent="0.25">
      <c r="A547" s="4">
        <v>44775</v>
      </c>
      <c r="B547" s="5">
        <v>0.67112268518518514</v>
      </c>
      <c r="C547" s="1">
        <v>1492</v>
      </c>
      <c r="D547" s="1">
        <v>13002581</v>
      </c>
      <c r="E547" s="1">
        <v>13</v>
      </c>
      <c r="F547" s="1">
        <v>22589</v>
      </c>
      <c r="G547" s="1" t="s">
        <v>18</v>
      </c>
      <c r="H547" s="1">
        <v>18</v>
      </c>
      <c r="I547" s="1">
        <v>15354</v>
      </c>
      <c r="J547" s="1" t="s">
        <v>631</v>
      </c>
      <c r="K547" s="1" t="s">
        <v>26</v>
      </c>
      <c r="L547" s="1" t="s">
        <v>609</v>
      </c>
      <c r="M547" s="1">
        <v>1</v>
      </c>
      <c r="N547" s="2">
        <v>147.79</v>
      </c>
      <c r="O547" s="3">
        <v>203</v>
      </c>
      <c r="P547" s="1">
        <v>14</v>
      </c>
      <c r="Q547" s="1">
        <v>9</v>
      </c>
      <c r="R547" s="1">
        <v>200010026807</v>
      </c>
      <c r="S547" s="1">
        <v>29</v>
      </c>
      <c r="T547" s="1">
        <v>1</v>
      </c>
      <c r="U547" s="1">
        <v>1</v>
      </c>
    </row>
    <row r="548" spans="1:21" x14ac:dyDescent="0.25">
      <c r="A548" s="4">
        <v>44775</v>
      </c>
      <c r="B548" s="5">
        <v>0.67112268518518514</v>
      </c>
      <c r="C548" s="1">
        <v>1492</v>
      </c>
      <c r="D548" s="1">
        <v>13002581</v>
      </c>
      <c r="E548" s="1">
        <v>13</v>
      </c>
      <c r="F548" s="1">
        <v>22589</v>
      </c>
      <c r="G548" s="1" t="s">
        <v>18</v>
      </c>
      <c r="H548" s="1">
        <v>18</v>
      </c>
      <c r="I548" s="1">
        <v>261433</v>
      </c>
      <c r="J548" s="1" t="s">
        <v>632</v>
      </c>
      <c r="K548" s="1" t="s">
        <v>48</v>
      </c>
      <c r="L548" s="1" t="s">
        <v>62</v>
      </c>
      <c r="M548" s="1">
        <v>1</v>
      </c>
      <c r="N548" s="2">
        <v>70.22</v>
      </c>
      <c r="O548" s="3">
        <v>100</v>
      </c>
      <c r="P548" s="1">
        <v>7</v>
      </c>
      <c r="Q548" s="1">
        <v>9</v>
      </c>
      <c r="R548" s="1">
        <v>200010026807</v>
      </c>
      <c r="S548" s="1">
        <v>29</v>
      </c>
      <c r="T548" s="1">
        <v>1</v>
      </c>
      <c r="U548" s="1">
        <v>2</v>
      </c>
    </row>
    <row r="549" spans="1:21" x14ac:dyDescent="0.25">
      <c r="A549" s="4">
        <v>44775</v>
      </c>
      <c r="B549" s="5">
        <v>0.67112268518518514</v>
      </c>
      <c r="C549" s="1">
        <v>1492</v>
      </c>
      <c r="D549" s="1">
        <v>13002581</v>
      </c>
      <c r="E549" s="1">
        <v>13</v>
      </c>
      <c r="F549" s="1">
        <v>22589</v>
      </c>
      <c r="G549" s="1" t="s">
        <v>18</v>
      </c>
      <c r="H549" s="1">
        <v>18</v>
      </c>
      <c r="I549" s="1">
        <v>455371</v>
      </c>
      <c r="J549" s="1" t="s">
        <v>633</v>
      </c>
      <c r="K549" s="1" t="s">
        <v>48</v>
      </c>
      <c r="L549" s="1" t="s">
        <v>394</v>
      </c>
      <c r="M549" s="1">
        <v>1</v>
      </c>
      <c r="N549" s="2">
        <v>23.14</v>
      </c>
      <c r="O549" s="3">
        <v>28</v>
      </c>
      <c r="P549" s="1">
        <v>1</v>
      </c>
      <c r="Q549" s="1">
        <v>9</v>
      </c>
      <c r="R549" s="1">
        <v>200010026807</v>
      </c>
      <c r="S549" s="1">
        <v>29</v>
      </c>
      <c r="T549" s="1">
        <v>1</v>
      </c>
      <c r="U549" s="1">
        <v>3</v>
      </c>
    </row>
    <row r="550" spans="1:21" x14ac:dyDescent="0.25">
      <c r="A550" s="4">
        <v>44775</v>
      </c>
      <c r="B550" s="5">
        <v>0.67671296296296302</v>
      </c>
      <c r="C550" s="1">
        <v>1493</v>
      </c>
      <c r="D550" s="1">
        <v>13002581</v>
      </c>
      <c r="E550" s="1">
        <v>13</v>
      </c>
      <c r="F550" s="1">
        <v>22589</v>
      </c>
      <c r="G550" s="1" t="s">
        <v>18</v>
      </c>
      <c r="H550" s="1">
        <v>18</v>
      </c>
      <c r="I550" s="1">
        <v>189384</v>
      </c>
      <c r="J550" s="1" t="s">
        <v>634</v>
      </c>
      <c r="K550" s="1" t="s">
        <v>42</v>
      </c>
      <c r="L550" s="1" t="s">
        <v>635</v>
      </c>
      <c r="M550" s="1">
        <v>1</v>
      </c>
      <c r="N550" s="2">
        <v>5.94</v>
      </c>
      <c r="O550" s="3">
        <v>10</v>
      </c>
      <c r="P550" s="1">
        <v>0</v>
      </c>
      <c r="Q550" s="1" t="s">
        <v>22</v>
      </c>
      <c r="R550" s="1" t="s">
        <v>22</v>
      </c>
      <c r="S550" s="1">
        <v>29</v>
      </c>
      <c r="T550" s="1">
        <v>1</v>
      </c>
      <c r="U550" s="1">
        <v>1</v>
      </c>
    </row>
    <row r="551" spans="1:21" x14ac:dyDescent="0.25">
      <c r="A551" s="4">
        <v>44775</v>
      </c>
      <c r="B551" s="5">
        <v>0.67783564814814812</v>
      </c>
      <c r="C551" s="1">
        <v>1494</v>
      </c>
      <c r="D551" s="1">
        <v>13002581</v>
      </c>
      <c r="E551" s="1">
        <v>13</v>
      </c>
      <c r="F551" s="1">
        <v>22589</v>
      </c>
      <c r="G551" s="1" t="s">
        <v>18</v>
      </c>
      <c r="H551" s="1">
        <v>15</v>
      </c>
      <c r="I551" s="1">
        <v>1338</v>
      </c>
      <c r="J551" s="1" t="s">
        <v>636</v>
      </c>
      <c r="K551" s="1" t="s">
        <v>61</v>
      </c>
      <c r="L551" s="1" t="s">
        <v>637</v>
      </c>
      <c r="M551" s="1">
        <v>1</v>
      </c>
      <c r="N551" s="2">
        <v>227.89</v>
      </c>
      <c r="O551" s="3">
        <v>308</v>
      </c>
      <c r="P551" s="1">
        <v>21</v>
      </c>
      <c r="Q551" s="1">
        <v>9</v>
      </c>
      <c r="R551" s="1">
        <v>200010003383</v>
      </c>
      <c r="S551" s="1">
        <v>29</v>
      </c>
      <c r="T551" s="1">
        <v>1</v>
      </c>
      <c r="U551" s="1">
        <v>2</v>
      </c>
    </row>
    <row r="552" spans="1:21" x14ac:dyDescent="0.25">
      <c r="A552" s="4">
        <v>44775</v>
      </c>
      <c r="B552" s="5">
        <v>0.67783564814814812</v>
      </c>
      <c r="C552" s="1">
        <v>1494</v>
      </c>
      <c r="D552" s="1">
        <v>13002581</v>
      </c>
      <c r="E552" s="1">
        <v>13</v>
      </c>
      <c r="F552" s="1">
        <v>22589</v>
      </c>
      <c r="G552" s="1" t="s">
        <v>18</v>
      </c>
      <c r="H552" s="1">
        <v>15</v>
      </c>
      <c r="I552" s="1">
        <v>13574</v>
      </c>
      <c r="J552" s="1" t="s">
        <v>413</v>
      </c>
      <c r="K552" s="1" t="s">
        <v>45</v>
      </c>
      <c r="L552" s="1" t="s">
        <v>414</v>
      </c>
      <c r="M552" s="1">
        <v>0.1</v>
      </c>
      <c r="N552" s="2">
        <v>927.61</v>
      </c>
      <c r="O552" s="3">
        <v>1197</v>
      </c>
      <c r="P552" s="1">
        <v>7.7</v>
      </c>
      <c r="Q552" s="1">
        <v>9</v>
      </c>
      <c r="R552" s="1">
        <v>200010003383</v>
      </c>
      <c r="S552" s="1">
        <v>29</v>
      </c>
      <c r="T552" s="1">
        <v>1</v>
      </c>
      <c r="U552" s="1">
        <v>1</v>
      </c>
    </row>
    <row r="553" spans="1:21" x14ac:dyDescent="0.25">
      <c r="A553" s="4">
        <v>44775</v>
      </c>
      <c r="B553" s="5">
        <v>0.67931712962962965</v>
      </c>
      <c r="C553" s="1">
        <v>1495</v>
      </c>
      <c r="D553" s="1">
        <v>13002581</v>
      </c>
      <c r="E553" s="1">
        <v>13</v>
      </c>
      <c r="F553" s="1">
        <v>22589</v>
      </c>
      <c r="G553" s="1" t="s">
        <v>18</v>
      </c>
      <c r="H553" s="1">
        <v>15</v>
      </c>
      <c r="I553" s="1">
        <v>37948</v>
      </c>
      <c r="J553" s="1" t="s">
        <v>638</v>
      </c>
      <c r="K553" s="1" t="s">
        <v>114</v>
      </c>
      <c r="L553" s="1" t="s">
        <v>263</v>
      </c>
      <c r="M553" s="1">
        <v>1</v>
      </c>
      <c r="N553" s="2">
        <v>37.270000000000003</v>
      </c>
      <c r="O553" s="3">
        <v>61</v>
      </c>
      <c r="P553" s="1">
        <v>0</v>
      </c>
      <c r="Q553" s="1" t="s">
        <v>22</v>
      </c>
      <c r="R553" s="1" t="s">
        <v>22</v>
      </c>
      <c r="S553" s="1">
        <v>29</v>
      </c>
      <c r="T553" s="1">
        <v>1</v>
      </c>
      <c r="U553" s="1">
        <v>2</v>
      </c>
    </row>
    <row r="554" spans="1:21" x14ac:dyDescent="0.25">
      <c r="A554" s="4">
        <v>44775</v>
      </c>
      <c r="B554" s="5">
        <v>0.67931712962962965</v>
      </c>
      <c r="C554" s="1">
        <v>1495</v>
      </c>
      <c r="D554" s="1">
        <v>13002581</v>
      </c>
      <c r="E554" s="1">
        <v>13</v>
      </c>
      <c r="F554" s="1">
        <v>22589</v>
      </c>
      <c r="G554" s="1" t="s">
        <v>18</v>
      </c>
      <c r="H554" s="1">
        <v>15</v>
      </c>
      <c r="I554" s="1">
        <v>37948</v>
      </c>
      <c r="J554" s="1" t="s">
        <v>638</v>
      </c>
      <c r="K554" s="1" t="s">
        <v>42</v>
      </c>
      <c r="L554" s="1" t="s">
        <v>263</v>
      </c>
      <c r="M554" s="1">
        <v>2</v>
      </c>
      <c r="N554" s="2">
        <v>33.97</v>
      </c>
      <c r="O554" s="3">
        <v>56</v>
      </c>
      <c r="P554" s="1">
        <v>0</v>
      </c>
      <c r="Q554" s="1" t="s">
        <v>22</v>
      </c>
      <c r="R554" s="1" t="s">
        <v>22</v>
      </c>
      <c r="S554" s="1">
        <v>29</v>
      </c>
      <c r="T554" s="1">
        <v>1</v>
      </c>
      <c r="U554" s="1">
        <v>3</v>
      </c>
    </row>
    <row r="555" spans="1:21" x14ac:dyDescent="0.25">
      <c r="A555" s="4">
        <v>44775</v>
      </c>
      <c r="B555" s="5">
        <v>0.67931712962962965</v>
      </c>
      <c r="C555" s="1">
        <v>1495</v>
      </c>
      <c r="D555" s="1">
        <v>13002581</v>
      </c>
      <c r="E555" s="1">
        <v>13</v>
      </c>
      <c r="F555" s="1">
        <v>22589</v>
      </c>
      <c r="G555" s="1" t="s">
        <v>18</v>
      </c>
      <c r="H555" s="1">
        <v>15</v>
      </c>
      <c r="I555" s="1">
        <v>354211</v>
      </c>
      <c r="J555" s="1" t="s">
        <v>405</v>
      </c>
      <c r="K555" s="1" t="s">
        <v>45</v>
      </c>
      <c r="L555" s="1" t="s">
        <v>96</v>
      </c>
      <c r="M555" s="1">
        <v>1</v>
      </c>
      <c r="N555" s="2">
        <v>14.4</v>
      </c>
      <c r="O555" s="3">
        <v>24</v>
      </c>
      <c r="P555" s="1">
        <v>0</v>
      </c>
      <c r="Q555" s="1" t="s">
        <v>22</v>
      </c>
      <c r="R555" s="1" t="s">
        <v>22</v>
      </c>
      <c r="S555" s="1">
        <v>29</v>
      </c>
      <c r="T555" s="1">
        <v>1</v>
      </c>
      <c r="U555" s="1">
        <v>4</v>
      </c>
    </row>
    <row r="556" spans="1:21" x14ac:dyDescent="0.25">
      <c r="A556" s="4">
        <v>44775</v>
      </c>
      <c r="B556" s="5">
        <v>0.68612268518518515</v>
      </c>
      <c r="C556" s="1">
        <v>1496</v>
      </c>
      <c r="D556" s="1">
        <v>13002581</v>
      </c>
      <c r="E556" s="1">
        <v>13</v>
      </c>
      <c r="F556" s="1">
        <v>22589</v>
      </c>
      <c r="G556" s="1" t="s">
        <v>18</v>
      </c>
      <c r="H556" s="1">
        <v>15</v>
      </c>
      <c r="I556" s="1">
        <v>5312</v>
      </c>
      <c r="J556" s="1" t="s">
        <v>639</v>
      </c>
      <c r="K556" s="1" t="s">
        <v>61</v>
      </c>
      <c r="L556" s="1" t="s">
        <v>609</v>
      </c>
      <c r="M556" s="1">
        <v>1</v>
      </c>
      <c r="N556" s="2">
        <v>283.52</v>
      </c>
      <c r="O556" s="3">
        <v>383</v>
      </c>
      <c r="P556" s="1">
        <v>38</v>
      </c>
      <c r="Q556" s="1">
        <v>30</v>
      </c>
      <c r="R556" s="1">
        <v>200000000024</v>
      </c>
      <c r="S556" s="1">
        <v>29</v>
      </c>
      <c r="T556" s="1">
        <v>1</v>
      </c>
      <c r="U556" s="1">
        <v>1</v>
      </c>
    </row>
    <row r="557" spans="1:21" x14ac:dyDescent="0.25">
      <c r="A557" s="4">
        <v>44775</v>
      </c>
      <c r="B557" s="5">
        <v>0.68785879629629632</v>
      </c>
      <c r="C557" s="1">
        <v>1497</v>
      </c>
      <c r="D557" s="1">
        <v>13002581</v>
      </c>
      <c r="E557" s="1">
        <v>13</v>
      </c>
      <c r="F557" s="1">
        <v>22589</v>
      </c>
      <c r="G557" s="1" t="s">
        <v>18</v>
      </c>
      <c r="H557" s="1">
        <v>15</v>
      </c>
      <c r="I557" s="1">
        <v>2302</v>
      </c>
      <c r="J557" s="1" t="s">
        <v>78</v>
      </c>
      <c r="K557" s="1" t="s">
        <v>58</v>
      </c>
      <c r="L557" s="1" t="s">
        <v>79</v>
      </c>
      <c r="M557" s="1">
        <v>1</v>
      </c>
      <c r="N557" s="2">
        <v>148.28</v>
      </c>
      <c r="O557" s="3">
        <v>174</v>
      </c>
      <c r="P557" s="1">
        <v>8</v>
      </c>
      <c r="Q557" s="1">
        <v>9</v>
      </c>
      <c r="R557" s="1">
        <v>200010014077</v>
      </c>
      <c r="S557" s="1">
        <v>29</v>
      </c>
      <c r="T557" s="1">
        <v>1</v>
      </c>
      <c r="U557" s="1">
        <v>1</v>
      </c>
    </row>
    <row r="558" spans="1:21" x14ac:dyDescent="0.25">
      <c r="A558" s="4">
        <v>44775</v>
      </c>
      <c r="B558" s="5">
        <v>0.69490740740740742</v>
      </c>
      <c r="C558" s="1">
        <v>1498</v>
      </c>
      <c r="D558" s="1">
        <v>13002581</v>
      </c>
      <c r="E558" s="1">
        <v>13</v>
      </c>
      <c r="F558" s="1">
        <v>22589</v>
      </c>
      <c r="G558" s="1" t="s">
        <v>18</v>
      </c>
      <c r="H558" s="1">
        <v>18</v>
      </c>
      <c r="I558" s="1">
        <v>265690</v>
      </c>
      <c r="J558" s="1" t="s">
        <v>640</v>
      </c>
      <c r="K558" s="1" t="s">
        <v>114</v>
      </c>
      <c r="L558" s="1" t="s">
        <v>365</v>
      </c>
      <c r="M558" s="1">
        <v>1</v>
      </c>
      <c r="N558" s="2">
        <v>55.06</v>
      </c>
      <c r="O558" s="3">
        <v>87</v>
      </c>
      <c r="P558" s="1">
        <v>8</v>
      </c>
      <c r="Q558" s="1">
        <v>9</v>
      </c>
      <c r="R558" s="1">
        <v>200010012147</v>
      </c>
      <c r="S558" s="1">
        <v>29</v>
      </c>
      <c r="T558" s="1">
        <v>1</v>
      </c>
      <c r="U558" s="1">
        <v>3</v>
      </c>
    </row>
    <row r="559" spans="1:21" x14ac:dyDescent="0.25">
      <c r="A559" s="4">
        <v>44775</v>
      </c>
      <c r="B559" s="5">
        <v>0.69490740740740742</v>
      </c>
      <c r="C559" s="1">
        <v>1498</v>
      </c>
      <c r="D559" s="1">
        <v>13002581</v>
      </c>
      <c r="E559" s="1">
        <v>13</v>
      </c>
      <c r="F559" s="1">
        <v>22589</v>
      </c>
      <c r="G559" s="1" t="s">
        <v>18</v>
      </c>
      <c r="H559" s="1">
        <v>18</v>
      </c>
      <c r="I559" s="1">
        <v>23336</v>
      </c>
      <c r="J559" s="1" t="s">
        <v>641</v>
      </c>
      <c r="K559" s="1" t="s">
        <v>138</v>
      </c>
      <c r="L559" s="1" t="s">
        <v>374</v>
      </c>
      <c r="M559" s="1">
        <v>1</v>
      </c>
      <c r="N559" s="2">
        <v>781.33</v>
      </c>
      <c r="O559" s="3">
        <v>899</v>
      </c>
      <c r="P559" s="1">
        <v>62</v>
      </c>
      <c r="Q559" s="1">
        <v>9</v>
      </c>
      <c r="R559" s="1">
        <v>200010012147</v>
      </c>
      <c r="S559" s="1">
        <v>29</v>
      </c>
      <c r="T559" s="1">
        <v>1</v>
      </c>
      <c r="U559" s="1">
        <v>2</v>
      </c>
    </row>
    <row r="560" spans="1:21" x14ac:dyDescent="0.25">
      <c r="A560" s="4">
        <v>44775</v>
      </c>
      <c r="B560" s="5">
        <v>0.69490740740740742</v>
      </c>
      <c r="C560" s="1">
        <v>1498</v>
      </c>
      <c r="D560" s="1">
        <v>13002581</v>
      </c>
      <c r="E560" s="1">
        <v>13</v>
      </c>
      <c r="F560" s="1">
        <v>22589</v>
      </c>
      <c r="G560" s="1" t="s">
        <v>18</v>
      </c>
      <c r="H560" s="1">
        <v>18</v>
      </c>
      <c r="I560" s="1">
        <v>107419</v>
      </c>
      <c r="J560" s="1" t="s">
        <v>642</v>
      </c>
      <c r="K560" s="1" t="s">
        <v>48</v>
      </c>
      <c r="L560" s="1" t="s">
        <v>213</v>
      </c>
      <c r="M560" s="1">
        <v>1</v>
      </c>
      <c r="N560" s="2">
        <v>20.57</v>
      </c>
      <c r="O560" s="3">
        <v>25</v>
      </c>
      <c r="P560" s="1">
        <v>1</v>
      </c>
      <c r="Q560" s="1">
        <v>9</v>
      </c>
      <c r="R560" s="1">
        <v>200010012147</v>
      </c>
      <c r="S560" s="1">
        <v>29</v>
      </c>
      <c r="T560" s="1">
        <v>1</v>
      </c>
      <c r="U560" s="1">
        <v>1</v>
      </c>
    </row>
    <row r="561" spans="1:21" x14ac:dyDescent="0.25">
      <c r="A561" s="4">
        <v>44775</v>
      </c>
      <c r="B561" s="5">
        <v>0.70005787037037037</v>
      </c>
      <c r="C561" s="1">
        <v>1499</v>
      </c>
      <c r="D561" s="1">
        <v>13002581</v>
      </c>
      <c r="E561" s="1">
        <v>13</v>
      </c>
      <c r="F561" s="1">
        <v>22589</v>
      </c>
      <c r="G561" s="1" t="s">
        <v>18</v>
      </c>
      <c r="H561" s="1">
        <v>18</v>
      </c>
      <c r="I561" s="1">
        <v>365627</v>
      </c>
      <c r="J561" s="1" t="s">
        <v>52</v>
      </c>
      <c r="K561" s="1" t="s">
        <v>26</v>
      </c>
      <c r="L561" s="1" t="s">
        <v>53</v>
      </c>
      <c r="M561" s="1">
        <v>1</v>
      </c>
      <c r="N561" s="2">
        <v>78.239999999999995</v>
      </c>
      <c r="O561" s="3">
        <v>96</v>
      </c>
      <c r="P561" s="1">
        <v>24.63</v>
      </c>
      <c r="Q561" s="1">
        <v>925</v>
      </c>
      <c r="R561" s="1">
        <v>200000000492</v>
      </c>
      <c r="S561" s="1">
        <v>29</v>
      </c>
      <c r="T561" s="1">
        <v>1</v>
      </c>
      <c r="U561" s="1">
        <v>2</v>
      </c>
    </row>
    <row r="562" spans="1:21" x14ac:dyDescent="0.25">
      <c r="A562" s="4">
        <v>44775</v>
      </c>
      <c r="B562" s="5">
        <v>0.70005787037037037</v>
      </c>
      <c r="C562" s="1">
        <v>1499</v>
      </c>
      <c r="D562" s="1">
        <v>13002581</v>
      </c>
      <c r="E562" s="1">
        <v>13</v>
      </c>
      <c r="F562" s="1">
        <v>22589</v>
      </c>
      <c r="G562" s="1" t="s">
        <v>18</v>
      </c>
      <c r="H562" s="1">
        <v>18</v>
      </c>
      <c r="I562" s="1">
        <v>344597</v>
      </c>
      <c r="J562" s="1" t="s">
        <v>643</v>
      </c>
      <c r="K562" s="1" t="s">
        <v>48</v>
      </c>
      <c r="L562" s="1" t="s">
        <v>644</v>
      </c>
      <c r="M562" s="1">
        <v>1</v>
      </c>
      <c r="N562" s="2">
        <v>75.73</v>
      </c>
      <c r="O562" s="3">
        <v>95</v>
      </c>
      <c r="P562" s="1">
        <v>24.37</v>
      </c>
      <c r="Q562" s="1">
        <v>925</v>
      </c>
      <c r="R562" s="1">
        <v>200000000492</v>
      </c>
      <c r="S562" s="1">
        <v>29</v>
      </c>
      <c r="T562" s="1">
        <v>1</v>
      </c>
      <c r="U562" s="1">
        <v>1</v>
      </c>
    </row>
    <row r="563" spans="1:21" x14ac:dyDescent="0.25">
      <c r="A563" s="4">
        <v>44775</v>
      </c>
      <c r="B563" s="5">
        <v>0.70472222222222225</v>
      </c>
      <c r="C563" s="1">
        <v>1500</v>
      </c>
      <c r="D563" s="1">
        <v>13002581</v>
      </c>
      <c r="E563" s="1">
        <v>13</v>
      </c>
      <c r="F563" s="1">
        <v>22589</v>
      </c>
      <c r="G563" s="1" t="s">
        <v>18</v>
      </c>
      <c r="H563" s="1">
        <v>15</v>
      </c>
      <c r="I563" s="1">
        <v>133317</v>
      </c>
      <c r="J563" s="1" t="s">
        <v>645</v>
      </c>
      <c r="K563" s="1" t="s">
        <v>20</v>
      </c>
      <c r="L563" s="1" t="s">
        <v>213</v>
      </c>
      <c r="M563" s="1">
        <v>1</v>
      </c>
      <c r="N563" s="2">
        <v>299.16000000000003</v>
      </c>
      <c r="O563" s="3">
        <v>404</v>
      </c>
      <c r="P563" s="1">
        <v>28</v>
      </c>
      <c r="Q563" s="1">
        <v>9</v>
      </c>
      <c r="R563" s="1">
        <v>200010021949</v>
      </c>
      <c r="S563" s="1">
        <v>29</v>
      </c>
      <c r="T563" s="1">
        <v>1</v>
      </c>
      <c r="U563" s="1">
        <v>1</v>
      </c>
    </row>
    <row r="564" spans="1:21" x14ac:dyDescent="0.25">
      <c r="A564" s="4">
        <v>44775</v>
      </c>
      <c r="B564" s="5">
        <v>0.71390046296296295</v>
      </c>
      <c r="C564" s="1">
        <v>1501</v>
      </c>
      <c r="D564" s="1">
        <v>13002581</v>
      </c>
      <c r="E564" s="1">
        <v>13</v>
      </c>
      <c r="F564" s="1">
        <v>22589</v>
      </c>
      <c r="G564" s="1" t="s">
        <v>18</v>
      </c>
      <c r="H564" s="1">
        <v>18</v>
      </c>
      <c r="I564" s="1">
        <v>477178</v>
      </c>
      <c r="J564" s="1" t="s">
        <v>646</v>
      </c>
      <c r="K564" s="1" t="s">
        <v>48</v>
      </c>
      <c r="L564" s="1" t="s">
        <v>126</v>
      </c>
      <c r="M564" s="1">
        <v>1</v>
      </c>
      <c r="N564" s="2">
        <v>1548.9</v>
      </c>
      <c r="O564" s="3">
        <v>1937</v>
      </c>
      <c r="P564" s="1">
        <v>135</v>
      </c>
      <c r="Q564" s="1">
        <v>9</v>
      </c>
      <c r="R564" s="1">
        <v>200010026826</v>
      </c>
      <c r="S564" s="1">
        <v>29</v>
      </c>
      <c r="T564" s="1">
        <v>1</v>
      </c>
      <c r="U564" s="1">
        <v>1</v>
      </c>
    </row>
    <row r="565" spans="1:21" x14ac:dyDescent="0.25">
      <c r="A565" s="4">
        <v>44775</v>
      </c>
      <c r="B565" s="5">
        <v>0.71498842592592593</v>
      </c>
      <c r="C565" s="1">
        <v>1502</v>
      </c>
      <c r="D565" s="1">
        <v>13002581</v>
      </c>
      <c r="E565" s="1">
        <v>13</v>
      </c>
      <c r="F565" s="1">
        <v>22589</v>
      </c>
      <c r="G565" s="1" t="s">
        <v>18</v>
      </c>
      <c r="H565" s="1">
        <v>18</v>
      </c>
      <c r="I565" s="1">
        <v>159107</v>
      </c>
      <c r="J565" s="1" t="s">
        <v>647</v>
      </c>
      <c r="K565" s="1" t="s">
        <v>26</v>
      </c>
      <c r="L565" s="1" t="s">
        <v>648</v>
      </c>
      <c r="M565" s="1">
        <v>1</v>
      </c>
      <c r="N565" s="2">
        <v>66.08</v>
      </c>
      <c r="O565" s="3">
        <v>104</v>
      </c>
      <c r="P565" s="1">
        <v>10</v>
      </c>
      <c r="Q565" s="1">
        <v>9</v>
      </c>
      <c r="R565" s="1">
        <v>200010016761</v>
      </c>
      <c r="S565" s="1">
        <v>29</v>
      </c>
      <c r="T565" s="1">
        <v>1</v>
      </c>
      <c r="U565" s="1">
        <v>2</v>
      </c>
    </row>
    <row r="566" spans="1:21" x14ac:dyDescent="0.25">
      <c r="A566" s="4">
        <v>44775</v>
      </c>
      <c r="B566" s="5">
        <v>0.71582175925925928</v>
      </c>
      <c r="C566" s="1">
        <v>1503</v>
      </c>
      <c r="D566" s="1">
        <v>13002581</v>
      </c>
      <c r="E566" s="1">
        <v>13</v>
      </c>
      <c r="F566" s="1">
        <v>22589</v>
      </c>
      <c r="G566" s="1" t="s">
        <v>18</v>
      </c>
      <c r="H566" s="1">
        <v>18</v>
      </c>
      <c r="I566" s="1">
        <v>405447</v>
      </c>
      <c r="J566" s="1" t="s">
        <v>649</v>
      </c>
      <c r="K566" s="1" t="s">
        <v>20</v>
      </c>
      <c r="L566" s="1" t="s">
        <v>420</v>
      </c>
      <c r="M566" s="1">
        <v>0.1</v>
      </c>
      <c r="N566" s="2">
        <v>503.01</v>
      </c>
      <c r="O566" s="3">
        <v>649</v>
      </c>
      <c r="P566" s="1">
        <v>3.9</v>
      </c>
      <c r="Q566" s="1">
        <v>9</v>
      </c>
      <c r="R566" s="1">
        <v>200010023010</v>
      </c>
      <c r="S566" s="1">
        <v>29</v>
      </c>
      <c r="T566" s="1">
        <v>1</v>
      </c>
      <c r="U566" s="1">
        <v>1</v>
      </c>
    </row>
    <row r="567" spans="1:21" x14ac:dyDescent="0.25">
      <c r="A567" s="4">
        <v>44775</v>
      </c>
      <c r="B567" s="5">
        <v>0.71690972222222227</v>
      </c>
      <c r="C567" s="1">
        <v>1504</v>
      </c>
      <c r="D567" s="1">
        <v>13002581</v>
      </c>
      <c r="E567" s="1">
        <v>13</v>
      </c>
      <c r="F567" s="1">
        <v>22589</v>
      </c>
      <c r="G567" s="1" t="s">
        <v>18</v>
      </c>
      <c r="H567" s="1">
        <v>18</v>
      </c>
      <c r="I567" s="1">
        <v>56672</v>
      </c>
      <c r="J567" s="1" t="s">
        <v>650</v>
      </c>
      <c r="K567" s="1" t="s">
        <v>114</v>
      </c>
      <c r="L567" s="1" t="s">
        <v>651</v>
      </c>
      <c r="M567" s="1">
        <v>1</v>
      </c>
      <c r="N567" s="2">
        <v>39.65</v>
      </c>
      <c r="O567" s="3">
        <v>65</v>
      </c>
      <c r="P567" s="1">
        <v>6</v>
      </c>
      <c r="Q567" s="1">
        <v>9</v>
      </c>
      <c r="R567" s="1">
        <v>200010020718</v>
      </c>
      <c r="S567" s="1">
        <v>29</v>
      </c>
      <c r="T567" s="1">
        <v>1</v>
      </c>
      <c r="U567" s="1">
        <v>1</v>
      </c>
    </row>
    <row r="568" spans="1:21" x14ac:dyDescent="0.25">
      <c r="A568" s="4">
        <v>44775</v>
      </c>
      <c r="B568" s="5">
        <v>0.71690972222222227</v>
      </c>
      <c r="C568" s="1">
        <v>1504</v>
      </c>
      <c r="D568" s="1">
        <v>13002581</v>
      </c>
      <c r="E568" s="1">
        <v>13</v>
      </c>
      <c r="F568" s="1">
        <v>22589</v>
      </c>
      <c r="G568" s="1" t="s">
        <v>18</v>
      </c>
      <c r="H568" s="1">
        <v>18</v>
      </c>
      <c r="I568" s="1">
        <v>168705</v>
      </c>
      <c r="J568" s="1" t="s">
        <v>519</v>
      </c>
      <c r="K568" s="1" t="s">
        <v>107</v>
      </c>
      <c r="L568" s="1" t="s">
        <v>446</v>
      </c>
      <c r="M568" s="1">
        <v>1</v>
      </c>
      <c r="N568" s="2">
        <v>98.01</v>
      </c>
      <c r="O568" s="3">
        <v>121</v>
      </c>
      <c r="P568" s="1">
        <v>6</v>
      </c>
      <c r="Q568" s="1">
        <v>9</v>
      </c>
      <c r="R568" s="1">
        <v>200010020718</v>
      </c>
      <c r="S568" s="1">
        <v>29</v>
      </c>
      <c r="T568" s="1">
        <v>1</v>
      </c>
      <c r="U568" s="1">
        <v>2</v>
      </c>
    </row>
    <row r="569" spans="1:21" x14ac:dyDescent="0.25">
      <c r="A569" s="4">
        <v>44775</v>
      </c>
      <c r="B569" s="5">
        <v>0.71832175925925923</v>
      </c>
      <c r="C569" s="1">
        <v>1505</v>
      </c>
      <c r="D569" s="1">
        <v>13002581</v>
      </c>
      <c r="E569" s="1">
        <v>13</v>
      </c>
      <c r="F569" s="1">
        <v>22589</v>
      </c>
      <c r="G569" s="1" t="s">
        <v>18</v>
      </c>
      <c r="H569" s="1">
        <v>18</v>
      </c>
      <c r="I569" s="1">
        <v>261813</v>
      </c>
      <c r="J569" s="1" t="s">
        <v>652</v>
      </c>
      <c r="K569" s="1" t="s">
        <v>31</v>
      </c>
      <c r="L569" s="1" t="s">
        <v>653</v>
      </c>
      <c r="M569" s="1">
        <v>1</v>
      </c>
      <c r="N569" s="2">
        <v>279.07</v>
      </c>
      <c r="O569" s="3">
        <v>425</v>
      </c>
      <c r="P569" s="1">
        <v>42</v>
      </c>
      <c r="Q569" s="1">
        <v>9</v>
      </c>
      <c r="R569" s="1">
        <v>200010020875</v>
      </c>
      <c r="S569" s="1">
        <v>29</v>
      </c>
      <c r="T569" s="1">
        <v>1</v>
      </c>
      <c r="U569" s="1">
        <v>1</v>
      </c>
    </row>
    <row r="570" spans="1:21" x14ac:dyDescent="0.25">
      <c r="A570" s="4">
        <v>44775</v>
      </c>
      <c r="B570" s="5">
        <v>0.71832175925925923</v>
      </c>
      <c r="C570" s="1">
        <v>1505</v>
      </c>
      <c r="D570" s="1">
        <v>13002581</v>
      </c>
      <c r="E570" s="1">
        <v>13</v>
      </c>
      <c r="F570" s="1">
        <v>22589</v>
      </c>
      <c r="G570" s="1" t="s">
        <v>18</v>
      </c>
      <c r="H570" s="1">
        <v>18</v>
      </c>
      <c r="I570" s="1">
        <v>295598</v>
      </c>
      <c r="J570" s="1" t="s">
        <v>654</v>
      </c>
      <c r="K570" s="1" t="s">
        <v>58</v>
      </c>
      <c r="L570" s="1" t="s">
        <v>556</v>
      </c>
      <c r="M570" s="1">
        <v>0.16666666999999999</v>
      </c>
      <c r="N570" s="2">
        <v>859.76</v>
      </c>
      <c r="O570" s="3">
        <v>1110</v>
      </c>
      <c r="P570" s="1">
        <v>12</v>
      </c>
      <c r="Q570" s="1">
        <v>9</v>
      </c>
      <c r="R570" s="1">
        <v>200010020875</v>
      </c>
      <c r="S570" s="1">
        <v>29</v>
      </c>
      <c r="T570" s="1">
        <v>1</v>
      </c>
      <c r="U570" s="1">
        <v>3</v>
      </c>
    </row>
    <row r="571" spans="1:21" x14ac:dyDescent="0.25">
      <c r="A571" s="4">
        <v>44775</v>
      </c>
      <c r="B571" s="5">
        <v>0.71832175925925923</v>
      </c>
      <c r="C571" s="1">
        <v>1505</v>
      </c>
      <c r="D571" s="1">
        <v>13002581</v>
      </c>
      <c r="E571" s="1">
        <v>13</v>
      </c>
      <c r="F571" s="1">
        <v>22589</v>
      </c>
      <c r="G571" s="1" t="s">
        <v>18</v>
      </c>
      <c r="H571" s="1">
        <v>18</v>
      </c>
      <c r="I571" s="1">
        <v>11548</v>
      </c>
      <c r="J571" s="1" t="s">
        <v>655</v>
      </c>
      <c r="K571" s="1" t="s">
        <v>48</v>
      </c>
      <c r="L571" s="1" t="s">
        <v>611</v>
      </c>
      <c r="M571" s="1">
        <v>1</v>
      </c>
      <c r="N571" s="2">
        <v>89.29</v>
      </c>
      <c r="O571" s="3">
        <v>141</v>
      </c>
      <c r="P571" s="1">
        <v>14</v>
      </c>
      <c r="Q571" s="1">
        <v>9</v>
      </c>
      <c r="R571" s="1">
        <v>200010020875</v>
      </c>
      <c r="S571" s="1">
        <v>29</v>
      </c>
      <c r="T571" s="1">
        <v>1</v>
      </c>
      <c r="U571" s="1">
        <v>2</v>
      </c>
    </row>
    <row r="572" spans="1:21" x14ac:dyDescent="0.25">
      <c r="A572" s="4">
        <v>44775</v>
      </c>
      <c r="B572" s="5">
        <v>0.72061342592592592</v>
      </c>
      <c r="C572" s="1">
        <v>1506</v>
      </c>
      <c r="D572" s="1">
        <v>13002581</v>
      </c>
      <c r="E572" s="1">
        <v>13</v>
      </c>
      <c r="F572" s="1">
        <v>22589</v>
      </c>
      <c r="G572" s="1" t="s">
        <v>18</v>
      </c>
      <c r="H572" s="1">
        <v>18</v>
      </c>
      <c r="I572" s="1">
        <v>2671</v>
      </c>
      <c r="J572" s="1" t="s">
        <v>656</v>
      </c>
      <c r="K572" s="1" t="s">
        <v>48</v>
      </c>
      <c r="L572" s="1" t="s">
        <v>252</v>
      </c>
      <c r="M572" s="1">
        <v>1</v>
      </c>
      <c r="N572" s="2">
        <v>49.57</v>
      </c>
      <c r="O572" s="3">
        <v>62</v>
      </c>
      <c r="P572" s="1">
        <v>0</v>
      </c>
      <c r="Q572" s="1" t="s">
        <v>22</v>
      </c>
      <c r="R572" s="1" t="s">
        <v>22</v>
      </c>
      <c r="S572" s="1">
        <v>29</v>
      </c>
      <c r="T572" s="1">
        <v>1</v>
      </c>
      <c r="U572" s="1">
        <v>2</v>
      </c>
    </row>
    <row r="573" spans="1:21" x14ac:dyDescent="0.25">
      <c r="A573" s="4">
        <v>44775</v>
      </c>
      <c r="B573" s="5">
        <v>0.7271643518518518</v>
      </c>
      <c r="C573" s="1">
        <v>1510</v>
      </c>
      <c r="D573" s="1">
        <v>13002581</v>
      </c>
      <c r="E573" s="1">
        <v>13</v>
      </c>
      <c r="F573" s="1">
        <v>22589</v>
      </c>
      <c r="G573" s="1" t="s">
        <v>18</v>
      </c>
      <c r="H573" s="1">
        <v>18</v>
      </c>
      <c r="I573" s="1">
        <v>2671</v>
      </c>
      <c r="J573" s="1" t="s">
        <v>656</v>
      </c>
      <c r="K573" s="1" t="s">
        <v>48</v>
      </c>
      <c r="L573" s="1" t="s">
        <v>252</v>
      </c>
      <c r="M573" s="1">
        <v>1</v>
      </c>
      <c r="N573" s="2">
        <v>49.57</v>
      </c>
      <c r="O573" s="3">
        <v>62</v>
      </c>
      <c r="P573" s="1">
        <v>0</v>
      </c>
      <c r="Q573" s="1" t="s">
        <v>22</v>
      </c>
      <c r="R573" s="1" t="s">
        <v>22</v>
      </c>
      <c r="S573" s="1">
        <v>29</v>
      </c>
      <c r="T573" s="1">
        <v>1</v>
      </c>
      <c r="U573" s="1">
        <v>1</v>
      </c>
    </row>
    <row r="574" spans="1:21" x14ac:dyDescent="0.25">
      <c r="A574" s="4">
        <v>44775</v>
      </c>
      <c r="B574" s="5">
        <v>0.72061342592592592</v>
      </c>
      <c r="C574" s="1">
        <v>1506</v>
      </c>
      <c r="D574" s="1">
        <v>13002581</v>
      </c>
      <c r="E574" s="1">
        <v>13</v>
      </c>
      <c r="F574" s="1">
        <v>22589</v>
      </c>
      <c r="G574" s="1" t="s">
        <v>18</v>
      </c>
      <c r="H574" s="1">
        <v>18</v>
      </c>
      <c r="I574" s="1">
        <v>260840</v>
      </c>
      <c r="J574" s="1" t="s">
        <v>355</v>
      </c>
      <c r="K574" s="1" t="s">
        <v>48</v>
      </c>
      <c r="L574" s="1" t="s">
        <v>164</v>
      </c>
      <c r="M574" s="1">
        <v>1</v>
      </c>
      <c r="N574" s="2">
        <v>9.66</v>
      </c>
      <c r="O574" s="3">
        <v>16</v>
      </c>
      <c r="P574" s="1">
        <v>0</v>
      </c>
      <c r="Q574" s="1" t="s">
        <v>22</v>
      </c>
      <c r="R574" s="1" t="s">
        <v>22</v>
      </c>
      <c r="S574" s="1">
        <v>29</v>
      </c>
      <c r="T574" s="1">
        <v>1</v>
      </c>
      <c r="U574" s="1">
        <v>1</v>
      </c>
    </row>
    <row r="575" spans="1:21" x14ac:dyDescent="0.25">
      <c r="A575" s="4">
        <v>44775</v>
      </c>
      <c r="B575" s="5">
        <v>0.72341435185185188</v>
      </c>
      <c r="C575" s="1">
        <v>1507</v>
      </c>
      <c r="D575" s="1">
        <v>13002581</v>
      </c>
      <c r="E575" s="1">
        <v>13</v>
      </c>
      <c r="F575" s="1">
        <v>22589</v>
      </c>
      <c r="G575" s="1" t="s">
        <v>18</v>
      </c>
      <c r="H575" s="1">
        <v>18</v>
      </c>
      <c r="I575" s="1">
        <v>23380</v>
      </c>
      <c r="J575" s="1" t="s">
        <v>657</v>
      </c>
      <c r="K575" s="1" t="s">
        <v>48</v>
      </c>
      <c r="L575" s="1" t="s">
        <v>266</v>
      </c>
      <c r="M575" s="1">
        <v>1</v>
      </c>
      <c r="N575" s="2">
        <v>944.78</v>
      </c>
      <c r="O575" s="3">
        <v>1219</v>
      </c>
      <c r="P575" s="1">
        <v>134.63999999999999</v>
      </c>
      <c r="Q575" s="1">
        <v>925</v>
      </c>
      <c r="R575" s="1">
        <v>200000000492</v>
      </c>
      <c r="S575" s="1">
        <v>29</v>
      </c>
      <c r="T575" s="1">
        <v>1</v>
      </c>
      <c r="U575" s="1">
        <v>1</v>
      </c>
    </row>
    <row r="576" spans="1:21" x14ac:dyDescent="0.25">
      <c r="A576" s="4">
        <v>44775</v>
      </c>
      <c r="B576" s="5">
        <v>0.72341435185185188</v>
      </c>
      <c r="C576" s="1">
        <v>1507</v>
      </c>
      <c r="D576" s="1">
        <v>13002581</v>
      </c>
      <c r="E576" s="1">
        <v>13</v>
      </c>
      <c r="F576" s="1">
        <v>22589</v>
      </c>
      <c r="G576" s="1" t="s">
        <v>18</v>
      </c>
      <c r="H576" s="1">
        <v>18</v>
      </c>
      <c r="I576" s="1">
        <v>7697</v>
      </c>
      <c r="J576" s="1" t="s">
        <v>65</v>
      </c>
      <c r="K576" s="1" t="s">
        <v>20</v>
      </c>
      <c r="L576" s="1" t="s">
        <v>66</v>
      </c>
      <c r="M576" s="1">
        <v>1</v>
      </c>
      <c r="N576" s="2">
        <v>248.34</v>
      </c>
      <c r="O576" s="3">
        <v>302</v>
      </c>
      <c r="P576" s="1">
        <v>33.36</v>
      </c>
      <c r="Q576" s="1">
        <v>925</v>
      </c>
      <c r="R576" s="1">
        <v>200000000492</v>
      </c>
      <c r="S576" s="1">
        <v>29</v>
      </c>
      <c r="T576" s="1">
        <v>1</v>
      </c>
      <c r="U576" s="1">
        <v>2</v>
      </c>
    </row>
    <row r="577" spans="1:21" x14ac:dyDescent="0.25">
      <c r="A577" s="4">
        <v>44775</v>
      </c>
      <c r="B577" s="5">
        <v>0.72568287037037038</v>
      </c>
      <c r="C577" s="1">
        <v>1508</v>
      </c>
      <c r="D577" s="1">
        <v>13002581</v>
      </c>
      <c r="E577" s="1">
        <v>13</v>
      </c>
      <c r="F577" s="1">
        <v>22589</v>
      </c>
      <c r="G577" s="1" t="s">
        <v>18</v>
      </c>
      <c r="H577" s="1">
        <v>18</v>
      </c>
      <c r="I577" s="1">
        <v>29728</v>
      </c>
      <c r="J577" s="1" t="s">
        <v>339</v>
      </c>
      <c r="K577" s="1" t="s">
        <v>20</v>
      </c>
      <c r="L577" s="1" t="s">
        <v>340</v>
      </c>
      <c r="M577" s="1">
        <v>1</v>
      </c>
      <c r="N577" s="2">
        <v>671.51</v>
      </c>
      <c r="O577" s="3">
        <v>867</v>
      </c>
      <c r="P577" s="1">
        <v>60</v>
      </c>
      <c r="Q577" s="1">
        <v>9</v>
      </c>
      <c r="R577" s="1">
        <v>200010000485</v>
      </c>
      <c r="S577" s="1">
        <v>29</v>
      </c>
      <c r="T577" s="1">
        <v>1</v>
      </c>
      <c r="U577" s="1">
        <v>1</v>
      </c>
    </row>
    <row r="578" spans="1:21" x14ac:dyDescent="0.25">
      <c r="A578" s="4">
        <v>44775</v>
      </c>
      <c r="B578" s="5">
        <v>0.72644675925925928</v>
      </c>
      <c r="C578" s="1">
        <v>1509</v>
      </c>
      <c r="D578" s="1">
        <v>13002581</v>
      </c>
      <c r="E578" s="1">
        <v>13</v>
      </c>
      <c r="F578" s="1">
        <v>22589</v>
      </c>
      <c r="G578" s="1" t="s">
        <v>18</v>
      </c>
      <c r="H578" s="1">
        <v>18</v>
      </c>
      <c r="I578" s="1">
        <v>6542</v>
      </c>
      <c r="J578" s="1" t="s">
        <v>658</v>
      </c>
      <c r="K578" s="1" t="s">
        <v>20</v>
      </c>
      <c r="L578" s="1" t="s">
        <v>659</v>
      </c>
      <c r="M578" s="1">
        <v>1</v>
      </c>
      <c r="N578" s="2">
        <v>788.43</v>
      </c>
      <c r="O578" s="3">
        <v>1018</v>
      </c>
      <c r="P578" s="1">
        <v>0</v>
      </c>
      <c r="Q578" s="1" t="s">
        <v>22</v>
      </c>
      <c r="R578" s="1" t="s">
        <v>22</v>
      </c>
      <c r="S578" s="1">
        <v>29</v>
      </c>
      <c r="T578" s="1">
        <v>1</v>
      </c>
      <c r="U578" s="1">
        <v>1</v>
      </c>
    </row>
    <row r="579" spans="1:21" x14ac:dyDescent="0.25">
      <c r="A579" s="4">
        <v>44775</v>
      </c>
      <c r="B579" s="5">
        <v>0.73109953703703701</v>
      </c>
      <c r="C579" s="1">
        <v>1512</v>
      </c>
      <c r="D579" s="1">
        <v>13002581</v>
      </c>
      <c r="E579" s="1">
        <v>13</v>
      </c>
      <c r="F579" s="1">
        <v>22589</v>
      </c>
      <c r="G579" s="1" t="s">
        <v>18</v>
      </c>
      <c r="H579" s="1">
        <v>18</v>
      </c>
      <c r="I579" s="1">
        <v>512333</v>
      </c>
      <c r="J579" s="1" t="s">
        <v>135</v>
      </c>
      <c r="K579" s="1" t="s">
        <v>58</v>
      </c>
      <c r="L579" s="1" t="s">
        <v>136</v>
      </c>
      <c r="M579" s="1">
        <v>1</v>
      </c>
      <c r="N579" s="2">
        <v>115.28</v>
      </c>
      <c r="O579" s="3">
        <v>158</v>
      </c>
      <c r="P579" s="1">
        <v>8</v>
      </c>
      <c r="Q579" s="1">
        <v>925</v>
      </c>
      <c r="R579" s="1">
        <v>200000000492</v>
      </c>
      <c r="S579" s="1">
        <v>29</v>
      </c>
      <c r="T579" s="1">
        <v>1</v>
      </c>
      <c r="U579" s="1">
        <v>1</v>
      </c>
    </row>
    <row r="580" spans="1:21" x14ac:dyDescent="0.25">
      <c r="A580" s="4">
        <v>44775</v>
      </c>
      <c r="B580" s="5">
        <v>0.7326273148148148</v>
      </c>
      <c r="C580" s="1">
        <v>1513</v>
      </c>
      <c r="D580" s="1">
        <v>13002581</v>
      </c>
      <c r="E580" s="1">
        <v>13</v>
      </c>
      <c r="F580" s="1">
        <v>22589</v>
      </c>
      <c r="G580" s="1" t="s">
        <v>18</v>
      </c>
      <c r="H580" s="1">
        <v>18</v>
      </c>
      <c r="I580" s="1">
        <v>17778</v>
      </c>
      <c r="J580" s="1" t="s">
        <v>660</v>
      </c>
      <c r="K580" s="1" t="s">
        <v>55</v>
      </c>
      <c r="L580" s="1" t="s">
        <v>661</v>
      </c>
      <c r="M580" s="1">
        <v>1</v>
      </c>
      <c r="N580" s="2">
        <v>417.62</v>
      </c>
      <c r="O580" s="3">
        <v>614</v>
      </c>
      <c r="P580" s="1">
        <v>0</v>
      </c>
      <c r="Q580" s="1" t="s">
        <v>22</v>
      </c>
      <c r="R580" s="1" t="s">
        <v>22</v>
      </c>
      <c r="S580" s="1">
        <v>29</v>
      </c>
      <c r="T580" s="1">
        <v>1</v>
      </c>
      <c r="U580" s="1">
        <v>1</v>
      </c>
    </row>
    <row r="581" spans="1:21" x14ac:dyDescent="0.25">
      <c r="A581" s="4">
        <v>44775</v>
      </c>
      <c r="B581" s="5">
        <v>0.73601851851851852</v>
      </c>
      <c r="C581" s="1">
        <v>1514</v>
      </c>
      <c r="D581" s="1">
        <v>13002581</v>
      </c>
      <c r="E581" s="1">
        <v>13</v>
      </c>
      <c r="F581" s="1">
        <v>22589</v>
      </c>
      <c r="G581" s="1" t="s">
        <v>18</v>
      </c>
      <c r="H581" s="1">
        <v>18</v>
      </c>
      <c r="I581" s="1">
        <v>344902</v>
      </c>
      <c r="J581" s="1" t="s">
        <v>662</v>
      </c>
      <c r="K581" s="1" t="s">
        <v>48</v>
      </c>
      <c r="L581" s="1" t="s">
        <v>663</v>
      </c>
      <c r="M581" s="1">
        <v>7.1428400000000003E-2</v>
      </c>
      <c r="N581" s="2">
        <v>657.93</v>
      </c>
      <c r="O581" s="3">
        <v>724</v>
      </c>
      <c r="P581" s="1">
        <v>0</v>
      </c>
      <c r="Q581" s="1" t="s">
        <v>22</v>
      </c>
      <c r="R581" s="1" t="s">
        <v>22</v>
      </c>
      <c r="S581" s="1">
        <v>29</v>
      </c>
      <c r="T581" s="1">
        <v>1</v>
      </c>
      <c r="U581" s="1">
        <v>1</v>
      </c>
    </row>
    <row r="582" spans="1:21" x14ac:dyDescent="0.25">
      <c r="A582" s="4">
        <v>44775</v>
      </c>
      <c r="B582" s="5">
        <v>0.73601851851851852</v>
      </c>
      <c r="C582" s="1">
        <v>1514</v>
      </c>
      <c r="D582" s="1">
        <v>13002581</v>
      </c>
      <c r="E582" s="1">
        <v>13</v>
      </c>
      <c r="F582" s="1">
        <v>22589</v>
      </c>
      <c r="G582" s="1" t="s">
        <v>18</v>
      </c>
      <c r="H582" s="1">
        <v>18</v>
      </c>
      <c r="I582" s="1">
        <v>422260</v>
      </c>
      <c r="J582" s="1" t="s">
        <v>664</v>
      </c>
      <c r="K582" s="1" t="s">
        <v>48</v>
      </c>
      <c r="L582" s="1" t="s">
        <v>665</v>
      </c>
      <c r="M582" s="1">
        <v>1</v>
      </c>
      <c r="N582" s="2">
        <v>28.82</v>
      </c>
      <c r="O582" s="3">
        <v>47</v>
      </c>
      <c r="P582" s="1">
        <v>0</v>
      </c>
      <c r="Q582" s="1" t="s">
        <v>22</v>
      </c>
      <c r="R582" s="1" t="s">
        <v>22</v>
      </c>
      <c r="S582" s="1">
        <v>29</v>
      </c>
      <c r="T582" s="1">
        <v>1</v>
      </c>
      <c r="U582" s="1">
        <v>3</v>
      </c>
    </row>
    <row r="583" spans="1:21" x14ac:dyDescent="0.25">
      <c r="A583" s="4">
        <v>44775</v>
      </c>
      <c r="B583" s="5">
        <v>0.73601851851851852</v>
      </c>
      <c r="C583" s="1">
        <v>1514</v>
      </c>
      <c r="D583" s="1">
        <v>13002581</v>
      </c>
      <c r="E583" s="1">
        <v>13</v>
      </c>
      <c r="F583" s="1">
        <v>22589</v>
      </c>
      <c r="G583" s="1" t="s">
        <v>18</v>
      </c>
      <c r="H583" s="1">
        <v>18</v>
      </c>
      <c r="I583" s="1">
        <v>4800</v>
      </c>
      <c r="J583" s="1" t="s">
        <v>251</v>
      </c>
      <c r="K583" s="1" t="s">
        <v>48</v>
      </c>
      <c r="L583" s="1" t="s">
        <v>252</v>
      </c>
      <c r="M583" s="1">
        <v>1</v>
      </c>
      <c r="N583" s="2">
        <v>42.05</v>
      </c>
      <c r="O583" s="3">
        <v>53</v>
      </c>
      <c r="P583" s="1">
        <v>0</v>
      </c>
      <c r="Q583" s="1" t="s">
        <v>22</v>
      </c>
      <c r="R583" s="1" t="s">
        <v>22</v>
      </c>
      <c r="S583" s="1">
        <v>29</v>
      </c>
      <c r="T583" s="1">
        <v>1</v>
      </c>
      <c r="U583" s="1">
        <v>2</v>
      </c>
    </row>
    <row r="584" spans="1:21" x14ac:dyDescent="0.25">
      <c r="A584" s="4">
        <v>44775</v>
      </c>
      <c r="B584" s="5">
        <v>0.73671296296296296</v>
      </c>
      <c r="C584" s="1">
        <v>1515</v>
      </c>
      <c r="D584" s="1">
        <v>13002581</v>
      </c>
      <c r="E584" s="1">
        <v>13</v>
      </c>
      <c r="F584" s="1">
        <v>22589</v>
      </c>
      <c r="G584" s="1" t="s">
        <v>18</v>
      </c>
      <c r="H584" s="1">
        <v>15</v>
      </c>
      <c r="I584" s="1">
        <v>339843</v>
      </c>
      <c r="J584" s="1" t="s">
        <v>248</v>
      </c>
      <c r="K584" s="1" t="s">
        <v>249</v>
      </c>
      <c r="L584" s="1" t="s">
        <v>250</v>
      </c>
      <c r="M584" s="1">
        <v>1</v>
      </c>
      <c r="N584" s="2">
        <v>141.97</v>
      </c>
      <c r="O584" s="3">
        <v>221</v>
      </c>
      <c r="P584" s="1">
        <v>22</v>
      </c>
      <c r="Q584" s="1">
        <v>30</v>
      </c>
      <c r="R584" s="1">
        <v>200000000024</v>
      </c>
      <c r="S584" s="1">
        <v>29</v>
      </c>
      <c r="T584" s="1">
        <v>1</v>
      </c>
      <c r="U584" s="1">
        <v>1</v>
      </c>
    </row>
    <row r="585" spans="1:21" x14ac:dyDescent="0.25">
      <c r="A585" s="4">
        <v>44775</v>
      </c>
      <c r="B585" s="5">
        <v>0.83083333333333331</v>
      </c>
      <c r="C585" s="1">
        <v>1535</v>
      </c>
      <c r="D585" s="1">
        <v>13002581</v>
      </c>
      <c r="E585" s="1">
        <v>13</v>
      </c>
      <c r="F585" s="1">
        <v>22589</v>
      </c>
      <c r="G585" s="1" t="s">
        <v>18</v>
      </c>
      <c r="H585" s="1">
        <v>18</v>
      </c>
      <c r="I585" s="1">
        <v>339843</v>
      </c>
      <c r="J585" s="1" t="s">
        <v>248</v>
      </c>
      <c r="K585" s="1" t="s">
        <v>249</v>
      </c>
      <c r="L585" s="1" t="s">
        <v>250</v>
      </c>
      <c r="M585" s="1">
        <v>1</v>
      </c>
      <c r="N585" s="2">
        <v>141.97</v>
      </c>
      <c r="O585" s="3">
        <v>221</v>
      </c>
      <c r="P585" s="1">
        <v>22</v>
      </c>
      <c r="Q585" s="1">
        <v>9</v>
      </c>
      <c r="R585" s="1">
        <v>200010000847</v>
      </c>
      <c r="S585" s="1">
        <v>29</v>
      </c>
      <c r="T585" s="1">
        <v>1</v>
      </c>
      <c r="U585" s="1">
        <v>3</v>
      </c>
    </row>
    <row r="586" spans="1:21" x14ac:dyDescent="0.25">
      <c r="A586" s="4">
        <v>44775</v>
      </c>
      <c r="B586" s="5">
        <v>0.7406018518518519</v>
      </c>
      <c r="C586" s="1">
        <v>1516</v>
      </c>
      <c r="D586" s="1">
        <v>13002581</v>
      </c>
      <c r="E586" s="1">
        <v>13</v>
      </c>
      <c r="F586" s="1">
        <v>22589</v>
      </c>
      <c r="G586" s="1" t="s">
        <v>18</v>
      </c>
      <c r="H586" s="1">
        <v>15</v>
      </c>
      <c r="I586" s="1">
        <v>18836</v>
      </c>
      <c r="J586" s="1" t="s">
        <v>514</v>
      </c>
      <c r="K586" s="1" t="s">
        <v>48</v>
      </c>
      <c r="L586" s="1" t="s">
        <v>64</v>
      </c>
      <c r="M586" s="1">
        <v>1</v>
      </c>
      <c r="N586" s="2">
        <v>109.1</v>
      </c>
      <c r="O586" s="3">
        <v>123</v>
      </c>
      <c r="P586" s="1">
        <v>8</v>
      </c>
      <c r="Q586" s="1">
        <v>9</v>
      </c>
      <c r="R586" s="1">
        <v>200010018923</v>
      </c>
      <c r="S586" s="1">
        <v>29</v>
      </c>
      <c r="T586" s="1">
        <v>1</v>
      </c>
      <c r="U586" s="1">
        <v>2</v>
      </c>
    </row>
    <row r="587" spans="1:21" x14ac:dyDescent="0.25">
      <c r="A587" s="4">
        <v>44775</v>
      </c>
      <c r="B587" s="5">
        <v>0.74380787037037033</v>
      </c>
      <c r="C587" s="1">
        <v>1517</v>
      </c>
      <c r="D587" s="1">
        <v>13002581</v>
      </c>
      <c r="E587" s="1">
        <v>13</v>
      </c>
      <c r="F587" s="1">
        <v>22589</v>
      </c>
      <c r="G587" s="1" t="s">
        <v>18</v>
      </c>
      <c r="H587" s="1">
        <v>18</v>
      </c>
      <c r="I587" s="1">
        <v>346864</v>
      </c>
      <c r="J587" s="1" t="s">
        <v>328</v>
      </c>
      <c r="K587" s="1" t="s">
        <v>55</v>
      </c>
      <c r="L587" s="1" t="s">
        <v>329</v>
      </c>
      <c r="M587" s="1">
        <v>0.1071429</v>
      </c>
      <c r="N587" s="2">
        <v>622.16</v>
      </c>
      <c r="O587" s="3">
        <v>685</v>
      </c>
      <c r="P587" s="1">
        <v>1.39</v>
      </c>
      <c r="Q587" s="1">
        <v>9</v>
      </c>
      <c r="R587" s="1">
        <v>200010026851</v>
      </c>
      <c r="S587" s="1">
        <v>29</v>
      </c>
      <c r="T587" s="1">
        <v>1</v>
      </c>
      <c r="U587" s="1">
        <v>1</v>
      </c>
    </row>
    <row r="588" spans="1:21" x14ac:dyDescent="0.25">
      <c r="A588" s="4">
        <v>44775</v>
      </c>
      <c r="B588" s="5">
        <v>0.74587962962962961</v>
      </c>
      <c r="C588" s="1">
        <v>1518</v>
      </c>
      <c r="D588" s="1">
        <v>13002581</v>
      </c>
      <c r="E588" s="1">
        <v>13</v>
      </c>
      <c r="F588" s="1">
        <v>22589</v>
      </c>
      <c r="G588" s="1" t="s">
        <v>18</v>
      </c>
      <c r="H588" s="1">
        <v>15</v>
      </c>
      <c r="I588" s="1">
        <v>384267</v>
      </c>
      <c r="J588" s="1" t="s">
        <v>382</v>
      </c>
      <c r="K588" s="1" t="s">
        <v>463</v>
      </c>
      <c r="L588" s="1" t="s">
        <v>32</v>
      </c>
      <c r="M588" s="1">
        <v>1</v>
      </c>
      <c r="N588" s="2">
        <v>288.31</v>
      </c>
      <c r="O588" s="3">
        <v>302</v>
      </c>
      <c r="P588" s="1">
        <v>0</v>
      </c>
      <c r="Q588" s="1" t="s">
        <v>22</v>
      </c>
      <c r="R588" s="1" t="s">
        <v>22</v>
      </c>
      <c r="S588" s="1">
        <v>29</v>
      </c>
      <c r="T588" s="1">
        <v>2</v>
      </c>
      <c r="U588" s="1">
        <v>10</v>
      </c>
    </row>
    <row r="589" spans="1:21" x14ac:dyDescent="0.25">
      <c r="A589" s="4">
        <v>44775</v>
      </c>
      <c r="B589" s="5">
        <v>0.74587962962962961</v>
      </c>
      <c r="C589" s="1">
        <v>1518</v>
      </c>
      <c r="D589" s="1">
        <v>13002581</v>
      </c>
      <c r="E589" s="1">
        <v>13</v>
      </c>
      <c r="F589" s="1">
        <v>22589</v>
      </c>
      <c r="G589" s="1" t="s">
        <v>18</v>
      </c>
      <c r="H589" s="1">
        <v>15</v>
      </c>
      <c r="I589" s="1">
        <v>374143</v>
      </c>
      <c r="J589" s="1" t="s">
        <v>666</v>
      </c>
      <c r="K589" s="1" t="s">
        <v>463</v>
      </c>
      <c r="L589" s="1" t="s">
        <v>245</v>
      </c>
      <c r="M589" s="1">
        <v>1</v>
      </c>
      <c r="N589" s="2">
        <v>102.08</v>
      </c>
      <c r="O589" s="3">
        <v>122</v>
      </c>
      <c r="P589" s="1">
        <v>0</v>
      </c>
      <c r="Q589" s="1" t="s">
        <v>22</v>
      </c>
      <c r="R589" s="1" t="s">
        <v>22</v>
      </c>
      <c r="S589" s="1">
        <v>29</v>
      </c>
      <c r="T589" s="1">
        <v>2</v>
      </c>
      <c r="U589" s="1">
        <v>9</v>
      </c>
    </row>
    <row r="590" spans="1:21" x14ac:dyDescent="0.25">
      <c r="A590" s="4">
        <v>44775</v>
      </c>
      <c r="B590" s="5">
        <v>0.74587962962962961</v>
      </c>
      <c r="C590" s="1">
        <v>1518</v>
      </c>
      <c r="D590" s="1">
        <v>13002581</v>
      </c>
      <c r="E590" s="1">
        <v>13</v>
      </c>
      <c r="F590" s="1">
        <v>22589</v>
      </c>
      <c r="G590" s="1" t="s">
        <v>18</v>
      </c>
      <c r="H590" s="1">
        <v>15</v>
      </c>
      <c r="I590" s="1">
        <v>342299</v>
      </c>
      <c r="J590" s="1" t="s">
        <v>667</v>
      </c>
      <c r="K590" s="1" t="s">
        <v>463</v>
      </c>
      <c r="L590" s="1" t="s">
        <v>227</v>
      </c>
      <c r="M590" s="1">
        <v>1</v>
      </c>
      <c r="N590" s="2">
        <v>43.89</v>
      </c>
      <c r="O590" s="3">
        <v>46</v>
      </c>
      <c r="P590" s="1">
        <v>0</v>
      </c>
      <c r="Q590" s="1" t="s">
        <v>22</v>
      </c>
      <c r="R590" s="1" t="s">
        <v>22</v>
      </c>
      <c r="S590" s="1">
        <v>29</v>
      </c>
      <c r="T590" s="1">
        <v>2</v>
      </c>
      <c r="U590" s="1">
        <v>2</v>
      </c>
    </row>
    <row r="591" spans="1:21" x14ac:dyDescent="0.25">
      <c r="A591" s="4">
        <v>44775</v>
      </c>
      <c r="B591" s="5">
        <v>0.74587962962962961</v>
      </c>
      <c r="C591" s="1">
        <v>1518</v>
      </c>
      <c r="D591" s="1">
        <v>13002581</v>
      </c>
      <c r="E591" s="1">
        <v>13</v>
      </c>
      <c r="F591" s="1">
        <v>22589</v>
      </c>
      <c r="G591" s="1" t="s">
        <v>18</v>
      </c>
      <c r="H591" s="1">
        <v>15</v>
      </c>
      <c r="I591" s="1">
        <v>342299</v>
      </c>
      <c r="J591" s="1" t="s">
        <v>667</v>
      </c>
      <c r="K591" s="1" t="s">
        <v>463</v>
      </c>
      <c r="L591" s="1" t="s">
        <v>227</v>
      </c>
      <c r="M591" s="1">
        <v>1</v>
      </c>
      <c r="N591" s="2">
        <v>43.89</v>
      </c>
      <c r="O591" s="3">
        <v>46</v>
      </c>
      <c r="P591" s="1">
        <v>0</v>
      </c>
      <c r="Q591" s="1" t="s">
        <v>22</v>
      </c>
      <c r="R591" s="1" t="s">
        <v>22</v>
      </c>
      <c r="S591" s="1">
        <v>29</v>
      </c>
      <c r="T591" s="1">
        <v>2</v>
      </c>
      <c r="U591" s="1">
        <v>3</v>
      </c>
    </row>
    <row r="592" spans="1:21" x14ac:dyDescent="0.25">
      <c r="A592" s="4">
        <v>44775</v>
      </c>
      <c r="B592" s="5">
        <v>0.74587962962962961</v>
      </c>
      <c r="C592" s="1">
        <v>1518</v>
      </c>
      <c r="D592" s="1">
        <v>13002581</v>
      </c>
      <c r="E592" s="1">
        <v>13</v>
      </c>
      <c r="F592" s="1">
        <v>22589</v>
      </c>
      <c r="G592" s="1" t="s">
        <v>18</v>
      </c>
      <c r="H592" s="1">
        <v>15</v>
      </c>
      <c r="I592" s="1">
        <v>342299</v>
      </c>
      <c r="J592" s="1" t="s">
        <v>667</v>
      </c>
      <c r="K592" s="1" t="s">
        <v>463</v>
      </c>
      <c r="L592" s="1" t="s">
        <v>227</v>
      </c>
      <c r="M592" s="1">
        <v>1</v>
      </c>
      <c r="N592" s="2">
        <v>43.89</v>
      </c>
      <c r="O592" s="3">
        <v>46</v>
      </c>
      <c r="P592" s="1">
        <v>0</v>
      </c>
      <c r="Q592" s="1" t="s">
        <v>22</v>
      </c>
      <c r="R592" s="1" t="s">
        <v>22</v>
      </c>
      <c r="S592" s="1">
        <v>29</v>
      </c>
      <c r="T592" s="1">
        <v>2</v>
      </c>
      <c r="U592" s="1">
        <v>4</v>
      </c>
    </row>
    <row r="593" spans="1:21" x14ac:dyDescent="0.25">
      <c r="A593" s="4">
        <v>44775</v>
      </c>
      <c r="B593" s="5">
        <v>0.74587962962962961</v>
      </c>
      <c r="C593" s="1">
        <v>1518</v>
      </c>
      <c r="D593" s="1">
        <v>13002581</v>
      </c>
      <c r="E593" s="1">
        <v>13</v>
      </c>
      <c r="F593" s="1">
        <v>22589</v>
      </c>
      <c r="G593" s="1" t="s">
        <v>18</v>
      </c>
      <c r="H593" s="1">
        <v>15</v>
      </c>
      <c r="I593" s="1">
        <v>342299</v>
      </c>
      <c r="J593" s="1" t="s">
        <v>667</v>
      </c>
      <c r="K593" s="1" t="s">
        <v>463</v>
      </c>
      <c r="L593" s="1" t="s">
        <v>227</v>
      </c>
      <c r="M593" s="1">
        <v>1</v>
      </c>
      <c r="N593" s="2">
        <v>43.89</v>
      </c>
      <c r="O593" s="3">
        <v>46</v>
      </c>
      <c r="P593" s="1">
        <v>0</v>
      </c>
      <c r="Q593" s="1" t="s">
        <v>22</v>
      </c>
      <c r="R593" s="1" t="s">
        <v>22</v>
      </c>
      <c r="S593" s="1">
        <v>29</v>
      </c>
      <c r="T593" s="1">
        <v>2</v>
      </c>
      <c r="U593" s="1">
        <v>5</v>
      </c>
    </row>
    <row r="594" spans="1:21" x14ac:dyDescent="0.25">
      <c r="A594" s="4">
        <v>44775</v>
      </c>
      <c r="B594" s="5">
        <v>0.74587962962962961</v>
      </c>
      <c r="C594" s="1">
        <v>1518</v>
      </c>
      <c r="D594" s="1">
        <v>13002581</v>
      </c>
      <c r="E594" s="1">
        <v>13</v>
      </c>
      <c r="F594" s="1">
        <v>22589</v>
      </c>
      <c r="G594" s="1" t="s">
        <v>18</v>
      </c>
      <c r="H594" s="1">
        <v>15</v>
      </c>
      <c r="I594" s="1">
        <v>342299</v>
      </c>
      <c r="J594" s="1" t="s">
        <v>667</v>
      </c>
      <c r="K594" s="1" t="s">
        <v>463</v>
      </c>
      <c r="L594" s="1" t="s">
        <v>227</v>
      </c>
      <c r="M594" s="1">
        <v>1</v>
      </c>
      <c r="N594" s="2">
        <v>43.89</v>
      </c>
      <c r="O594" s="3">
        <v>46</v>
      </c>
      <c r="P594" s="1">
        <v>0</v>
      </c>
      <c r="Q594" s="1" t="s">
        <v>22</v>
      </c>
      <c r="R594" s="1" t="s">
        <v>22</v>
      </c>
      <c r="S594" s="1">
        <v>29</v>
      </c>
      <c r="T594" s="1">
        <v>2</v>
      </c>
      <c r="U594" s="1">
        <v>6</v>
      </c>
    </row>
    <row r="595" spans="1:21" x14ac:dyDescent="0.25">
      <c r="A595" s="4">
        <v>44775</v>
      </c>
      <c r="B595" s="5">
        <v>0.74587962962962961</v>
      </c>
      <c r="C595" s="1">
        <v>1518</v>
      </c>
      <c r="D595" s="1">
        <v>13002581</v>
      </c>
      <c r="E595" s="1">
        <v>13</v>
      </c>
      <c r="F595" s="1">
        <v>22589</v>
      </c>
      <c r="G595" s="1" t="s">
        <v>18</v>
      </c>
      <c r="H595" s="1">
        <v>15</v>
      </c>
      <c r="I595" s="1">
        <v>397305</v>
      </c>
      <c r="J595" s="1" t="s">
        <v>668</v>
      </c>
      <c r="K595" s="1" t="s">
        <v>463</v>
      </c>
      <c r="L595" s="1" t="s">
        <v>669</v>
      </c>
      <c r="M595" s="1">
        <v>1</v>
      </c>
      <c r="N595" s="2">
        <v>132.72</v>
      </c>
      <c r="O595" s="3">
        <v>139</v>
      </c>
      <c r="P595" s="1">
        <v>0</v>
      </c>
      <c r="Q595" s="1" t="s">
        <v>22</v>
      </c>
      <c r="R595" s="1" t="s">
        <v>22</v>
      </c>
      <c r="S595" s="1">
        <v>29</v>
      </c>
      <c r="T595" s="1">
        <v>2</v>
      </c>
      <c r="U595" s="1">
        <v>7</v>
      </c>
    </row>
    <row r="596" spans="1:21" x14ac:dyDescent="0.25">
      <c r="A596" s="4">
        <v>44775</v>
      </c>
      <c r="B596" s="5">
        <v>0.74587962962962961</v>
      </c>
      <c r="C596" s="1">
        <v>1518</v>
      </c>
      <c r="D596" s="1">
        <v>13002581</v>
      </c>
      <c r="E596" s="1">
        <v>13</v>
      </c>
      <c r="F596" s="1">
        <v>22589</v>
      </c>
      <c r="G596" s="1" t="s">
        <v>18</v>
      </c>
      <c r="H596" s="1">
        <v>15</v>
      </c>
      <c r="I596" s="1">
        <v>105480</v>
      </c>
      <c r="J596" s="1" t="s">
        <v>548</v>
      </c>
      <c r="K596" s="1" t="s">
        <v>463</v>
      </c>
      <c r="L596" s="1" t="s">
        <v>56</v>
      </c>
      <c r="M596" s="1">
        <v>1</v>
      </c>
      <c r="N596" s="2">
        <v>853.6</v>
      </c>
      <c r="O596" s="3">
        <v>893.89</v>
      </c>
      <c r="P596" s="1">
        <v>0</v>
      </c>
      <c r="Q596" s="1" t="s">
        <v>22</v>
      </c>
      <c r="R596" s="1" t="s">
        <v>22</v>
      </c>
      <c r="S596" s="1">
        <v>29</v>
      </c>
      <c r="T596" s="1">
        <v>2</v>
      </c>
      <c r="U596" s="1">
        <v>8</v>
      </c>
    </row>
    <row r="597" spans="1:21" x14ac:dyDescent="0.25">
      <c r="A597" s="4">
        <v>44775</v>
      </c>
      <c r="B597" s="5">
        <v>0.74587962962962961</v>
      </c>
      <c r="C597" s="1">
        <v>1518</v>
      </c>
      <c r="D597" s="1">
        <v>13002581</v>
      </c>
      <c r="E597" s="1">
        <v>13</v>
      </c>
      <c r="F597" s="1">
        <v>22589</v>
      </c>
      <c r="G597" s="1" t="s">
        <v>18</v>
      </c>
      <c r="H597" s="1">
        <v>15</v>
      </c>
      <c r="I597" s="1">
        <v>74656</v>
      </c>
      <c r="J597" s="1" t="s">
        <v>195</v>
      </c>
      <c r="K597" s="1" t="s">
        <v>463</v>
      </c>
      <c r="L597" s="1" t="s">
        <v>73</v>
      </c>
      <c r="M597" s="1">
        <v>1</v>
      </c>
      <c r="N597" s="2">
        <v>402.27</v>
      </c>
      <c r="O597" s="3">
        <v>421.31</v>
      </c>
      <c r="P597" s="1">
        <v>0</v>
      </c>
      <c r="Q597" s="1" t="s">
        <v>22</v>
      </c>
      <c r="R597" s="1" t="s">
        <v>22</v>
      </c>
      <c r="S597" s="1">
        <v>29</v>
      </c>
      <c r="T597" s="1">
        <v>2</v>
      </c>
      <c r="U597" s="1">
        <v>1</v>
      </c>
    </row>
    <row r="598" spans="1:21" x14ac:dyDescent="0.25">
      <c r="A598" s="4">
        <v>44775</v>
      </c>
      <c r="B598" s="5">
        <v>0.74704861111111109</v>
      </c>
      <c r="C598" s="1">
        <v>1519</v>
      </c>
      <c r="D598" s="1">
        <v>13002581</v>
      </c>
      <c r="E598" s="1">
        <v>13</v>
      </c>
      <c r="F598" s="1">
        <v>22589</v>
      </c>
      <c r="G598" s="1" t="s">
        <v>18</v>
      </c>
      <c r="H598" s="1">
        <v>18</v>
      </c>
      <c r="I598" s="1">
        <v>450544</v>
      </c>
      <c r="J598" s="1" t="s">
        <v>670</v>
      </c>
      <c r="K598" s="1" t="s">
        <v>114</v>
      </c>
      <c r="L598" s="1" t="s">
        <v>380</v>
      </c>
      <c r="M598" s="1">
        <v>1</v>
      </c>
      <c r="N598" s="2">
        <v>26.39</v>
      </c>
      <c r="O598" s="3">
        <v>41</v>
      </c>
      <c r="P598" s="1">
        <v>0</v>
      </c>
      <c r="Q598" s="1" t="s">
        <v>22</v>
      </c>
      <c r="R598" s="1" t="s">
        <v>22</v>
      </c>
      <c r="S598" s="1">
        <v>29</v>
      </c>
      <c r="T598" s="1">
        <v>1</v>
      </c>
      <c r="U598" s="1">
        <v>2</v>
      </c>
    </row>
    <row r="599" spans="1:21" x14ac:dyDescent="0.25">
      <c r="A599" s="4">
        <v>44775</v>
      </c>
      <c r="B599" s="5">
        <v>0.74704861111111109</v>
      </c>
      <c r="C599" s="1">
        <v>1519</v>
      </c>
      <c r="D599" s="1">
        <v>13002581</v>
      </c>
      <c r="E599" s="1">
        <v>13</v>
      </c>
      <c r="F599" s="1">
        <v>22589</v>
      </c>
      <c r="G599" s="1" t="s">
        <v>18</v>
      </c>
      <c r="H599" s="1">
        <v>18</v>
      </c>
      <c r="I599" s="1">
        <v>446309</v>
      </c>
      <c r="J599" s="1" t="s">
        <v>671</v>
      </c>
      <c r="K599" s="1" t="s">
        <v>48</v>
      </c>
      <c r="L599" s="1" t="s">
        <v>94</v>
      </c>
      <c r="M599" s="1">
        <v>1</v>
      </c>
      <c r="N599" s="2">
        <v>16.3</v>
      </c>
      <c r="O599" s="3">
        <v>25</v>
      </c>
      <c r="P599" s="1">
        <v>0</v>
      </c>
      <c r="Q599" s="1" t="s">
        <v>22</v>
      </c>
      <c r="R599" s="1" t="s">
        <v>22</v>
      </c>
      <c r="S599" s="1">
        <v>29</v>
      </c>
      <c r="T599" s="1">
        <v>1</v>
      </c>
      <c r="U599" s="1">
        <v>1</v>
      </c>
    </row>
    <row r="600" spans="1:21" x14ac:dyDescent="0.25">
      <c r="A600" s="4">
        <v>44775</v>
      </c>
      <c r="B600" s="5">
        <v>0.74813657407407408</v>
      </c>
      <c r="C600" s="1">
        <v>1520</v>
      </c>
      <c r="D600" s="1">
        <v>13002581</v>
      </c>
      <c r="E600" s="1">
        <v>13</v>
      </c>
      <c r="F600" s="1">
        <v>22589</v>
      </c>
      <c r="G600" s="1" t="s">
        <v>18</v>
      </c>
      <c r="H600" s="1">
        <v>15</v>
      </c>
      <c r="I600" s="1">
        <v>39338</v>
      </c>
      <c r="J600" s="1" t="s">
        <v>672</v>
      </c>
      <c r="K600" s="1" t="s">
        <v>48</v>
      </c>
      <c r="L600" s="1" t="s">
        <v>266</v>
      </c>
      <c r="M600" s="1">
        <v>1</v>
      </c>
      <c r="N600" s="2">
        <v>16.78</v>
      </c>
      <c r="O600" s="3">
        <v>28</v>
      </c>
      <c r="P600" s="1">
        <v>0</v>
      </c>
      <c r="Q600" s="1" t="s">
        <v>22</v>
      </c>
      <c r="R600" s="1" t="s">
        <v>22</v>
      </c>
      <c r="S600" s="1">
        <v>29</v>
      </c>
      <c r="T600" s="1">
        <v>1</v>
      </c>
      <c r="U600" s="1">
        <v>1</v>
      </c>
    </row>
    <row r="601" spans="1:21" x14ac:dyDescent="0.25">
      <c r="A601" s="4">
        <v>44775</v>
      </c>
      <c r="B601" s="5">
        <v>0.74813657407407408</v>
      </c>
      <c r="C601" s="1">
        <v>1520</v>
      </c>
      <c r="D601" s="1">
        <v>13002581</v>
      </c>
      <c r="E601" s="1">
        <v>13</v>
      </c>
      <c r="F601" s="1">
        <v>22589</v>
      </c>
      <c r="G601" s="1" t="s">
        <v>18</v>
      </c>
      <c r="H601" s="1">
        <v>15</v>
      </c>
      <c r="I601" s="1">
        <v>19546</v>
      </c>
      <c r="J601" s="1" t="s">
        <v>673</v>
      </c>
      <c r="K601" s="1" t="s">
        <v>48</v>
      </c>
      <c r="L601" s="1" t="s">
        <v>29</v>
      </c>
      <c r="M601" s="1">
        <v>1</v>
      </c>
      <c r="N601" s="2">
        <v>25.81</v>
      </c>
      <c r="O601" s="3">
        <v>32</v>
      </c>
      <c r="P601" s="1">
        <v>0</v>
      </c>
      <c r="Q601" s="1" t="s">
        <v>22</v>
      </c>
      <c r="R601" s="1" t="s">
        <v>22</v>
      </c>
      <c r="S601" s="1">
        <v>29</v>
      </c>
      <c r="T601" s="1">
        <v>1</v>
      </c>
      <c r="U601" s="1">
        <v>2</v>
      </c>
    </row>
    <row r="602" spans="1:21" x14ac:dyDescent="0.25">
      <c r="A602" s="4">
        <v>44775</v>
      </c>
      <c r="B602" s="5">
        <v>0.7515856481481481</v>
      </c>
      <c r="C602" s="1">
        <v>1521</v>
      </c>
      <c r="D602" s="1">
        <v>13002581</v>
      </c>
      <c r="E602" s="1">
        <v>13</v>
      </c>
      <c r="F602" s="1">
        <v>22589</v>
      </c>
      <c r="G602" s="1" t="s">
        <v>18</v>
      </c>
      <c r="H602" s="1">
        <v>18</v>
      </c>
      <c r="I602" s="1">
        <v>79980</v>
      </c>
      <c r="J602" s="1" t="s">
        <v>674</v>
      </c>
      <c r="K602" s="1" t="s">
        <v>48</v>
      </c>
      <c r="L602" s="1" t="s">
        <v>213</v>
      </c>
      <c r="M602" s="1">
        <v>1</v>
      </c>
      <c r="N602" s="2">
        <v>82.51</v>
      </c>
      <c r="O602" s="3">
        <v>102</v>
      </c>
      <c r="P602" s="1">
        <v>0</v>
      </c>
      <c r="Q602" s="1" t="s">
        <v>22</v>
      </c>
      <c r="R602" s="1" t="s">
        <v>22</v>
      </c>
      <c r="S602" s="1">
        <v>29</v>
      </c>
      <c r="T602" s="1">
        <v>1</v>
      </c>
      <c r="U602" s="1">
        <v>1</v>
      </c>
    </row>
    <row r="603" spans="1:21" x14ac:dyDescent="0.25">
      <c r="A603" s="4">
        <v>44775</v>
      </c>
      <c r="B603" s="5">
        <v>0.75609953703703703</v>
      </c>
      <c r="C603" s="1">
        <v>1522</v>
      </c>
      <c r="D603" s="1">
        <v>13002581</v>
      </c>
      <c r="E603" s="1">
        <v>13</v>
      </c>
      <c r="F603" s="1">
        <v>22589</v>
      </c>
      <c r="G603" s="1" t="s">
        <v>18</v>
      </c>
      <c r="H603" s="1">
        <v>18</v>
      </c>
      <c r="I603" s="1">
        <v>321882</v>
      </c>
      <c r="J603" s="1" t="s">
        <v>675</v>
      </c>
      <c r="K603" s="1" t="s">
        <v>463</v>
      </c>
      <c r="L603" s="1" t="s">
        <v>676</v>
      </c>
      <c r="M603" s="1">
        <v>1</v>
      </c>
      <c r="N603" s="2">
        <v>1629.21</v>
      </c>
      <c r="O603" s="3">
        <v>1706</v>
      </c>
      <c r="P603" s="1">
        <v>0</v>
      </c>
      <c r="Q603" s="1" t="s">
        <v>22</v>
      </c>
      <c r="R603" s="1" t="s">
        <v>22</v>
      </c>
      <c r="S603" s="1">
        <v>29</v>
      </c>
      <c r="T603" s="1">
        <v>2</v>
      </c>
      <c r="U603" s="1">
        <v>1</v>
      </c>
    </row>
    <row r="604" spans="1:21" x14ac:dyDescent="0.25">
      <c r="A604" s="4">
        <v>44775</v>
      </c>
      <c r="B604" s="5">
        <v>0.75609953703703703</v>
      </c>
      <c r="C604" s="1">
        <v>1522</v>
      </c>
      <c r="D604" s="1">
        <v>13002581</v>
      </c>
      <c r="E604" s="1">
        <v>13</v>
      </c>
      <c r="F604" s="1">
        <v>22589</v>
      </c>
      <c r="G604" s="1" t="s">
        <v>18</v>
      </c>
      <c r="H604" s="1">
        <v>18</v>
      </c>
      <c r="I604" s="1">
        <v>267844</v>
      </c>
      <c r="J604" s="1" t="s">
        <v>677</v>
      </c>
      <c r="K604" s="1" t="s">
        <v>463</v>
      </c>
      <c r="L604" s="1" t="s">
        <v>412</v>
      </c>
      <c r="M604" s="1">
        <v>1</v>
      </c>
      <c r="N604" s="2">
        <v>323.73</v>
      </c>
      <c r="O604" s="3">
        <v>339</v>
      </c>
      <c r="P604" s="1">
        <v>0</v>
      </c>
      <c r="Q604" s="1" t="s">
        <v>22</v>
      </c>
      <c r="R604" s="1" t="s">
        <v>22</v>
      </c>
      <c r="S604" s="1">
        <v>29</v>
      </c>
      <c r="T604" s="1">
        <v>2</v>
      </c>
      <c r="U604" s="1">
        <v>2</v>
      </c>
    </row>
    <row r="605" spans="1:21" x14ac:dyDescent="0.25">
      <c r="A605" s="4">
        <v>44775</v>
      </c>
      <c r="B605" s="5">
        <v>0.75964120370370369</v>
      </c>
      <c r="C605" s="1">
        <v>1523</v>
      </c>
      <c r="D605" s="1">
        <v>13002581</v>
      </c>
      <c r="E605" s="1">
        <v>13</v>
      </c>
      <c r="F605" s="1">
        <v>22589</v>
      </c>
      <c r="G605" s="1" t="s">
        <v>18</v>
      </c>
      <c r="H605" s="1">
        <v>15</v>
      </c>
      <c r="I605" s="1">
        <v>313917</v>
      </c>
      <c r="J605" s="1" t="s">
        <v>678</v>
      </c>
      <c r="K605" s="1" t="s">
        <v>20</v>
      </c>
      <c r="L605" s="1" t="s">
        <v>34</v>
      </c>
      <c r="M605" s="1">
        <v>1</v>
      </c>
      <c r="N605" s="2">
        <v>205.99</v>
      </c>
      <c r="O605" s="3">
        <v>279</v>
      </c>
      <c r="P605" s="1">
        <v>0</v>
      </c>
      <c r="Q605" s="1" t="s">
        <v>22</v>
      </c>
      <c r="R605" s="1" t="s">
        <v>22</v>
      </c>
      <c r="S605" s="1">
        <v>29</v>
      </c>
      <c r="T605" s="1">
        <v>1</v>
      </c>
      <c r="U605" s="1">
        <v>1</v>
      </c>
    </row>
    <row r="606" spans="1:21" x14ac:dyDescent="0.25">
      <c r="A606" s="4">
        <v>44775</v>
      </c>
      <c r="B606" s="5">
        <v>0.76310185185185186</v>
      </c>
      <c r="C606" s="1">
        <v>1524</v>
      </c>
      <c r="D606" s="1">
        <v>13002581</v>
      </c>
      <c r="E606" s="1">
        <v>13</v>
      </c>
      <c r="F606" s="1">
        <v>22589</v>
      </c>
      <c r="G606" s="1" t="s">
        <v>18</v>
      </c>
      <c r="H606" s="1">
        <v>18</v>
      </c>
      <c r="I606" s="1">
        <v>528004</v>
      </c>
      <c r="J606" s="1" t="s">
        <v>44</v>
      </c>
      <c r="K606" s="1" t="s">
        <v>45</v>
      </c>
      <c r="L606" s="1" t="s">
        <v>46</v>
      </c>
      <c r="M606" s="1">
        <v>2</v>
      </c>
      <c r="N606" s="2">
        <v>35.520000000000003</v>
      </c>
      <c r="O606" s="3">
        <v>58</v>
      </c>
      <c r="P606" s="1">
        <v>0</v>
      </c>
      <c r="Q606" s="1" t="s">
        <v>22</v>
      </c>
      <c r="R606" s="1" t="s">
        <v>22</v>
      </c>
      <c r="S606" s="1">
        <v>29</v>
      </c>
      <c r="T606" s="1">
        <v>1</v>
      </c>
      <c r="U606" s="1">
        <v>1</v>
      </c>
    </row>
    <row r="607" spans="1:21" x14ac:dyDescent="0.25">
      <c r="A607" s="4">
        <v>44775</v>
      </c>
      <c r="B607" s="5">
        <v>0.77778935185185183</v>
      </c>
      <c r="C607" s="1">
        <v>1525</v>
      </c>
      <c r="D607" s="1">
        <v>13002581</v>
      </c>
      <c r="E607" s="1">
        <v>13</v>
      </c>
      <c r="F607" s="1">
        <v>22589</v>
      </c>
      <c r="G607" s="1" t="s">
        <v>18</v>
      </c>
      <c r="H607" s="1">
        <v>18</v>
      </c>
      <c r="I607" s="1">
        <v>24992</v>
      </c>
      <c r="J607" s="1" t="s">
        <v>679</v>
      </c>
      <c r="K607" s="1" t="s">
        <v>48</v>
      </c>
      <c r="L607" s="1" t="s">
        <v>374</v>
      </c>
      <c r="M607" s="1">
        <v>0.33333332999999998</v>
      </c>
      <c r="N607" s="2">
        <v>1209.3</v>
      </c>
      <c r="O607" s="3">
        <v>1512</v>
      </c>
      <c r="P607" s="1">
        <v>0</v>
      </c>
      <c r="Q607" s="1" t="s">
        <v>22</v>
      </c>
      <c r="R607" s="1" t="s">
        <v>22</v>
      </c>
      <c r="S607" s="1">
        <v>29</v>
      </c>
      <c r="T607" s="1">
        <v>1</v>
      </c>
      <c r="U607" s="1">
        <v>2</v>
      </c>
    </row>
    <row r="608" spans="1:21" x14ac:dyDescent="0.25">
      <c r="A608" s="4">
        <v>44775</v>
      </c>
      <c r="B608" s="5">
        <v>0.77778935185185183</v>
      </c>
      <c r="C608" s="1">
        <v>1525</v>
      </c>
      <c r="D608" s="1">
        <v>13002581</v>
      </c>
      <c r="E608" s="1">
        <v>13</v>
      </c>
      <c r="F608" s="1">
        <v>22589</v>
      </c>
      <c r="G608" s="1" t="s">
        <v>18</v>
      </c>
      <c r="H608" s="1">
        <v>18</v>
      </c>
      <c r="I608" s="1">
        <v>1504331</v>
      </c>
      <c r="J608" s="1" t="s">
        <v>140</v>
      </c>
      <c r="K608" s="1" t="s">
        <v>141</v>
      </c>
      <c r="L608" s="1" t="s">
        <v>374</v>
      </c>
      <c r="M608" s="1">
        <v>1</v>
      </c>
      <c r="N608" s="2">
        <v>0.01</v>
      </c>
      <c r="O608" s="3">
        <v>0.01</v>
      </c>
      <c r="P608" s="1">
        <v>0</v>
      </c>
      <c r="Q608" s="1" t="s">
        <v>22</v>
      </c>
      <c r="R608" s="1" t="s">
        <v>22</v>
      </c>
      <c r="S608" s="1">
        <v>29</v>
      </c>
      <c r="T608" s="1">
        <v>1</v>
      </c>
      <c r="U608" s="1">
        <v>1</v>
      </c>
    </row>
    <row r="609" spans="1:21" x14ac:dyDescent="0.25">
      <c r="A609" s="4">
        <v>44775</v>
      </c>
      <c r="B609" s="5">
        <v>0.77998842592592588</v>
      </c>
      <c r="C609" s="1">
        <v>1526</v>
      </c>
      <c r="D609" s="1">
        <v>13002581</v>
      </c>
      <c r="E609" s="1">
        <v>13</v>
      </c>
      <c r="F609" s="1">
        <v>22589</v>
      </c>
      <c r="G609" s="1" t="s">
        <v>18</v>
      </c>
      <c r="H609" s="1">
        <v>15</v>
      </c>
      <c r="I609" s="1">
        <v>72603</v>
      </c>
      <c r="J609" s="1" t="s">
        <v>265</v>
      </c>
      <c r="K609" s="1" t="s">
        <v>48</v>
      </c>
      <c r="L609" s="1" t="s">
        <v>266</v>
      </c>
      <c r="M609" s="1">
        <v>1</v>
      </c>
      <c r="N609" s="2">
        <v>29.11</v>
      </c>
      <c r="O609" s="3">
        <v>48</v>
      </c>
      <c r="P609" s="1">
        <v>4</v>
      </c>
      <c r="Q609" s="1">
        <v>9</v>
      </c>
      <c r="R609" s="1">
        <v>200010003645</v>
      </c>
      <c r="S609" s="1">
        <v>29</v>
      </c>
      <c r="T609" s="1">
        <v>1</v>
      </c>
      <c r="U609" s="1">
        <v>1</v>
      </c>
    </row>
    <row r="610" spans="1:21" x14ac:dyDescent="0.25">
      <c r="A610" s="4">
        <v>44775</v>
      </c>
      <c r="B610" s="5">
        <v>0.77998842592592588</v>
      </c>
      <c r="C610" s="1">
        <v>1526</v>
      </c>
      <c r="D610" s="1">
        <v>13002581</v>
      </c>
      <c r="E610" s="1">
        <v>13</v>
      </c>
      <c r="F610" s="1">
        <v>22589</v>
      </c>
      <c r="G610" s="1" t="s">
        <v>18</v>
      </c>
      <c r="H610" s="1">
        <v>15</v>
      </c>
      <c r="I610" s="1">
        <v>9597</v>
      </c>
      <c r="J610" s="1" t="s">
        <v>680</v>
      </c>
      <c r="K610" s="1" t="s">
        <v>42</v>
      </c>
      <c r="L610" s="1" t="s">
        <v>374</v>
      </c>
      <c r="M610" s="1">
        <v>1</v>
      </c>
      <c r="N610" s="2">
        <v>188.96</v>
      </c>
      <c r="O610" s="3">
        <v>224</v>
      </c>
      <c r="P610" s="1">
        <v>11</v>
      </c>
      <c r="Q610" s="1">
        <v>9</v>
      </c>
      <c r="R610" s="1">
        <v>200010003645</v>
      </c>
      <c r="S610" s="1">
        <v>29</v>
      </c>
      <c r="T610" s="1">
        <v>1</v>
      </c>
      <c r="U610" s="1">
        <v>2</v>
      </c>
    </row>
    <row r="611" spans="1:21" x14ac:dyDescent="0.25">
      <c r="A611" s="4">
        <v>44775</v>
      </c>
      <c r="B611" s="5">
        <v>0.78771990740740738</v>
      </c>
      <c r="C611" s="1">
        <v>1527</v>
      </c>
      <c r="D611" s="1">
        <v>13002581</v>
      </c>
      <c r="E611" s="1">
        <v>13</v>
      </c>
      <c r="F611" s="1">
        <v>22589</v>
      </c>
      <c r="G611" s="1" t="s">
        <v>18</v>
      </c>
      <c r="H611" s="1">
        <v>18</v>
      </c>
      <c r="I611" s="1">
        <v>88142</v>
      </c>
      <c r="J611" s="1" t="s">
        <v>681</v>
      </c>
      <c r="K611" s="1" t="s">
        <v>55</v>
      </c>
      <c r="L611" s="1" t="s">
        <v>682</v>
      </c>
      <c r="M611" s="1">
        <v>1</v>
      </c>
      <c r="N611" s="2">
        <v>145.5</v>
      </c>
      <c r="O611" s="3">
        <v>226</v>
      </c>
      <c r="P611" s="1">
        <v>22</v>
      </c>
      <c r="Q611" s="1">
        <v>9</v>
      </c>
      <c r="R611" s="1">
        <v>200010020455</v>
      </c>
      <c r="S611" s="1">
        <v>29</v>
      </c>
      <c r="T611" s="1">
        <v>1</v>
      </c>
      <c r="U611" s="1">
        <v>4</v>
      </c>
    </row>
    <row r="612" spans="1:21" x14ac:dyDescent="0.25">
      <c r="A612" s="4">
        <v>44775</v>
      </c>
      <c r="B612" s="5">
        <v>0.78771990740740738</v>
      </c>
      <c r="C612" s="1">
        <v>1527</v>
      </c>
      <c r="D612" s="1">
        <v>13002581</v>
      </c>
      <c r="E612" s="1">
        <v>13</v>
      </c>
      <c r="F612" s="1">
        <v>22589</v>
      </c>
      <c r="G612" s="1" t="s">
        <v>18</v>
      </c>
      <c r="H612" s="1">
        <v>18</v>
      </c>
      <c r="I612" s="1">
        <v>267627</v>
      </c>
      <c r="J612" s="1" t="s">
        <v>683</v>
      </c>
      <c r="K612" s="1" t="s">
        <v>48</v>
      </c>
      <c r="L612" s="1" t="s">
        <v>292</v>
      </c>
      <c r="M612" s="1">
        <v>1</v>
      </c>
      <c r="N612" s="2">
        <v>798.64</v>
      </c>
      <c r="O612" s="3">
        <v>935</v>
      </c>
      <c r="P612" s="1">
        <v>93</v>
      </c>
      <c r="Q612" s="1">
        <v>9</v>
      </c>
      <c r="R612" s="1">
        <v>200010020455</v>
      </c>
      <c r="S612" s="1">
        <v>29</v>
      </c>
      <c r="T612" s="1">
        <v>1</v>
      </c>
      <c r="U612" s="1">
        <v>3</v>
      </c>
    </row>
    <row r="613" spans="1:21" x14ac:dyDescent="0.25">
      <c r="A613" s="4">
        <v>44775</v>
      </c>
      <c r="B613" s="5">
        <v>0.78771990740740738</v>
      </c>
      <c r="C613" s="1">
        <v>1527</v>
      </c>
      <c r="D613" s="1">
        <v>13002581</v>
      </c>
      <c r="E613" s="1">
        <v>13</v>
      </c>
      <c r="F613" s="1">
        <v>22589</v>
      </c>
      <c r="G613" s="1" t="s">
        <v>18</v>
      </c>
      <c r="H613" s="1">
        <v>18</v>
      </c>
      <c r="I613" s="1">
        <v>3147</v>
      </c>
      <c r="J613" s="1" t="s">
        <v>684</v>
      </c>
      <c r="K613" s="1" t="s">
        <v>114</v>
      </c>
      <c r="L613" s="1" t="s">
        <v>685</v>
      </c>
      <c r="M613" s="1">
        <v>1</v>
      </c>
      <c r="N613" s="2">
        <v>633.61</v>
      </c>
      <c r="O613" s="3">
        <v>818</v>
      </c>
      <c r="P613" s="1">
        <v>57</v>
      </c>
      <c r="Q613" s="1">
        <v>9</v>
      </c>
      <c r="R613" s="1">
        <v>200010020455</v>
      </c>
      <c r="S613" s="1">
        <v>29</v>
      </c>
      <c r="T613" s="1">
        <v>1</v>
      </c>
      <c r="U613" s="1">
        <v>10</v>
      </c>
    </row>
    <row r="614" spans="1:21" x14ac:dyDescent="0.25">
      <c r="A614" s="4">
        <v>44775</v>
      </c>
      <c r="B614" s="5">
        <v>0.78771990740740738</v>
      </c>
      <c r="C614" s="1">
        <v>1527</v>
      </c>
      <c r="D614" s="1">
        <v>13002581</v>
      </c>
      <c r="E614" s="1">
        <v>13</v>
      </c>
      <c r="F614" s="1">
        <v>22589</v>
      </c>
      <c r="G614" s="1" t="s">
        <v>18</v>
      </c>
      <c r="H614" s="1">
        <v>18</v>
      </c>
      <c r="I614" s="1">
        <v>2302</v>
      </c>
      <c r="J614" s="1" t="s">
        <v>78</v>
      </c>
      <c r="K614" s="1" t="s">
        <v>58</v>
      </c>
      <c r="L614" s="1" t="s">
        <v>79</v>
      </c>
      <c r="M614" s="1">
        <v>1</v>
      </c>
      <c r="N614" s="2">
        <v>148.28</v>
      </c>
      <c r="O614" s="3">
        <v>174</v>
      </c>
      <c r="P614" s="1">
        <v>8</v>
      </c>
      <c r="Q614" s="1">
        <v>9</v>
      </c>
      <c r="R614" s="1">
        <v>200010020455</v>
      </c>
      <c r="S614" s="1">
        <v>29</v>
      </c>
      <c r="T614" s="1">
        <v>1</v>
      </c>
      <c r="U614" s="1">
        <v>11</v>
      </c>
    </row>
    <row r="615" spans="1:21" x14ac:dyDescent="0.25">
      <c r="A615" s="4">
        <v>44775</v>
      </c>
      <c r="B615" s="5">
        <v>0.78771990740740738</v>
      </c>
      <c r="C615" s="1">
        <v>1527</v>
      </c>
      <c r="D615" s="1">
        <v>13002581</v>
      </c>
      <c r="E615" s="1">
        <v>13</v>
      </c>
      <c r="F615" s="1">
        <v>22589</v>
      </c>
      <c r="G615" s="1" t="s">
        <v>18</v>
      </c>
      <c r="H615" s="1">
        <v>18</v>
      </c>
      <c r="I615" s="1">
        <v>397294</v>
      </c>
      <c r="J615" s="1" t="s">
        <v>304</v>
      </c>
      <c r="K615" s="1" t="s">
        <v>48</v>
      </c>
      <c r="L615" s="1" t="s">
        <v>73</v>
      </c>
      <c r="M615" s="1">
        <v>1</v>
      </c>
      <c r="N615" s="2">
        <v>361.09</v>
      </c>
      <c r="O615" s="3">
        <v>443</v>
      </c>
      <c r="P615" s="1">
        <v>22</v>
      </c>
      <c r="Q615" s="1">
        <v>9</v>
      </c>
      <c r="R615" s="1">
        <v>200010020455</v>
      </c>
      <c r="S615" s="1">
        <v>29</v>
      </c>
      <c r="T615" s="1">
        <v>1</v>
      </c>
      <c r="U615" s="1">
        <v>7</v>
      </c>
    </row>
    <row r="616" spans="1:21" x14ac:dyDescent="0.25">
      <c r="A616" s="4">
        <v>44775</v>
      </c>
      <c r="B616" s="5">
        <v>0.78771990740740738</v>
      </c>
      <c r="C616" s="1">
        <v>1527</v>
      </c>
      <c r="D616" s="1">
        <v>13002581</v>
      </c>
      <c r="E616" s="1">
        <v>13</v>
      </c>
      <c r="F616" s="1">
        <v>22589</v>
      </c>
      <c r="G616" s="1" t="s">
        <v>18</v>
      </c>
      <c r="H616" s="1">
        <v>18</v>
      </c>
      <c r="I616" s="1">
        <v>397294</v>
      </c>
      <c r="J616" s="1" t="s">
        <v>304</v>
      </c>
      <c r="K616" s="1" t="s">
        <v>48</v>
      </c>
      <c r="L616" s="1" t="s">
        <v>73</v>
      </c>
      <c r="M616" s="1">
        <v>1</v>
      </c>
      <c r="N616" s="2">
        <v>361.09</v>
      </c>
      <c r="O616" s="3">
        <v>443</v>
      </c>
      <c r="P616" s="1">
        <v>22</v>
      </c>
      <c r="Q616" s="1">
        <v>9</v>
      </c>
      <c r="R616" s="1">
        <v>200010020455</v>
      </c>
      <c r="S616" s="1">
        <v>29</v>
      </c>
      <c r="T616" s="1">
        <v>1</v>
      </c>
      <c r="U616" s="1">
        <v>8</v>
      </c>
    </row>
    <row r="617" spans="1:21" x14ac:dyDescent="0.25">
      <c r="A617" s="4">
        <v>44775</v>
      </c>
      <c r="B617" s="5">
        <v>0.78771990740740738</v>
      </c>
      <c r="C617" s="1">
        <v>1527</v>
      </c>
      <c r="D617" s="1">
        <v>13002581</v>
      </c>
      <c r="E617" s="1">
        <v>13</v>
      </c>
      <c r="F617" s="1">
        <v>22589</v>
      </c>
      <c r="G617" s="1" t="s">
        <v>18</v>
      </c>
      <c r="H617" s="1">
        <v>18</v>
      </c>
      <c r="I617" s="1">
        <v>117670</v>
      </c>
      <c r="J617" s="1" t="s">
        <v>686</v>
      </c>
      <c r="K617" s="1" t="s">
        <v>48</v>
      </c>
      <c r="L617" s="1" t="s">
        <v>687</v>
      </c>
      <c r="M617" s="1">
        <v>1</v>
      </c>
      <c r="N617" s="2">
        <v>142.12</v>
      </c>
      <c r="O617" s="3">
        <v>172.5</v>
      </c>
      <c r="P617" s="1">
        <v>8.5</v>
      </c>
      <c r="Q617" s="1">
        <v>9</v>
      </c>
      <c r="R617" s="1">
        <v>200010020455</v>
      </c>
      <c r="S617" s="1">
        <v>29</v>
      </c>
      <c r="T617" s="1">
        <v>1</v>
      </c>
      <c r="U617" s="1">
        <v>1</v>
      </c>
    </row>
    <row r="618" spans="1:21" x14ac:dyDescent="0.25">
      <c r="A618" s="4">
        <v>44775</v>
      </c>
      <c r="B618" s="5">
        <v>0.78771990740740738</v>
      </c>
      <c r="C618" s="1">
        <v>1527</v>
      </c>
      <c r="D618" s="1">
        <v>13002581</v>
      </c>
      <c r="E618" s="1">
        <v>13</v>
      </c>
      <c r="F618" s="1">
        <v>22589</v>
      </c>
      <c r="G618" s="1" t="s">
        <v>18</v>
      </c>
      <c r="H618" s="1">
        <v>18</v>
      </c>
      <c r="I618" s="1">
        <v>117670</v>
      </c>
      <c r="J618" s="1" t="s">
        <v>686</v>
      </c>
      <c r="K618" s="1" t="s">
        <v>20</v>
      </c>
      <c r="L618" s="1" t="s">
        <v>688</v>
      </c>
      <c r="M618" s="1">
        <v>1</v>
      </c>
      <c r="N618" s="2">
        <v>136.27000000000001</v>
      </c>
      <c r="O618" s="3">
        <v>167.08</v>
      </c>
      <c r="P618" s="1">
        <v>8.08</v>
      </c>
      <c r="Q618" s="1">
        <v>9</v>
      </c>
      <c r="R618" s="1">
        <v>200010020455</v>
      </c>
      <c r="S618" s="1">
        <v>29</v>
      </c>
      <c r="T618" s="1">
        <v>1</v>
      </c>
      <c r="U618" s="1">
        <v>2</v>
      </c>
    </row>
    <row r="619" spans="1:21" x14ac:dyDescent="0.25">
      <c r="A619" s="4">
        <v>44775</v>
      </c>
      <c r="B619" s="5">
        <v>0.78771990740740738</v>
      </c>
      <c r="C619" s="1">
        <v>1527</v>
      </c>
      <c r="D619" s="1">
        <v>13002581</v>
      </c>
      <c r="E619" s="1">
        <v>13</v>
      </c>
      <c r="F619" s="1">
        <v>22589</v>
      </c>
      <c r="G619" s="1" t="s">
        <v>18</v>
      </c>
      <c r="H619" s="1">
        <v>18</v>
      </c>
      <c r="I619" s="1">
        <v>294503</v>
      </c>
      <c r="J619" s="1" t="s">
        <v>689</v>
      </c>
      <c r="K619" s="1" t="s">
        <v>26</v>
      </c>
      <c r="L619" s="1" t="s">
        <v>156</v>
      </c>
      <c r="M619" s="1">
        <v>1</v>
      </c>
      <c r="N619" s="2">
        <v>419.1</v>
      </c>
      <c r="O619" s="3">
        <v>499</v>
      </c>
      <c r="P619" s="1">
        <v>24</v>
      </c>
      <c r="Q619" s="1">
        <v>9</v>
      </c>
      <c r="R619" s="1">
        <v>200010020455</v>
      </c>
      <c r="S619" s="1">
        <v>29</v>
      </c>
      <c r="T619" s="1">
        <v>1</v>
      </c>
      <c r="U619" s="1">
        <v>5</v>
      </c>
    </row>
    <row r="620" spans="1:21" x14ac:dyDescent="0.25">
      <c r="A620" s="4">
        <v>44775</v>
      </c>
      <c r="B620" s="5">
        <v>0.78771990740740738</v>
      </c>
      <c r="C620" s="1">
        <v>1527</v>
      </c>
      <c r="D620" s="1">
        <v>13002581</v>
      </c>
      <c r="E620" s="1">
        <v>13</v>
      </c>
      <c r="F620" s="1">
        <v>22589</v>
      </c>
      <c r="G620" s="1" t="s">
        <v>18</v>
      </c>
      <c r="H620" s="1">
        <v>18</v>
      </c>
      <c r="I620" s="1">
        <v>294503</v>
      </c>
      <c r="J620" s="1" t="s">
        <v>689</v>
      </c>
      <c r="K620" s="1" t="s">
        <v>26</v>
      </c>
      <c r="L620" s="1" t="s">
        <v>156</v>
      </c>
      <c r="M620" s="1">
        <v>1</v>
      </c>
      <c r="N620" s="2">
        <v>419.1</v>
      </c>
      <c r="O620" s="3">
        <v>499</v>
      </c>
      <c r="P620" s="1">
        <v>24</v>
      </c>
      <c r="Q620" s="1">
        <v>9</v>
      </c>
      <c r="R620" s="1">
        <v>200010020455</v>
      </c>
      <c r="S620" s="1">
        <v>29</v>
      </c>
      <c r="T620" s="1">
        <v>1</v>
      </c>
      <c r="U620" s="1">
        <v>6</v>
      </c>
    </row>
    <row r="621" spans="1:21" x14ac:dyDescent="0.25">
      <c r="A621" s="4">
        <v>44775</v>
      </c>
      <c r="B621" s="5">
        <v>0.78771990740740738</v>
      </c>
      <c r="C621" s="1">
        <v>1527</v>
      </c>
      <c r="D621" s="1">
        <v>13002581</v>
      </c>
      <c r="E621" s="1">
        <v>13</v>
      </c>
      <c r="F621" s="1">
        <v>22589</v>
      </c>
      <c r="G621" s="1" t="s">
        <v>18</v>
      </c>
      <c r="H621" s="1">
        <v>18</v>
      </c>
      <c r="I621" s="1">
        <v>152838</v>
      </c>
      <c r="J621" s="1" t="s">
        <v>690</v>
      </c>
      <c r="K621" s="1" t="s">
        <v>20</v>
      </c>
      <c r="L621" s="1" t="s">
        <v>691</v>
      </c>
      <c r="M621" s="1">
        <v>1</v>
      </c>
      <c r="N621" s="2">
        <v>474.59</v>
      </c>
      <c r="O621" s="3">
        <v>698</v>
      </c>
      <c r="P621" s="1">
        <v>69</v>
      </c>
      <c r="Q621" s="1">
        <v>9</v>
      </c>
      <c r="R621" s="1">
        <v>200010020455</v>
      </c>
      <c r="S621" s="1">
        <v>29</v>
      </c>
      <c r="T621" s="1">
        <v>1</v>
      </c>
      <c r="U621" s="1">
        <v>9</v>
      </c>
    </row>
    <row r="622" spans="1:21" x14ac:dyDescent="0.25">
      <c r="A622" s="4">
        <v>44775</v>
      </c>
      <c r="B622" s="5">
        <v>0.78853009259259255</v>
      </c>
      <c r="C622" s="1">
        <v>1528</v>
      </c>
      <c r="D622" s="1">
        <v>13002581</v>
      </c>
      <c r="E622" s="1">
        <v>13</v>
      </c>
      <c r="F622" s="1">
        <v>22589</v>
      </c>
      <c r="G622" s="1" t="s">
        <v>18</v>
      </c>
      <c r="H622" s="1">
        <v>15</v>
      </c>
      <c r="I622" s="1">
        <v>25638</v>
      </c>
      <c r="J622" s="1" t="s">
        <v>692</v>
      </c>
      <c r="K622" s="1" t="s">
        <v>48</v>
      </c>
      <c r="L622" s="1" t="s">
        <v>609</v>
      </c>
      <c r="M622" s="1">
        <v>1</v>
      </c>
      <c r="N622" s="2">
        <v>284.52999999999997</v>
      </c>
      <c r="O622" s="3">
        <v>385</v>
      </c>
      <c r="P622" s="1">
        <v>26</v>
      </c>
      <c r="Q622" s="1">
        <v>9</v>
      </c>
      <c r="R622" s="1">
        <v>200010023916</v>
      </c>
      <c r="S622" s="1">
        <v>29</v>
      </c>
      <c r="T622" s="1">
        <v>1</v>
      </c>
      <c r="U622" s="1">
        <v>1</v>
      </c>
    </row>
    <row r="623" spans="1:21" x14ac:dyDescent="0.25">
      <c r="A623" s="4">
        <v>44775</v>
      </c>
      <c r="B623" s="5">
        <v>0.79348379629629628</v>
      </c>
      <c r="C623" s="1">
        <v>1529</v>
      </c>
      <c r="D623" s="1">
        <v>13002581</v>
      </c>
      <c r="E623" s="1">
        <v>13</v>
      </c>
      <c r="F623" s="1">
        <v>22589</v>
      </c>
      <c r="G623" s="1" t="s">
        <v>18</v>
      </c>
      <c r="H623" s="1">
        <v>15</v>
      </c>
      <c r="I623" s="1">
        <v>184137</v>
      </c>
      <c r="J623" s="1" t="s">
        <v>693</v>
      </c>
      <c r="K623" s="1" t="s">
        <v>20</v>
      </c>
      <c r="L623" s="1" t="s">
        <v>694</v>
      </c>
      <c r="M623" s="1">
        <v>1</v>
      </c>
      <c r="N623" s="2">
        <v>860.76</v>
      </c>
      <c r="O623" s="3">
        <v>1111</v>
      </c>
      <c r="P623" s="1">
        <v>77</v>
      </c>
      <c r="Q623" s="1">
        <v>9</v>
      </c>
      <c r="R623" s="1">
        <v>200010022022</v>
      </c>
      <c r="S623" s="1">
        <v>29</v>
      </c>
      <c r="T623" s="1">
        <v>1</v>
      </c>
      <c r="U623" s="1">
        <v>3</v>
      </c>
    </row>
    <row r="624" spans="1:21" x14ac:dyDescent="0.25">
      <c r="A624" s="4">
        <v>44775</v>
      </c>
      <c r="B624" s="5">
        <v>0.79348379629629628</v>
      </c>
      <c r="C624" s="1">
        <v>1529</v>
      </c>
      <c r="D624" s="1">
        <v>13002581</v>
      </c>
      <c r="E624" s="1">
        <v>13</v>
      </c>
      <c r="F624" s="1">
        <v>22589</v>
      </c>
      <c r="G624" s="1" t="s">
        <v>18</v>
      </c>
      <c r="H624" s="1">
        <v>15</v>
      </c>
      <c r="I624" s="1">
        <v>393315</v>
      </c>
      <c r="J624" s="1" t="s">
        <v>72</v>
      </c>
      <c r="K624" s="1" t="s">
        <v>48</v>
      </c>
      <c r="L624" s="1" t="s">
        <v>73</v>
      </c>
      <c r="M624" s="1">
        <v>1</v>
      </c>
      <c r="N624" s="2">
        <v>16.21</v>
      </c>
      <c r="O624" s="3">
        <v>25</v>
      </c>
      <c r="P624" s="1">
        <v>1</v>
      </c>
      <c r="Q624" s="1">
        <v>9</v>
      </c>
      <c r="R624" s="1">
        <v>200010022022</v>
      </c>
      <c r="S624" s="1">
        <v>29</v>
      </c>
      <c r="T624" s="1">
        <v>1</v>
      </c>
      <c r="U624" s="1">
        <v>4</v>
      </c>
    </row>
    <row r="625" spans="1:21" x14ac:dyDescent="0.25">
      <c r="A625" s="4">
        <v>44775</v>
      </c>
      <c r="B625" s="5">
        <v>0.79348379629629628</v>
      </c>
      <c r="C625" s="1">
        <v>1529</v>
      </c>
      <c r="D625" s="1">
        <v>13002581</v>
      </c>
      <c r="E625" s="1">
        <v>13</v>
      </c>
      <c r="F625" s="1">
        <v>22589</v>
      </c>
      <c r="G625" s="1" t="s">
        <v>18</v>
      </c>
      <c r="H625" s="1">
        <v>15</v>
      </c>
      <c r="I625" s="1">
        <v>61476</v>
      </c>
      <c r="J625" s="1" t="s">
        <v>437</v>
      </c>
      <c r="K625" s="1" t="s">
        <v>26</v>
      </c>
      <c r="L625" s="1" t="s">
        <v>438</v>
      </c>
      <c r="M625" s="1">
        <v>1</v>
      </c>
      <c r="N625" s="2">
        <v>7.88</v>
      </c>
      <c r="O625" s="3">
        <v>14</v>
      </c>
      <c r="P625" s="1">
        <v>1</v>
      </c>
      <c r="Q625" s="1">
        <v>9</v>
      </c>
      <c r="R625" s="1">
        <v>200010022022</v>
      </c>
      <c r="S625" s="1">
        <v>29</v>
      </c>
      <c r="T625" s="1">
        <v>1</v>
      </c>
      <c r="U625" s="1">
        <v>2</v>
      </c>
    </row>
    <row r="626" spans="1:21" x14ac:dyDescent="0.25">
      <c r="A626" s="4">
        <v>44775</v>
      </c>
      <c r="B626" s="5">
        <v>0.79348379629629628</v>
      </c>
      <c r="C626" s="1">
        <v>1529</v>
      </c>
      <c r="D626" s="1">
        <v>13002581</v>
      </c>
      <c r="E626" s="1">
        <v>13</v>
      </c>
      <c r="F626" s="1">
        <v>22589</v>
      </c>
      <c r="G626" s="1" t="s">
        <v>18</v>
      </c>
      <c r="H626" s="1">
        <v>15</v>
      </c>
      <c r="I626" s="1">
        <v>162483</v>
      </c>
      <c r="J626" s="1" t="s">
        <v>222</v>
      </c>
      <c r="K626" s="1" t="s">
        <v>48</v>
      </c>
      <c r="L626" s="1" t="s">
        <v>223</v>
      </c>
      <c r="M626" s="1">
        <v>2</v>
      </c>
      <c r="N626" s="2">
        <v>8.08</v>
      </c>
      <c r="O626" s="3">
        <v>14</v>
      </c>
      <c r="P626" s="1">
        <v>2</v>
      </c>
      <c r="Q626" s="1">
        <v>9</v>
      </c>
      <c r="R626" s="1">
        <v>200010022022</v>
      </c>
      <c r="S626" s="1">
        <v>29</v>
      </c>
      <c r="T626" s="1">
        <v>1</v>
      </c>
      <c r="U626" s="1">
        <v>1</v>
      </c>
    </row>
    <row r="627" spans="1:21" x14ac:dyDescent="0.25">
      <c r="A627" s="4">
        <v>44775</v>
      </c>
      <c r="B627" s="5">
        <v>0.79583333333333328</v>
      </c>
      <c r="C627" s="1">
        <v>1530</v>
      </c>
      <c r="D627" s="1">
        <v>13002581</v>
      </c>
      <c r="E627" s="1">
        <v>13</v>
      </c>
      <c r="F627" s="1">
        <v>22589</v>
      </c>
      <c r="G627" s="1" t="s">
        <v>18</v>
      </c>
      <c r="H627" s="1">
        <v>15</v>
      </c>
      <c r="I627" s="1">
        <v>69230</v>
      </c>
      <c r="J627" s="1" t="s">
        <v>695</v>
      </c>
      <c r="K627" s="1" t="s">
        <v>20</v>
      </c>
      <c r="L627" s="1" t="s">
        <v>172</v>
      </c>
      <c r="M627" s="1">
        <v>1</v>
      </c>
      <c r="N627" s="2">
        <v>569.76</v>
      </c>
      <c r="O627" s="3">
        <v>781</v>
      </c>
      <c r="P627" s="1">
        <v>78</v>
      </c>
      <c r="Q627" s="1">
        <v>939</v>
      </c>
      <c r="R627" s="1">
        <v>200000000042</v>
      </c>
      <c r="S627" s="1">
        <v>29</v>
      </c>
      <c r="T627" s="1">
        <v>1</v>
      </c>
      <c r="U627" s="1">
        <v>1</v>
      </c>
    </row>
    <row r="628" spans="1:21" x14ac:dyDescent="0.25">
      <c r="A628" s="4">
        <v>44775</v>
      </c>
      <c r="B628" s="5">
        <v>0.80391203703703706</v>
      </c>
      <c r="C628" s="1">
        <v>1531</v>
      </c>
      <c r="D628" s="1">
        <v>13002581</v>
      </c>
      <c r="E628" s="1">
        <v>13</v>
      </c>
      <c r="F628" s="1">
        <v>22589</v>
      </c>
      <c r="G628" s="1" t="s">
        <v>18</v>
      </c>
      <c r="H628" s="1">
        <v>18</v>
      </c>
      <c r="I628" s="1">
        <v>268412</v>
      </c>
      <c r="J628" s="1" t="s">
        <v>696</v>
      </c>
      <c r="K628" s="1" t="s">
        <v>20</v>
      </c>
      <c r="L628" s="1" t="s">
        <v>697</v>
      </c>
      <c r="M628" s="1">
        <v>1</v>
      </c>
      <c r="N628" s="2">
        <v>78.44</v>
      </c>
      <c r="O628" s="3">
        <v>98</v>
      </c>
      <c r="P628" s="1">
        <v>4</v>
      </c>
      <c r="Q628" s="1">
        <v>9</v>
      </c>
      <c r="R628" s="1">
        <v>200010022526</v>
      </c>
      <c r="S628" s="1">
        <v>29</v>
      </c>
      <c r="T628" s="1">
        <v>1</v>
      </c>
      <c r="U628" s="1">
        <v>1</v>
      </c>
    </row>
    <row r="629" spans="1:21" x14ac:dyDescent="0.25">
      <c r="A629" s="4">
        <v>44775</v>
      </c>
      <c r="B629" s="5">
        <v>0.80716435185185187</v>
      </c>
      <c r="C629" s="1">
        <v>1532</v>
      </c>
      <c r="D629" s="1">
        <v>13002581</v>
      </c>
      <c r="E629" s="1">
        <v>13</v>
      </c>
      <c r="F629" s="1">
        <v>22589</v>
      </c>
      <c r="G629" s="1" t="s">
        <v>18</v>
      </c>
      <c r="H629" s="1">
        <v>15</v>
      </c>
      <c r="I629" s="1">
        <v>338898</v>
      </c>
      <c r="J629" s="1" t="s">
        <v>698</v>
      </c>
      <c r="K629" s="1" t="s">
        <v>26</v>
      </c>
      <c r="L629" s="1" t="s">
        <v>120</v>
      </c>
      <c r="M629" s="1">
        <v>1</v>
      </c>
      <c r="N629" s="2">
        <v>63.94</v>
      </c>
      <c r="O629" s="3">
        <v>79</v>
      </c>
      <c r="P629" s="1">
        <v>0</v>
      </c>
      <c r="Q629" s="1" t="s">
        <v>22</v>
      </c>
      <c r="R629" s="1" t="s">
        <v>22</v>
      </c>
      <c r="S629" s="1">
        <v>29</v>
      </c>
      <c r="T629" s="1">
        <v>1</v>
      </c>
      <c r="U629" s="1">
        <v>1</v>
      </c>
    </row>
    <row r="630" spans="1:21" x14ac:dyDescent="0.25">
      <c r="A630" s="4">
        <v>44775</v>
      </c>
      <c r="B630" s="5">
        <v>0.8175810185185185</v>
      </c>
      <c r="C630" s="1">
        <v>1533</v>
      </c>
      <c r="D630" s="1">
        <v>13002581</v>
      </c>
      <c r="E630" s="1">
        <v>13</v>
      </c>
      <c r="F630" s="1">
        <v>22589</v>
      </c>
      <c r="G630" s="1" t="s">
        <v>18</v>
      </c>
      <c r="H630" s="1">
        <v>18</v>
      </c>
      <c r="I630" s="1">
        <v>338588</v>
      </c>
      <c r="J630" s="1" t="s">
        <v>33</v>
      </c>
      <c r="K630" s="1" t="s">
        <v>20</v>
      </c>
      <c r="L630" s="1" t="s">
        <v>34</v>
      </c>
      <c r="M630" s="1">
        <v>1</v>
      </c>
      <c r="N630" s="2">
        <v>383.7</v>
      </c>
      <c r="O630" s="3">
        <v>475</v>
      </c>
      <c r="P630" s="1">
        <v>23</v>
      </c>
      <c r="Q630" s="1">
        <v>9</v>
      </c>
      <c r="R630" s="1">
        <v>200010009896</v>
      </c>
      <c r="S630" s="1">
        <v>29</v>
      </c>
      <c r="T630" s="1">
        <v>1</v>
      </c>
      <c r="U630" s="1">
        <v>2</v>
      </c>
    </row>
    <row r="631" spans="1:21" x14ac:dyDescent="0.25">
      <c r="A631" s="4">
        <v>44775</v>
      </c>
      <c r="B631" s="5">
        <v>0.8175810185185185</v>
      </c>
      <c r="C631" s="1">
        <v>1533</v>
      </c>
      <c r="D631" s="1">
        <v>13002581</v>
      </c>
      <c r="E631" s="1">
        <v>13</v>
      </c>
      <c r="F631" s="1">
        <v>22589</v>
      </c>
      <c r="G631" s="1" t="s">
        <v>18</v>
      </c>
      <c r="H631" s="1">
        <v>18</v>
      </c>
      <c r="I631" s="1">
        <v>418039</v>
      </c>
      <c r="J631" s="1" t="s">
        <v>699</v>
      </c>
      <c r="K631" s="1" t="s">
        <v>20</v>
      </c>
      <c r="L631" s="1" t="s">
        <v>700</v>
      </c>
      <c r="M631" s="1">
        <v>1</v>
      </c>
      <c r="N631" s="2">
        <v>261</v>
      </c>
      <c r="O631" s="3">
        <v>353</v>
      </c>
      <c r="P631" s="1">
        <v>24</v>
      </c>
      <c r="Q631" s="1">
        <v>9</v>
      </c>
      <c r="R631" s="1">
        <v>200010009896</v>
      </c>
      <c r="S631" s="1">
        <v>29</v>
      </c>
      <c r="T631" s="1">
        <v>1</v>
      </c>
      <c r="U631" s="1">
        <v>4</v>
      </c>
    </row>
    <row r="632" spans="1:21" x14ac:dyDescent="0.25">
      <c r="A632" s="4">
        <v>44775</v>
      </c>
      <c r="B632" s="5">
        <v>0.8175810185185185</v>
      </c>
      <c r="C632" s="1">
        <v>1533</v>
      </c>
      <c r="D632" s="1">
        <v>13002581</v>
      </c>
      <c r="E632" s="1">
        <v>13</v>
      </c>
      <c r="F632" s="1">
        <v>22589</v>
      </c>
      <c r="G632" s="1" t="s">
        <v>18</v>
      </c>
      <c r="H632" s="1">
        <v>18</v>
      </c>
      <c r="I632" s="1">
        <v>338484</v>
      </c>
      <c r="J632" s="1" t="s">
        <v>701</v>
      </c>
      <c r="K632" s="1" t="s">
        <v>20</v>
      </c>
      <c r="L632" s="1" t="s">
        <v>34</v>
      </c>
      <c r="M632" s="1">
        <v>1</v>
      </c>
      <c r="N632" s="2">
        <v>217.69</v>
      </c>
      <c r="O632" s="3">
        <v>270</v>
      </c>
      <c r="P632" s="1">
        <v>13</v>
      </c>
      <c r="Q632" s="1">
        <v>9</v>
      </c>
      <c r="R632" s="1">
        <v>200010009896</v>
      </c>
      <c r="S632" s="1">
        <v>29</v>
      </c>
      <c r="T632" s="1">
        <v>1</v>
      </c>
      <c r="U632" s="1">
        <v>1</v>
      </c>
    </row>
    <row r="633" spans="1:21" x14ac:dyDescent="0.25">
      <c r="A633" s="4">
        <v>44775</v>
      </c>
      <c r="B633" s="5">
        <v>0.8175810185185185</v>
      </c>
      <c r="C633" s="1">
        <v>1533</v>
      </c>
      <c r="D633" s="1">
        <v>13002581</v>
      </c>
      <c r="E633" s="1">
        <v>13</v>
      </c>
      <c r="F633" s="1">
        <v>22589</v>
      </c>
      <c r="G633" s="1" t="s">
        <v>18</v>
      </c>
      <c r="H633" s="1">
        <v>18</v>
      </c>
      <c r="I633" s="1">
        <v>113184</v>
      </c>
      <c r="J633" s="1" t="s">
        <v>702</v>
      </c>
      <c r="K633" s="1" t="s">
        <v>31</v>
      </c>
      <c r="L633" s="1" t="s">
        <v>36</v>
      </c>
      <c r="M633" s="1">
        <v>1</v>
      </c>
      <c r="N633" s="2">
        <v>203.75</v>
      </c>
      <c r="O633" s="3">
        <v>250</v>
      </c>
      <c r="P633" s="1">
        <v>12</v>
      </c>
      <c r="Q633" s="1">
        <v>9</v>
      </c>
      <c r="R633" s="1">
        <v>200010009896</v>
      </c>
      <c r="S633" s="1">
        <v>29</v>
      </c>
      <c r="T633" s="1">
        <v>1</v>
      </c>
      <c r="U633" s="1">
        <v>3</v>
      </c>
    </row>
    <row r="634" spans="1:21" x14ac:dyDescent="0.25">
      <c r="A634" s="4">
        <v>44775</v>
      </c>
      <c r="B634" s="5">
        <v>0.83083333333333331</v>
      </c>
      <c r="C634" s="1">
        <v>1535</v>
      </c>
      <c r="D634" s="1">
        <v>13002581</v>
      </c>
      <c r="E634" s="1">
        <v>13</v>
      </c>
      <c r="F634" s="1">
        <v>22589</v>
      </c>
      <c r="G634" s="1" t="s">
        <v>18</v>
      </c>
      <c r="H634" s="1">
        <v>18</v>
      </c>
      <c r="I634" s="1">
        <v>123849</v>
      </c>
      <c r="J634" s="1" t="s">
        <v>703</v>
      </c>
      <c r="K634" s="1" t="s">
        <v>48</v>
      </c>
      <c r="L634" s="1" t="s">
        <v>73</v>
      </c>
      <c r="M634" s="1">
        <v>1</v>
      </c>
      <c r="N634" s="2">
        <v>1025.05</v>
      </c>
      <c r="O634" s="3">
        <v>1135</v>
      </c>
      <c r="P634" s="1">
        <v>34</v>
      </c>
      <c r="Q634" s="1">
        <v>9</v>
      </c>
      <c r="R634" s="1">
        <v>200010000847</v>
      </c>
      <c r="S634" s="1">
        <v>29</v>
      </c>
      <c r="T634" s="1">
        <v>1</v>
      </c>
      <c r="U634" s="1">
        <v>2</v>
      </c>
    </row>
    <row r="635" spans="1:21" x14ac:dyDescent="0.25">
      <c r="A635" s="4">
        <v>44775</v>
      </c>
      <c r="B635" s="5">
        <v>0.83083333333333331</v>
      </c>
      <c r="C635" s="1">
        <v>1535</v>
      </c>
      <c r="D635" s="1">
        <v>13002581</v>
      </c>
      <c r="E635" s="1">
        <v>13</v>
      </c>
      <c r="F635" s="1">
        <v>22589</v>
      </c>
      <c r="G635" s="1" t="s">
        <v>18</v>
      </c>
      <c r="H635" s="1">
        <v>18</v>
      </c>
      <c r="I635" s="1">
        <v>1329</v>
      </c>
      <c r="J635" s="1" t="s">
        <v>537</v>
      </c>
      <c r="K635" s="1" t="s">
        <v>31</v>
      </c>
      <c r="L635" s="1" t="s">
        <v>538</v>
      </c>
      <c r="M635" s="1">
        <v>0.1</v>
      </c>
      <c r="N635" s="2">
        <v>419.66</v>
      </c>
      <c r="O635" s="3">
        <v>554</v>
      </c>
      <c r="P635" s="1">
        <v>3.4</v>
      </c>
      <c r="Q635" s="1">
        <v>9</v>
      </c>
      <c r="R635" s="1">
        <v>200010000847</v>
      </c>
      <c r="S635" s="1">
        <v>29</v>
      </c>
      <c r="T635" s="1">
        <v>1</v>
      </c>
      <c r="U635" s="1">
        <v>1</v>
      </c>
    </row>
    <row r="636" spans="1:21" x14ac:dyDescent="0.25">
      <c r="A636" s="4">
        <v>44776</v>
      </c>
      <c r="B636" s="5">
        <v>0.34107638888888892</v>
      </c>
      <c r="C636" s="1">
        <v>1539</v>
      </c>
      <c r="D636" s="1">
        <v>13002595</v>
      </c>
      <c r="E636" s="1">
        <v>13</v>
      </c>
      <c r="F636" s="1">
        <v>22589</v>
      </c>
      <c r="G636" s="1" t="s">
        <v>18</v>
      </c>
      <c r="H636" s="1">
        <v>15</v>
      </c>
      <c r="I636" s="1">
        <v>104602</v>
      </c>
      <c r="J636" s="1" t="s">
        <v>704</v>
      </c>
      <c r="K636" s="1" t="s">
        <v>705</v>
      </c>
      <c r="L636" s="1" t="s">
        <v>706</v>
      </c>
      <c r="M636" s="1">
        <v>1</v>
      </c>
      <c r="N636" s="2">
        <v>26.4</v>
      </c>
      <c r="O636" s="3">
        <v>43</v>
      </c>
      <c r="P636" s="1">
        <v>0</v>
      </c>
      <c r="Q636" s="1" t="s">
        <v>22</v>
      </c>
      <c r="R636" s="1" t="s">
        <v>22</v>
      </c>
      <c r="S636" s="1">
        <v>29</v>
      </c>
      <c r="T636" s="1">
        <v>1</v>
      </c>
      <c r="U636" s="1">
        <v>1</v>
      </c>
    </row>
    <row r="637" spans="1:21" x14ac:dyDescent="0.25">
      <c r="A637" s="4">
        <v>44776</v>
      </c>
      <c r="B637" s="5">
        <v>0.34107638888888892</v>
      </c>
      <c r="C637" s="1">
        <v>1539</v>
      </c>
      <c r="D637" s="1">
        <v>13002595</v>
      </c>
      <c r="E637" s="1">
        <v>13</v>
      </c>
      <c r="F637" s="1">
        <v>22589</v>
      </c>
      <c r="G637" s="1" t="s">
        <v>18</v>
      </c>
      <c r="H637" s="1">
        <v>15</v>
      </c>
      <c r="I637" s="1">
        <v>444920</v>
      </c>
      <c r="J637" s="1" t="s">
        <v>247</v>
      </c>
      <c r="K637" s="1" t="s">
        <v>48</v>
      </c>
      <c r="L637" s="1" t="s">
        <v>46</v>
      </c>
      <c r="M637" s="1">
        <v>1</v>
      </c>
      <c r="N637" s="2">
        <v>19.61</v>
      </c>
      <c r="O637" s="3">
        <v>25</v>
      </c>
      <c r="P637" s="1">
        <v>0</v>
      </c>
      <c r="Q637" s="1" t="s">
        <v>22</v>
      </c>
      <c r="R637" s="1" t="s">
        <v>22</v>
      </c>
      <c r="S637" s="1">
        <v>29</v>
      </c>
      <c r="T637" s="1">
        <v>1</v>
      </c>
      <c r="U637" s="1">
        <v>3</v>
      </c>
    </row>
    <row r="638" spans="1:21" x14ac:dyDescent="0.25">
      <c r="A638" s="4">
        <v>44776</v>
      </c>
      <c r="B638" s="5">
        <v>0.34107638888888892</v>
      </c>
      <c r="C638" s="1">
        <v>1539</v>
      </c>
      <c r="D638" s="1">
        <v>13002595</v>
      </c>
      <c r="E638" s="1">
        <v>13</v>
      </c>
      <c r="F638" s="1">
        <v>22589</v>
      </c>
      <c r="G638" s="1" t="s">
        <v>18</v>
      </c>
      <c r="H638" s="1">
        <v>15</v>
      </c>
      <c r="I638" s="1">
        <v>440425</v>
      </c>
      <c r="J638" s="1" t="s">
        <v>624</v>
      </c>
      <c r="K638" s="1" t="s">
        <v>48</v>
      </c>
      <c r="L638" s="1" t="s">
        <v>46</v>
      </c>
      <c r="M638" s="1">
        <v>1</v>
      </c>
      <c r="N638" s="2">
        <v>28.73</v>
      </c>
      <c r="O638" s="3">
        <v>36</v>
      </c>
      <c r="P638" s="1">
        <v>0</v>
      </c>
      <c r="Q638" s="1" t="s">
        <v>22</v>
      </c>
      <c r="R638" s="1" t="s">
        <v>22</v>
      </c>
      <c r="S638" s="1">
        <v>29</v>
      </c>
      <c r="T638" s="1">
        <v>1</v>
      </c>
      <c r="U638" s="1">
        <v>2</v>
      </c>
    </row>
    <row r="639" spans="1:21" x14ac:dyDescent="0.25">
      <c r="A639" s="4">
        <v>44776</v>
      </c>
      <c r="B639" s="5">
        <v>0.35365740740740742</v>
      </c>
      <c r="C639" s="1">
        <v>1540</v>
      </c>
      <c r="D639" s="1">
        <v>13002595</v>
      </c>
      <c r="E639" s="1">
        <v>13</v>
      </c>
      <c r="F639" s="1">
        <v>22589</v>
      </c>
      <c r="G639" s="1" t="s">
        <v>18</v>
      </c>
      <c r="H639" s="1">
        <v>18</v>
      </c>
      <c r="I639" s="1">
        <v>9521</v>
      </c>
      <c r="J639" s="1" t="s">
        <v>707</v>
      </c>
      <c r="K639" s="1" t="s">
        <v>20</v>
      </c>
      <c r="L639" s="1" t="s">
        <v>549</v>
      </c>
      <c r="M639" s="1">
        <v>1</v>
      </c>
      <c r="N639" s="2">
        <v>531.74</v>
      </c>
      <c r="O639" s="3">
        <v>589</v>
      </c>
      <c r="P639" s="1">
        <v>17</v>
      </c>
      <c r="Q639" s="1">
        <v>9</v>
      </c>
      <c r="R639" s="1">
        <v>200010000452</v>
      </c>
      <c r="S639" s="1">
        <v>29</v>
      </c>
      <c r="T639" s="1">
        <v>1</v>
      </c>
      <c r="U639" s="1">
        <v>1</v>
      </c>
    </row>
    <row r="640" spans="1:21" x14ac:dyDescent="0.25">
      <c r="A640" s="4">
        <v>44776</v>
      </c>
      <c r="B640" s="5">
        <v>0.35365740740740742</v>
      </c>
      <c r="C640" s="1">
        <v>1540</v>
      </c>
      <c r="D640" s="1">
        <v>13002595</v>
      </c>
      <c r="E640" s="1">
        <v>13</v>
      </c>
      <c r="F640" s="1">
        <v>22589</v>
      </c>
      <c r="G640" s="1" t="s">
        <v>18</v>
      </c>
      <c r="H640" s="1">
        <v>18</v>
      </c>
      <c r="I640" s="1">
        <v>7697</v>
      </c>
      <c r="J640" s="1" t="s">
        <v>65</v>
      </c>
      <c r="K640" s="1" t="s">
        <v>26</v>
      </c>
      <c r="L640" s="1" t="s">
        <v>66</v>
      </c>
      <c r="M640" s="1">
        <v>1</v>
      </c>
      <c r="N640" s="2">
        <v>247.35</v>
      </c>
      <c r="O640" s="3">
        <v>301</v>
      </c>
      <c r="P640" s="1">
        <v>15</v>
      </c>
      <c r="Q640" s="1">
        <v>9</v>
      </c>
      <c r="R640" s="1">
        <v>200010000452</v>
      </c>
      <c r="S640" s="1">
        <v>29</v>
      </c>
      <c r="T640" s="1">
        <v>1</v>
      </c>
      <c r="U640" s="1">
        <v>2</v>
      </c>
    </row>
    <row r="641" spans="1:21" x14ac:dyDescent="0.25">
      <c r="A641" s="4">
        <v>44776</v>
      </c>
      <c r="B641" s="5">
        <v>0.36548611111111112</v>
      </c>
      <c r="C641" s="1">
        <v>1541</v>
      </c>
      <c r="D641" s="1">
        <v>13002595</v>
      </c>
      <c r="E641" s="1">
        <v>13</v>
      </c>
      <c r="F641" s="1">
        <v>22589</v>
      </c>
      <c r="G641" s="1" t="s">
        <v>18</v>
      </c>
      <c r="H641" s="1">
        <v>18</v>
      </c>
      <c r="I641" s="1">
        <v>137041</v>
      </c>
      <c r="J641" s="1" t="s">
        <v>708</v>
      </c>
      <c r="K641" s="1" t="s">
        <v>31</v>
      </c>
      <c r="L641" s="1" t="s">
        <v>563</v>
      </c>
      <c r="M641" s="1">
        <v>1</v>
      </c>
      <c r="N641" s="2">
        <v>929.01</v>
      </c>
      <c r="O641" s="3">
        <v>1036</v>
      </c>
      <c r="P641" s="1">
        <v>31</v>
      </c>
      <c r="Q641" s="1">
        <v>9</v>
      </c>
      <c r="R641" s="1">
        <v>200010000486</v>
      </c>
      <c r="S641" s="1">
        <v>29</v>
      </c>
      <c r="T641" s="1">
        <v>1</v>
      </c>
      <c r="U641" s="1">
        <v>1</v>
      </c>
    </row>
    <row r="642" spans="1:21" x14ac:dyDescent="0.25">
      <c r="A642" s="4">
        <v>44776</v>
      </c>
      <c r="B642" s="5">
        <v>0.36784722222222221</v>
      </c>
      <c r="C642" s="1">
        <v>1542</v>
      </c>
      <c r="D642" s="1">
        <v>13002595</v>
      </c>
      <c r="E642" s="1">
        <v>13</v>
      </c>
      <c r="F642" s="1">
        <v>22589</v>
      </c>
      <c r="G642" s="1" t="s">
        <v>18</v>
      </c>
      <c r="H642" s="1">
        <v>18</v>
      </c>
      <c r="I642" s="1">
        <v>27580</v>
      </c>
      <c r="J642" s="1" t="s">
        <v>602</v>
      </c>
      <c r="K642" s="1" t="s">
        <v>26</v>
      </c>
      <c r="L642" s="1" t="s">
        <v>391</v>
      </c>
      <c r="M642" s="1">
        <v>0.25</v>
      </c>
      <c r="N642" s="2">
        <v>597.80999999999995</v>
      </c>
      <c r="O642" s="3">
        <v>656</v>
      </c>
      <c r="P642" s="1">
        <v>4</v>
      </c>
      <c r="Q642" s="1">
        <v>9</v>
      </c>
      <c r="R642" s="1">
        <v>200010015470</v>
      </c>
      <c r="S642" s="1">
        <v>29</v>
      </c>
      <c r="T642" s="1">
        <v>1</v>
      </c>
      <c r="U642" s="1">
        <v>1</v>
      </c>
    </row>
    <row r="643" spans="1:21" x14ac:dyDescent="0.25">
      <c r="A643" s="4">
        <v>44776</v>
      </c>
      <c r="B643" s="5">
        <v>0.36964120370370368</v>
      </c>
      <c r="C643" s="1">
        <v>1543</v>
      </c>
      <c r="D643" s="1">
        <v>13002595</v>
      </c>
      <c r="E643" s="1">
        <v>13</v>
      </c>
      <c r="F643" s="1">
        <v>22589</v>
      </c>
      <c r="G643" s="1" t="s">
        <v>18</v>
      </c>
      <c r="H643" s="1">
        <v>18</v>
      </c>
      <c r="I643" s="1">
        <v>338852</v>
      </c>
      <c r="J643" s="1" t="s">
        <v>709</v>
      </c>
      <c r="K643" s="1" t="s">
        <v>31</v>
      </c>
      <c r="L643" s="1" t="s">
        <v>120</v>
      </c>
      <c r="M643" s="1">
        <v>1</v>
      </c>
      <c r="N643" s="2">
        <v>33.549999999999997</v>
      </c>
      <c r="O643" s="3">
        <v>43.5</v>
      </c>
      <c r="P643" s="1">
        <v>0</v>
      </c>
      <c r="Q643" s="1" t="s">
        <v>22</v>
      </c>
      <c r="R643" s="1" t="s">
        <v>22</v>
      </c>
      <c r="S643" s="1">
        <v>29</v>
      </c>
      <c r="T643" s="1">
        <v>1</v>
      </c>
      <c r="U643" s="1">
        <v>3</v>
      </c>
    </row>
    <row r="644" spans="1:21" x14ac:dyDescent="0.25">
      <c r="A644" s="4">
        <v>44776</v>
      </c>
      <c r="B644" s="5">
        <v>0.44354166666666667</v>
      </c>
      <c r="C644" s="1">
        <v>1557</v>
      </c>
      <c r="D644" s="1">
        <v>13002595</v>
      </c>
      <c r="E644" s="1">
        <v>13</v>
      </c>
      <c r="F644" s="1">
        <v>22589</v>
      </c>
      <c r="G644" s="1" t="s">
        <v>18</v>
      </c>
      <c r="H644" s="1">
        <v>15</v>
      </c>
      <c r="I644" s="1">
        <v>338852</v>
      </c>
      <c r="J644" s="1" t="s">
        <v>709</v>
      </c>
      <c r="K644" s="1" t="s">
        <v>31</v>
      </c>
      <c r="L644" s="1" t="s">
        <v>120</v>
      </c>
      <c r="M644" s="1">
        <v>1</v>
      </c>
      <c r="N644" s="2">
        <v>33.549999999999997</v>
      </c>
      <c r="O644" s="3">
        <v>43.5</v>
      </c>
      <c r="P644" s="1">
        <v>1.5</v>
      </c>
      <c r="Q644" s="1">
        <v>9</v>
      </c>
      <c r="R644" s="1">
        <v>200010020276</v>
      </c>
      <c r="S644" s="1">
        <v>29</v>
      </c>
      <c r="T644" s="1">
        <v>1</v>
      </c>
      <c r="U644" s="1">
        <v>2</v>
      </c>
    </row>
    <row r="645" spans="1:21" x14ac:dyDescent="0.25">
      <c r="A645" s="4">
        <v>44776</v>
      </c>
      <c r="B645" s="5">
        <v>0.36964120370370368</v>
      </c>
      <c r="C645" s="1">
        <v>1543</v>
      </c>
      <c r="D645" s="1">
        <v>13002595</v>
      </c>
      <c r="E645" s="1">
        <v>13</v>
      </c>
      <c r="F645" s="1">
        <v>22589</v>
      </c>
      <c r="G645" s="1" t="s">
        <v>18</v>
      </c>
      <c r="H645" s="1">
        <v>18</v>
      </c>
      <c r="I645" s="1">
        <v>344614</v>
      </c>
      <c r="J645" s="1" t="s">
        <v>710</v>
      </c>
      <c r="K645" s="1" t="s">
        <v>48</v>
      </c>
      <c r="L645" s="1" t="s">
        <v>420</v>
      </c>
      <c r="M645" s="1">
        <v>1</v>
      </c>
      <c r="N645" s="2">
        <v>35.65</v>
      </c>
      <c r="O645" s="3">
        <v>43</v>
      </c>
      <c r="P645" s="1">
        <v>0</v>
      </c>
      <c r="Q645" s="1" t="s">
        <v>22</v>
      </c>
      <c r="R645" s="1" t="s">
        <v>22</v>
      </c>
      <c r="S645" s="1">
        <v>29</v>
      </c>
      <c r="T645" s="1">
        <v>1</v>
      </c>
      <c r="U645" s="1">
        <v>2</v>
      </c>
    </row>
    <row r="646" spans="1:21" x14ac:dyDescent="0.25">
      <c r="A646" s="4">
        <v>44776</v>
      </c>
      <c r="B646" s="5">
        <v>0.36964120370370368</v>
      </c>
      <c r="C646" s="1">
        <v>1543</v>
      </c>
      <c r="D646" s="1">
        <v>13002595</v>
      </c>
      <c r="E646" s="1">
        <v>13</v>
      </c>
      <c r="F646" s="1">
        <v>22589</v>
      </c>
      <c r="G646" s="1" t="s">
        <v>18</v>
      </c>
      <c r="H646" s="1">
        <v>18</v>
      </c>
      <c r="I646" s="1">
        <v>346984</v>
      </c>
      <c r="J646" s="1" t="s">
        <v>711</v>
      </c>
      <c r="K646" s="1" t="s">
        <v>48</v>
      </c>
      <c r="L646" s="1" t="s">
        <v>665</v>
      </c>
      <c r="M646" s="1">
        <v>0.03</v>
      </c>
      <c r="N646" s="2">
        <v>766.81</v>
      </c>
      <c r="O646" s="3">
        <v>1089</v>
      </c>
      <c r="P646" s="1">
        <v>0</v>
      </c>
      <c r="Q646" s="1" t="s">
        <v>22</v>
      </c>
      <c r="R646" s="1" t="s">
        <v>22</v>
      </c>
      <c r="S646" s="1">
        <v>29</v>
      </c>
      <c r="T646" s="1">
        <v>1</v>
      </c>
      <c r="U646" s="1">
        <v>5</v>
      </c>
    </row>
    <row r="647" spans="1:21" x14ac:dyDescent="0.25">
      <c r="A647" s="4">
        <v>44776</v>
      </c>
      <c r="B647" s="5">
        <v>0.36964120370370368</v>
      </c>
      <c r="C647" s="1">
        <v>1543</v>
      </c>
      <c r="D647" s="1">
        <v>13002595</v>
      </c>
      <c r="E647" s="1">
        <v>13</v>
      </c>
      <c r="F647" s="1">
        <v>22589</v>
      </c>
      <c r="G647" s="1" t="s">
        <v>18</v>
      </c>
      <c r="H647" s="1">
        <v>18</v>
      </c>
      <c r="I647" s="1">
        <v>105888</v>
      </c>
      <c r="J647" s="1" t="s">
        <v>116</v>
      </c>
      <c r="K647" s="1" t="s">
        <v>114</v>
      </c>
      <c r="L647" s="1" t="s">
        <v>117</v>
      </c>
      <c r="M647" s="1">
        <v>1</v>
      </c>
      <c r="N647" s="2">
        <v>35.770000000000003</v>
      </c>
      <c r="O647" s="3">
        <v>58</v>
      </c>
      <c r="P647" s="1">
        <v>0</v>
      </c>
      <c r="Q647" s="1" t="s">
        <v>22</v>
      </c>
      <c r="R647" s="1" t="s">
        <v>22</v>
      </c>
      <c r="S647" s="1">
        <v>29</v>
      </c>
      <c r="T647" s="1">
        <v>1</v>
      </c>
      <c r="U647" s="1">
        <v>1</v>
      </c>
    </row>
    <row r="648" spans="1:21" x14ac:dyDescent="0.25">
      <c r="A648" s="4">
        <v>44776</v>
      </c>
      <c r="B648" s="5">
        <v>0.60665509259259254</v>
      </c>
      <c r="C648" s="1">
        <v>1609</v>
      </c>
      <c r="D648" s="1">
        <v>13002595</v>
      </c>
      <c r="E648" s="1">
        <v>13</v>
      </c>
      <c r="F648" s="1">
        <v>22589</v>
      </c>
      <c r="G648" s="1" t="s">
        <v>18</v>
      </c>
      <c r="H648" s="1">
        <v>18</v>
      </c>
      <c r="I648" s="1">
        <v>105888</v>
      </c>
      <c r="J648" s="1" t="s">
        <v>116</v>
      </c>
      <c r="K648" s="1" t="s">
        <v>114</v>
      </c>
      <c r="L648" s="1" t="s">
        <v>117</v>
      </c>
      <c r="M648" s="1">
        <v>1</v>
      </c>
      <c r="N648" s="2">
        <v>35.770000000000003</v>
      </c>
      <c r="O648" s="3">
        <v>58</v>
      </c>
      <c r="P648" s="1">
        <v>0</v>
      </c>
      <c r="Q648" s="1" t="s">
        <v>22</v>
      </c>
      <c r="R648" s="1" t="s">
        <v>22</v>
      </c>
      <c r="S648" s="1">
        <v>29</v>
      </c>
      <c r="T648" s="1">
        <v>1</v>
      </c>
      <c r="U648" s="1">
        <v>1</v>
      </c>
    </row>
    <row r="649" spans="1:21" x14ac:dyDescent="0.25">
      <c r="A649" s="4">
        <v>44776</v>
      </c>
      <c r="B649" s="5">
        <v>0.65983796296296293</v>
      </c>
      <c r="C649" s="1">
        <v>1621</v>
      </c>
      <c r="D649" s="1">
        <v>13002595</v>
      </c>
      <c r="E649" s="1">
        <v>13</v>
      </c>
      <c r="F649" s="1">
        <v>22589</v>
      </c>
      <c r="G649" s="1" t="s">
        <v>18</v>
      </c>
      <c r="H649" s="1">
        <v>18</v>
      </c>
      <c r="I649" s="1">
        <v>105888</v>
      </c>
      <c r="J649" s="1" t="s">
        <v>116</v>
      </c>
      <c r="K649" s="1" t="s">
        <v>114</v>
      </c>
      <c r="L649" s="1" t="s">
        <v>117</v>
      </c>
      <c r="M649" s="1">
        <v>1</v>
      </c>
      <c r="N649" s="2">
        <v>35.770000000000003</v>
      </c>
      <c r="O649" s="3">
        <v>58</v>
      </c>
      <c r="P649" s="1">
        <v>0</v>
      </c>
      <c r="Q649" s="1" t="s">
        <v>22</v>
      </c>
      <c r="R649" s="1" t="s">
        <v>22</v>
      </c>
      <c r="S649" s="1">
        <v>29</v>
      </c>
      <c r="T649" s="1">
        <v>1</v>
      </c>
      <c r="U649" s="1">
        <v>1</v>
      </c>
    </row>
    <row r="650" spans="1:21" x14ac:dyDescent="0.25">
      <c r="A650" s="4">
        <v>44776</v>
      </c>
      <c r="B650" s="5">
        <v>0.69087962962962968</v>
      </c>
      <c r="C650" s="1">
        <v>1627</v>
      </c>
      <c r="D650" s="1">
        <v>13002595</v>
      </c>
      <c r="E650" s="1">
        <v>13</v>
      </c>
      <c r="F650" s="1">
        <v>22589</v>
      </c>
      <c r="G650" s="1" t="s">
        <v>18</v>
      </c>
      <c r="H650" s="1">
        <v>18</v>
      </c>
      <c r="I650" s="1">
        <v>105888</v>
      </c>
      <c r="J650" s="1" t="s">
        <v>116</v>
      </c>
      <c r="K650" s="1" t="s">
        <v>114</v>
      </c>
      <c r="L650" s="1" t="s">
        <v>117</v>
      </c>
      <c r="M650" s="1">
        <v>1</v>
      </c>
      <c r="N650" s="2">
        <v>35.770000000000003</v>
      </c>
      <c r="O650" s="3">
        <v>58</v>
      </c>
      <c r="P650" s="1">
        <v>5</v>
      </c>
      <c r="Q650" s="1">
        <v>9</v>
      </c>
      <c r="R650" s="1">
        <v>200010006183</v>
      </c>
      <c r="S650" s="1">
        <v>29</v>
      </c>
      <c r="T650" s="1">
        <v>1</v>
      </c>
      <c r="U650" s="1">
        <v>1</v>
      </c>
    </row>
    <row r="651" spans="1:21" x14ac:dyDescent="0.25">
      <c r="A651" s="4">
        <v>44776</v>
      </c>
      <c r="B651" s="5">
        <v>0.79831018518518515</v>
      </c>
      <c r="C651" s="1">
        <v>1652</v>
      </c>
      <c r="D651" s="1">
        <v>13002595</v>
      </c>
      <c r="E651" s="1">
        <v>13</v>
      </c>
      <c r="F651" s="1">
        <v>22589</v>
      </c>
      <c r="G651" s="1" t="s">
        <v>18</v>
      </c>
      <c r="H651" s="1">
        <v>15</v>
      </c>
      <c r="I651" s="1">
        <v>105888</v>
      </c>
      <c r="J651" s="1" t="s">
        <v>116</v>
      </c>
      <c r="K651" s="1" t="s">
        <v>114</v>
      </c>
      <c r="L651" s="1" t="s">
        <v>117</v>
      </c>
      <c r="M651" s="1">
        <v>1</v>
      </c>
      <c r="N651" s="2">
        <v>35.770000000000003</v>
      </c>
      <c r="O651" s="3">
        <v>58</v>
      </c>
      <c r="P651" s="1">
        <v>0</v>
      </c>
      <c r="Q651" s="1" t="s">
        <v>22</v>
      </c>
      <c r="R651" s="1" t="s">
        <v>22</v>
      </c>
      <c r="S651" s="1">
        <v>29</v>
      </c>
      <c r="T651" s="1">
        <v>1</v>
      </c>
      <c r="U651" s="1">
        <v>1</v>
      </c>
    </row>
    <row r="652" spans="1:21" x14ac:dyDescent="0.25">
      <c r="A652" s="4">
        <v>44776</v>
      </c>
      <c r="B652" s="5">
        <v>0.36964120370370368</v>
      </c>
      <c r="C652" s="1">
        <v>1543</v>
      </c>
      <c r="D652" s="1">
        <v>13002595</v>
      </c>
      <c r="E652" s="1">
        <v>13</v>
      </c>
      <c r="F652" s="1">
        <v>22589</v>
      </c>
      <c r="G652" s="1" t="s">
        <v>18</v>
      </c>
      <c r="H652" s="1">
        <v>18</v>
      </c>
      <c r="I652" s="1">
        <v>339756</v>
      </c>
      <c r="J652" s="1" t="s">
        <v>712</v>
      </c>
      <c r="K652" s="1" t="s">
        <v>48</v>
      </c>
      <c r="L652" s="1" t="s">
        <v>215</v>
      </c>
      <c r="M652" s="1">
        <v>1</v>
      </c>
      <c r="N652" s="2">
        <v>28.01</v>
      </c>
      <c r="O652" s="3">
        <v>39</v>
      </c>
      <c r="P652" s="1">
        <v>0</v>
      </c>
      <c r="Q652" s="1" t="s">
        <v>22</v>
      </c>
      <c r="R652" s="1" t="s">
        <v>22</v>
      </c>
      <c r="S652" s="1">
        <v>29</v>
      </c>
      <c r="T652" s="1">
        <v>1</v>
      </c>
      <c r="U652" s="1">
        <v>6</v>
      </c>
    </row>
    <row r="653" spans="1:21" x14ac:dyDescent="0.25">
      <c r="A653" s="4">
        <v>44776</v>
      </c>
      <c r="B653" s="5">
        <v>0.36964120370370368</v>
      </c>
      <c r="C653" s="1">
        <v>1543</v>
      </c>
      <c r="D653" s="1">
        <v>13002595</v>
      </c>
      <c r="E653" s="1">
        <v>13</v>
      </c>
      <c r="F653" s="1">
        <v>22589</v>
      </c>
      <c r="G653" s="1" t="s">
        <v>18</v>
      </c>
      <c r="H653" s="1">
        <v>18</v>
      </c>
      <c r="I653" s="1">
        <v>339756</v>
      </c>
      <c r="J653" s="1" t="s">
        <v>712</v>
      </c>
      <c r="K653" s="1" t="s">
        <v>48</v>
      </c>
      <c r="L653" s="1" t="s">
        <v>215</v>
      </c>
      <c r="M653" s="1">
        <v>1</v>
      </c>
      <c r="N653" s="2">
        <v>28.01</v>
      </c>
      <c r="O653" s="3">
        <v>39</v>
      </c>
      <c r="P653" s="1">
        <v>0</v>
      </c>
      <c r="Q653" s="1" t="s">
        <v>22</v>
      </c>
      <c r="R653" s="1" t="s">
        <v>22</v>
      </c>
      <c r="S653" s="1">
        <v>29</v>
      </c>
      <c r="T653" s="1">
        <v>1</v>
      </c>
      <c r="U653" s="1">
        <v>7</v>
      </c>
    </row>
    <row r="654" spans="1:21" x14ac:dyDescent="0.25">
      <c r="A654" s="4">
        <v>44776</v>
      </c>
      <c r="B654" s="5">
        <v>0.36964120370370368</v>
      </c>
      <c r="C654" s="1">
        <v>1543</v>
      </c>
      <c r="D654" s="1">
        <v>13002595</v>
      </c>
      <c r="E654" s="1">
        <v>13</v>
      </c>
      <c r="F654" s="1">
        <v>22589</v>
      </c>
      <c r="G654" s="1" t="s">
        <v>18</v>
      </c>
      <c r="H654" s="1">
        <v>18</v>
      </c>
      <c r="I654" s="1">
        <v>339756</v>
      </c>
      <c r="J654" s="1" t="s">
        <v>712</v>
      </c>
      <c r="K654" s="1" t="s">
        <v>48</v>
      </c>
      <c r="L654" s="1" t="s">
        <v>215</v>
      </c>
      <c r="M654" s="1">
        <v>1</v>
      </c>
      <c r="N654" s="2">
        <v>28.01</v>
      </c>
      <c r="O654" s="3">
        <v>39</v>
      </c>
      <c r="P654" s="1">
        <v>0</v>
      </c>
      <c r="Q654" s="1" t="s">
        <v>22</v>
      </c>
      <c r="R654" s="1" t="s">
        <v>22</v>
      </c>
      <c r="S654" s="1">
        <v>29</v>
      </c>
      <c r="T654" s="1">
        <v>1</v>
      </c>
      <c r="U654" s="1">
        <v>8</v>
      </c>
    </row>
    <row r="655" spans="1:21" x14ac:dyDescent="0.25">
      <c r="A655" s="4">
        <v>44776</v>
      </c>
      <c r="B655" s="5">
        <v>0.36964120370370368</v>
      </c>
      <c r="C655" s="1">
        <v>1543</v>
      </c>
      <c r="D655" s="1">
        <v>13002595</v>
      </c>
      <c r="E655" s="1">
        <v>13</v>
      </c>
      <c r="F655" s="1">
        <v>22589</v>
      </c>
      <c r="G655" s="1" t="s">
        <v>18</v>
      </c>
      <c r="H655" s="1">
        <v>18</v>
      </c>
      <c r="I655" s="1">
        <v>1504015</v>
      </c>
      <c r="J655" s="1" t="s">
        <v>91</v>
      </c>
      <c r="K655" s="1" t="s">
        <v>92</v>
      </c>
      <c r="L655" s="1" t="s">
        <v>215</v>
      </c>
      <c r="M655" s="1">
        <v>1</v>
      </c>
      <c r="N655" s="2">
        <v>1.1499999999999999</v>
      </c>
      <c r="O655" s="3">
        <v>2</v>
      </c>
      <c r="P655" s="1">
        <v>0</v>
      </c>
      <c r="Q655" s="1" t="s">
        <v>22</v>
      </c>
      <c r="R655" s="1" t="s">
        <v>22</v>
      </c>
      <c r="S655" s="1">
        <v>29</v>
      </c>
      <c r="T655" s="1">
        <v>1</v>
      </c>
      <c r="U655" s="1">
        <v>4</v>
      </c>
    </row>
    <row r="656" spans="1:21" x14ac:dyDescent="0.25">
      <c r="A656" s="4">
        <v>44776</v>
      </c>
      <c r="B656" s="5">
        <v>0.48781249999999998</v>
      </c>
      <c r="C656" s="1">
        <v>1570</v>
      </c>
      <c r="D656" s="1">
        <v>13002595</v>
      </c>
      <c r="E656" s="1">
        <v>13</v>
      </c>
      <c r="F656" s="1">
        <v>22589</v>
      </c>
      <c r="G656" s="1" t="s">
        <v>18</v>
      </c>
      <c r="H656" s="1">
        <v>18</v>
      </c>
      <c r="I656" s="1">
        <v>1504015</v>
      </c>
      <c r="J656" s="1" t="s">
        <v>91</v>
      </c>
      <c r="K656" s="1" t="s">
        <v>92</v>
      </c>
      <c r="L656" s="1" t="s">
        <v>215</v>
      </c>
      <c r="M656" s="1">
        <v>1</v>
      </c>
      <c r="N656" s="2">
        <v>1.1499999999999999</v>
      </c>
      <c r="O656" s="3">
        <v>2</v>
      </c>
      <c r="P656" s="1">
        <v>0</v>
      </c>
      <c r="Q656" s="1" t="s">
        <v>22</v>
      </c>
      <c r="R656" s="1" t="s">
        <v>22</v>
      </c>
      <c r="S656" s="1">
        <v>29</v>
      </c>
      <c r="T656" s="1">
        <v>1</v>
      </c>
      <c r="U656" s="1">
        <v>6</v>
      </c>
    </row>
    <row r="657" spans="1:21" x14ac:dyDescent="0.25">
      <c r="A657" s="4">
        <v>44776</v>
      </c>
      <c r="B657" s="5">
        <v>0.79831018518518515</v>
      </c>
      <c r="C657" s="1">
        <v>1652</v>
      </c>
      <c r="D657" s="1">
        <v>13002595</v>
      </c>
      <c r="E657" s="1">
        <v>13</v>
      </c>
      <c r="F657" s="1">
        <v>22589</v>
      </c>
      <c r="G657" s="1" t="s">
        <v>18</v>
      </c>
      <c r="H657" s="1">
        <v>15</v>
      </c>
      <c r="I657" s="1">
        <v>1504015</v>
      </c>
      <c r="J657" s="1" t="s">
        <v>91</v>
      </c>
      <c r="K657" s="1" t="s">
        <v>92</v>
      </c>
      <c r="L657" s="1" t="s">
        <v>215</v>
      </c>
      <c r="M657" s="1">
        <v>1</v>
      </c>
      <c r="N657" s="2">
        <v>1.1499999999999999</v>
      </c>
      <c r="O657" s="3">
        <v>2</v>
      </c>
      <c r="P657" s="1">
        <v>0</v>
      </c>
      <c r="Q657" s="1" t="s">
        <v>22</v>
      </c>
      <c r="R657" s="1" t="s">
        <v>22</v>
      </c>
      <c r="S657" s="1">
        <v>29</v>
      </c>
      <c r="T657" s="1">
        <v>1</v>
      </c>
      <c r="U657" s="1">
        <v>4</v>
      </c>
    </row>
    <row r="658" spans="1:21" x14ac:dyDescent="0.25">
      <c r="A658" s="4">
        <v>44776</v>
      </c>
      <c r="B658" s="5">
        <v>0.37939814814814815</v>
      </c>
      <c r="C658" s="1">
        <v>1544</v>
      </c>
      <c r="D658" s="1">
        <v>13002595</v>
      </c>
      <c r="E658" s="1">
        <v>13</v>
      </c>
      <c r="F658" s="1">
        <v>22589</v>
      </c>
      <c r="G658" s="1" t="s">
        <v>18</v>
      </c>
      <c r="H658" s="1">
        <v>15</v>
      </c>
      <c r="I658" s="1">
        <v>88380</v>
      </c>
      <c r="J658" s="1" t="s">
        <v>713</v>
      </c>
      <c r="K658" s="1" t="s">
        <v>31</v>
      </c>
      <c r="L658" s="1" t="s">
        <v>714</v>
      </c>
      <c r="M658" s="1">
        <v>1</v>
      </c>
      <c r="N658" s="2">
        <v>413.47</v>
      </c>
      <c r="O658" s="3">
        <v>538</v>
      </c>
      <c r="P658" s="1">
        <v>0</v>
      </c>
      <c r="Q658" s="1" t="s">
        <v>22</v>
      </c>
      <c r="R658" s="1" t="s">
        <v>22</v>
      </c>
      <c r="S658" s="1">
        <v>29</v>
      </c>
      <c r="T658" s="1">
        <v>1</v>
      </c>
      <c r="U658" s="1">
        <v>2</v>
      </c>
    </row>
    <row r="659" spans="1:21" x14ac:dyDescent="0.25">
      <c r="A659" s="4">
        <v>44776</v>
      </c>
      <c r="B659" s="5">
        <v>0.37939814814814815</v>
      </c>
      <c r="C659" s="1">
        <v>1544</v>
      </c>
      <c r="D659" s="1">
        <v>13002595</v>
      </c>
      <c r="E659" s="1">
        <v>13</v>
      </c>
      <c r="F659" s="1">
        <v>22589</v>
      </c>
      <c r="G659" s="1" t="s">
        <v>18</v>
      </c>
      <c r="H659" s="1">
        <v>15</v>
      </c>
      <c r="I659" s="1">
        <v>16909</v>
      </c>
      <c r="J659" s="1" t="s">
        <v>715</v>
      </c>
      <c r="K659" s="1" t="s">
        <v>48</v>
      </c>
      <c r="L659" s="1" t="s">
        <v>714</v>
      </c>
      <c r="M659" s="1">
        <v>0.16666666999999999</v>
      </c>
      <c r="N659" s="2">
        <v>918.14</v>
      </c>
      <c r="O659" s="3">
        <v>1185</v>
      </c>
      <c r="P659" s="1">
        <v>0</v>
      </c>
      <c r="Q659" s="1" t="s">
        <v>22</v>
      </c>
      <c r="R659" s="1" t="s">
        <v>22</v>
      </c>
      <c r="S659" s="1">
        <v>29</v>
      </c>
      <c r="T659" s="1">
        <v>1</v>
      </c>
      <c r="U659" s="1">
        <v>1</v>
      </c>
    </row>
    <row r="660" spans="1:21" x14ac:dyDescent="0.25">
      <c r="A660" s="4">
        <v>44776</v>
      </c>
      <c r="B660" s="5">
        <v>0.37939814814814815</v>
      </c>
      <c r="C660" s="1">
        <v>1544</v>
      </c>
      <c r="D660" s="1">
        <v>13002595</v>
      </c>
      <c r="E660" s="1">
        <v>13</v>
      </c>
      <c r="F660" s="1">
        <v>22589</v>
      </c>
      <c r="G660" s="1" t="s">
        <v>18</v>
      </c>
      <c r="H660" s="1">
        <v>15</v>
      </c>
      <c r="I660" s="1">
        <v>52492</v>
      </c>
      <c r="J660" s="1" t="s">
        <v>716</v>
      </c>
      <c r="K660" s="1" t="s">
        <v>20</v>
      </c>
      <c r="L660" s="1" t="s">
        <v>717</v>
      </c>
      <c r="M660" s="1">
        <v>0.5</v>
      </c>
      <c r="N660" s="2">
        <v>1418.27</v>
      </c>
      <c r="O660" s="3">
        <v>1773</v>
      </c>
      <c r="P660" s="1">
        <v>0</v>
      </c>
      <c r="Q660" s="1" t="s">
        <v>22</v>
      </c>
      <c r="R660" s="1" t="s">
        <v>22</v>
      </c>
      <c r="S660" s="1">
        <v>29</v>
      </c>
      <c r="T660" s="1">
        <v>1</v>
      </c>
      <c r="U660" s="1">
        <v>3</v>
      </c>
    </row>
    <row r="661" spans="1:21" x14ac:dyDescent="0.25">
      <c r="A661" s="4">
        <v>44776</v>
      </c>
      <c r="B661" s="5">
        <v>0.39349537037037036</v>
      </c>
      <c r="C661" s="1">
        <v>1545</v>
      </c>
      <c r="D661" s="1">
        <v>13002595</v>
      </c>
      <c r="E661" s="1">
        <v>13</v>
      </c>
      <c r="F661" s="1">
        <v>22589</v>
      </c>
      <c r="G661" s="1" t="s">
        <v>18</v>
      </c>
      <c r="H661" s="1">
        <v>18</v>
      </c>
      <c r="I661" s="1">
        <v>7162</v>
      </c>
      <c r="J661" s="1" t="s">
        <v>718</v>
      </c>
      <c r="K661" s="1" t="s">
        <v>31</v>
      </c>
      <c r="L661" s="1" t="s">
        <v>32</v>
      </c>
      <c r="M661" s="1">
        <v>1</v>
      </c>
      <c r="N661" s="2">
        <v>134.07</v>
      </c>
      <c r="O661" s="3">
        <v>161</v>
      </c>
      <c r="P661" s="1">
        <v>8</v>
      </c>
      <c r="Q661" s="1">
        <v>9</v>
      </c>
      <c r="R661" s="1">
        <v>200010020285</v>
      </c>
      <c r="S661" s="1">
        <v>29</v>
      </c>
      <c r="T661" s="1">
        <v>1</v>
      </c>
      <c r="U661" s="1">
        <v>2</v>
      </c>
    </row>
    <row r="662" spans="1:21" x14ac:dyDescent="0.25">
      <c r="A662" s="4">
        <v>44776</v>
      </c>
      <c r="B662" s="5">
        <v>0.39349537037037036</v>
      </c>
      <c r="C662" s="1">
        <v>1545</v>
      </c>
      <c r="D662" s="1">
        <v>13002595</v>
      </c>
      <c r="E662" s="1">
        <v>13</v>
      </c>
      <c r="F662" s="1">
        <v>22589</v>
      </c>
      <c r="G662" s="1" t="s">
        <v>18</v>
      </c>
      <c r="H662" s="1">
        <v>18</v>
      </c>
      <c r="I662" s="1">
        <v>100378</v>
      </c>
      <c r="J662" s="1" t="s">
        <v>719</v>
      </c>
      <c r="K662" s="1" t="s">
        <v>31</v>
      </c>
      <c r="L662" s="1" t="s">
        <v>720</v>
      </c>
      <c r="M662" s="1">
        <v>1</v>
      </c>
      <c r="N662" s="2">
        <v>60.39</v>
      </c>
      <c r="O662" s="3">
        <v>74</v>
      </c>
      <c r="P662" s="1">
        <v>3</v>
      </c>
      <c r="Q662" s="1">
        <v>9</v>
      </c>
      <c r="R662" s="1">
        <v>200010020285</v>
      </c>
      <c r="S662" s="1">
        <v>29</v>
      </c>
      <c r="T662" s="1">
        <v>1</v>
      </c>
      <c r="U662" s="1">
        <v>1</v>
      </c>
    </row>
    <row r="663" spans="1:21" x14ac:dyDescent="0.25">
      <c r="A663" s="4">
        <v>44776</v>
      </c>
      <c r="B663" s="5">
        <v>0.78979166666666667</v>
      </c>
      <c r="C663" s="1">
        <v>1651</v>
      </c>
      <c r="D663" s="1">
        <v>13002595</v>
      </c>
      <c r="E663" s="1">
        <v>13</v>
      </c>
      <c r="F663" s="1">
        <v>22589</v>
      </c>
      <c r="G663" s="1" t="s">
        <v>18</v>
      </c>
      <c r="H663" s="1">
        <v>15</v>
      </c>
      <c r="I663" s="1">
        <v>100378</v>
      </c>
      <c r="J663" s="1" t="s">
        <v>719</v>
      </c>
      <c r="K663" s="1" t="s">
        <v>31</v>
      </c>
      <c r="L663" s="1" t="s">
        <v>720</v>
      </c>
      <c r="M663" s="1">
        <v>1</v>
      </c>
      <c r="N663" s="2">
        <v>60.39</v>
      </c>
      <c r="O663" s="3">
        <v>74</v>
      </c>
      <c r="P663" s="1">
        <v>3</v>
      </c>
      <c r="Q663" s="1">
        <v>9</v>
      </c>
      <c r="R663" s="1">
        <v>200010006181</v>
      </c>
      <c r="S663" s="1">
        <v>29</v>
      </c>
      <c r="T663" s="1">
        <v>1</v>
      </c>
      <c r="U663" s="1">
        <v>1</v>
      </c>
    </row>
    <row r="664" spans="1:21" x14ac:dyDescent="0.25">
      <c r="A664" s="4">
        <v>44776</v>
      </c>
      <c r="B664" s="5">
        <v>0.39648148148148149</v>
      </c>
      <c r="C664" s="1">
        <v>1546</v>
      </c>
      <c r="D664" s="1">
        <v>13002595</v>
      </c>
      <c r="E664" s="1">
        <v>13</v>
      </c>
      <c r="F664" s="1">
        <v>22589</v>
      </c>
      <c r="G664" s="1" t="s">
        <v>18</v>
      </c>
      <c r="H664" s="1">
        <v>15</v>
      </c>
      <c r="I664" s="1">
        <v>573255</v>
      </c>
      <c r="J664" s="1" t="s">
        <v>721</v>
      </c>
      <c r="K664" s="1" t="s">
        <v>48</v>
      </c>
      <c r="L664" s="1" t="s">
        <v>722</v>
      </c>
      <c r="M664" s="1">
        <v>1</v>
      </c>
      <c r="N664" s="2">
        <v>106.4</v>
      </c>
      <c r="O664" s="3">
        <v>146</v>
      </c>
      <c r="P664" s="1">
        <v>0</v>
      </c>
      <c r="Q664" s="1" t="s">
        <v>22</v>
      </c>
      <c r="R664" s="1" t="s">
        <v>22</v>
      </c>
      <c r="S664" s="1">
        <v>29</v>
      </c>
      <c r="T664" s="1">
        <v>1</v>
      </c>
      <c r="U664" s="1">
        <v>1</v>
      </c>
    </row>
    <row r="665" spans="1:21" x14ac:dyDescent="0.25">
      <c r="A665" s="4">
        <v>44776</v>
      </c>
      <c r="B665" s="5">
        <v>0.39648148148148149</v>
      </c>
      <c r="C665" s="1">
        <v>1546</v>
      </c>
      <c r="D665" s="1">
        <v>13002595</v>
      </c>
      <c r="E665" s="1">
        <v>13</v>
      </c>
      <c r="F665" s="1">
        <v>22589</v>
      </c>
      <c r="G665" s="1" t="s">
        <v>18</v>
      </c>
      <c r="H665" s="1">
        <v>15</v>
      </c>
      <c r="I665" s="1">
        <v>346984</v>
      </c>
      <c r="J665" s="1" t="s">
        <v>711</v>
      </c>
      <c r="K665" s="1" t="s">
        <v>48</v>
      </c>
      <c r="L665" s="1" t="s">
        <v>665</v>
      </c>
      <c r="M665" s="1">
        <v>0.02</v>
      </c>
      <c r="N665" s="2">
        <v>766.81</v>
      </c>
      <c r="O665" s="3">
        <v>1089</v>
      </c>
      <c r="P665" s="1">
        <v>0</v>
      </c>
      <c r="Q665" s="1" t="s">
        <v>22</v>
      </c>
      <c r="R665" s="1" t="s">
        <v>22</v>
      </c>
      <c r="S665" s="1">
        <v>29</v>
      </c>
      <c r="T665" s="1">
        <v>1</v>
      </c>
      <c r="U665" s="1">
        <v>2</v>
      </c>
    </row>
    <row r="666" spans="1:21" x14ac:dyDescent="0.25">
      <c r="A666" s="4">
        <v>44776</v>
      </c>
      <c r="B666" s="5">
        <v>0.41375000000000001</v>
      </c>
      <c r="C666" s="1">
        <v>1547</v>
      </c>
      <c r="D666" s="1">
        <v>13002595</v>
      </c>
      <c r="E666" s="1">
        <v>13</v>
      </c>
      <c r="F666" s="1">
        <v>22589</v>
      </c>
      <c r="G666" s="1" t="s">
        <v>18</v>
      </c>
      <c r="H666" s="1">
        <v>15</v>
      </c>
      <c r="I666" s="1">
        <v>596246</v>
      </c>
      <c r="J666" s="1" t="s">
        <v>723</v>
      </c>
      <c r="K666" s="1" t="s">
        <v>138</v>
      </c>
      <c r="L666" s="1" t="s">
        <v>724</v>
      </c>
      <c r="M666" s="1">
        <v>1</v>
      </c>
      <c r="N666" s="2">
        <v>477.29</v>
      </c>
      <c r="O666" s="3">
        <v>631</v>
      </c>
      <c r="P666" s="1">
        <v>44</v>
      </c>
      <c r="Q666" s="1">
        <v>9</v>
      </c>
      <c r="R666" s="1">
        <v>200010001578</v>
      </c>
      <c r="S666" s="1">
        <v>29</v>
      </c>
      <c r="T666" s="1">
        <v>1</v>
      </c>
      <c r="U666" s="1">
        <v>1</v>
      </c>
    </row>
    <row r="667" spans="1:21" x14ac:dyDescent="0.25">
      <c r="A667" s="4">
        <v>44776</v>
      </c>
      <c r="B667" s="5">
        <v>0.41524305555555557</v>
      </c>
      <c r="C667" s="1">
        <v>1548</v>
      </c>
      <c r="D667" s="1">
        <v>13002595</v>
      </c>
      <c r="E667" s="1">
        <v>13</v>
      </c>
      <c r="F667" s="1">
        <v>22589</v>
      </c>
      <c r="G667" s="1" t="s">
        <v>18</v>
      </c>
      <c r="H667" s="1">
        <v>15</v>
      </c>
      <c r="I667" s="1">
        <v>511366</v>
      </c>
      <c r="J667" s="1" t="s">
        <v>725</v>
      </c>
      <c r="K667" s="1" t="s">
        <v>48</v>
      </c>
      <c r="L667" s="1" t="s">
        <v>726</v>
      </c>
      <c r="M667" s="1">
        <v>1</v>
      </c>
      <c r="N667" s="2">
        <v>236.27</v>
      </c>
      <c r="O667" s="3">
        <v>319</v>
      </c>
      <c r="P667" s="1">
        <v>0</v>
      </c>
      <c r="Q667" s="1" t="s">
        <v>22</v>
      </c>
      <c r="R667" s="1" t="s">
        <v>22</v>
      </c>
      <c r="S667" s="1">
        <v>29</v>
      </c>
      <c r="T667" s="1">
        <v>1</v>
      </c>
      <c r="U667" s="1">
        <v>1</v>
      </c>
    </row>
    <row r="668" spans="1:21" x14ac:dyDescent="0.25">
      <c r="A668" s="4">
        <v>44776</v>
      </c>
      <c r="B668" s="5">
        <v>0.42203703703703704</v>
      </c>
      <c r="C668" s="1">
        <v>1549</v>
      </c>
      <c r="D668" s="1">
        <v>13002595</v>
      </c>
      <c r="E668" s="1">
        <v>13</v>
      </c>
      <c r="F668" s="1">
        <v>22589</v>
      </c>
      <c r="G668" s="1" t="s">
        <v>18</v>
      </c>
      <c r="H668" s="1">
        <v>15</v>
      </c>
      <c r="I668" s="1">
        <v>141304</v>
      </c>
      <c r="J668" s="1" t="s">
        <v>727</v>
      </c>
      <c r="K668" s="1" t="s">
        <v>138</v>
      </c>
      <c r="L668" s="1" t="s">
        <v>728</v>
      </c>
      <c r="M668" s="1">
        <v>1</v>
      </c>
      <c r="N668" s="2">
        <v>126.06</v>
      </c>
      <c r="O668" s="3">
        <v>148</v>
      </c>
      <c r="P668" s="1">
        <v>7</v>
      </c>
      <c r="Q668" s="1">
        <v>9</v>
      </c>
      <c r="R668" s="1">
        <v>200010023966</v>
      </c>
      <c r="S668" s="1">
        <v>29</v>
      </c>
      <c r="T668" s="1">
        <v>1</v>
      </c>
      <c r="U668" s="1">
        <v>1</v>
      </c>
    </row>
    <row r="669" spans="1:21" x14ac:dyDescent="0.25">
      <c r="A669" s="4">
        <v>44776</v>
      </c>
      <c r="B669" s="5">
        <v>0.42203703703703704</v>
      </c>
      <c r="C669" s="1">
        <v>1549</v>
      </c>
      <c r="D669" s="1">
        <v>13002595</v>
      </c>
      <c r="E669" s="1">
        <v>13</v>
      </c>
      <c r="F669" s="1">
        <v>22589</v>
      </c>
      <c r="G669" s="1" t="s">
        <v>18</v>
      </c>
      <c r="H669" s="1">
        <v>15</v>
      </c>
      <c r="I669" s="1">
        <v>564775</v>
      </c>
      <c r="J669" s="1" t="s">
        <v>505</v>
      </c>
      <c r="K669" s="1" t="s">
        <v>48</v>
      </c>
      <c r="L669" s="1" t="s">
        <v>506</v>
      </c>
      <c r="M669" s="1">
        <v>1</v>
      </c>
      <c r="N669" s="2">
        <v>6.87</v>
      </c>
      <c r="O669" s="3">
        <v>12</v>
      </c>
      <c r="P669" s="1">
        <v>1</v>
      </c>
      <c r="Q669" s="1">
        <v>9</v>
      </c>
      <c r="R669" s="1">
        <v>200010023966</v>
      </c>
      <c r="S669" s="1">
        <v>29</v>
      </c>
      <c r="T669" s="1">
        <v>1</v>
      </c>
      <c r="U669" s="1">
        <v>2</v>
      </c>
    </row>
    <row r="670" spans="1:21" x14ac:dyDescent="0.25">
      <c r="A670" s="4">
        <v>44776</v>
      </c>
      <c r="B670" s="5">
        <v>0.42416666666666669</v>
      </c>
      <c r="C670" s="1">
        <v>1550</v>
      </c>
      <c r="D670" s="1">
        <v>13002595</v>
      </c>
      <c r="E670" s="1">
        <v>13</v>
      </c>
      <c r="F670" s="1">
        <v>22589</v>
      </c>
      <c r="G670" s="1" t="s">
        <v>18</v>
      </c>
      <c r="H670" s="1">
        <v>18</v>
      </c>
      <c r="I670" s="1">
        <v>46153</v>
      </c>
      <c r="J670" s="1" t="s">
        <v>729</v>
      </c>
      <c r="K670" s="1" t="s">
        <v>26</v>
      </c>
      <c r="L670" s="1" t="s">
        <v>115</v>
      </c>
      <c r="M670" s="1">
        <v>1</v>
      </c>
      <c r="N670" s="2">
        <v>68.13</v>
      </c>
      <c r="O670" s="3">
        <v>97</v>
      </c>
      <c r="P670" s="1">
        <v>6</v>
      </c>
      <c r="Q670" s="1">
        <v>9</v>
      </c>
      <c r="R670" s="1">
        <v>200010003369</v>
      </c>
      <c r="S670" s="1">
        <v>29</v>
      </c>
      <c r="T670" s="1">
        <v>1</v>
      </c>
      <c r="U670" s="1">
        <v>1</v>
      </c>
    </row>
    <row r="671" spans="1:21" x14ac:dyDescent="0.25">
      <c r="A671" s="4">
        <v>44776</v>
      </c>
      <c r="B671" s="5">
        <v>0.42765046296296294</v>
      </c>
      <c r="C671" s="1">
        <v>1551</v>
      </c>
      <c r="D671" s="1">
        <v>13002595</v>
      </c>
      <c r="E671" s="1">
        <v>13</v>
      </c>
      <c r="F671" s="1">
        <v>22589</v>
      </c>
      <c r="G671" s="1" t="s">
        <v>18</v>
      </c>
      <c r="H671" s="1">
        <v>18</v>
      </c>
      <c r="I671" s="1">
        <v>6887</v>
      </c>
      <c r="J671" s="1" t="s">
        <v>730</v>
      </c>
      <c r="K671" s="1" t="s">
        <v>20</v>
      </c>
      <c r="L671" s="1" t="s">
        <v>731</v>
      </c>
      <c r="M671" s="1">
        <v>1</v>
      </c>
      <c r="N671" s="2">
        <v>266.05</v>
      </c>
      <c r="O671" s="3">
        <v>322</v>
      </c>
      <c r="P671" s="1">
        <v>16</v>
      </c>
      <c r="Q671" s="1">
        <v>9</v>
      </c>
      <c r="R671" s="1">
        <v>200010001798</v>
      </c>
      <c r="S671" s="1">
        <v>29</v>
      </c>
      <c r="T671" s="1">
        <v>1</v>
      </c>
      <c r="U671" s="1">
        <v>1</v>
      </c>
    </row>
    <row r="672" spans="1:21" x14ac:dyDescent="0.25">
      <c r="A672" s="4">
        <v>44776</v>
      </c>
      <c r="B672" s="5">
        <v>0.43148148148148147</v>
      </c>
      <c r="C672" s="1">
        <v>1552</v>
      </c>
      <c r="D672" s="1">
        <v>13002595</v>
      </c>
      <c r="E672" s="1">
        <v>13</v>
      </c>
      <c r="F672" s="1">
        <v>22589</v>
      </c>
      <c r="G672" s="1" t="s">
        <v>18</v>
      </c>
      <c r="H672" s="1">
        <v>15</v>
      </c>
      <c r="I672" s="1">
        <v>46244</v>
      </c>
      <c r="J672" s="1" t="s">
        <v>571</v>
      </c>
      <c r="K672" s="1" t="s">
        <v>249</v>
      </c>
      <c r="L672" s="1" t="s">
        <v>572</v>
      </c>
      <c r="M672" s="1">
        <v>2</v>
      </c>
      <c r="N672" s="2">
        <v>35.53</v>
      </c>
      <c r="O672" s="3">
        <v>58</v>
      </c>
      <c r="P672" s="1">
        <v>11</v>
      </c>
      <c r="Q672" s="1">
        <v>9</v>
      </c>
      <c r="R672" s="1">
        <v>200010019189</v>
      </c>
      <c r="S672" s="1">
        <v>29</v>
      </c>
      <c r="T672" s="1">
        <v>1</v>
      </c>
      <c r="U672" s="1">
        <v>1</v>
      </c>
    </row>
    <row r="673" spans="1:21" x14ac:dyDescent="0.25">
      <c r="A673" s="4">
        <v>44776</v>
      </c>
      <c r="B673" s="5">
        <v>0.43421296296296297</v>
      </c>
      <c r="C673" s="1">
        <v>1553</v>
      </c>
      <c r="D673" s="1">
        <v>13002595</v>
      </c>
      <c r="E673" s="1">
        <v>13</v>
      </c>
      <c r="F673" s="1">
        <v>22589</v>
      </c>
      <c r="G673" s="1" t="s">
        <v>18</v>
      </c>
      <c r="H673" s="1">
        <v>18</v>
      </c>
      <c r="I673" s="1">
        <v>348751</v>
      </c>
      <c r="J673" s="1" t="s">
        <v>732</v>
      </c>
      <c r="K673" s="1" t="s">
        <v>20</v>
      </c>
      <c r="L673" s="1" t="s">
        <v>134</v>
      </c>
      <c r="M673" s="1">
        <v>1</v>
      </c>
      <c r="N673" s="2">
        <v>304.82</v>
      </c>
      <c r="O673" s="3">
        <v>364</v>
      </c>
      <c r="P673" s="1">
        <v>0</v>
      </c>
      <c r="Q673" s="1" t="s">
        <v>22</v>
      </c>
      <c r="R673" s="1" t="s">
        <v>22</v>
      </c>
      <c r="S673" s="1">
        <v>29</v>
      </c>
      <c r="T673" s="1">
        <v>1</v>
      </c>
      <c r="U673" s="1">
        <v>1</v>
      </c>
    </row>
    <row r="674" spans="1:21" x14ac:dyDescent="0.25">
      <c r="A674" s="4">
        <v>44776</v>
      </c>
      <c r="B674" s="5">
        <v>0.43873842592592593</v>
      </c>
      <c r="C674" s="1">
        <v>1554</v>
      </c>
      <c r="D674" s="1">
        <v>13002595</v>
      </c>
      <c r="E674" s="1">
        <v>13</v>
      </c>
      <c r="F674" s="1">
        <v>22589</v>
      </c>
      <c r="G674" s="1" t="s">
        <v>18</v>
      </c>
      <c r="H674" s="1">
        <v>15</v>
      </c>
      <c r="I674" s="1">
        <v>33001</v>
      </c>
      <c r="J674" s="1" t="s">
        <v>375</v>
      </c>
      <c r="K674" s="1" t="s">
        <v>26</v>
      </c>
      <c r="L674" s="1" t="s">
        <v>266</v>
      </c>
      <c r="M674" s="1">
        <v>4</v>
      </c>
      <c r="N674" s="2">
        <v>2.08</v>
      </c>
      <c r="O674" s="3">
        <v>4</v>
      </c>
      <c r="P674" s="1">
        <v>1</v>
      </c>
      <c r="Q674" s="1">
        <v>9</v>
      </c>
      <c r="R674" s="1">
        <v>200010001632</v>
      </c>
      <c r="S674" s="1">
        <v>29</v>
      </c>
      <c r="T674" s="1">
        <v>1</v>
      </c>
      <c r="U674" s="1">
        <v>3</v>
      </c>
    </row>
    <row r="675" spans="1:21" x14ac:dyDescent="0.25">
      <c r="A675" s="4">
        <v>44776</v>
      </c>
      <c r="B675" s="5">
        <v>0.43873842592592593</v>
      </c>
      <c r="C675" s="1">
        <v>1554</v>
      </c>
      <c r="D675" s="1">
        <v>13002595</v>
      </c>
      <c r="E675" s="1">
        <v>13</v>
      </c>
      <c r="F675" s="1">
        <v>22589</v>
      </c>
      <c r="G675" s="1" t="s">
        <v>18</v>
      </c>
      <c r="H675" s="1">
        <v>15</v>
      </c>
      <c r="I675" s="1">
        <v>82897</v>
      </c>
      <c r="J675" s="1" t="s">
        <v>733</v>
      </c>
      <c r="K675" s="1" t="s">
        <v>31</v>
      </c>
      <c r="L675" s="1" t="s">
        <v>209</v>
      </c>
      <c r="M675" s="1">
        <v>1</v>
      </c>
      <c r="N675" s="2">
        <v>49.94</v>
      </c>
      <c r="O675" s="3">
        <v>81</v>
      </c>
      <c r="P675" s="1">
        <v>8</v>
      </c>
      <c r="Q675" s="1">
        <v>9</v>
      </c>
      <c r="R675" s="1">
        <v>200010001632</v>
      </c>
      <c r="S675" s="1">
        <v>29</v>
      </c>
      <c r="T675" s="1">
        <v>1</v>
      </c>
      <c r="U675" s="1">
        <v>2</v>
      </c>
    </row>
    <row r="676" spans="1:21" x14ac:dyDescent="0.25">
      <c r="A676" s="4">
        <v>44776</v>
      </c>
      <c r="B676" s="5">
        <v>0.43873842592592593</v>
      </c>
      <c r="C676" s="1">
        <v>1554</v>
      </c>
      <c r="D676" s="1">
        <v>13002595</v>
      </c>
      <c r="E676" s="1">
        <v>13</v>
      </c>
      <c r="F676" s="1">
        <v>22589</v>
      </c>
      <c r="G676" s="1" t="s">
        <v>18</v>
      </c>
      <c r="H676" s="1">
        <v>15</v>
      </c>
      <c r="I676" s="1">
        <v>82027</v>
      </c>
      <c r="J676" s="1" t="s">
        <v>734</v>
      </c>
      <c r="K676" s="1" t="s">
        <v>48</v>
      </c>
      <c r="L676" s="1" t="s">
        <v>347</v>
      </c>
      <c r="M676" s="1">
        <v>1</v>
      </c>
      <c r="N676" s="2">
        <v>42.24</v>
      </c>
      <c r="O676" s="3">
        <v>69</v>
      </c>
      <c r="P676" s="1">
        <v>6</v>
      </c>
      <c r="Q676" s="1">
        <v>9</v>
      </c>
      <c r="R676" s="1">
        <v>200010001632</v>
      </c>
      <c r="S676" s="1">
        <v>29</v>
      </c>
      <c r="T676" s="1">
        <v>1</v>
      </c>
      <c r="U676" s="1">
        <v>1</v>
      </c>
    </row>
    <row r="677" spans="1:21" x14ac:dyDescent="0.25">
      <c r="A677" s="4">
        <v>44776</v>
      </c>
      <c r="B677" s="5">
        <v>0.43873842592592593</v>
      </c>
      <c r="C677" s="1">
        <v>1554</v>
      </c>
      <c r="D677" s="1">
        <v>13002595</v>
      </c>
      <c r="E677" s="1">
        <v>13</v>
      </c>
      <c r="F677" s="1">
        <v>22589</v>
      </c>
      <c r="G677" s="1" t="s">
        <v>18</v>
      </c>
      <c r="H677" s="1">
        <v>15</v>
      </c>
      <c r="I677" s="1">
        <v>117949</v>
      </c>
      <c r="J677" s="1" t="s">
        <v>591</v>
      </c>
      <c r="K677" s="1" t="s">
        <v>138</v>
      </c>
      <c r="L677" s="1" t="s">
        <v>94</v>
      </c>
      <c r="M677" s="1">
        <v>2</v>
      </c>
      <c r="N677" s="2">
        <v>10.02</v>
      </c>
      <c r="O677" s="3">
        <v>17</v>
      </c>
      <c r="P677" s="1">
        <v>3</v>
      </c>
      <c r="Q677" s="1">
        <v>9</v>
      </c>
      <c r="R677" s="1">
        <v>200010001632</v>
      </c>
      <c r="S677" s="1">
        <v>29</v>
      </c>
      <c r="T677" s="1">
        <v>1</v>
      </c>
      <c r="U677" s="1">
        <v>5</v>
      </c>
    </row>
    <row r="678" spans="1:21" x14ac:dyDescent="0.25">
      <c r="A678" s="4">
        <v>44776</v>
      </c>
      <c r="B678" s="5">
        <v>0.43873842592592593</v>
      </c>
      <c r="C678" s="1">
        <v>1554</v>
      </c>
      <c r="D678" s="1">
        <v>13002595</v>
      </c>
      <c r="E678" s="1">
        <v>13</v>
      </c>
      <c r="F678" s="1">
        <v>22589</v>
      </c>
      <c r="G678" s="1" t="s">
        <v>18</v>
      </c>
      <c r="H678" s="1">
        <v>15</v>
      </c>
      <c r="I678" s="1">
        <v>308676</v>
      </c>
      <c r="J678" s="1" t="s">
        <v>735</v>
      </c>
      <c r="K678" s="1" t="s">
        <v>48</v>
      </c>
      <c r="L678" s="1" t="s">
        <v>736</v>
      </c>
      <c r="M678" s="1">
        <v>2</v>
      </c>
      <c r="N678" s="2">
        <v>90.95</v>
      </c>
      <c r="O678" s="3">
        <v>143</v>
      </c>
      <c r="P678" s="1">
        <v>28</v>
      </c>
      <c r="Q678" s="1">
        <v>9</v>
      </c>
      <c r="R678" s="1">
        <v>200010001632</v>
      </c>
      <c r="S678" s="1">
        <v>29</v>
      </c>
      <c r="T678" s="1">
        <v>1</v>
      </c>
      <c r="U678" s="1">
        <v>4</v>
      </c>
    </row>
    <row r="679" spans="1:21" x14ac:dyDescent="0.25">
      <c r="A679" s="4">
        <v>44776</v>
      </c>
      <c r="B679" s="5">
        <v>0.43943287037037038</v>
      </c>
      <c r="C679" s="1">
        <v>1555</v>
      </c>
      <c r="D679" s="1">
        <v>13002595</v>
      </c>
      <c r="E679" s="1">
        <v>13</v>
      </c>
      <c r="F679" s="1">
        <v>22589</v>
      </c>
      <c r="G679" s="1" t="s">
        <v>18</v>
      </c>
      <c r="H679" s="1">
        <v>15</v>
      </c>
      <c r="I679" s="1">
        <v>76203</v>
      </c>
      <c r="J679" s="1" t="s">
        <v>737</v>
      </c>
      <c r="K679" s="1" t="s">
        <v>20</v>
      </c>
      <c r="L679" s="1" t="s">
        <v>245</v>
      </c>
      <c r="M679" s="1">
        <v>1</v>
      </c>
      <c r="N679" s="2">
        <v>52.01</v>
      </c>
      <c r="O679" s="3">
        <v>64</v>
      </c>
      <c r="P679" s="1">
        <v>3</v>
      </c>
      <c r="Q679" s="1">
        <v>9</v>
      </c>
      <c r="R679" s="1">
        <v>200010013453</v>
      </c>
      <c r="S679" s="1">
        <v>29</v>
      </c>
      <c r="T679" s="1">
        <v>1</v>
      </c>
      <c r="U679" s="1">
        <v>1</v>
      </c>
    </row>
    <row r="680" spans="1:21" x14ac:dyDescent="0.25">
      <c r="A680" s="4">
        <v>44776</v>
      </c>
      <c r="B680" s="5">
        <v>0.43943287037037038</v>
      </c>
      <c r="C680" s="1">
        <v>1555</v>
      </c>
      <c r="D680" s="1">
        <v>13002595</v>
      </c>
      <c r="E680" s="1">
        <v>13</v>
      </c>
      <c r="F680" s="1">
        <v>22589</v>
      </c>
      <c r="G680" s="1" t="s">
        <v>18</v>
      </c>
      <c r="H680" s="1">
        <v>15</v>
      </c>
      <c r="I680" s="1">
        <v>2302</v>
      </c>
      <c r="J680" s="1" t="s">
        <v>78</v>
      </c>
      <c r="K680" s="1" t="s">
        <v>58</v>
      </c>
      <c r="L680" s="1" t="s">
        <v>79</v>
      </c>
      <c r="M680" s="1">
        <v>1</v>
      </c>
      <c r="N680" s="2">
        <v>148.28</v>
      </c>
      <c r="O680" s="3">
        <v>174</v>
      </c>
      <c r="P680" s="1">
        <v>8</v>
      </c>
      <c r="Q680" s="1">
        <v>9</v>
      </c>
      <c r="R680" s="1">
        <v>200010013453</v>
      </c>
      <c r="S680" s="1">
        <v>29</v>
      </c>
      <c r="T680" s="1">
        <v>1</v>
      </c>
      <c r="U680" s="1">
        <v>2</v>
      </c>
    </row>
    <row r="681" spans="1:21" x14ac:dyDescent="0.25">
      <c r="A681" s="4">
        <v>44776</v>
      </c>
      <c r="B681" s="5">
        <v>0.44114583333333335</v>
      </c>
      <c r="C681" s="1">
        <v>1556</v>
      </c>
      <c r="D681" s="1">
        <v>13002595</v>
      </c>
      <c r="E681" s="1">
        <v>13</v>
      </c>
      <c r="F681" s="1">
        <v>22589</v>
      </c>
      <c r="G681" s="1" t="s">
        <v>18</v>
      </c>
      <c r="H681" s="1">
        <v>15</v>
      </c>
      <c r="I681" s="1">
        <v>858</v>
      </c>
      <c r="J681" s="1" t="s">
        <v>738</v>
      </c>
      <c r="K681" s="1" t="s">
        <v>48</v>
      </c>
      <c r="L681" s="1" t="s">
        <v>739</v>
      </c>
      <c r="M681" s="1">
        <v>1</v>
      </c>
      <c r="N681" s="2">
        <v>35.78</v>
      </c>
      <c r="O681" s="3">
        <v>45</v>
      </c>
      <c r="P681" s="1">
        <v>2</v>
      </c>
      <c r="Q681" s="1">
        <v>9</v>
      </c>
      <c r="R681" s="1">
        <v>200010004807</v>
      </c>
      <c r="S681" s="1">
        <v>29</v>
      </c>
      <c r="T681" s="1">
        <v>1</v>
      </c>
      <c r="U681" s="1">
        <v>2</v>
      </c>
    </row>
    <row r="682" spans="1:21" x14ac:dyDescent="0.25">
      <c r="A682" s="4">
        <v>44776</v>
      </c>
      <c r="B682" s="5">
        <v>0.44114583333333335</v>
      </c>
      <c r="C682" s="1">
        <v>1556</v>
      </c>
      <c r="D682" s="1">
        <v>13002595</v>
      </c>
      <c r="E682" s="1">
        <v>13</v>
      </c>
      <c r="F682" s="1">
        <v>22589</v>
      </c>
      <c r="G682" s="1" t="s">
        <v>18</v>
      </c>
      <c r="H682" s="1">
        <v>15</v>
      </c>
      <c r="I682" s="1">
        <v>13574</v>
      </c>
      <c r="J682" s="1" t="s">
        <v>413</v>
      </c>
      <c r="K682" s="1" t="s">
        <v>26</v>
      </c>
      <c r="L682" s="1" t="s">
        <v>740</v>
      </c>
      <c r="M682" s="1">
        <v>1</v>
      </c>
      <c r="N682" s="2">
        <v>914.38</v>
      </c>
      <c r="O682" s="3">
        <v>1180</v>
      </c>
      <c r="P682" s="1">
        <v>82</v>
      </c>
      <c r="Q682" s="1">
        <v>9</v>
      </c>
      <c r="R682" s="1">
        <v>200010004807</v>
      </c>
      <c r="S682" s="1">
        <v>29</v>
      </c>
      <c r="T682" s="1">
        <v>1</v>
      </c>
      <c r="U682" s="1">
        <v>1</v>
      </c>
    </row>
    <row r="683" spans="1:21" x14ac:dyDescent="0.25">
      <c r="A683" s="4">
        <v>44776</v>
      </c>
      <c r="B683" s="5">
        <v>0.44354166666666667</v>
      </c>
      <c r="C683" s="1">
        <v>1557</v>
      </c>
      <c r="D683" s="1">
        <v>13002595</v>
      </c>
      <c r="E683" s="1">
        <v>13</v>
      </c>
      <c r="F683" s="1">
        <v>22589</v>
      </c>
      <c r="G683" s="1" t="s">
        <v>18</v>
      </c>
      <c r="H683" s="1">
        <v>15</v>
      </c>
      <c r="I683" s="1">
        <v>339757</v>
      </c>
      <c r="J683" s="1" t="s">
        <v>741</v>
      </c>
      <c r="K683" s="1" t="s">
        <v>48</v>
      </c>
      <c r="L683" s="1" t="s">
        <v>215</v>
      </c>
      <c r="M683" s="1">
        <v>1</v>
      </c>
      <c r="N683" s="2">
        <v>29.93</v>
      </c>
      <c r="O683" s="3">
        <v>38</v>
      </c>
      <c r="P683" s="1">
        <v>1</v>
      </c>
      <c r="Q683" s="1">
        <v>9</v>
      </c>
      <c r="R683" s="1">
        <v>200010020276</v>
      </c>
      <c r="S683" s="1">
        <v>29</v>
      </c>
      <c r="T683" s="1">
        <v>1</v>
      </c>
      <c r="U683" s="1">
        <v>3</v>
      </c>
    </row>
    <row r="684" spans="1:21" x14ac:dyDescent="0.25">
      <c r="A684" s="4">
        <v>44776</v>
      </c>
      <c r="B684" s="5">
        <v>0.44354166666666667</v>
      </c>
      <c r="C684" s="1">
        <v>1557</v>
      </c>
      <c r="D684" s="1">
        <v>13002595</v>
      </c>
      <c r="E684" s="1">
        <v>13</v>
      </c>
      <c r="F684" s="1">
        <v>22589</v>
      </c>
      <c r="G684" s="1" t="s">
        <v>18</v>
      </c>
      <c r="H684" s="1">
        <v>15</v>
      </c>
      <c r="I684" s="1">
        <v>339757</v>
      </c>
      <c r="J684" s="1" t="s">
        <v>741</v>
      </c>
      <c r="K684" s="1" t="s">
        <v>48</v>
      </c>
      <c r="L684" s="1" t="s">
        <v>215</v>
      </c>
      <c r="M684" s="1">
        <v>1</v>
      </c>
      <c r="N684" s="2">
        <v>29.93</v>
      </c>
      <c r="O684" s="3">
        <v>38</v>
      </c>
      <c r="P684" s="1">
        <v>1</v>
      </c>
      <c r="Q684" s="1">
        <v>9</v>
      </c>
      <c r="R684" s="1">
        <v>200010020276</v>
      </c>
      <c r="S684" s="1">
        <v>29</v>
      </c>
      <c r="T684" s="1">
        <v>1</v>
      </c>
      <c r="U684" s="1">
        <v>4</v>
      </c>
    </row>
    <row r="685" spans="1:21" x14ac:dyDescent="0.25">
      <c r="A685" s="4">
        <v>44776</v>
      </c>
      <c r="B685" s="5">
        <v>0.44354166666666667</v>
      </c>
      <c r="C685" s="1">
        <v>1557</v>
      </c>
      <c r="D685" s="1">
        <v>13002595</v>
      </c>
      <c r="E685" s="1">
        <v>13</v>
      </c>
      <c r="F685" s="1">
        <v>22589</v>
      </c>
      <c r="G685" s="1" t="s">
        <v>18</v>
      </c>
      <c r="H685" s="1">
        <v>15</v>
      </c>
      <c r="I685" s="1">
        <v>339757</v>
      </c>
      <c r="J685" s="1" t="s">
        <v>741</v>
      </c>
      <c r="K685" s="1" t="s">
        <v>48</v>
      </c>
      <c r="L685" s="1" t="s">
        <v>215</v>
      </c>
      <c r="M685" s="1">
        <v>1</v>
      </c>
      <c r="N685" s="2">
        <v>29.93</v>
      </c>
      <c r="O685" s="3">
        <v>38</v>
      </c>
      <c r="P685" s="1">
        <v>1</v>
      </c>
      <c r="Q685" s="1">
        <v>9</v>
      </c>
      <c r="R685" s="1">
        <v>200010020276</v>
      </c>
      <c r="S685" s="1">
        <v>29</v>
      </c>
      <c r="T685" s="1">
        <v>1</v>
      </c>
      <c r="U685" s="1">
        <v>5</v>
      </c>
    </row>
    <row r="686" spans="1:21" x14ac:dyDescent="0.25">
      <c r="A686" s="4">
        <v>44776</v>
      </c>
      <c r="B686" s="5">
        <v>0.44354166666666667</v>
      </c>
      <c r="C686" s="1">
        <v>1557</v>
      </c>
      <c r="D686" s="1">
        <v>13002595</v>
      </c>
      <c r="E686" s="1">
        <v>13</v>
      </c>
      <c r="F686" s="1">
        <v>22589</v>
      </c>
      <c r="G686" s="1" t="s">
        <v>18</v>
      </c>
      <c r="H686" s="1">
        <v>15</v>
      </c>
      <c r="I686" s="1">
        <v>339757</v>
      </c>
      <c r="J686" s="1" t="s">
        <v>741</v>
      </c>
      <c r="K686" s="1" t="s">
        <v>48</v>
      </c>
      <c r="L686" s="1" t="s">
        <v>215</v>
      </c>
      <c r="M686" s="1">
        <v>1</v>
      </c>
      <c r="N686" s="2">
        <v>29.93</v>
      </c>
      <c r="O686" s="3">
        <v>38</v>
      </c>
      <c r="P686" s="1">
        <v>1</v>
      </c>
      <c r="Q686" s="1">
        <v>9</v>
      </c>
      <c r="R686" s="1">
        <v>200010020276</v>
      </c>
      <c r="S686" s="1">
        <v>29</v>
      </c>
      <c r="T686" s="1">
        <v>1</v>
      </c>
      <c r="U686" s="1">
        <v>6</v>
      </c>
    </row>
    <row r="687" spans="1:21" x14ac:dyDescent="0.25">
      <c r="A687" s="4">
        <v>44776</v>
      </c>
      <c r="B687" s="5">
        <v>0.44354166666666667</v>
      </c>
      <c r="C687" s="1">
        <v>1557</v>
      </c>
      <c r="D687" s="1">
        <v>13002595</v>
      </c>
      <c r="E687" s="1">
        <v>13</v>
      </c>
      <c r="F687" s="1">
        <v>22589</v>
      </c>
      <c r="G687" s="1" t="s">
        <v>18</v>
      </c>
      <c r="H687" s="1">
        <v>15</v>
      </c>
      <c r="I687" s="1">
        <v>339757</v>
      </c>
      <c r="J687" s="1" t="s">
        <v>741</v>
      </c>
      <c r="K687" s="1" t="s">
        <v>48</v>
      </c>
      <c r="L687" s="1" t="s">
        <v>215</v>
      </c>
      <c r="M687" s="1">
        <v>1</v>
      </c>
      <c r="N687" s="2">
        <v>29.93</v>
      </c>
      <c r="O687" s="3">
        <v>38</v>
      </c>
      <c r="P687" s="1">
        <v>1</v>
      </c>
      <c r="Q687" s="1">
        <v>9</v>
      </c>
      <c r="R687" s="1">
        <v>200010020276</v>
      </c>
      <c r="S687" s="1">
        <v>29</v>
      </c>
      <c r="T687" s="1">
        <v>1</v>
      </c>
      <c r="U687" s="1">
        <v>7</v>
      </c>
    </row>
    <row r="688" spans="1:21" x14ac:dyDescent="0.25">
      <c r="A688" s="4">
        <v>44776</v>
      </c>
      <c r="B688" s="5">
        <v>0.44354166666666667</v>
      </c>
      <c r="C688" s="1">
        <v>1557</v>
      </c>
      <c r="D688" s="1">
        <v>13002595</v>
      </c>
      <c r="E688" s="1">
        <v>13</v>
      </c>
      <c r="F688" s="1">
        <v>22589</v>
      </c>
      <c r="G688" s="1" t="s">
        <v>18</v>
      </c>
      <c r="H688" s="1">
        <v>15</v>
      </c>
      <c r="I688" s="1">
        <v>339757</v>
      </c>
      <c r="J688" s="1" t="s">
        <v>741</v>
      </c>
      <c r="K688" s="1" t="s">
        <v>48</v>
      </c>
      <c r="L688" s="1" t="s">
        <v>215</v>
      </c>
      <c r="M688" s="1">
        <v>1</v>
      </c>
      <c r="N688" s="2">
        <v>29.93</v>
      </c>
      <c r="O688" s="3">
        <v>38</v>
      </c>
      <c r="P688" s="1">
        <v>1</v>
      </c>
      <c r="Q688" s="1">
        <v>9</v>
      </c>
      <c r="R688" s="1">
        <v>200010020276</v>
      </c>
      <c r="S688" s="1">
        <v>29</v>
      </c>
      <c r="T688" s="1">
        <v>1</v>
      </c>
      <c r="U688" s="1">
        <v>8</v>
      </c>
    </row>
    <row r="689" spans="1:21" x14ac:dyDescent="0.25">
      <c r="A689" s="4">
        <v>44776</v>
      </c>
      <c r="B689" s="5">
        <v>0.44354166666666667</v>
      </c>
      <c r="C689" s="1">
        <v>1557</v>
      </c>
      <c r="D689" s="1">
        <v>13002595</v>
      </c>
      <c r="E689" s="1">
        <v>13</v>
      </c>
      <c r="F689" s="1">
        <v>22589</v>
      </c>
      <c r="G689" s="1" t="s">
        <v>18</v>
      </c>
      <c r="H689" s="1">
        <v>15</v>
      </c>
      <c r="I689" s="1">
        <v>339757</v>
      </c>
      <c r="J689" s="1" t="s">
        <v>741</v>
      </c>
      <c r="K689" s="1" t="s">
        <v>48</v>
      </c>
      <c r="L689" s="1" t="s">
        <v>215</v>
      </c>
      <c r="M689" s="1">
        <v>1</v>
      </c>
      <c r="N689" s="2">
        <v>29.93</v>
      </c>
      <c r="O689" s="3">
        <v>38</v>
      </c>
      <c r="P689" s="1">
        <v>1</v>
      </c>
      <c r="Q689" s="1">
        <v>9</v>
      </c>
      <c r="R689" s="1">
        <v>200010020276</v>
      </c>
      <c r="S689" s="1">
        <v>29</v>
      </c>
      <c r="T689" s="1">
        <v>1</v>
      </c>
      <c r="U689" s="1">
        <v>9</v>
      </c>
    </row>
    <row r="690" spans="1:21" x14ac:dyDescent="0.25">
      <c r="A690" s="4">
        <v>44776</v>
      </c>
      <c r="B690" s="5">
        <v>0.44354166666666667</v>
      </c>
      <c r="C690" s="1">
        <v>1557</v>
      </c>
      <c r="D690" s="1">
        <v>13002595</v>
      </c>
      <c r="E690" s="1">
        <v>13</v>
      </c>
      <c r="F690" s="1">
        <v>22589</v>
      </c>
      <c r="G690" s="1" t="s">
        <v>18</v>
      </c>
      <c r="H690" s="1">
        <v>15</v>
      </c>
      <c r="I690" s="1">
        <v>339757</v>
      </c>
      <c r="J690" s="1" t="s">
        <v>741</v>
      </c>
      <c r="K690" s="1" t="s">
        <v>48</v>
      </c>
      <c r="L690" s="1" t="s">
        <v>215</v>
      </c>
      <c r="M690" s="1">
        <v>1</v>
      </c>
      <c r="N690" s="2">
        <v>29.93</v>
      </c>
      <c r="O690" s="3">
        <v>38</v>
      </c>
      <c r="P690" s="1">
        <v>1</v>
      </c>
      <c r="Q690" s="1">
        <v>9</v>
      </c>
      <c r="R690" s="1">
        <v>200010020276</v>
      </c>
      <c r="S690" s="1">
        <v>29</v>
      </c>
      <c r="T690" s="1">
        <v>1</v>
      </c>
      <c r="U690" s="1">
        <v>10</v>
      </c>
    </row>
    <row r="691" spans="1:21" x14ac:dyDescent="0.25">
      <c r="A691" s="4">
        <v>44776</v>
      </c>
      <c r="B691" s="5">
        <v>0.44354166666666667</v>
      </c>
      <c r="C691" s="1">
        <v>1557</v>
      </c>
      <c r="D691" s="1">
        <v>13002595</v>
      </c>
      <c r="E691" s="1">
        <v>13</v>
      </c>
      <c r="F691" s="1">
        <v>22589</v>
      </c>
      <c r="G691" s="1" t="s">
        <v>18</v>
      </c>
      <c r="H691" s="1">
        <v>15</v>
      </c>
      <c r="I691" s="1">
        <v>339757</v>
      </c>
      <c r="J691" s="1" t="s">
        <v>741</v>
      </c>
      <c r="K691" s="1" t="s">
        <v>48</v>
      </c>
      <c r="L691" s="1" t="s">
        <v>215</v>
      </c>
      <c r="M691" s="1">
        <v>1</v>
      </c>
      <c r="N691" s="2">
        <v>29.93</v>
      </c>
      <c r="O691" s="3">
        <v>38</v>
      </c>
      <c r="P691" s="1">
        <v>1</v>
      </c>
      <c r="Q691" s="1">
        <v>9</v>
      </c>
      <c r="R691" s="1">
        <v>200010020276</v>
      </c>
      <c r="S691" s="1">
        <v>29</v>
      </c>
      <c r="T691" s="1">
        <v>1</v>
      </c>
      <c r="U691" s="1">
        <v>11</v>
      </c>
    </row>
    <row r="692" spans="1:21" x14ac:dyDescent="0.25">
      <c r="A692" s="4">
        <v>44776</v>
      </c>
      <c r="B692" s="5">
        <v>0.44354166666666667</v>
      </c>
      <c r="C692" s="1">
        <v>1557</v>
      </c>
      <c r="D692" s="1">
        <v>13002595</v>
      </c>
      <c r="E692" s="1">
        <v>13</v>
      </c>
      <c r="F692" s="1">
        <v>22589</v>
      </c>
      <c r="G692" s="1" t="s">
        <v>18</v>
      </c>
      <c r="H692" s="1">
        <v>15</v>
      </c>
      <c r="I692" s="1">
        <v>344752</v>
      </c>
      <c r="J692" s="1" t="s">
        <v>742</v>
      </c>
      <c r="K692" s="1" t="s">
        <v>61</v>
      </c>
      <c r="L692" s="1" t="s">
        <v>743</v>
      </c>
      <c r="M692" s="1">
        <v>1</v>
      </c>
      <c r="N692" s="2">
        <v>40.880000000000003</v>
      </c>
      <c r="O692" s="3">
        <v>66</v>
      </c>
      <c r="P692" s="1">
        <v>3</v>
      </c>
      <c r="Q692" s="1">
        <v>9</v>
      </c>
      <c r="R692" s="1">
        <v>200010020276</v>
      </c>
      <c r="S692" s="1">
        <v>29</v>
      </c>
      <c r="T692" s="1">
        <v>1</v>
      </c>
      <c r="U692" s="1">
        <v>1</v>
      </c>
    </row>
    <row r="693" spans="1:21" x14ac:dyDescent="0.25">
      <c r="A693" s="4">
        <v>44776</v>
      </c>
      <c r="B693" s="5">
        <v>0.48781249999999998</v>
      </c>
      <c r="C693" s="1">
        <v>1570</v>
      </c>
      <c r="D693" s="1">
        <v>13002595</v>
      </c>
      <c r="E693" s="1">
        <v>13</v>
      </c>
      <c r="F693" s="1">
        <v>22589</v>
      </c>
      <c r="G693" s="1" t="s">
        <v>18</v>
      </c>
      <c r="H693" s="1">
        <v>18</v>
      </c>
      <c r="I693" s="1">
        <v>344752</v>
      </c>
      <c r="J693" s="1" t="s">
        <v>742</v>
      </c>
      <c r="K693" s="1" t="s">
        <v>61</v>
      </c>
      <c r="L693" s="1" t="s">
        <v>743</v>
      </c>
      <c r="M693" s="1">
        <v>1</v>
      </c>
      <c r="N693" s="2">
        <v>40.880000000000003</v>
      </c>
      <c r="O693" s="3">
        <v>66</v>
      </c>
      <c r="P693" s="1">
        <v>3</v>
      </c>
      <c r="Q693" s="1">
        <v>9</v>
      </c>
      <c r="R693" s="1">
        <v>200010026823</v>
      </c>
      <c r="S693" s="1">
        <v>29</v>
      </c>
      <c r="T693" s="1">
        <v>1</v>
      </c>
      <c r="U693" s="1">
        <v>2</v>
      </c>
    </row>
    <row r="694" spans="1:21" x14ac:dyDescent="0.25">
      <c r="A694" s="4">
        <v>44776</v>
      </c>
      <c r="B694" s="5">
        <v>0.48781249999999998</v>
      </c>
      <c r="C694" s="1">
        <v>1570</v>
      </c>
      <c r="D694" s="1">
        <v>13002595</v>
      </c>
      <c r="E694" s="1">
        <v>13</v>
      </c>
      <c r="F694" s="1">
        <v>22589</v>
      </c>
      <c r="G694" s="1" t="s">
        <v>18</v>
      </c>
      <c r="H694" s="1">
        <v>18</v>
      </c>
      <c r="I694" s="1">
        <v>344752</v>
      </c>
      <c r="J694" s="1" t="s">
        <v>742</v>
      </c>
      <c r="K694" s="1" t="s">
        <v>61</v>
      </c>
      <c r="L694" s="1" t="s">
        <v>743</v>
      </c>
      <c r="M694" s="1">
        <v>1</v>
      </c>
      <c r="N694" s="2">
        <v>40.880000000000003</v>
      </c>
      <c r="O694" s="3">
        <v>66</v>
      </c>
      <c r="P694" s="1">
        <v>3</v>
      </c>
      <c r="Q694" s="1">
        <v>9</v>
      </c>
      <c r="R694" s="1">
        <v>200010026823</v>
      </c>
      <c r="S694" s="1">
        <v>29</v>
      </c>
      <c r="T694" s="1">
        <v>1</v>
      </c>
      <c r="U694" s="1">
        <v>3</v>
      </c>
    </row>
    <row r="695" spans="1:21" x14ac:dyDescent="0.25">
      <c r="A695" s="4">
        <v>44776</v>
      </c>
      <c r="B695" s="5">
        <v>0.60665509259259254</v>
      </c>
      <c r="C695" s="1">
        <v>1609</v>
      </c>
      <c r="D695" s="1">
        <v>13002595</v>
      </c>
      <c r="E695" s="1">
        <v>13</v>
      </c>
      <c r="F695" s="1">
        <v>22589</v>
      </c>
      <c r="G695" s="1" t="s">
        <v>18</v>
      </c>
      <c r="H695" s="1">
        <v>18</v>
      </c>
      <c r="I695" s="1">
        <v>344752</v>
      </c>
      <c r="J695" s="1" t="s">
        <v>742</v>
      </c>
      <c r="K695" s="1" t="s">
        <v>61</v>
      </c>
      <c r="L695" s="1" t="s">
        <v>743</v>
      </c>
      <c r="M695" s="1">
        <v>1</v>
      </c>
      <c r="N695" s="2">
        <v>40.880000000000003</v>
      </c>
      <c r="O695" s="3">
        <v>66</v>
      </c>
      <c r="P695" s="1">
        <v>0</v>
      </c>
      <c r="Q695" s="1" t="s">
        <v>22</v>
      </c>
      <c r="R695" s="1" t="s">
        <v>22</v>
      </c>
      <c r="S695" s="1">
        <v>29</v>
      </c>
      <c r="T695" s="1">
        <v>1</v>
      </c>
      <c r="U695" s="1">
        <v>2</v>
      </c>
    </row>
    <row r="696" spans="1:21" x14ac:dyDescent="0.25">
      <c r="A696" s="4">
        <v>44776</v>
      </c>
      <c r="B696" s="5">
        <v>0.44538194444444446</v>
      </c>
      <c r="C696" s="1">
        <v>1558</v>
      </c>
      <c r="D696" s="1">
        <v>13002595</v>
      </c>
      <c r="E696" s="1">
        <v>13</v>
      </c>
      <c r="F696" s="1">
        <v>22589</v>
      </c>
      <c r="G696" s="1" t="s">
        <v>18</v>
      </c>
      <c r="H696" s="1">
        <v>18</v>
      </c>
      <c r="I696" s="1">
        <v>641</v>
      </c>
      <c r="J696" s="1" t="s">
        <v>744</v>
      </c>
      <c r="K696" s="1" t="s">
        <v>48</v>
      </c>
      <c r="L696" s="1" t="s">
        <v>528</v>
      </c>
      <c r="M696" s="1">
        <v>1</v>
      </c>
      <c r="N696" s="2">
        <v>357.99</v>
      </c>
      <c r="O696" s="3">
        <v>473</v>
      </c>
      <c r="P696" s="1">
        <v>33</v>
      </c>
      <c r="Q696" s="1">
        <v>9</v>
      </c>
      <c r="R696" s="1">
        <v>200010007499</v>
      </c>
      <c r="S696" s="1">
        <v>29</v>
      </c>
      <c r="T696" s="1">
        <v>1</v>
      </c>
      <c r="U696" s="1">
        <v>1</v>
      </c>
    </row>
    <row r="697" spans="1:21" x14ac:dyDescent="0.25">
      <c r="A697" s="4">
        <v>44776</v>
      </c>
      <c r="B697" s="5">
        <v>0.44743055555555555</v>
      </c>
      <c r="C697" s="1">
        <v>1559</v>
      </c>
      <c r="D697" s="1">
        <v>13002595</v>
      </c>
      <c r="E697" s="1">
        <v>13</v>
      </c>
      <c r="F697" s="1">
        <v>22589</v>
      </c>
      <c r="G697" s="1" t="s">
        <v>18</v>
      </c>
      <c r="H697" s="1">
        <v>15</v>
      </c>
      <c r="I697" s="1">
        <v>82067</v>
      </c>
      <c r="J697" s="1" t="s">
        <v>745</v>
      </c>
      <c r="K697" s="1" t="s">
        <v>48</v>
      </c>
      <c r="L697" s="1" t="s">
        <v>172</v>
      </c>
      <c r="M697" s="1">
        <v>1</v>
      </c>
      <c r="N697" s="2">
        <v>31.24</v>
      </c>
      <c r="O697" s="3">
        <v>39</v>
      </c>
      <c r="P697" s="1">
        <v>0</v>
      </c>
      <c r="Q697" s="1" t="s">
        <v>22</v>
      </c>
      <c r="R697" s="1" t="s">
        <v>22</v>
      </c>
      <c r="S697" s="1">
        <v>29</v>
      </c>
      <c r="T697" s="1">
        <v>1</v>
      </c>
      <c r="U697" s="1">
        <v>1</v>
      </c>
    </row>
    <row r="698" spans="1:21" x14ac:dyDescent="0.25">
      <c r="A698" s="4">
        <v>44776</v>
      </c>
      <c r="B698" s="5">
        <v>0.44743055555555555</v>
      </c>
      <c r="C698" s="1">
        <v>1559</v>
      </c>
      <c r="D698" s="1">
        <v>13002595</v>
      </c>
      <c r="E698" s="1">
        <v>13</v>
      </c>
      <c r="F698" s="1">
        <v>22589</v>
      </c>
      <c r="G698" s="1" t="s">
        <v>18</v>
      </c>
      <c r="H698" s="1">
        <v>15</v>
      </c>
      <c r="I698" s="1">
        <v>101391</v>
      </c>
      <c r="J698" s="1" t="s">
        <v>746</v>
      </c>
      <c r="K698" s="1" t="s">
        <v>26</v>
      </c>
      <c r="L698" s="1" t="s">
        <v>747</v>
      </c>
      <c r="M698" s="1">
        <v>1</v>
      </c>
      <c r="N698" s="2">
        <v>190.49</v>
      </c>
      <c r="O698" s="3">
        <v>261</v>
      </c>
      <c r="P698" s="1">
        <v>0</v>
      </c>
      <c r="Q698" s="1" t="s">
        <v>22</v>
      </c>
      <c r="R698" s="1" t="s">
        <v>22</v>
      </c>
      <c r="S698" s="1">
        <v>29</v>
      </c>
      <c r="T698" s="1">
        <v>1</v>
      </c>
      <c r="U698" s="1">
        <v>2</v>
      </c>
    </row>
    <row r="699" spans="1:21" x14ac:dyDescent="0.25">
      <c r="A699" s="4">
        <v>44776</v>
      </c>
      <c r="B699" s="5">
        <v>0.45534722222222224</v>
      </c>
      <c r="C699" s="1">
        <v>1560</v>
      </c>
      <c r="D699" s="1">
        <v>13002595</v>
      </c>
      <c r="E699" s="1">
        <v>13</v>
      </c>
      <c r="F699" s="1">
        <v>22589</v>
      </c>
      <c r="G699" s="1" t="s">
        <v>18</v>
      </c>
      <c r="H699" s="1">
        <v>15</v>
      </c>
      <c r="I699" s="1">
        <v>418134</v>
      </c>
      <c r="J699" s="1" t="s">
        <v>415</v>
      </c>
      <c r="K699" s="1" t="s">
        <v>48</v>
      </c>
      <c r="L699" s="1" t="s">
        <v>73</v>
      </c>
      <c r="M699" s="1">
        <v>1</v>
      </c>
      <c r="N699" s="2">
        <v>30.25</v>
      </c>
      <c r="O699" s="3">
        <v>35</v>
      </c>
      <c r="P699" s="1">
        <v>2</v>
      </c>
      <c r="Q699" s="1">
        <v>9</v>
      </c>
      <c r="R699" s="1">
        <v>200010006106</v>
      </c>
      <c r="S699" s="1">
        <v>29</v>
      </c>
      <c r="T699" s="1">
        <v>1</v>
      </c>
      <c r="U699" s="1">
        <v>1</v>
      </c>
    </row>
    <row r="700" spans="1:21" x14ac:dyDescent="0.25">
      <c r="A700" s="4">
        <v>44776</v>
      </c>
      <c r="B700" s="5">
        <v>0.45534722222222224</v>
      </c>
      <c r="C700" s="1">
        <v>1560</v>
      </c>
      <c r="D700" s="1">
        <v>13002595</v>
      </c>
      <c r="E700" s="1">
        <v>13</v>
      </c>
      <c r="F700" s="1">
        <v>22589</v>
      </c>
      <c r="G700" s="1" t="s">
        <v>18</v>
      </c>
      <c r="H700" s="1">
        <v>15</v>
      </c>
      <c r="I700" s="1">
        <v>418134</v>
      </c>
      <c r="J700" s="1" t="s">
        <v>415</v>
      </c>
      <c r="K700" s="1" t="s">
        <v>26</v>
      </c>
      <c r="L700" s="1" t="s">
        <v>332</v>
      </c>
      <c r="M700" s="1">
        <v>1</v>
      </c>
      <c r="N700" s="2">
        <v>30.54</v>
      </c>
      <c r="O700" s="3">
        <v>36</v>
      </c>
      <c r="P700" s="1">
        <v>2</v>
      </c>
      <c r="Q700" s="1">
        <v>9</v>
      </c>
      <c r="R700" s="1">
        <v>200010006106</v>
      </c>
      <c r="S700" s="1">
        <v>29</v>
      </c>
      <c r="T700" s="1">
        <v>1</v>
      </c>
      <c r="U700" s="1">
        <v>2</v>
      </c>
    </row>
    <row r="701" spans="1:21" x14ac:dyDescent="0.25">
      <c r="A701" s="4">
        <v>44776</v>
      </c>
      <c r="B701" s="5">
        <v>0.52491898148148153</v>
      </c>
      <c r="C701" s="1">
        <v>1584</v>
      </c>
      <c r="D701" s="1">
        <v>13002595</v>
      </c>
      <c r="E701" s="1">
        <v>13</v>
      </c>
      <c r="F701" s="1">
        <v>22589</v>
      </c>
      <c r="G701" s="1" t="s">
        <v>18</v>
      </c>
      <c r="H701" s="1">
        <v>15</v>
      </c>
      <c r="I701" s="1">
        <v>418134</v>
      </c>
      <c r="J701" s="1" t="s">
        <v>415</v>
      </c>
      <c r="K701" s="1" t="s">
        <v>26</v>
      </c>
      <c r="L701" s="1" t="s">
        <v>332</v>
      </c>
      <c r="M701" s="1">
        <v>1</v>
      </c>
      <c r="N701" s="2">
        <v>30.54</v>
      </c>
      <c r="O701" s="3">
        <v>36</v>
      </c>
      <c r="P701" s="1">
        <v>2</v>
      </c>
      <c r="Q701" s="1">
        <v>9</v>
      </c>
      <c r="R701" s="1">
        <v>200010010278</v>
      </c>
      <c r="S701" s="1">
        <v>29</v>
      </c>
      <c r="T701" s="1">
        <v>1</v>
      </c>
      <c r="U701" s="1">
        <v>1</v>
      </c>
    </row>
    <row r="702" spans="1:21" x14ac:dyDescent="0.25">
      <c r="A702" s="4">
        <v>44776</v>
      </c>
      <c r="B702" s="5">
        <v>0.6519328703703704</v>
      </c>
      <c r="C702" s="1">
        <v>1618</v>
      </c>
      <c r="D702" s="1">
        <v>13002595</v>
      </c>
      <c r="E702" s="1">
        <v>13</v>
      </c>
      <c r="F702" s="1">
        <v>22589</v>
      </c>
      <c r="G702" s="1" t="s">
        <v>18</v>
      </c>
      <c r="H702" s="1">
        <v>18</v>
      </c>
      <c r="I702" s="1">
        <v>418134</v>
      </c>
      <c r="J702" s="1" t="s">
        <v>415</v>
      </c>
      <c r="K702" s="1" t="s">
        <v>26</v>
      </c>
      <c r="L702" s="1" t="s">
        <v>332</v>
      </c>
      <c r="M702" s="1">
        <v>1</v>
      </c>
      <c r="N702" s="2">
        <v>30.54</v>
      </c>
      <c r="O702" s="3">
        <v>36</v>
      </c>
      <c r="P702" s="1">
        <v>2</v>
      </c>
      <c r="Q702" s="1">
        <v>9</v>
      </c>
      <c r="R702" s="1">
        <v>200010004049</v>
      </c>
      <c r="S702" s="1">
        <v>29</v>
      </c>
      <c r="T702" s="1">
        <v>1</v>
      </c>
      <c r="U702" s="1">
        <v>3</v>
      </c>
    </row>
    <row r="703" spans="1:21" x14ac:dyDescent="0.25">
      <c r="A703" s="4">
        <v>44776</v>
      </c>
      <c r="B703" s="5">
        <v>0.45534722222222224</v>
      </c>
      <c r="C703" s="1">
        <v>1560</v>
      </c>
      <c r="D703" s="1">
        <v>13002595</v>
      </c>
      <c r="E703" s="1">
        <v>13</v>
      </c>
      <c r="F703" s="1">
        <v>22589</v>
      </c>
      <c r="G703" s="1" t="s">
        <v>18</v>
      </c>
      <c r="H703" s="1">
        <v>15</v>
      </c>
      <c r="I703" s="1">
        <v>277903</v>
      </c>
      <c r="J703" s="1" t="s">
        <v>748</v>
      </c>
      <c r="K703" s="1" t="s">
        <v>61</v>
      </c>
      <c r="L703" s="1" t="s">
        <v>749</v>
      </c>
      <c r="M703" s="1">
        <v>1</v>
      </c>
      <c r="N703" s="2">
        <v>343.33</v>
      </c>
      <c r="O703" s="3">
        <v>505</v>
      </c>
      <c r="P703" s="1">
        <v>50</v>
      </c>
      <c r="Q703" s="1">
        <v>9</v>
      </c>
      <c r="R703" s="1">
        <v>200010006106</v>
      </c>
      <c r="S703" s="1">
        <v>29</v>
      </c>
      <c r="T703" s="1">
        <v>1</v>
      </c>
      <c r="U703" s="1">
        <v>3</v>
      </c>
    </row>
    <row r="704" spans="1:21" x14ac:dyDescent="0.25">
      <c r="A704" s="4">
        <v>44776</v>
      </c>
      <c r="B704" s="5">
        <v>0.45681712962962961</v>
      </c>
      <c r="C704" s="1">
        <v>1561</v>
      </c>
      <c r="D704" s="1">
        <v>13002595</v>
      </c>
      <c r="E704" s="1">
        <v>13</v>
      </c>
      <c r="F704" s="1">
        <v>22589</v>
      </c>
      <c r="G704" s="1" t="s">
        <v>18</v>
      </c>
      <c r="H704" s="1">
        <v>18</v>
      </c>
      <c r="I704" s="1">
        <v>274699</v>
      </c>
      <c r="J704" s="1" t="s">
        <v>750</v>
      </c>
      <c r="K704" s="1" t="s">
        <v>48</v>
      </c>
      <c r="L704" s="1" t="s">
        <v>751</v>
      </c>
      <c r="M704" s="1">
        <v>1</v>
      </c>
      <c r="N704" s="2">
        <v>284.35000000000002</v>
      </c>
      <c r="O704" s="3">
        <v>353</v>
      </c>
      <c r="P704" s="1">
        <v>45.26</v>
      </c>
      <c r="Q704" s="1">
        <v>925</v>
      </c>
      <c r="R704" s="1">
        <v>200000000492</v>
      </c>
      <c r="S704" s="1">
        <v>29</v>
      </c>
      <c r="T704" s="1">
        <v>1</v>
      </c>
      <c r="U704" s="1">
        <v>1</v>
      </c>
    </row>
    <row r="705" spans="1:21" x14ac:dyDescent="0.25">
      <c r="A705" s="4">
        <v>44776</v>
      </c>
      <c r="B705" s="5">
        <v>0.45681712962962961</v>
      </c>
      <c r="C705" s="1">
        <v>1561</v>
      </c>
      <c r="D705" s="1">
        <v>13002595</v>
      </c>
      <c r="E705" s="1">
        <v>13</v>
      </c>
      <c r="F705" s="1">
        <v>22589</v>
      </c>
      <c r="G705" s="1" t="s">
        <v>18</v>
      </c>
      <c r="H705" s="1">
        <v>18</v>
      </c>
      <c r="I705" s="1">
        <v>48192</v>
      </c>
      <c r="J705" s="1" t="s">
        <v>173</v>
      </c>
      <c r="K705" s="1" t="s">
        <v>55</v>
      </c>
      <c r="L705" s="1" t="s">
        <v>174</v>
      </c>
      <c r="M705" s="1">
        <v>1</v>
      </c>
      <c r="N705" s="2">
        <v>22.43</v>
      </c>
      <c r="O705" s="3">
        <v>37</v>
      </c>
      <c r="P705" s="1">
        <v>4.74</v>
      </c>
      <c r="Q705" s="1">
        <v>925</v>
      </c>
      <c r="R705" s="1">
        <v>200000000492</v>
      </c>
      <c r="S705" s="1">
        <v>29</v>
      </c>
      <c r="T705" s="1">
        <v>1</v>
      </c>
      <c r="U705" s="1">
        <v>2</v>
      </c>
    </row>
    <row r="706" spans="1:21" x14ac:dyDescent="0.25">
      <c r="A706" s="4">
        <v>44776</v>
      </c>
      <c r="B706" s="5">
        <v>0.56975694444444447</v>
      </c>
      <c r="C706" s="1">
        <v>1601</v>
      </c>
      <c r="D706" s="1">
        <v>13002595</v>
      </c>
      <c r="E706" s="1">
        <v>13</v>
      </c>
      <c r="F706" s="1">
        <v>22589</v>
      </c>
      <c r="G706" s="1" t="s">
        <v>18</v>
      </c>
      <c r="H706" s="1">
        <v>15</v>
      </c>
      <c r="I706" s="1">
        <v>48192</v>
      </c>
      <c r="J706" s="1" t="s">
        <v>173</v>
      </c>
      <c r="K706" s="1" t="s">
        <v>55</v>
      </c>
      <c r="L706" s="1" t="s">
        <v>174</v>
      </c>
      <c r="M706" s="1">
        <v>1</v>
      </c>
      <c r="N706" s="2">
        <v>22.43</v>
      </c>
      <c r="O706" s="3">
        <v>37</v>
      </c>
      <c r="P706" s="1">
        <v>0</v>
      </c>
      <c r="Q706" s="1" t="s">
        <v>22</v>
      </c>
      <c r="R706" s="1" t="s">
        <v>22</v>
      </c>
      <c r="S706" s="1">
        <v>29</v>
      </c>
      <c r="T706" s="1">
        <v>1</v>
      </c>
      <c r="U706" s="1">
        <v>2</v>
      </c>
    </row>
    <row r="707" spans="1:21" x14ac:dyDescent="0.25">
      <c r="A707" s="4">
        <v>44776</v>
      </c>
      <c r="B707" s="5">
        <v>0.82486111111111116</v>
      </c>
      <c r="C707" s="1">
        <v>1659</v>
      </c>
      <c r="D707" s="1">
        <v>13002595</v>
      </c>
      <c r="E707" s="1">
        <v>13</v>
      </c>
      <c r="F707" s="1">
        <v>22589</v>
      </c>
      <c r="G707" s="1" t="s">
        <v>18</v>
      </c>
      <c r="H707" s="1">
        <v>15</v>
      </c>
      <c r="I707" s="1">
        <v>48192</v>
      </c>
      <c r="J707" s="1" t="s">
        <v>173</v>
      </c>
      <c r="K707" s="1" t="s">
        <v>55</v>
      </c>
      <c r="L707" s="1" t="s">
        <v>174</v>
      </c>
      <c r="M707" s="1">
        <v>1</v>
      </c>
      <c r="N707" s="2">
        <v>22.43</v>
      </c>
      <c r="O707" s="3">
        <v>37</v>
      </c>
      <c r="P707" s="1">
        <v>0</v>
      </c>
      <c r="Q707" s="1" t="s">
        <v>22</v>
      </c>
      <c r="R707" s="1" t="s">
        <v>22</v>
      </c>
      <c r="S707" s="1">
        <v>29</v>
      </c>
      <c r="T707" s="1">
        <v>1</v>
      </c>
      <c r="U707" s="1">
        <v>2</v>
      </c>
    </row>
    <row r="708" spans="1:21" x14ac:dyDescent="0.25">
      <c r="A708" s="4">
        <v>44776</v>
      </c>
      <c r="B708" s="5">
        <v>0.45870370370370372</v>
      </c>
      <c r="C708" s="1">
        <v>1562</v>
      </c>
      <c r="D708" s="1">
        <v>13002595</v>
      </c>
      <c r="E708" s="1">
        <v>13</v>
      </c>
      <c r="F708" s="1">
        <v>22589</v>
      </c>
      <c r="G708" s="1" t="s">
        <v>18</v>
      </c>
      <c r="H708" s="1">
        <v>15</v>
      </c>
      <c r="I708" s="1">
        <v>1177</v>
      </c>
      <c r="J708" s="1" t="s">
        <v>752</v>
      </c>
      <c r="K708" s="1" t="s">
        <v>48</v>
      </c>
      <c r="L708" s="1" t="s">
        <v>753</v>
      </c>
      <c r="M708" s="1">
        <v>1</v>
      </c>
      <c r="N708" s="2">
        <v>107.44</v>
      </c>
      <c r="O708" s="3">
        <v>127</v>
      </c>
      <c r="P708" s="1">
        <v>6</v>
      </c>
      <c r="Q708" s="1">
        <v>9</v>
      </c>
      <c r="R708" s="1">
        <v>200010009864</v>
      </c>
      <c r="S708" s="1">
        <v>29</v>
      </c>
      <c r="T708" s="1">
        <v>1</v>
      </c>
      <c r="U708" s="1">
        <v>2</v>
      </c>
    </row>
    <row r="709" spans="1:21" x14ac:dyDescent="0.25">
      <c r="A709" s="4">
        <v>44776</v>
      </c>
      <c r="B709" s="5">
        <v>0.45870370370370372</v>
      </c>
      <c r="C709" s="1">
        <v>1562</v>
      </c>
      <c r="D709" s="1">
        <v>13002595</v>
      </c>
      <c r="E709" s="1">
        <v>13</v>
      </c>
      <c r="F709" s="1">
        <v>22589</v>
      </c>
      <c r="G709" s="1" t="s">
        <v>18</v>
      </c>
      <c r="H709" s="1">
        <v>15</v>
      </c>
      <c r="I709" s="1">
        <v>468466</v>
      </c>
      <c r="J709" s="1" t="s">
        <v>125</v>
      </c>
      <c r="K709" s="1" t="s">
        <v>48</v>
      </c>
      <c r="L709" s="1" t="s">
        <v>126</v>
      </c>
      <c r="M709" s="1">
        <v>1</v>
      </c>
      <c r="N709" s="2">
        <v>666.45</v>
      </c>
      <c r="O709" s="3">
        <v>739</v>
      </c>
      <c r="P709" s="1">
        <v>22</v>
      </c>
      <c r="Q709" s="1">
        <v>9</v>
      </c>
      <c r="R709" s="1">
        <v>200010009864</v>
      </c>
      <c r="S709" s="1">
        <v>29</v>
      </c>
      <c r="T709" s="1">
        <v>1</v>
      </c>
      <c r="U709" s="1">
        <v>1</v>
      </c>
    </row>
    <row r="710" spans="1:21" x14ac:dyDescent="0.25">
      <c r="A710" s="4">
        <v>44776</v>
      </c>
      <c r="B710" s="5">
        <v>0.46251157407407406</v>
      </c>
      <c r="C710" s="1">
        <v>1563</v>
      </c>
      <c r="D710" s="1">
        <v>13002595</v>
      </c>
      <c r="E710" s="1">
        <v>13</v>
      </c>
      <c r="F710" s="1">
        <v>22589</v>
      </c>
      <c r="G710" s="1" t="s">
        <v>18</v>
      </c>
      <c r="H710" s="1">
        <v>18</v>
      </c>
      <c r="I710" s="1">
        <v>385739</v>
      </c>
      <c r="J710" s="1" t="s">
        <v>754</v>
      </c>
      <c r="K710" s="1" t="s">
        <v>45</v>
      </c>
      <c r="L710" s="1" t="s">
        <v>269</v>
      </c>
      <c r="M710" s="1">
        <v>1</v>
      </c>
      <c r="N710" s="2">
        <v>871.09</v>
      </c>
      <c r="O710" s="3">
        <v>1124</v>
      </c>
      <c r="P710" s="1">
        <v>78</v>
      </c>
      <c r="Q710" s="1">
        <v>9</v>
      </c>
      <c r="R710" s="1">
        <v>200010012606</v>
      </c>
      <c r="S710" s="1">
        <v>29</v>
      </c>
      <c r="T710" s="1">
        <v>1</v>
      </c>
      <c r="U710" s="1">
        <v>1</v>
      </c>
    </row>
    <row r="711" spans="1:21" x14ac:dyDescent="0.25">
      <c r="A711" s="4">
        <v>44776</v>
      </c>
      <c r="B711" s="5">
        <v>0.46812500000000001</v>
      </c>
      <c r="C711" s="1">
        <v>1564</v>
      </c>
      <c r="D711" s="1">
        <v>13002595</v>
      </c>
      <c r="E711" s="1">
        <v>13</v>
      </c>
      <c r="F711" s="1">
        <v>22589</v>
      </c>
      <c r="G711" s="1" t="s">
        <v>18</v>
      </c>
      <c r="H711" s="1">
        <v>18</v>
      </c>
      <c r="I711" s="1">
        <v>13803</v>
      </c>
      <c r="J711" s="1" t="s">
        <v>755</v>
      </c>
      <c r="K711" s="1" t="s">
        <v>31</v>
      </c>
      <c r="L711" s="1" t="s">
        <v>756</v>
      </c>
      <c r="M711" s="1">
        <v>1</v>
      </c>
      <c r="N711" s="2">
        <v>215.39</v>
      </c>
      <c r="O711" s="3">
        <v>328</v>
      </c>
      <c r="P711" s="1">
        <v>32</v>
      </c>
      <c r="Q711" s="1">
        <v>9</v>
      </c>
      <c r="R711" s="1">
        <v>200010013081</v>
      </c>
      <c r="S711" s="1">
        <v>29</v>
      </c>
      <c r="T711" s="1">
        <v>1</v>
      </c>
      <c r="U711" s="1">
        <v>1</v>
      </c>
    </row>
    <row r="712" spans="1:21" x14ac:dyDescent="0.25">
      <c r="A712" s="4">
        <v>44776</v>
      </c>
      <c r="B712" s="5">
        <v>0.46812500000000001</v>
      </c>
      <c r="C712" s="1">
        <v>1564</v>
      </c>
      <c r="D712" s="1">
        <v>13002595</v>
      </c>
      <c r="E712" s="1">
        <v>13</v>
      </c>
      <c r="F712" s="1">
        <v>22589</v>
      </c>
      <c r="G712" s="1" t="s">
        <v>18</v>
      </c>
      <c r="H712" s="1">
        <v>18</v>
      </c>
      <c r="I712" s="1">
        <v>144840</v>
      </c>
      <c r="J712" s="1" t="s">
        <v>757</v>
      </c>
      <c r="K712" s="1" t="s">
        <v>26</v>
      </c>
      <c r="L712" s="1" t="s">
        <v>758</v>
      </c>
      <c r="M712" s="1">
        <v>1</v>
      </c>
      <c r="N712" s="2">
        <v>337.91</v>
      </c>
      <c r="O712" s="3">
        <v>447</v>
      </c>
      <c r="P712" s="1">
        <v>31</v>
      </c>
      <c r="Q712" s="1">
        <v>9</v>
      </c>
      <c r="R712" s="1">
        <v>200010013081</v>
      </c>
      <c r="S712" s="1">
        <v>29</v>
      </c>
      <c r="T712" s="1">
        <v>1</v>
      </c>
      <c r="U712" s="1">
        <v>3</v>
      </c>
    </row>
    <row r="713" spans="1:21" x14ac:dyDescent="0.25">
      <c r="A713" s="4">
        <v>44776</v>
      </c>
      <c r="B713" s="5">
        <v>0.46812500000000001</v>
      </c>
      <c r="C713" s="1">
        <v>1564</v>
      </c>
      <c r="D713" s="1">
        <v>13002595</v>
      </c>
      <c r="E713" s="1">
        <v>13</v>
      </c>
      <c r="F713" s="1">
        <v>22589</v>
      </c>
      <c r="G713" s="1" t="s">
        <v>18</v>
      </c>
      <c r="H713" s="1">
        <v>18</v>
      </c>
      <c r="I713" s="1">
        <v>338370</v>
      </c>
      <c r="J713" s="1" t="s">
        <v>759</v>
      </c>
      <c r="K713" s="1" t="s">
        <v>58</v>
      </c>
      <c r="L713" s="1" t="s">
        <v>273</v>
      </c>
      <c r="M713" s="1">
        <v>1</v>
      </c>
      <c r="N713" s="2">
        <v>2609.1999999999998</v>
      </c>
      <c r="O713" s="3">
        <v>3053</v>
      </c>
      <c r="P713" s="1">
        <v>305</v>
      </c>
      <c r="Q713" s="1">
        <v>9</v>
      </c>
      <c r="R713" s="1">
        <v>200010013081</v>
      </c>
      <c r="S713" s="1">
        <v>29</v>
      </c>
      <c r="T713" s="1">
        <v>1</v>
      </c>
      <c r="U713" s="1">
        <v>2</v>
      </c>
    </row>
    <row r="714" spans="1:21" x14ac:dyDescent="0.25">
      <c r="A714" s="4">
        <v>44776</v>
      </c>
      <c r="B714" s="5">
        <v>0.47420138888888891</v>
      </c>
      <c r="C714" s="1">
        <v>1565</v>
      </c>
      <c r="D714" s="1">
        <v>13002595</v>
      </c>
      <c r="E714" s="1">
        <v>13</v>
      </c>
      <c r="F714" s="1">
        <v>22589</v>
      </c>
      <c r="G714" s="1" t="s">
        <v>18</v>
      </c>
      <c r="H714" s="1">
        <v>18</v>
      </c>
      <c r="I714" s="1">
        <v>22338</v>
      </c>
      <c r="J714" s="1" t="s">
        <v>760</v>
      </c>
      <c r="K714" s="1" t="s">
        <v>31</v>
      </c>
      <c r="L714" s="1" t="s">
        <v>241</v>
      </c>
      <c r="M714" s="1">
        <v>0.66666667000000002</v>
      </c>
      <c r="N714" s="2">
        <v>877.54</v>
      </c>
      <c r="O714" s="3">
        <v>1133</v>
      </c>
      <c r="P714" s="1">
        <v>0</v>
      </c>
      <c r="Q714" s="1" t="s">
        <v>22</v>
      </c>
      <c r="R714" s="1" t="s">
        <v>22</v>
      </c>
      <c r="S714" s="1">
        <v>29</v>
      </c>
      <c r="T714" s="1">
        <v>1</v>
      </c>
      <c r="U714" s="1">
        <v>3</v>
      </c>
    </row>
    <row r="715" spans="1:21" x14ac:dyDescent="0.25">
      <c r="A715" s="4">
        <v>44776</v>
      </c>
      <c r="B715" s="5">
        <v>0.47420138888888891</v>
      </c>
      <c r="C715" s="1">
        <v>1565</v>
      </c>
      <c r="D715" s="1">
        <v>13002595</v>
      </c>
      <c r="E715" s="1">
        <v>13</v>
      </c>
      <c r="F715" s="1">
        <v>22589</v>
      </c>
      <c r="G715" s="1" t="s">
        <v>18</v>
      </c>
      <c r="H715" s="1">
        <v>18</v>
      </c>
      <c r="I715" s="1">
        <v>446021</v>
      </c>
      <c r="J715" s="1" t="s">
        <v>236</v>
      </c>
      <c r="K715" s="1" t="s">
        <v>20</v>
      </c>
      <c r="L715" s="1" t="s">
        <v>94</v>
      </c>
      <c r="M715" s="1">
        <v>1</v>
      </c>
      <c r="N715" s="2">
        <v>23.38</v>
      </c>
      <c r="O715" s="3">
        <v>36</v>
      </c>
      <c r="P715" s="1">
        <v>0</v>
      </c>
      <c r="Q715" s="1" t="s">
        <v>22</v>
      </c>
      <c r="R715" s="1" t="s">
        <v>22</v>
      </c>
      <c r="S715" s="1">
        <v>29</v>
      </c>
      <c r="T715" s="1">
        <v>1</v>
      </c>
      <c r="U715" s="1">
        <v>2</v>
      </c>
    </row>
    <row r="716" spans="1:21" x14ac:dyDescent="0.25">
      <c r="A716" s="4">
        <v>44776</v>
      </c>
      <c r="B716" s="5">
        <v>0.48996527777777776</v>
      </c>
      <c r="C716" s="1">
        <v>1571</v>
      </c>
      <c r="D716" s="1">
        <v>13002595</v>
      </c>
      <c r="E716" s="1">
        <v>13</v>
      </c>
      <c r="F716" s="1">
        <v>22589</v>
      </c>
      <c r="G716" s="1" t="s">
        <v>18</v>
      </c>
      <c r="H716" s="1">
        <v>18</v>
      </c>
      <c r="I716" s="1">
        <v>446021</v>
      </c>
      <c r="J716" s="1" t="s">
        <v>236</v>
      </c>
      <c r="K716" s="1" t="s">
        <v>20</v>
      </c>
      <c r="L716" s="1" t="s">
        <v>94</v>
      </c>
      <c r="M716" s="1">
        <v>1</v>
      </c>
      <c r="N716" s="2">
        <v>23.38</v>
      </c>
      <c r="O716" s="3">
        <v>36</v>
      </c>
      <c r="P716" s="1">
        <v>3</v>
      </c>
      <c r="Q716" s="1">
        <v>941</v>
      </c>
      <c r="R716" s="1">
        <v>200000000044</v>
      </c>
      <c r="S716" s="1">
        <v>29</v>
      </c>
      <c r="T716" s="1">
        <v>1</v>
      </c>
      <c r="U716" s="1">
        <v>4</v>
      </c>
    </row>
    <row r="717" spans="1:21" x14ac:dyDescent="0.25">
      <c r="A717" s="4">
        <v>44776</v>
      </c>
      <c r="B717" s="5">
        <v>0.48996527777777776</v>
      </c>
      <c r="C717" s="1">
        <v>1571</v>
      </c>
      <c r="D717" s="1">
        <v>13002595</v>
      </c>
      <c r="E717" s="1">
        <v>13</v>
      </c>
      <c r="F717" s="1">
        <v>22589</v>
      </c>
      <c r="G717" s="1" t="s">
        <v>18</v>
      </c>
      <c r="H717" s="1">
        <v>18</v>
      </c>
      <c r="I717" s="1">
        <v>446021</v>
      </c>
      <c r="J717" s="1" t="s">
        <v>236</v>
      </c>
      <c r="K717" s="1" t="s">
        <v>20</v>
      </c>
      <c r="L717" s="1" t="s">
        <v>94</v>
      </c>
      <c r="M717" s="1">
        <v>1</v>
      </c>
      <c r="N717" s="2">
        <v>23.38</v>
      </c>
      <c r="O717" s="3">
        <v>36</v>
      </c>
      <c r="P717" s="1">
        <v>3</v>
      </c>
      <c r="Q717" s="1">
        <v>941</v>
      </c>
      <c r="R717" s="1">
        <v>200000000044</v>
      </c>
      <c r="S717" s="1">
        <v>29</v>
      </c>
      <c r="T717" s="1">
        <v>1</v>
      </c>
      <c r="U717" s="1">
        <v>5</v>
      </c>
    </row>
    <row r="718" spans="1:21" x14ac:dyDescent="0.25">
      <c r="A718" s="4">
        <v>44776</v>
      </c>
      <c r="B718" s="5">
        <v>0.47420138888888891</v>
      </c>
      <c r="C718" s="1">
        <v>1565</v>
      </c>
      <c r="D718" s="1">
        <v>13002595</v>
      </c>
      <c r="E718" s="1">
        <v>13</v>
      </c>
      <c r="F718" s="1">
        <v>22589</v>
      </c>
      <c r="G718" s="1" t="s">
        <v>18</v>
      </c>
      <c r="H718" s="1">
        <v>18</v>
      </c>
      <c r="I718" s="1">
        <v>1504331</v>
      </c>
      <c r="J718" s="1" t="s">
        <v>140</v>
      </c>
      <c r="K718" s="1" t="s">
        <v>141</v>
      </c>
      <c r="L718" s="1" t="s">
        <v>94</v>
      </c>
      <c r="M718" s="1">
        <v>1</v>
      </c>
      <c r="N718" s="2">
        <v>0.01</v>
      </c>
      <c r="O718" s="3">
        <v>0.01</v>
      </c>
      <c r="P718" s="1">
        <v>0</v>
      </c>
      <c r="Q718" s="1" t="s">
        <v>22</v>
      </c>
      <c r="R718" s="1" t="s">
        <v>22</v>
      </c>
      <c r="S718" s="1">
        <v>29</v>
      </c>
      <c r="T718" s="1">
        <v>1</v>
      </c>
      <c r="U718" s="1">
        <v>1</v>
      </c>
    </row>
    <row r="719" spans="1:21" x14ac:dyDescent="0.25">
      <c r="A719" s="4">
        <v>44776</v>
      </c>
      <c r="B719" s="5">
        <v>0.47851851851851851</v>
      </c>
      <c r="C719" s="1">
        <v>1567</v>
      </c>
      <c r="D719" s="1">
        <v>13002595</v>
      </c>
      <c r="E719" s="1">
        <v>13</v>
      </c>
      <c r="F719" s="1">
        <v>22589</v>
      </c>
      <c r="G719" s="1" t="s">
        <v>18</v>
      </c>
      <c r="H719" s="1">
        <v>18</v>
      </c>
      <c r="I719" s="1">
        <v>1504331</v>
      </c>
      <c r="J719" s="1" t="s">
        <v>140</v>
      </c>
      <c r="K719" s="1" t="s">
        <v>141</v>
      </c>
      <c r="L719" s="1" t="s">
        <v>94</v>
      </c>
      <c r="M719" s="1">
        <v>1</v>
      </c>
      <c r="N719" s="2">
        <v>0.01</v>
      </c>
      <c r="O719" s="3">
        <v>0.01</v>
      </c>
      <c r="P719" s="1">
        <v>0</v>
      </c>
      <c r="Q719" s="1" t="s">
        <v>22</v>
      </c>
      <c r="R719" s="1" t="s">
        <v>22</v>
      </c>
      <c r="S719" s="1">
        <v>29</v>
      </c>
      <c r="T719" s="1">
        <v>1</v>
      </c>
      <c r="U719" s="1">
        <v>2</v>
      </c>
    </row>
    <row r="720" spans="1:21" x14ac:dyDescent="0.25">
      <c r="A720" s="4">
        <v>44776</v>
      </c>
      <c r="B720" s="5">
        <v>0.50773148148148151</v>
      </c>
      <c r="C720" s="1">
        <v>1577</v>
      </c>
      <c r="D720" s="1">
        <v>13002595</v>
      </c>
      <c r="E720" s="1">
        <v>13</v>
      </c>
      <c r="F720" s="1">
        <v>22589</v>
      </c>
      <c r="G720" s="1" t="s">
        <v>18</v>
      </c>
      <c r="H720" s="1">
        <v>18</v>
      </c>
      <c r="I720" s="1">
        <v>1504331</v>
      </c>
      <c r="J720" s="1" t="s">
        <v>140</v>
      </c>
      <c r="K720" s="1" t="s">
        <v>141</v>
      </c>
      <c r="L720" s="1" t="s">
        <v>94</v>
      </c>
      <c r="M720" s="1">
        <v>1</v>
      </c>
      <c r="N720" s="2">
        <v>0.01</v>
      </c>
      <c r="O720" s="3">
        <v>0.01</v>
      </c>
      <c r="P720" s="1">
        <v>0</v>
      </c>
      <c r="Q720" s="1" t="s">
        <v>22</v>
      </c>
      <c r="R720" s="1" t="s">
        <v>22</v>
      </c>
      <c r="S720" s="1">
        <v>29</v>
      </c>
      <c r="T720" s="1">
        <v>1</v>
      </c>
      <c r="U720" s="1">
        <v>2</v>
      </c>
    </row>
    <row r="721" spans="1:21" x14ac:dyDescent="0.25">
      <c r="A721" s="4">
        <v>44776</v>
      </c>
      <c r="B721" s="5">
        <v>0.4768634259259259</v>
      </c>
      <c r="C721" s="1">
        <v>1566</v>
      </c>
      <c r="D721" s="1">
        <v>13002595</v>
      </c>
      <c r="E721" s="1">
        <v>13</v>
      </c>
      <c r="F721" s="1">
        <v>22589</v>
      </c>
      <c r="G721" s="1" t="s">
        <v>18</v>
      </c>
      <c r="H721" s="1">
        <v>15</v>
      </c>
      <c r="I721" s="1">
        <v>13670</v>
      </c>
      <c r="J721" s="1" t="s">
        <v>761</v>
      </c>
      <c r="K721" s="1" t="s">
        <v>31</v>
      </c>
      <c r="L721" s="1" t="s">
        <v>762</v>
      </c>
      <c r="M721" s="1">
        <v>1</v>
      </c>
      <c r="N721" s="2">
        <v>170.87</v>
      </c>
      <c r="O721" s="3">
        <v>206</v>
      </c>
      <c r="P721" s="1">
        <v>0</v>
      </c>
      <c r="Q721" s="1" t="s">
        <v>22</v>
      </c>
      <c r="R721" s="1" t="s">
        <v>22</v>
      </c>
      <c r="S721" s="1">
        <v>29</v>
      </c>
      <c r="T721" s="1">
        <v>1</v>
      </c>
      <c r="U721" s="1">
        <v>1</v>
      </c>
    </row>
    <row r="722" spans="1:21" x14ac:dyDescent="0.25">
      <c r="A722" s="4">
        <v>44776</v>
      </c>
      <c r="B722" s="5">
        <v>0.47851851851851851</v>
      </c>
      <c r="C722" s="1">
        <v>1567</v>
      </c>
      <c r="D722" s="1">
        <v>13002595</v>
      </c>
      <c r="E722" s="1">
        <v>13</v>
      </c>
      <c r="F722" s="1">
        <v>22589</v>
      </c>
      <c r="G722" s="1" t="s">
        <v>18</v>
      </c>
      <c r="H722" s="1">
        <v>18</v>
      </c>
      <c r="I722" s="1">
        <v>11487</v>
      </c>
      <c r="J722" s="1" t="s">
        <v>763</v>
      </c>
      <c r="K722" s="1" t="s">
        <v>114</v>
      </c>
      <c r="L722" s="1" t="s">
        <v>503</v>
      </c>
      <c r="M722" s="1">
        <v>1</v>
      </c>
      <c r="N722" s="2">
        <v>155.28</v>
      </c>
      <c r="O722" s="3">
        <v>213</v>
      </c>
      <c r="P722" s="1">
        <v>0</v>
      </c>
      <c r="Q722" s="1" t="s">
        <v>22</v>
      </c>
      <c r="R722" s="1" t="s">
        <v>22</v>
      </c>
      <c r="S722" s="1">
        <v>29</v>
      </c>
      <c r="T722" s="1">
        <v>1</v>
      </c>
      <c r="U722" s="1">
        <v>1</v>
      </c>
    </row>
    <row r="723" spans="1:21" x14ac:dyDescent="0.25">
      <c r="A723" s="4">
        <v>44776</v>
      </c>
      <c r="B723" s="5">
        <v>0.47851851851851851</v>
      </c>
      <c r="C723" s="1">
        <v>1567</v>
      </c>
      <c r="D723" s="1">
        <v>13002595</v>
      </c>
      <c r="E723" s="1">
        <v>13</v>
      </c>
      <c r="F723" s="1">
        <v>22589</v>
      </c>
      <c r="G723" s="1" t="s">
        <v>18</v>
      </c>
      <c r="H723" s="1">
        <v>18</v>
      </c>
      <c r="I723" s="1">
        <v>45314</v>
      </c>
      <c r="J723" s="1" t="s">
        <v>764</v>
      </c>
      <c r="K723" s="1" t="s">
        <v>249</v>
      </c>
      <c r="L723" s="1" t="s">
        <v>357</v>
      </c>
      <c r="M723" s="1">
        <v>1</v>
      </c>
      <c r="N723" s="2">
        <v>20.3</v>
      </c>
      <c r="O723" s="3">
        <v>33</v>
      </c>
      <c r="P723" s="1">
        <v>0</v>
      </c>
      <c r="Q723" s="1" t="s">
        <v>22</v>
      </c>
      <c r="R723" s="1" t="s">
        <v>22</v>
      </c>
      <c r="S723" s="1">
        <v>29</v>
      </c>
      <c r="T723" s="1">
        <v>1</v>
      </c>
      <c r="U723" s="1">
        <v>3</v>
      </c>
    </row>
    <row r="724" spans="1:21" x14ac:dyDescent="0.25">
      <c r="A724" s="4">
        <v>44776</v>
      </c>
      <c r="B724" s="5">
        <v>0.53388888888888886</v>
      </c>
      <c r="C724" s="1">
        <v>1587</v>
      </c>
      <c r="D724" s="1">
        <v>13002595</v>
      </c>
      <c r="E724" s="1">
        <v>13</v>
      </c>
      <c r="F724" s="1">
        <v>22589</v>
      </c>
      <c r="G724" s="1" t="s">
        <v>18</v>
      </c>
      <c r="H724" s="1">
        <v>15</v>
      </c>
      <c r="I724" s="1">
        <v>45314</v>
      </c>
      <c r="J724" s="1" t="s">
        <v>764</v>
      </c>
      <c r="K724" s="1" t="s">
        <v>249</v>
      </c>
      <c r="L724" s="1" t="s">
        <v>357</v>
      </c>
      <c r="M724" s="1">
        <v>1</v>
      </c>
      <c r="N724" s="2">
        <v>20.3</v>
      </c>
      <c r="O724" s="3">
        <v>33</v>
      </c>
      <c r="P724" s="1">
        <v>0</v>
      </c>
      <c r="Q724" s="1" t="s">
        <v>22</v>
      </c>
      <c r="R724" s="1" t="s">
        <v>22</v>
      </c>
      <c r="S724" s="1">
        <v>29</v>
      </c>
      <c r="T724" s="1">
        <v>1</v>
      </c>
      <c r="U724" s="1">
        <v>6</v>
      </c>
    </row>
    <row r="725" spans="1:21" x14ac:dyDescent="0.25">
      <c r="A725" s="4">
        <v>44776</v>
      </c>
      <c r="B725" s="5">
        <v>0.48194444444444445</v>
      </c>
      <c r="C725" s="1">
        <v>1568</v>
      </c>
      <c r="D725" s="1">
        <v>13002595</v>
      </c>
      <c r="E725" s="1">
        <v>13</v>
      </c>
      <c r="F725" s="1">
        <v>22589</v>
      </c>
      <c r="G725" s="1" t="s">
        <v>18</v>
      </c>
      <c r="H725" s="1">
        <v>18</v>
      </c>
      <c r="I725" s="1">
        <v>72392</v>
      </c>
      <c r="J725" s="1" t="s">
        <v>157</v>
      </c>
      <c r="K725" s="1" t="s">
        <v>48</v>
      </c>
      <c r="L725" s="1" t="s">
        <v>158</v>
      </c>
      <c r="M725" s="1">
        <v>1</v>
      </c>
      <c r="N725" s="2">
        <v>103.5</v>
      </c>
      <c r="O725" s="3">
        <v>122</v>
      </c>
      <c r="P725" s="1">
        <v>0</v>
      </c>
      <c r="Q725" s="1" t="s">
        <v>22</v>
      </c>
      <c r="R725" s="1" t="s">
        <v>22</v>
      </c>
      <c r="S725" s="1">
        <v>29</v>
      </c>
      <c r="T725" s="1">
        <v>1</v>
      </c>
      <c r="U725" s="1">
        <v>1</v>
      </c>
    </row>
    <row r="726" spans="1:21" x14ac:dyDescent="0.25">
      <c r="A726" s="4">
        <v>44776</v>
      </c>
      <c r="B726" s="5">
        <v>0.72741898148148143</v>
      </c>
      <c r="C726" s="1">
        <v>1633</v>
      </c>
      <c r="D726" s="1">
        <v>13002595</v>
      </c>
      <c r="E726" s="1">
        <v>13</v>
      </c>
      <c r="F726" s="1">
        <v>22589</v>
      </c>
      <c r="G726" s="1" t="s">
        <v>18</v>
      </c>
      <c r="H726" s="1">
        <v>18</v>
      </c>
      <c r="I726" s="1">
        <v>72392</v>
      </c>
      <c r="J726" s="1" t="s">
        <v>157</v>
      </c>
      <c r="K726" s="1" t="s">
        <v>48</v>
      </c>
      <c r="L726" s="1" t="s">
        <v>158</v>
      </c>
      <c r="M726" s="1">
        <v>1</v>
      </c>
      <c r="N726" s="2">
        <v>103.5</v>
      </c>
      <c r="O726" s="3">
        <v>122</v>
      </c>
      <c r="P726" s="1">
        <v>0</v>
      </c>
      <c r="Q726" s="1" t="s">
        <v>22</v>
      </c>
      <c r="R726" s="1" t="s">
        <v>22</v>
      </c>
      <c r="S726" s="1">
        <v>29</v>
      </c>
      <c r="T726" s="1">
        <v>1</v>
      </c>
      <c r="U726" s="1">
        <v>1</v>
      </c>
    </row>
    <row r="727" spans="1:21" x14ac:dyDescent="0.25">
      <c r="A727" s="4">
        <v>44776</v>
      </c>
      <c r="B727" s="5">
        <v>0.48405092592592591</v>
      </c>
      <c r="C727" s="1">
        <v>1569</v>
      </c>
      <c r="D727" s="1">
        <v>13002595</v>
      </c>
      <c r="E727" s="1">
        <v>13</v>
      </c>
      <c r="F727" s="1">
        <v>22589</v>
      </c>
      <c r="G727" s="1" t="s">
        <v>18</v>
      </c>
      <c r="H727" s="1">
        <v>18</v>
      </c>
      <c r="I727" s="1">
        <v>16909</v>
      </c>
      <c r="J727" s="1" t="s">
        <v>715</v>
      </c>
      <c r="K727" s="1" t="s">
        <v>48</v>
      </c>
      <c r="L727" s="1" t="s">
        <v>714</v>
      </c>
      <c r="M727" s="1">
        <v>0.49999999000000001</v>
      </c>
      <c r="N727" s="2">
        <v>918.14</v>
      </c>
      <c r="O727" s="3">
        <v>1185</v>
      </c>
      <c r="P727" s="1">
        <v>40.5</v>
      </c>
      <c r="Q727" s="1">
        <v>9</v>
      </c>
      <c r="R727" s="1">
        <v>200010017048</v>
      </c>
      <c r="S727" s="1">
        <v>29</v>
      </c>
      <c r="T727" s="1">
        <v>1</v>
      </c>
      <c r="U727" s="1">
        <v>1</v>
      </c>
    </row>
    <row r="728" spans="1:21" x14ac:dyDescent="0.25">
      <c r="A728" s="4">
        <v>44776</v>
      </c>
      <c r="B728" s="5">
        <v>0.48405092592592591</v>
      </c>
      <c r="C728" s="1">
        <v>1569</v>
      </c>
      <c r="D728" s="1">
        <v>13002595</v>
      </c>
      <c r="E728" s="1">
        <v>13</v>
      </c>
      <c r="F728" s="1">
        <v>22589</v>
      </c>
      <c r="G728" s="1" t="s">
        <v>18</v>
      </c>
      <c r="H728" s="1">
        <v>18</v>
      </c>
      <c r="I728" s="1">
        <v>1177</v>
      </c>
      <c r="J728" s="1" t="s">
        <v>752</v>
      </c>
      <c r="K728" s="1" t="s">
        <v>48</v>
      </c>
      <c r="L728" s="1" t="s">
        <v>753</v>
      </c>
      <c r="M728" s="1">
        <v>1</v>
      </c>
      <c r="N728" s="2">
        <v>107.44</v>
      </c>
      <c r="O728" s="3">
        <v>127</v>
      </c>
      <c r="P728" s="1">
        <v>6</v>
      </c>
      <c r="Q728" s="1">
        <v>9</v>
      </c>
      <c r="R728" s="1">
        <v>200010017048</v>
      </c>
      <c r="S728" s="1">
        <v>29</v>
      </c>
      <c r="T728" s="1">
        <v>1</v>
      </c>
      <c r="U728" s="1">
        <v>3</v>
      </c>
    </row>
    <row r="729" spans="1:21" x14ac:dyDescent="0.25">
      <c r="A729" s="4">
        <v>44776</v>
      </c>
      <c r="B729" s="5">
        <v>0.48405092592592591</v>
      </c>
      <c r="C729" s="1">
        <v>1569</v>
      </c>
      <c r="D729" s="1">
        <v>13002595</v>
      </c>
      <c r="E729" s="1">
        <v>13</v>
      </c>
      <c r="F729" s="1">
        <v>22589</v>
      </c>
      <c r="G729" s="1" t="s">
        <v>18</v>
      </c>
      <c r="H729" s="1">
        <v>18</v>
      </c>
      <c r="I729" s="1">
        <v>100370</v>
      </c>
      <c r="J729" s="1" t="s">
        <v>288</v>
      </c>
      <c r="K729" s="1" t="s">
        <v>114</v>
      </c>
      <c r="L729" s="1" t="s">
        <v>245</v>
      </c>
      <c r="M729" s="1">
        <v>1</v>
      </c>
      <c r="N729" s="2">
        <v>32.74</v>
      </c>
      <c r="O729" s="3">
        <v>41</v>
      </c>
      <c r="P729" s="1">
        <v>2</v>
      </c>
      <c r="Q729" s="1">
        <v>9</v>
      </c>
      <c r="R729" s="1">
        <v>200010017048</v>
      </c>
      <c r="S729" s="1">
        <v>29</v>
      </c>
      <c r="T729" s="1">
        <v>1</v>
      </c>
      <c r="U729" s="1">
        <v>2</v>
      </c>
    </row>
    <row r="730" spans="1:21" x14ac:dyDescent="0.25">
      <c r="A730" s="4">
        <v>44776</v>
      </c>
      <c r="B730" s="5">
        <v>0.48781249999999998</v>
      </c>
      <c r="C730" s="1">
        <v>1570</v>
      </c>
      <c r="D730" s="1">
        <v>13002595</v>
      </c>
      <c r="E730" s="1">
        <v>13</v>
      </c>
      <c r="F730" s="1">
        <v>22589</v>
      </c>
      <c r="G730" s="1" t="s">
        <v>18</v>
      </c>
      <c r="H730" s="1">
        <v>18</v>
      </c>
      <c r="I730" s="1">
        <v>6678</v>
      </c>
      <c r="J730" s="1" t="s">
        <v>424</v>
      </c>
      <c r="K730" s="1" t="s">
        <v>48</v>
      </c>
      <c r="L730" s="1" t="s">
        <v>192</v>
      </c>
      <c r="M730" s="1">
        <v>1</v>
      </c>
      <c r="N730" s="2">
        <v>458.63</v>
      </c>
      <c r="O730" s="3">
        <v>588</v>
      </c>
      <c r="P730" s="1">
        <v>41</v>
      </c>
      <c r="Q730" s="1">
        <v>9</v>
      </c>
      <c r="R730" s="1">
        <v>200010026823</v>
      </c>
      <c r="S730" s="1">
        <v>29</v>
      </c>
      <c r="T730" s="1">
        <v>1</v>
      </c>
      <c r="U730" s="1">
        <v>4</v>
      </c>
    </row>
    <row r="731" spans="1:21" x14ac:dyDescent="0.25">
      <c r="A731" s="4">
        <v>44776</v>
      </c>
      <c r="B731" s="5">
        <v>0.48781249999999998</v>
      </c>
      <c r="C731" s="1">
        <v>1570</v>
      </c>
      <c r="D731" s="1">
        <v>13002595</v>
      </c>
      <c r="E731" s="1">
        <v>13</v>
      </c>
      <c r="F731" s="1">
        <v>22589</v>
      </c>
      <c r="G731" s="1" t="s">
        <v>18</v>
      </c>
      <c r="H731" s="1">
        <v>18</v>
      </c>
      <c r="I731" s="1">
        <v>113562</v>
      </c>
      <c r="J731" s="1" t="s">
        <v>765</v>
      </c>
      <c r="K731" s="1" t="s">
        <v>31</v>
      </c>
      <c r="L731" s="1" t="s">
        <v>766</v>
      </c>
      <c r="M731" s="1">
        <v>1</v>
      </c>
      <c r="N731" s="2">
        <v>667.13</v>
      </c>
      <c r="O731" s="3">
        <v>861</v>
      </c>
      <c r="P731" s="1">
        <v>60</v>
      </c>
      <c r="Q731" s="1">
        <v>9</v>
      </c>
      <c r="R731" s="1">
        <v>200010026823</v>
      </c>
      <c r="S731" s="1">
        <v>29</v>
      </c>
      <c r="T731" s="1">
        <v>1</v>
      </c>
      <c r="U731" s="1">
        <v>5</v>
      </c>
    </row>
    <row r="732" spans="1:21" x14ac:dyDescent="0.25">
      <c r="A732" s="4">
        <v>44776</v>
      </c>
      <c r="B732" s="5">
        <v>0.48781249999999998</v>
      </c>
      <c r="C732" s="1">
        <v>1570</v>
      </c>
      <c r="D732" s="1">
        <v>13002595</v>
      </c>
      <c r="E732" s="1">
        <v>13</v>
      </c>
      <c r="F732" s="1">
        <v>22589</v>
      </c>
      <c r="G732" s="1" t="s">
        <v>18</v>
      </c>
      <c r="H732" s="1">
        <v>18</v>
      </c>
      <c r="I732" s="1">
        <v>423346</v>
      </c>
      <c r="J732" s="1" t="s">
        <v>767</v>
      </c>
      <c r="K732" s="1" t="s">
        <v>20</v>
      </c>
      <c r="L732" s="1" t="s">
        <v>768</v>
      </c>
      <c r="M732" s="1">
        <v>1</v>
      </c>
      <c r="N732" s="2">
        <v>1399.32</v>
      </c>
      <c r="O732" s="3">
        <v>1750</v>
      </c>
      <c r="P732" s="1">
        <v>122</v>
      </c>
      <c r="Q732" s="1">
        <v>9</v>
      </c>
      <c r="R732" s="1">
        <v>200010026823</v>
      </c>
      <c r="S732" s="1">
        <v>29</v>
      </c>
      <c r="T732" s="1">
        <v>1</v>
      </c>
      <c r="U732" s="1">
        <v>1</v>
      </c>
    </row>
    <row r="733" spans="1:21" x14ac:dyDescent="0.25">
      <c r="A733" s="4">
        <v>44776</v>
      </c>
      <c r="B733" s="5">
        <v>0.48781249999999998</v>
      </c>
      <c r="C733" s="1">
        <v>1570</v>
      </c>
      <c r="D733" s="1">
        <v>13002595</v>
      </c>
      <c r="E733" s="1">
        <v>13</v>
      </c>
      <c r="F733" s="1">
        <v>22589</v>
      </c>
      <c r="G733" s="1" t="s">
        <v>18</v>
      </c>
      <c r="H733" s="1">
        <v>18</v>
      </c>
      <c r="I733" s="1">
        <v>443170</v>
      </c>
      <c r="J733" s="1" t="s">
        <v>112</v>
      </c>
      <c r="K733" s="1" t="s">
        <v>48</v>
      </c>
      <c r="L733" s="1" t="s">
        <v>49</v>
      </c>
      <c r="M733" s="1">
        <v>2</v>
      </c>
      <c r="N733" s="2">
        <v>56.55</v>
      </c>
      <c r="O733" s="3">
        <v>89</v>
      </c>
      <c r="P733" s="1">
        <v>17.34</v>
      </c>
      <c r="Q733" s="1">
        <v>9</v>
      </c>
      <c r="R733" s="1">
        <v>200010026823</v>
      </c>
      <c r="S733" s="1">
        <v>29</v>
      </c>
      <c r="T733" s="1">
        <v>1</v>
      </c>
      <c r="U733" s="1">
        <v>7</v>
      </c>
    </row>
    <row r="734" spans="1:21" x14ac:dyDescent="0.25">
      <c r="A734" s="4">
        <v>44776</v>
      </c>
      <c r="B734" s="5">
        <v>0.48781249999999998</v>
      </c>
      <c r="C734" s="1">
        <v>1570</v>
      </c>
      <c r="D734" s="1">
        <v>13002595</v>
      </c>
      <c r="E734" s="1">
        <v>13</v>
      </c>
      <c r="F734" s="1">
        <v>22589</v>
      </c>
      <c r="G734" s="1" t="s">
        <v>18</v>
      </c>
      <c r="H734" s="1">
        <v>18</v>
      </c>
      <c r="I734" s="1">
        <v>443170</v>
      </c>
      <c r="J734" s="1" t="s">
        <v>112</v>
      </c>
      <c r="K734" s="1" t="s">
        <v>48</v>
      </c>
      <c r="L734" s="1" t="s">
        <v>49</v>
      </c>
      <c r="M734" s="1">
        <v>1</v>
      </c>
      <c r="N734" s="2">
        <v>56.55</v>
      </c>
      <c r="O734" s="3">
        <v>89</v>
      </c>
      <c r="P734" s="1">
        <v>8.66</v>
      </c>
      <c r="Q734" s="1">
        <v>9</v>
      </c>
      <c r="R734" s="1">
        <v>200010026823</v>
      </c>
      <c r="S734" s="1">
        <v>29</v>
      </c>
      <c r="T734" s="1">
        <v>1</v>
      </c>
      <c r="U734" s="1">
        <v>8</v>
      </c>
    </row>
    <row r="735" spans="1:21" x14ac:dyDescent="0.25">
      <c r="A735" s="4">
        <v>44776</v>
      </c>
      <c r="B735" s="5">
        <v>0.48996527777777776</v>
      </c>
      <c r="C735" s="1">
        <v>1571</v>
      </c>
      <c r="D735" s="1">
        <v>13002595</v>
      </c>
      <c r="E735" s="1">
        <v>13</v>
      </c>
      <c r="F735" s="1">
        <v>22589</v>
      </c>
      <c r="G735" s="1" t="s">
        <v>18</v>
      </c>
      <c r="H735" s="1">
        <v>18</v>
      </c>
      <c r="I735" s="1">
        <v>31353</v>
      </c>
      <c r="J735" s="1" t="s">
        <v>769</v>
      </c>
      <c r="K735" s="1" t="s">
        <v>114</v>
      </c>
      <c r="L735" s="1" t="s">
        <v>770</v>
      </c>
      <c r="M735" s="1">
        <v>1</v>
      </c>
      <c r="N735" s="2">
        <v>282.94</v>
      </c>
      <c r="O735" s="3">
        <v>431</v>
      </c>
      <c r="P735" s="1">
        <v>43</v>
      </c>
      <c r="Q735" s="1">
        <v>941</v>
      </c>
      <c r="R735" s="1">
        <v>200000000044</v>
      </c>
      <c r="S735" s="1">
        <v>29</v>
      </c>
      <c r="T735" s="1">
        <v>1</v>
      </c>
      <c r="U735" s="1">
        <v>3</v>
      </c>
    </row>
    <row r="736" spans="1:21" x14ac:dyDescent="0.25">
      <c r="A736" s="4">
        <v>44776</v>
      </c>
      <c r="B736" s="5">
        <v>0.48996527777777776</v>
      </c>
      <c r="C736" s="1">
        <v>1571</v>
      </c>
      <c r="D736" s="1">
        <v>13002595</v>
      </c>
      <c r="E736" s="1">
        <v>13</v>
      </c>
      <c r="F736" s="1">
        <v>22589</v>
      </c>
      <c r="G736" s="1" t="s">
        <v>18</v>
      </c>
      <c r="H736" s="1">
        <v>18</v>
      </c>
      <c r="I736" s="1">
        <v>394</v>
      </c>
      <c r="J736" s="1" t="s">
        <v>771</v>
      </c>
      <c r="K736" s="1" t="s">
        <v>31</v>
      </c>
      <c r="L736" s="1" t="s">
        <v>772</v>
      </c>
      <c r="M736" s="1">
        <v>1</v>
      </c>
      <c r="N736" s="2">
        <v>66.739999999999995</v>
      </c>
      <c r="O736" s="3">
        <v>83</v>
      </c>
      <c r="P736" s="1">
        <v>4</v>
      </c>
      <c r="Q736" s="1">
        <v>941</v>
      </c>
      <c r="R736" s="1">
        <v>200000000044</v>
      </c>
      <c r="S736" s="1">
        <v>29</v>
      </c>
      <c r="T736" s="1">
        <v>1</v>
      </c>
      <c r="U736" s="1">
        <v>1</v>
      </c>
    </row>
    <row r="737" spans="1:21" x14ac:dyDescent="0.25">
      <c r="A737" s="4">
        <v>44776</v>
      </c>
      <c r="B737" s="5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18</v>
      </c>
      <c r="H737" s="1">
        <v>18</v>
      </c>
      <c r="I737" s="1">
        <v>395</v>
      </c>
      <c r="J737" s="1" t="s">
        <v>773</v>
      </c>
      <c r="K737" s="1" t="s">
        <v>31</v>
      </c>
      <c r="L737" s="1" t="s">
        <v>772</v>
      </c>
      <c r="M737" s="1">
        <v>1</v>
      </c>
      <c r="N737" s="2">
        <v>61.75</v>
      </c>
      <c r="O737" s="3">
        <v>77</v>
      </c>
      <c r="P737" s="1">
        <v>3</v>
      </c>
      <c r="Q737" s="1">
        <v>941</v>
      </c>
      <c r="R737" s="1">
        <v>200000000044</v>
      </c>
      <c r="S737" s="1">
        <v>29</v>
      </c>
      <c r="T737" s="1">
        <v>1</v>
      </c>
      <c r="U737" s="1">
        <v>2</v>
      </c>
    </row>
    <row r="738" spans="1:21" x14ac:dyDescent="0.25">
      <c r="A738" s="4">
        <v>44776</v>
      </c>
      <c r="B738" s="5">
        <v>0.4959027777777778</v>
      </c>
      <c r="C738" s="1">
        <v>1572</v>
      </c>
      <c r="D738" s="1">
        <v>13002595</v>
      </c>
      <c r="E738" s="1">
        <v>13</v>
      </c>
      <c r="F738" s="1">
        <v>22589</v>
      </c>
      <c r="G738" s="1" t="s">
        <v>18</v>
      </c>
      <c r="H738" s="1">
        <v>15</v>
      </c>
      <c r="I738" s="1">
        <v>18836</v>
      </c>
      <c r="J738" s="1" t="s">
        <v>514</v>
      </c>
      <c r="K738" s="1" t="s">
        <v>48</v>
      </c>
      <c r="L738" s="1" t="s">
        <v>64</v>
      </c>
      <c r="M738" s="1">
        <v>1</v>
      </c>
      <c r="N738" s="2">
        <v>109.1</v>
      </c>
      <c r="O738" s="3">
        <v>123</v>
      </c>
      <c r="P738" s="1">
        <v>8</v>
      </c>
      <c r="Q738" s="1">
        <v>9</v>
      </c>
      <c r="R738" s="1">
        <v>200010015452</v>
      </c>
      <c r="S738" s="1">
        <v>29</v>
      </c>
      <c r="T738" s="1">
        <v>1</v>
      </c>
      <c r="U738" s="1">
        <v>2</v>
      </c>
    </row>
    <row r="739" spans="1:21" x14ac:dyDescent="0.25">
      <c r="A739" s="4">
        <v>44776</v>
      </c>
      <c r="B739" s="5">
        <v>0.54353009259259255</v>
      </c>
      <c r="C739" s="1">
        <v>1592</v>
      </c>
      <c r="D739" s="1">
        <v>13002595</v>
      </c>
      <c r="E739" s="1">
        <v>13</v>
      </c>
      <c r="F739" s="1">
        <v>22589</v>
      </c>
      <c r="G739" s="1" t="s">
        <v>18</v>
      </c>
      <c r="H739" s="1">
        <v>15</v>
      </c>
      <c r="I739" s="1">
        <v>18836</v>
      </c>
      <c r="J739" s="1" t="s">
        <v>514</v>
      </c>
      <c r="K739" s="1" t="s">
        <v>48</v>
      </c>
      <c r="L739" s="1" t="s">
        <v>64</v>
      </c>
      <c r="M739" s="1">
        <v>1</v>
      </c>
      <c r="N739" s="2">
        <v>109.1</v>
      </c>
      <c r="O739" s="3">
        <v>123</v>
      </c>
      <c r="P739" s="1">
        <v>14.82</v>
      </c>
      <c r="Q739" s="1">
        <v>925</v>
      </c>
      <c r="R739" s="1">
        <v>200000000492</v>
      </c>
      <c r="S739" s="1">
        <v>29</v>
      </c>
      <c r="T739" s="1">
        <v>1</v>
      </c>
      <c r="U739" s="1">
        <v>1</v>
      </c>
    </row>
    <row r="740" spans="1:21" x14ac:dyDescent="0.25">
      <c r="A740" s="4">
        <v>44776</v>
      </c>
      <c r="B740" s="5">
        <v>0.4959027777777778</v>
      </c>
      <c r="C740" s="1">
        <v>1572</v>
      </c>
      <c r="D740" s="1">
        <v>13002595</v>
      </c>
      <c r="E740" s="1">
        <v>13</v>
      </c>
      <c r="F740" s="1">
        <v>22589</v>
      </c>
      <c r="G740" s="1" t="s">
        <v>18</v>
      </c>
      <c r="H740" s="1">
        <v>15</v>
      </c>
      <c r="I740" s="1">
        <v>22872</v>
      </c>
      <c r="J740" s="1" t="s">
        <v>774</v>
      </c>
      <c r="K740" s="1" t="s">
        <v>249</v>
      </c>
      <c r="L740" s="1" t="s">
        <v>71</v>
      </c>
      <c r="M740" s="1">
        <v>1</v>
      </c>
      <c r="N740" s="2">
        <v>21.29</v>
      </c>
      <c r="O740" s="3">
        <v>35</v>
      </c>
      <c r="P740" s="1">
        <v>3</v>
      </c>
      <c r="Q740" s="1">
        <v>9</v>
      </c>
      <c r="R740" s="1">
        <v>200010015452</v>
      </c>
      <c r="S740" s="1">
        <v>29</v>
      </c>
      <c r="T740" s="1">
        <v>1</v>
      </c>
      <c r="U740" s="1">
        <v>1</v>
      </c>
    </row>
    <row r="741" spans="1:21" x14ac:dyDescent="0.25">
      <c r="A741" s="4">
        <v>44776</v>
      </c>
      <c r="B741" s="5">
        <v>0.49951388888888887</v>
      </c>
      <c r="C741" s="1">
        <v>1573</v>
      </c>
      <c r="D741" s="1">
        <v>13002595</v>
      </c>
      <c r="E741" s="1">
        <v>13</v>
      </c>
      <c r="F741" s="1">
        <v>22589</v>
      </c>
      <c r="G741" s="1" t="s">
        <v>18</v>
      </c>
      <c r="H741" s="1">
        <v>18</v>
      </c>
      <c r="I741" s="1">
        <v>25160</v>
      </c>
      <c r="J741" s="1" t="s">
        <v>775</v>
      </c>
      <c r="K741" s="1" t="s">
        <v>26</v>
      </c>
      <c r="L741" s="1" t="s">
        <v>776</v>
      </c>
      <c r="M741" s="1">
        <v>1</v>
      </c>
      <c r="N741" s="2">
        <v>1005.41</v>
      </c>
      <c r="O741" s="3">
        <v>1257</v>
      </c>
      <c r="P741" s="1">
        <v>87</v>
      </c>
      <c r="Q741" s="1">
        <v>9</v>
      </c>
      <c r="R741" s="1">
        <v>200010000795</v>
      </c>
      <c r="S741" s="1">
        <v>29</v>
      </c>
      <c r="T741" s="1">
        <v>1</v>
      </c>
      <c r="U741" s="1">
        <v>1</v>
      </c>
    </row>
    <row r="742" spans="1:21" x14ac:dyDescent="0.25">
      <c r="A742" s="4">
        <v>44776</v>
      </c>
      <c r="B742" s="5">
        <v>0.50384259259259256</v>
      </c>
      <c r="C742" s="1">
        <v>1574</v>
      </c>
      <c r="D742" s="1">
        <v>13002595</v>
      </c>
      <c r="E742" s="1">
        <v>13</v>
      </c>
      <c r="F742" s="1">
        <v>22589</v>
      </c>
      <c r="G742" s="1" t="s">
        <v>18</v>
      </c>
      <c r="H742" s="1">
        <v>18</v>
      </c>
      <c r="I742" s="1">
        <v>29373</v>
      </c>
      <c r="J742" s="1" t="s">
        <v>777</v>
      </c>
      <c r="K742" s="1" t="s">
        <v>48</v>
      </c>
      <c r="L742" s="1" t="s">
        <v>172</v>
      </c>
      <c r="M742" s="1">
        <v>1</v>
      </c>
      <c r="N742" s="2">
        <v>94.92</v>
      </c>
      <c r="O742" s="3">
        <v>120</v>
      </c>
      <c r="P742" s="1">
        <v>6</v>
      </c>
      <c r="Q742" s="1">
        <v>9</v>
      </c>
      <c r="R742" s="1">
        <v>200010010562</v>
      </c>
      <c r="S742" s="1">
        <v>29</v>
      </c>
      <c r="T742" s="1">
        <v>1</v>
      </c>
      <c r="U742" s="1">
        <v>1</v>
      </c>
    </row>
    <row r="743" spans="1:21" x14ac:dyDescent="0.25">
      <c r="A743" s="4">
        <v>44776</v>
      </c>
      <c r="B743" s="5">
        <v>0.50604166666666661</v>
      </c>
      <c r="C743" s="1">
        <v>1575</v>
      </c>
      <c r="D743" s="1">
        <v>13002595</v>
      </c>
      <c r="E743" s="1">
        <v>13</v>
      </c>
      <c r="F743" s="1">
        <v>22589</v>
      </c>
      <c r="G743" s="1" t="s">
        <v>18</v>
      </c>
      <c r="H743" s="1">
        <v>18</v>
      </c>
      <c r="I743" s="1">
        <v>22533</v>
      </c>
      <c r="J743" s="1" t="s">
        <v>153</v>
      </c>
      <c r="K743" s="1" t="s">
        <v>463</v>
      </c>
      <c r="L743" s="1" t="s">
        <v>778</v>
      </c>
      <c r="M743" s="1">
        <v>1</v>
      </c>
      <c r="N743" s="2">
        <v>145.63999999999999</v>
      </c>
      <c r="O743" s="3">
        <v>160</v>
      </c>
      <c r="P743" s="1">
        <v>0</v>
      </c>
      <c r="Q743" s="1" t="s">
        <v>22</v>
      </c>
      <c r="R743" s="1" t="s">
        <v>22</v>
      </c>
      <c r="S743" s="1">
        <v>29</v>
      </c>
      <c r="T743" s="1">
        <v>2</v>
      </c>
      <c r="U743" s="1">
        <v>10</v>
      </c>
    </row>
    <row r="744" spans="1:21" x14ac:dyDescent="0.25">
      <c r="A744" s="4">
        <v>44776</v>
      </c>
      <c r="B744" s="5">
        <v>0.50604166666666661</v>
      </c>
      <c r="C744" s="1">
        <v>1575</v>
      </c>
      <c r="D744" s="1">
        <v>13002595</v>
      </c>
      <c r="E744" s="1">
        <v>13</v>
      </c>
      <c r="F744" s="1">
        <v>22589</v>
      </c>
      <c r="G744" s="1" t="s">
        <v>18</v>
      </c>
      <c r="H744" s="1">
        <v>18</v>
      </c>
      <c r="I744" s="1">
        <v>22533</v>
      </c>
      <c r="J744" s="1" t="s">
        <v>153</v>
      </c>
      <c r="K744" s="1" t="s">
        <v>463</v>
      </c>
      <c r="L744" s="1" t="s">
        <v>778</v>
      </c>
      <c r="M744" s="1">
        <v>1</v>
      </c>
      <c r="N744" s="2">
        <v>145.63999999999999</v>
      </c>
      <c r="O744" s="3">
        <v>160</v>
      </c>
      <c r="P744" s="1">
        <v>0</v>
      </c>
      <c r="Q744" s="1" t="s">
        <v>22</v>
      </c>
      <c r="R744" s="1" t="s">
        <v>22</v>
      </c>
      <c r="S744" s="1">
        <v>29</v>
      </c>
      <c r="T744" s="1">
        <v>2</v>
      </c>
      <c r="U744" s="1">
        <v>11</v>
      </c>
    </row>
    <row r="745" spans="1:21" x14ac:dyDescent="0.25">
      <c r="A745" s="4">
        <v>44776</v>
      </c>
      <c r="B745" s="5">
        <v>0.50604166666666661</v>
      </c>
      <c r="C745" s="1">
        <v>1575</v>
      </c>
      <c r="D745" s="1">
        <v>13002595</v>
      </c>
      <c r="E745" s="1">
        <v>13</v>
      </c>
      <c r="F745" s="1">
        <v>22589</v>
      </c>
      <c r="G745" s="1" t="s">
        <v>18</v>
      </c>
      <c r="H745" s="1">
        <v>18</v>
      </c>
      <c r="I745" s="1">
        <v>3770</v>
      </c>
      <c r="J745" s="1" t="s">
        <v>779</v>
      </c>
      <c r="K745" s="1" t="s">
        <v>463</v>
      </c>
      <c r="L745" s="1" t="s">
        <v>252</v>
      </c>
      <c r="M745" s="1">
        <v>1</v>
      </c>
      <c r="N745" s="2">
        <v>167.09</v>
      </c>
      <c r="O745" s="3">
        <v>175</v>
      </c>
      <c r="P745" s="1">
        <v>0</v>
      </c>
      <c r="Q745" s="1" t="s">
        <v>22</v>
      </c>
      <c r="R745" s="1" t="s">
        <v>22</v>
      </c>
      <c r="S745" s="1">
        <v>29</v>
      </c>
      <c r="T745" s="1">
        <v>2</v>
      </c>
      <c r="U745" s="1">
        <v>9</v>
      </c>
    </row>
    <row r="746" spans="1:21" x14ac:dyDescent="0.25">
      <c r="A746" s="4">
        <v>44776</v>
      </c>
      <c r="B746" s="5">
        <v>0.50604166666666661</v>
      </c>
      <c r="C746" s="1">
        <v>1575</v>
      </c>
      <c r="D746" s="1">
        <v>13002595</v>
      </c>
      <c r="E746" s="1">
        <v>13</v>
      </c>
      <c r="F746" s="1">
        <v>22589</v>
      </c>
      <c r="G746" s="1" t="s">
        <v>18</v>
      </c>
      <c r="H746" s="1">
        <v>18</v>
      </c>
      <c r="I746" s="1">
        <v>298510</v>
      </c>
      <c r="J746" s="1" t="s">
        <v>226</v>
      </c>
      <c r="K746" s="1" t="s">
        <v>463</v>
      </c>
      <c r="L746" s="1" t="s">
        <v>227</v>
      </c>
      <c r="M746" s="1">
        <v>1</v>
      </c>
      <c r="N746" s="2">
        <v>64.680000000000007</v>
      </c>
      <c r="O746" s="3">
        <v>69</v>
      </c>
      <c r="P746" s="1">
        <v>0</v>
      </c>
      <c r="Q746" s="1" t="s">
        <v>22</v>
      </c>
      <c r="R746" s="1" t="s">
        <v>22</v>
      </c>
      <c r="S746" s="1">
        <v>29</v>
      </c>
      <c r="T746" s="1">
        <v>2</v>
      </c>
      <c r="U746" s="1">
        <v>15</v>
      </c>
    </row>
    <row r="747" spans="1:21" x14ac:dyDescent="0.25">
      <c r="A747" s="4">
        <v>44776</v>
      </c>
      <c r="B747" s="5">
        <v>0.50604166666666661</v>
      </c>
      <c r="C747" s="1">
        <v>1575</v>
      </c>
      <c r="D747" s="1">
        <v>13002595</v>
      </c>
      <c r="E747" s="1">
        <v>13</v>
      </c>
      <c r="F747" s="1">
        <v>22589</v>
      </c>
      <c r="G747" s="1" t="s">
        <v>18</v>
      </c>
      <c r="H747" s="1">
        <v>18</v>
      </c>
      <c r="I747" s="1">
        <v>298510</v>
      </c>
      <c r="J747" s="1" t="s">
        <v>226</v>
      </c>
      <c r="K747" s="1" t="s">
        <v>463</v>
      </c>
      <c r="L747" s="1" t="s">
        <v>227</v>
      </c>
      <c r="M747" s="1">
        <v>1</v>
      </c>
      <c r="N747" s="2">
        <v>64.680000000000007</v>
      </c>
      <c r="O747" s="3">
        <v>69</v>
      </c>
      <c r="P747" s="1">
        <v>0</v>
      </c>
      <c r="Q747" s="1" t="s">
        <v>22</v>
      </c>
      <c r="R747" s="1" t="s">
        <v>22</v>
      </c>
      <c r="S747" s="1">
        <v>29</v>
      </c>
      <c r="T747" s="1">
        <v>2</v>
      </c>
      <c r="U747" s="1">
        <v>16</v>
      </c>
    </row>
    <row r="748" spans="1:21" x14ac:dyDescent="0.25">
      <c r="A748" s="4">
        <v>44776</v>
      </c>
      <c r="B748" s="5">
        <v>0.50604166666666661</v>
      </c>
      <c r="C748" s="1">
        <v>1575</v>
      </c>
      <c r="D748" s="1">
        <v>13002595</v>
      </c>
      <c r="E748" s="1">
        <v>13</v>
      </c>
      <c r="F748" s="1">
        <v>22589</v>
      </c>
      <c r="G748" s="1" t="s">
        <v>18</v>
      </c>
      <c r="H748" s="1">
        <v>18</v>
      </c>
      <c r="I748" s="1">
        <v>430942</v>
      </c>
      <c r="J748" s="1" t="s">
        <v>780</v>
      </c>
      <c r="K748" s="1" t="s">
        <v>463</v>
      </c>
      <c r="L748" s="1" t="s">
        <v>101</v>
      </c>
      <c r="M748" s="1">
        <v>1</v>
      </c>
      <c r="N748" s="2">
        <v>67.760000000000005</v>
      </c>
      <c r="O748" s="3">
        <v>71</v>
      </c>
      <c r="P748" s="1">
        <v>0</v>
      </c>
      <c r="Q748" s="1" t="s">
        <v>22</v>
      </c>
      <c r="R748" s="1" t="s">
        <v>22</v>
      </c>
      <c r="S748" s="1">
        <v>29</v>
      </c>
      <c r="T748" s="1">
        <v>2</v>
      </c>
      <c r="U748" s="1">
        <v>4</v>
      </c>
    </row>
    <row r="749" spans="1:21" x14ac:dyDescent="0.25">
      <c r="A749" s="4">
        <v>44776</v>
      </c>
      <c r="B749" s="5">
        <v>0.50604166666666661</v>
      </c>
      <c r="C749" s="1">
        <v>1575</v>
      </c>
      <c r="D749" s="1">
        <v>13002595</v>
      </c>
      <c r="E749" s="1">
        <v>13</v>
      </c>
      <c r="F749" s="1">
        <v>22589</v>
      </c>
      <c r="G749" s="1" t="s">
        <v>18</v>
      </c>
      <c r="H749" s="1">
        <v>18</v>
      </c>
      <c r="I749" s="1">
        <v>430942</v>
      </c>
      <c r="J749" s="1" t="s">
        <v>780</v>
      </c>
      <c r="K749" s="1" t="s">
        <v>463</v>
      </c>
      <c r="L749" s="1" t="s">
        <v>101</v>
      </c>
      <c r="M749" s="1">
        <v>1</v>
      </c>
      <c r="N749" s="2">
        <v>67.760000000000005</v>
      </c>
      <c r="O749" s="3">
        <v>71</v>
      </c>
      <c r="P749" s="1">
        <v>0</v>
      </c>
      <c r="Q749" s="1" t="s">
        <v>22</v>
      </c>
      <c r="R749" s="1" t="s">
        <v>22</v>
      </c>
      <c r="S749" s="1">
        <v>29</v>
      </c>
      <c r="T749" s="1">
        <v>2</v>
      </c>
      <c r="U749" s="1">
        <v>5</v>
      </c>
    </row>
    <row r="750" spans="1:21" x14ac:dyDescent="0.25">
      <c r="A750" s="4">
        <v>44776</v>
      </c>
      <c r="B750" s="5">
        <v>0.50604166666666661</v>
      </c>
      <c r="C750" s="1">
        <v>1575</v>
      </c>
      <c r="D750" s="1">
        <v>13002595</v>
      </c>
      <c r="E750" s="1">
        <v>13</v>
      </c>
      <c r="F750" s="1">
        <v>22589</v>
      </c>
      <c r="G750" s="1" t="s">
        <v>18</v>
      </c>
      <c r="H750" s="1">
        <v>18</v>
      </c>
      <c r="I750" s="1">
        <v>430942</v>
      </c>
      <c r="J750" s="1" t="s">
        <v>780</v>
      </c>
      <c r="K750" s="1" t="s">
        <v>463</v>
      </c>
      <c r="L750" s="1" t="s">
        <v>101</v>
      </c>
      <c r="M750" s="1">
        <v>1</v>
      </c>
      <c r="N750" s="2">
        <v>67.760000000000005</v>
      </c>
      <c r="O750" s="3">
        <v>71</v>
      </c>
      <c r="P750" s="1">
        <v>0</v>
      </c>
      <c r="Q750" s="1" t="s">
        <v>22</v>
      </c>
      <c r="R750" s="1" t="s">
        <v>22</v>
      </c>
      <c r="S750" s="1">
        <v>29</v>
      </c>
      <c r="T750" s="1">
        <v>2</v>
      </c>
      <c r="U750" s="1">
        <v>6</v>
      </c>
    </row>
    <row r="751" spans="1:21" x14ac:dyDescent="0.25">
      <c r="A751" s="4">
        <v>44776</v>
      </c>
      <c r="B751" s="5">
        <v>0.50604166666666661</v>
      </c>
      <c r="C751" s="1">
        <v>1575</v>
      </c>
      <c r="D751" s="1">
        <v>13002595</v>
      </c>
      <c r="E751" s="1">
        <v>13</v>
      </c>
      <c r="F751" s="1">
        <v>22589</v>
      </c>
      <c r="G751" s="1" t="s">
        <v>18</v>
      </c>
      <c r="H751" s="1">
        <v>18</v>
      </c>
      <c r="I751" s="1">
        <v>338370</v>
      </c>
      <c r="J751" s="1" t="s">
        <v>759</v>
      </c>
      <c r="K751" s="1" t="s">
        <v>463</v>
      </c>
      <c r="L751" s="1" t="s">
        <v>273</v>
      </c>
      <c r="M751" s="1">
        <v>1</v>
      </c>
      <c r="N751" s="2">
        <v>2814.35</v>
      </c>
      <c r="O751" s="3">
        <v>2947</v>
      </c>
      <c r="P751" s="1">
        <v>0</v>
      </c>
      <c r="Q751" s="1" t="s">
        <v>22</v>
      </c>
      <c r="R751" s="1" t="s">
        <v>22</v>
      </c>
      <c r="S751" s="1">
        <v>29</v>
      </c>
      <c r="T751" s="1">
        <v>2</v>
      </c>
      <c r="U751" s="1">
        <v>7</v>
      </c>
    </row>
    <row r="752" spans="1:21" x14ac:dyDescent="0.25">
      <c r="A752" s="4">
        <v>44776</v>
      </c>
      <c r="B752" s="5">
        <v>0.50604166666666661</v>
      </c>
      <c r="C752" s="1">
        <v>1575</v>
      </c>
      <c r="D752" s="1">
        <v>13002595</v>
      </c>
      <c r="E752" s="1">
        <v>13</v>
      </c>
      <c r="F752" s="1">
        <v>22589</v>
      </c>
      <c r="G752" s="1" t="s">
        <v>18</v>
      </c>
      <c r="H752" s="1">
        <v>18</v>
      </c>
      <c r="I752" s="1">
        <v>338370</v>
      </c>
      <c r="J752" s="1" t="s">
        <v>759</v>
      </c>
      <c r="K752" s="1" t="s">
        <v>463</v>
      </c>
      <c r="L752" s="1" t="s">
        <v>273</v>
      </c>
      <c r="M752" s="1">
        <v>1</v>
      </c>
      <c r="N752" s="2">
        <v>2814.35</v>
      </c>
      <c r="O752" s="3">
        <v>2947</v>
      </c>
      <c r="P752" s="1">
        <v>0</v>
      </c>
      <c r="Q752" s="1" t="s">
        <v>22</v>
      </c>
      <c r="R752" s="1" t="s">
        <v>22</v>
      </c>
      <c r="S752" s="1">
        <v>29</v>
      </c>
      <c r="T752" s="1">
        <v>2</v>
      </c>
      <c r="U752" s="1">
        <v>8</v>
      </c>
    </row>
    <row r="753" spans="1:21" x14ac:dyDescent="0.25">
      <c r="A753" s="4">
        <v>44776</v>
      </c>
      <c r="B753" s="5">
        <v>0.50604166666666661</v>
      </c>
      <c r="C753" s="1">
        <v>1575</v>
      </c>
      <c r="D753" s="1">
        <v>13002595</v>
      </c>
      <c r="E753" s="1">
        <v>13</v>
      </c>
      <c r="F753" s="1">
        <v>22589</v>
      </c>
      <c r="G753" s="1" t="s">
        <v>18</v>
      </c>
      <c r="H753" s="1">
        <v>18</v>
      </c>
      <c r="I753" s="1">
        <v>124404</v>
      </c>
      <c r="J753" s="1" t="s">
        <v>781</v>
      </c>
      <c r="K753" s="1" t="s">
        <v>463</v>
      </c>
      <c r="L753" s="1" t="s">
        <v>273</v>
      </c>
      <c r="M753" s="1">
        <v>1</v>
      </c>
      <c r="N753" s="2">
        <v>643.61</v>
      </c>
      <c r="O753" s="3">
        <v>674</v>
      </c>
      <c r="P753" s="1">
        <v>0</v>
      </c>
      <c r="Q753" s="1" t="s">
        <v>22</v>
      </c>
      <c r="R753" s="1" t="s">
        <v>22</v>
      </c>
      <c r="S753" s="1">
        <v>29</v>
      </c>
      <c r="T753" s="1">
        <v>2</v>
      </c>
      <c r="U753" s="1">
        <v>13</v>
      </c>
    </row>
    <row r="754" spans="1:21" x14ac:dyDescent="0.25">
      <c r="A754" s="4">
        <v>44776</v>
      </c>
      <c r="B754" s="5">
        <v>0.50604166666666661</v>
      </c>
      <c r="C754" s="1">
        <v>1575</v>
      </c>
      <c r="D754" s="1">
        <v>13002595</v>
      </c>
      <c r="E754" s="1">
        <v>13</v>
      </c>
      <c r="F754" s="1">
        <v>22589</v>
      </c>
      <c r="G754" s="1" t="s">
        <v>18</v>
      </c>
      <c r="H754" s="1">
        <v>18</v>
      </c>
      <c r="I754" s="1">
        <v>124493</v>
      </c>
      <c r="J754" s="1" t="s">
        <v>782</v>
      </c>
      <c r="K754" s="1" t="s">
        <v>463</v>
      </c>
      <c r="L754" s="1" t="s">
        <v>273</v>
      </c>
      <c r="M754" s="1">
        <v>1</v>
      </c>
      <c r="N754" s="2">
        <v>886.16</v>
      </c>
      <c r="O754" s="3">
        <v>928</v>
      </c>
      <c r="P754" s="1">
        <v>0</v>
      </c>
      <c r="Q754" s="1" t="s">
        <v>22</v>
      </c>
      <c r="R754" s="1" t="s">
        <v>22</v>
      </c>
      <c r="S754" s="1">
        <v>29</v>
      </c>
      <c r="T754" s="1">
        <v>2</v>
      </c>
      <c r="U754" s="1">
        <v>12</v>
      </c>
    </row>
    <row r="755" spans="1:21" x14ac:dyDescent="0.25">
      <c r="A755" s="4">
        <v>44776</v>
      </c>
      <c r="B755" s="5">
        <v>0.50604166666666661</v>
      </c>
      <c r="C755" s="1">
        <v>1575</v>
      </c>
      <c r="D755" s="1">
        <v>13002595</v>
      </c>
      <c r="E755" s="1">
        <v>13</v>
      </c>
      <c r="F755" s="1">
        <v>22589</v>
      </c>
      <c r="G755" s="1" t="s">
        <v>18</v>
      </c>
      <c r="H755" s="1">
        <v>18</v>
      </c>
      <c r="I755" s="1">
        <v>285448</v>
      </c>
      <c r="J755" s="1" t="s">
        <v>783</v>
      </c>
      <c r="K755" s="1" t="s">
        <v>463</v>
      </c>
      <c r="L755" s="1" t="s">
        <v>36</v>
      </c>
      <c r="M755" s="1">
        <v>1</v>
      </c>
      <c r="N755" s="2">
        <v>1032.3499999999999</v>
      </c>
      <c r="O755" s="3">
        <v>1081</v>
      </c>
      <c r="P755" s="1">
        <v>0</v>
      </c>
      <c r="Q755" s="1" t="s">
        <v>22</v>
      </c>
      <c r="R755" s="1" t="s">
        <v>22</v>
      </c>
      <c r="S755" s="1">
        <v>29</v>
      </c>
      <c r="T755" s="1">
        <v>2</v>
      </c>
      <c r="U755" s="1">
        <v>2</v>
      </c>
    </row>
    <row r="756" spans="1:21" x14ac:dyDescent="0.25">
      <c r="A756" s="4">
        <v>44776</v>
      </c>
      <c r="B756" s="5">
        <v>0.50604166666666661</v>
      </c>
      <c r="C756" s="1">
        <v>1575</v>
      </c>
      <c r="D756" s="1">
        <v>13002595</v>
      </c>
      <c r="E756" s="1">
        <v>13</v>
      </c>
      <c r="F756" s="1">
        <v>22589</v>
      </c>
      <c r="G756" s="1" t="s">
        <v>18</v>
      </c>
      <c r="H756" s="1">
        <v>18</v>
      </c>
      <c r="I756" s="1">
        <v>338488</v>
      </c>
      <c r="J756" s="1" t="s">
        <v>784</v>
      </c>
      <c r="K756" s="1" t="s">
        <v>463</v>
      </c>
      <c r="L756" s="1" t="s">
        <v>34</v>
      </c>
      <c r="M756" s="1">
        <v>1</v>
      </c>
      <c r="N756" s="2">
        <v>286.44</v>
      </c>
      <c r="O756" s="3">
        <v>300</v>
      </c>
      <c r="P756" s="1">
        <v>0</v>
      </c>
      <c r="Q756" s="1" t="s">
        <v>22</v>
      </c>
      <c r="R756" s="1" t="s">
        <v>22</v>
      </c>
      <c r="S756" s="1">
        <v>29</v>
      </c>
      <c r="T756" s="1">
        <v>2</v>
      </c>
      <c r="U756" s="1">
        <v>1</v>
      </c>
    </row>
    <row r="757" spans="1:21" x14ac:dyDescent="0.25">
      <c r="A757" s="4">
        <v>44776</v>
      </c>
      <c r="B757" s="5">
        <v>0.50604166666666661</v>
      </c>
      <c r="C757" s="1">
        <v>1575</v>
      </c>
      <c r="D757" s="1">
        <v>13002595</v>
      </c>
      <c r="E757" s="1">
        <v>13</v>
      </c>
      <c r="F757" s="1">
        <v>22589</v>
      </c>
      <c r="G757" s="1" t="s">
        <v>18</v>
      </c>
      <c r="H757" s="1">
        <v>18</v>
      </c>
      <c r="I757" s="1">
        <v>381540</v>
      </c>
      <c r="J757" s="1" t="s">
        <v>785</v>
      </c>
      <c r="K757" s="1" t="s">
        <v>463</v>
      </c>
      <c r="L757" s="1" t="s">
        <v>786</v>
      </c>
      <c r="M757" s="1">
        <v>1</v>
      </c>
      <c r="N757" s="2">
        <v>3325.3</v>
      </c>
      <c r="O757" s="3">
        <v>3482</v>
      </c>
      <c r="P757" s="1">
        <v>0</v>
      </c>
      <c r="Q757" s="1" t="s">
        <v>22</v>
      </c>
      <c r="R757" s="1" t="s">
        <v>22</v>
      </c>
      <c r="S757" s="1">
        <v>29</v>
      </c>
      <c r="T757" s="1">
        <v>2</v>
      </c>
      <c r="U757" s="1">
        <v>3</v>
      </c>
    </row>
    <row r="758" spans="1:21" x14ac:dyDescent="0.25">
      <c r="A758" s="4">
        <v>44776</v>
      </c>
      <c r="B758" s="5">
        <v>0.50604166666666661</v>
      </c>
      <c r="C758" s="1">
        <v>1575</v>
      </c>
      <c r="D758" s="1">
        <v>13002595</v>
      </c>
      <c r="E758" s="1">
        <v>13</v>
      </c>
      <c r="F758" s="1">
        <v>22589</v>
      </c>
      <c r="G758" s="1" t="s">
        <v>18</v>
      </c>
      <c r="H758" s="1">
        <v>18</v>
      </c>
      <c r="I758" s="1">
        <v>1141</v>
      </c>
      <c r="J758" s="1" t="s">
        <v>787</v>
      </c>
      <c r="K758" s="1" t="s">
        <v>463</v>
      </c>
      <c r="L758" s="1" t="s">
        <v>788</v>
      </c>
      <c r="M758" s="1">
        <v>1</v>
      </c>
      <c r="N758" s="2">
        <v>446.93</v>
      </c>
      <c r="O758" s="3">
        <v>468</v>
      </c>
      <c r="P758" s="1">
        <v>0</v>
      </c>
      <c r="Q758" s="1" t="s">
        <v>22</v>
      </c>
      <c r="R758" s="1" t="s">
        <v>22</v>
      </c>
      <c r="S758" s="1">
        <v>29</v>
      </c>
      <c r="T758" s="1">
        <v>2</v>
      </c>
      <c r="U758" s="1">
        <v>14</v>
      </c>
    </row>
    <row r="759" spans="1:21" x14ac:dyDescent="0.25">
      <c r="A759" s="4">
        <v>44776</v>
      </c>
      <c r="B759" s="5">
        <v>0.50671296296296298</v>
      </c>
      <c r="C759" s="1">
        <v>1576</v>
      </c>
      <c r="D759" s="1">
        <v>13002595</v>
      </c>
      <c r="E759" s="1">
        <v>13</v>
      </c>
      <c r="F759" s="1">
        <v>22589</v>
      </c>
      <c r="G759" s="1" t="s">
        <v>18</v>
      </c>
      <c r="H759" s="1">
        <v>18</v>
      </c>
      <c r="I759" s="1">
        <v>4773</v>
      </c>
      <c r="J759" s="1" t="s">
        <v>395</v>
      </c>
      <c r="K759" s="1" t="s">
        <v>42</v>
      </c>
      <c r="L759" s="1" t="s">
        <v>396</v>
      </c>
      <c r="M759" s="1">
        <v>1</v>
      </c>
      <c r="N759" s="2">
        <v>86.27</v>
      </c>
      <c r="O759" s="3">
        <v>105</v>
      </c>
      <c r="P759" s="1">
        <v>0</v>
      </c>
      <c r="Q759" s="1" t="s">
        <v>22</v>
      </c>
      <c r="R759" s="1" t="s">
        <v>22</v>
      </c>
      <c r="S759" s="1">
        <v>29</v>
      </c>
      <c r="T759" s="1">
        <v>1</v>
      </c>
      <c r="U759" s="1">
        <v>1</v>
      </c>
    </row>
    <row r="760" spans="1:21" x14ac:dyDescent="0.25">
      <c r="A760" s="4">
        <v>44776</v>
      </c>
      <c r="B760" s="5">
        <v>0.50773148148148151</v>
      </c>
      <c r="C760" s="1">
        <v>1577</v>
      </c>
      <c r="D760" s="1">
        <v>13002595</v>
      </c>
      <c r="E760" s="1">
        <v>13</v>
      </c>
      <c r="F760" s="1">
        <v>22589</v>
      </c>
      <c r="G760" s="1" t="s">
        <v>18</v>
      </c>
      <c r="H760" s="1">
        <v>18</v>
      </c>
      <c r="I760" s="1">
        <v>379</v>
      </c>
      <c r="J760" s="1" t="s">
        <v>789</v>
      </c>
      <c r="K760" s="1" t="s">
        <v>138</v>
      </c>
      <c r="L760" s="1" t="s">
        <v>790</v>
      </c>
      <c r="M760" s="1">
        <v>1</v>
      </c>
      <c r="N760" s="2">
        <v>15.62</v>
      </c>
      <c r="O760" s="3">
        <v>26</v>
      </c>
      <c r="P760" s="1">
        <v>0</v>
      </c>
      <c r="Q760" s="1" t="s">
        <v>22</v>
      </c>
      <c r="R760" s="1" t="s">
        <v>22</v>
      </c>
      <c r="S760" s="1">
        <v>29</v>
      </c>
      <c r="T760" s="1">
        <v>1</v>
      </c>
      <c r="U760" s="1">
        <v>1</v>
      </c>
    </row>
    <row r="761" spans="1:21" x14ac:dyDescent="0.25">
      <c r="A761" s="4">
        <v>44776</v>
      </c>
      <c r="B761" s="5">
        <v>0.5118287037037037</v>
      </c>
      <c r="C761" s="1">
        <v>1578</v>
      </c>
      <c r="D761" s="1">
        <v>13002595</v>
      </c>
      <c r="E761" s="1">
        <v>13</v>
      </c>
      <c r="F761" s="1">
        <v>22589</v>
      </c>
      <c r="G761" s="1" t="s">
        <v>18</v>
      </c>
      <c r="H761" s="1">
        <v>15</v>
      </c>
      <c r="I761" s="1">
        <v>52536</v>
      </c>
      <c r="J761" s="1" t="s">
        <v>791</v>
      </c>
      <c r="K761" s="1" t="s">
        <v>26</v>
      </c>
      <c r="L761" s="1" t="s">
        <v>792</v>
      </c>
      <c r="M761" s="1">
        <v>2</v>
      </c>
      <c r="N761" s="2">
        <v>157.02000000000001</v>
      </c>
      <c r="O761" s="3">
        <v>244</v>
      </c>
      <c r="P761" s="1">
        <v>48</v>
      </c>
      <c r="Q761" s="1">
        <v>9</v>
      </c>
      <c r="R761" s="1">
        <v>200010001782</v>
      </c>
      <c r="S761" s="1">
        <v>29</v>
      </c>
      <c r="T761" s="1">
        <v>1</v>
      </c>
      <c r="U761" s="1">
        <v>1</v>
      </c>
    </row>
    <row r="762" spans="1:21" x14ac:dyDescent="0.25">
      <c r="A762" s="4">
        <v>44776</v>
      </c>
      <c r="B762" s="5">
        <v>0.5118287037037037</v>
      </c>
      <c r="C762" s="1">
        <v>1578</v>
      </c>
      <c r="D762" s="1">
        <v>13002595</v>
      </c>
      <c r="E762" s="1">
        <v>13</v>
      </c>
      <c r="F762" s="1">
        <v>22589</v>
      </c>
      <c r="G762" s="1" t="s">
        <v>18</v>
      </c>
      <c r="H762" s="1">
        <v>15</v>
      </c>
      <c r="I762" s="1">
        <v>255</v>
      </c>
      <c r="J762" s="1" t="s">
        <v>793</v>
      </c>
      <c r="K762" s="1" t="s">
        <v>20</v>
      </c>
      <c r="L762" s="1" t="s">
        <v>794</v>
      </c>
      <c r="M762" s="1">
        <v>1</v>
      </c>
      <c r="N762" s="2">
        <v>510.74</v>
      </c>
      <c r="O762" s="3">
        <v>659</v>
      </c>
      <c r="P762" s="1">
        <v>46</v>
      </c>
      <c r="Q762" s="1">
        <v>9</v>
      </c>
      <c r="R762" s="1">
        <v>200010001782</v>
      </c>
      <c r="S762" s="1">
        <v>29</v>
      </c>
      <c r="T762" s="1">
        <v>1</v>
      </c>
      <c r="U762" s="1">
        <v>2</v>
      </c>
    </row>
    <row r="763" spans="1:21" x14ac:dyDescent="0.25">
      <c r="A763" s="4">
        <v>44776</v>
      </c>
      <c r="B763" s="5">
        <v>0.5118287037037037</v>
      </c>
      <c r="C763" s="1">
        <v>1578</v>
      </c>
      <c r="D763" s="1">
        <v>13002595</v>
      </c>
      <c r="E763" s="1">
        <v>13</v>
      </c>
      <c r="F763" s="1">
        <v>22589</v>
      </c>
      <c r="G763" s="1" t="s">
        <v>18</v>
      </c>
      <c r="H763" s="1">
        <v>15</v>
      </c>
      <c r="I763" s="1">
        <v>588818</v>
      </c>
      <c r="J763" s="1" t="s">
        <v>795</v>
      </c>
      <c r="K763" s="1" t="s">
        <v>26</v>
      </c>
      <c r="L763" s="1" t="s">
        <v>796</v>
      </c>
      <c r="M763" s="1">
        <v>1</v>
      </c>
      <c r="N763" s="2">
        <v>152.22</v>
      </c>
      <c r="O763" s="3">
        <v>183</v>
      </c>
      <c r="P763" s="1">
        <v>9</v>
      </c>
      <c r="Q763" s="1">
        <v>9</v>
      </c>
      <c r="R763" s="1">
        <v>200010001782</v>
      </c>
      <c r="S763" s="1">
        <v>29</v>
      </c>
      <c r="T763" s="1">
        <v>1</v>
      </c>
      <c r="U763" s="1">
        <v>3</v>
      </c>
    </row>
    <row r="764" spans="1:21" x14ac:dyDescent="0.25">
      <c r="A764" s="4">
        <v>44776</v>
      </c>
      <c r="B764" s="5">
        <v>0.5125925925925926</v>
      </c>
      <c r="C764" s="1">
        <v>1579</v>
      </c>
      <c r="D764" s="1">
        <v>13002595</v>
      </c>
      <c r="E764" s="1">
        <v>13</v>
      </c>
      <c r="F764" s="1">
        <v>22589</v>
      </c>
      <c r="G764" s="1" t="s">
        <v>18</v>
      </c>
      <c r="H764" s="1">
        <v>15</v>
      </c>
      <c r="I764" s="1">
        <v>362139</v>
      </c>
      <c r="J764" s="1" t="s">
        <v>797</v>
      </c>
      <c r="K764" s="1" t="s">
        <v>138</v>
      </c>
      <c r="L764" s="1" t="s">
        <v>271</v>
      </c>
      <c r="M764" s="1">
        <v>1</v>
      </c>
      <c r="N764" s="2">
        <v>36.4</v>
      </c>
      <c r="O764" s="3">
        <v>56</v>
      </c>
      <c r="P764" s="1">
        <v>3</v>
      </c>
      <c r="Q764" s="1">
        <v>9</v>
      </c>
      <c r="R764" s="1">
        <v>200010022009</v>
      </c>
      <c r="S764" s="1">
        <v>29</v>
      </c>
      <c r="T764" s="1">
        <v>1</v>
      </c>
      <c r="U764" s="1">
        <v>1</v>
      </c>
    </row>
    <row r="765" spans="1:21" x14ac:dyDescent="0.25">
      <c r="A765" s="4">
        <v>44776</v>
      </c>
      <c r="B765" s="5">
        <v>0.5125925925925926</v>
      </c>
      <c r="C765" s="1">
        <v>1579</v>
      </c>
      <c r="D765" s="1">
        <v>13002595</v>
      </c>
      <c r="E765" s="1">
        <v>13</v>
      </c>
      <c r="F765" s="1">
        <v>22589</v>
      </c>
      <c r="G765" s="1" t="s">
        <v>18</v>
      </c>
      <c r="H765" s="1">
        <v>15</v>
      </c>
      <c r="I765" s="1">
        <v>362139</v>
      </c>
      <c r="J765" s="1" t="s">
        <v>797</v>
      </c>
      <c r="K765" s="1" t="s">
        <v>42</v>
      </c>
      <c r="L765" s="1" t="s">
        <v>271</v>
      </c>
      <c r="M765" s="1">
        <v>1</v>
      </c>
      <c r="N765" s="2">
        <v>32.82</v>
      </c>
      <c r="O765" s="3">
        <v>50</v>
      </c>
      <c r="P765" s="1">
        <v>3</v>
      </c>
      <c r="Q765" s="1">
        <v>9</v>
      </c>
      <c r="R765" s="1">
        <v>200010022009</v>
      </c>
      <c r="S765" s="1">
        <v>29</v>
      </c>
      <c r="T765" s="1">
        <v>1</v>
      </c>
      <c r="U765" s="1">
        <v>2</v>
      </c>
    </row>
    <row r="766" spans="1:21" x14ac:dyDescent="0.25">
      <c r="A766" s="4">
        <v>44776</v>
      </c>
      <c r="B766" s="5">
        <v>0.51296296296296295</v>
      </c>
      <c r="C766" s="1">
        <v>1580</v>
      </c>
      <c r="D766" s="1">
        <v>13002595</v>
      </c>
      <c r="E766" s="1">
        <v>13</v>
      </c>
      <c r="F766" s="1">
        <v>22589</v>
      </c>
      <c r="G766" s="1" t="s">
        <v>18</v>
      </c>
      <c r="H766" s="1">
        <v>15</v>
      </c>
      <c r="I766" s="1">
        <v>1873</v>
      </c>
      <c r="J766" s="1" t="s">
        <v>798</v>
      </c>
      <c r="K766" s="1" t="s">
        <v>42</v>
      </c>
      <c r="L766" s="1" t="s">
        <v>799</v>
      </c>
      <c r="M766" s="1">
        <v>1</v>
      </c>
      <c r="N766" s="2">
        <v>279.62</v>
      </c>
      <c r="O766" s="3">
        <v>378</v>
      </c>
      <c r="P766" s="1">
        <v>26</v>
      </c>
      <c r="Q766" s="1">
        <v>9</v>
      </c>
      <c r="R766" s="1">
        <v>200010001758</v>
      </c>
      <c r="S766" s="1">
        <v>29</v>
      </c>
      <c r="T766" s="1">
        <v>1</v>
      </c>
      <c r="U766" s="1">
        <v>1</v>
      </c>
    </row>
    <row r="767" spans="1:21" x14ac:dyDescent="0.25">
      <c r="A767" s="4">
        <v>44776</v>
      </c>
      <c r="B767" s="5">
        <v>0.51966435185185189</v>
      </c>
      <c r="C767" s="1">
        <v>1581</v>
      </c>
      <c r="D767" s="1">
        <v>13002595</v>
      </c>
      <c r="E767" s="1">
        <v>13</v>
      </c>
      <c r="F767" s="1">
        <v>22589</v>
      </c>
      <c r="G767" s="1" t="s">
        <v>18</v>
      </c>
      <c r="H767" s="1">
        <v>18</v>
      </c>
      <c r="I767" s="1">
        <v>339843</v>
      </c>
      <c r="J767" s="1" t="s">
        <v>248</v>
      </c>
      <c r="K767" s="1" t="s">
        <v>249</v>
      </c>
      <c r="L767" s="1" t="s">
        <v>250</v>
      </c>
      <c r="M767" s="1">
        <v>1</v>
      </c>
      <c r="N767" s="2">
        <v>140.97</v>
      </c>
      <c r="O767" s="3">
        <v>219</v>
      </c>
      <c r="P767" s="1">
        <v>21</v>
      </c>
      <c r="Q767" s="1">
        <v>30</v>
      </c>
      <c r="R767" s="1">
        <v>200000000024</v>
      </c>
      <c r="S767" s="1">
        <v>29</v>
      </c>
      <c r="T767" s="1">
        <v>1</v>
      </c>
      <c r="U767" s="1">
        <v>1</v>
      </c>
    </row>
    <row r="768" spans="1:21" x14ac:dyDescent="0.25">
      <c r="A768" s="4">
        <v>44776</v>
      </c>
      <c r="B768" s="5">
        <v>0.53063657407407405</v>
      </c>
      <c r="C768" s="1">
        <v>1586</v>
      </c>
      <c r="D768" s="1">
        <v>13002595</v>
      </c>
      <c r="E768" s="1">
        <v>13</v>
      </c>
      <c r="F768" s="1">
        <v>22589</v>
      </c>
      <c r="G768" s="1" t="s">
        <v>18</v>
      </c>
      <c r="H768" s="1">
        <v>15</v>
      </c>
      <c r="I768" s="1">
        <v>339843</v>
      </c>
      <c r="J768" s="1" t="s">
        <v>248</v>
      </c>
      <c r="K768" s="1" t="s">
        <v>249</v>
      </c>
      <c r="L768" s="1" t="s">
        <v>250</v>
      </c>
      <c r="M768" s="1">
        <v>1</v>
      </c>
      <c r="N768" s="2">
        <v>140.97</v>
      </c>
      <c r="O768" s="3">
        <v>219</v>
      </c>
      <c r="P768" s="1">
        <v>21</v>
      </c>
      <c r="Q768" s="1">
        <v>30</v>
      </c>
      <c r="R768" s="1">
        <v>200000000024</v>
      </c>
      <c r="S768" s="1">
        <v>29</v>
      </c>
      <c r="T768" s="1">
        <v>1</v>
      </c>
      <c r="U768" s="1">
        <v>3</v>
      </c>
    </row>
    <row r="769" spans="1:21" x14ac:dyDescent="0.25">
      <c r="A769" s="4">
        <v>44776</v>
      </c>
      <c r="B769" s="5">
        <v>0.52075231481481477</v>
      </c>
      <c r="C769" s="1">
        <v>1582</v>
      </c>
      <c r="D769" s="1">
        <v>13002595</v>
      </c>
      <c r="E769" s="1">
        <v>13</v>
      </c>
      <c r="F769" s="1">
        <v>22589</v>
      </c>
      <c r="G769" s="1" t="s">
        <v>18</v>
      </c>
      <c r="H769" s="1">
        <v>18</v>
      </c>
      <c r="I769" s="1">
        <v>364619</v>
      </c>
      <c r="J769" s="1" t="s">
        <v>800</v>
      </c>
      <c r="K769" s="1" t="s">
        <v>48</v>
      </c>
      <c r="L769" s="1" t="s">
        <v>665</v>
      </c>
      <c r="M769" s="1">
        <v>0.01</v>
      </c>
      <c r="N769" s="2">
        <v>645.79</v>
      </c>
      <c r="O769" s="3">
        <v>918</v>
      </c>
      <c r="P769" s="1">
        <v>0.18</v>
      </c>
      <c r="Q769" s="1">
        <v>9</v>
      </c>
      <c r="R769" s="1">
        <v>200010022554</v>
      </c>
      <c r="S769" s="1">
        <v>29</v>
      </c>
      <c r="T769" s="1">
        <v>1</v>
      </c>
      <c r="U769" s="1">
        <v>2</v>
      </c>
    </row>
    <row r="770" spans="1:21" x14ac:dyDescent="0.25">
      <c r="A770" s="4">
        <v>44776</v>
      </c>
      <c r="B770" s="5">
        <v>0.52075231481481477</v>
      </c>
      <c r="C770" s="1">
        <v>1582</v>
      </c>
      <c r="D770" s="1">
        <v>13002595</v>
      </c>
      <c r="E770" s="1">
        <v>13</v>
      </c>
      <c r="F770" s="1">
        <v>22589</v>
      </c>
      <c r="G770" s="1" t="s">
        <v>18</v>
      </c>
      <c r="H770" s="1">
        <v>18</v>
      </c>
      <c r="I770" s="1">
        <v>9957</v>
      </c>
      <c r="J770" s="1" t="s">
        <v>801</v>
      </c>
      <c r="K770" s="1" t="s">
        <v>58</v>
      </c>
      <c r="L770" s="1" t="s">
        <v>296</v>
      </c>
      <c r="M770" s="1">
        <v>0.1</v>
      </c>
      <c r="N770" s="2">
        <v>911.57</v>
      </c>
      <c r="O770" s="3">
        <v>1176</v>
      </c>
      <c r="P770" s="1">
        <v>7.6</v>
      </c>
      <c r="Q770" s="1">
        <v>9</v>
      </c>
      <c r="R770" s="1">
        <v>200010022554</v>
      </c>
      <c r="S770" s="1">
        <v>29</v>
      </c>
      <c r="T770" s="1">
        <v>1</v>
      </c>
      <c r="U770" s="1">
        <v>1</v>
      </c>
    </row>
    <row r="771" spans="1:21" x14ac:dyDescent="0.25">
      <c r="A771" s="4">
        <v>44776</v>
      </c>
      <c r="B771" s="5">
        <v>0.52214120370370365</v>
      </c>
      <c r="C771" s="1">
        <v>1583</v>
      </c>
      <c r="D771" s="1">
        <v>13002595</v>
      </c>
      <c r="E771" s="1">
        <v>13</v>
      </c>
      <c r="F771" s="1">
        <v>22589</v>
      </c>
      <c r="G771" s="1" t="s">
        <v>18</v>
      </c>
      <c r="H771" s="1">
        <v>18</v>
      </c>
      <c r="I771" s="1">
        <v>299026</v>
      </c>
      <c r="J771" s="1" t="s">
        <v>802</v>
      </c>
      <c r="K771" s="1" t="s">
        <v>48</v>
      </c>
      <c r="L771" s="1" t="s">
        <v>77</v>
      </c>
      <c r="M771" s="1">
        <v>1</v>
      </c>
      <c r="N771" s="2">
        <v>157.66</v>
      </c>
      <c r="O771" s="3">
        <v>245</v>
      </c>
      <c r="P771" s="1">
        <v>0</v>
      </c>
      <c r="Q771" s="1" t="s">
        <v>22</v>
      </c>
      <c r="R771" s="1" t="s">
        <v>22</v>
      </c>
      <c r="S771" s="1">
        <v>29</v>
      </c>
      <c r="T771" s="1">
        <v>1</v>
      </c>
      <c r="U771" s="1">
        <v>1</v>
      </c>
    </row>
    <row r="772" spans="1:21" x14ac:dyDescent="0.25">
      <c r="A772" s="4">
        <v>44776</v>
      </c>
      <c r="B772" s="5">
        <v>0.52491898148148153</v>
      </c>
      <c r="C772" s="1">
        <v>1584</v>
      </c>
      <c r="D772" s="1">
        <v>13002595</v>
      </c>
      <c r="E772" s="1">
        <v>13</v>
      </c>
      <c r="F772" s="1">
        <v>22589</v>
      </c>
      <c r="G772" s="1" t="s">
        <v>18</v>
      </c>
      <c r="H772" s="1">
        <v>15</v>
      </c>
      <c r="I772" s="1">
        <v>303829</v>
      </c>
      <c r="J772" s="1" t="s">
        <v>803</v>
      </c>
      <c r="K772" s="1" t="s">
        <v>20</v>
      </c>
      <c r="L772" s="1" t="s">
        <v>34</v>
      </c>
      <c r="M772" s="1">
        <v>1</v>
      </c>
      <c r="N772" s="2">
        <v>226.01</v>
      </c>
      <c r="O772" s="3">
        <v>281</v>
      </c>
      <c r="P772" s="1">
        <v>14</v>
      </c>
      <c r="Q772" s="1">
        <v>9</v>
      </c>
      <c r="R772" s="1">
        <v>200010010278</v>
      </c>
      <c r="S772" s="1">
        <v>29</v>
      </c>
      <c r="T772" s="1">
        <v>1</v>
      </c>
      <c r="U772" s="1">
        <v>3</v>
      </c>
    </row>
    <row r="773" spans="1:21" x14ac:dyDescent="0.25">
      <c r="A773" s="4">
        <v>44776</v>
      </c>
      <c r="B773" s="5">
        <v>0.52491898148148153</v>
      </c>
      <c r="C773" s="1">
        <v>1584</v>
      </c>
      <c r="D773" s="1">
        <v>13002595</v>
      </c>
      <c r="E773" s="1">
        <v>13</v>
      </c>
      <c r="F773" s="1">
        <v>22589</v>
      </c>
      <c r="G773" s="1" t="s">
        <v>18</v>
      </c>
      <c r="H773" s="1">
        <v>15</v>
      </c>
      <c r="I773" s="1">
        <v>74749</v>
      </c>
      <c r="J773" s="1" t="s">
        <v>804</v>
      </c>
      <c r="K773" s="1" t="s">
        <v>58</v>
      </c>
      <c r="L773" s="1" t="s">
        <v>258</v>
      </c>
      <c r="M773" s="1">
        <v>1</v>
      </c>
      <c r="N773" s="2">
        <v>29.48</v>
      </c>
      <c r="O773" s="3">
        <v>33</v>
      </c>
      <c r="P773" s="1">
        <v>1</v>
      </c>
      <c r="Q773" s="1">
        <v>9</v>
      </c>
      <c r="R773" s="1">
        <v>200010010278</v>
      </c>
      <c r="S773" s="1">
        <v>29</v>
      </c>
      <c r="T773" s="1">
        <v>1</v>
      </c>
      <c r="U773" s="1">
        <v>2</v>
      </c>
    </row>
    <row r="774" spans="1:21" x14ac:dyDescent="0.25">
      <c r="A774" s="4">
        <v>44776</v>
      </c>
      <c r="B774" s="5">
        <v>0.55238425925925927</v>
      </c>
      <c r="C774" s="1">
        <v>1595</v>
      </c>
      <c r="D774" s="1">
        <v>13002595</v>
      </c>
      <c r="E774" s="1">
        <v>13</v>
      </c>
      <c r="F774" s="1">
        <v>22589</v>
      </c>
      <c r="G774" s="1" t="s">
        <v>18</v>
      </c>
      <c r="H774" s="1">
        <v>18</v>
      </c>
      <c r="I774" s="1">
        <v>74749</v>
      </c>
      <c r="J774" s="1" t="s">
        <v>804</v>
      </c>
      <c r="K774" s="1" t="s">
        <v>58</v>
      </c>
      <c r="L774" s="1" t="s">
        <v>258</v>
      </c>
      <c r="M774" s="1">
        <v>1</v>
      </c>
      <c r="N774" s="2">
        <v>29.48</v>
      </c>
      <c r="O774" s="3">
        <v>33</v>
      </c>
      <c r="P774" s="1">
        <v>0</v>
      </c>
      <c r="Q774" s="1" t="s">
        <v>22</v>
      </c>
      <c r="R774" s="1" t="s">
        <v>22</v>
      </c>
      <c r="S774" s="1">
        <v>29</v>
      </c>
      <c r="T774" s="1">
        <v>1</v>
      </c>
      <c r="U774" s="1">
        <v>1</v>
      </c>
    </row>
    <row r="775" spans="1:21" x14ac:dyDescent="0.25">
      <c r="A775" s="4">
        <v>44776</v>
      </c>
      <c r="B775" s="5">
        <v>0.52645833333333336</v>
      </c>
      <c r="C775" s="1">
        <v>1585</v>
      </c>
      <c r="D775" s="1">
        <v>13002595</v>
      </c>
      <c r="E775" s="1">
        <v>13</v>
      </c>
      <c r="F775" s="1">
        <v>22589</v>
      </c>
      <c r="G775" s="1" t="s">
        <v>18</v>
      </c>
      <c r="H775" s="1">
        <v>18</v>
      </c>
      <c r="I775" s="1">
        <v>5874</v>
      </c>
      <c r="J775" s="1" t="s">
        <v>805</v>
      </c>
      <c r="K775" s="1" t="s">
        <v>107</v>
      </c>
      <c r="L775" s="1" t="s">
        <v>56</v>
      </c>
      <c r="M775" s="1">
        <v>1</v>
      </c>
      <c r="N775" s="2">
        <v>534.92999999999995</v>
      </c>
      <c r="O775" s="3">
        <v>592</v>
      </c>
      <c r="P775" s="1">
        <v>0</v>
      </c>
      <c r="Q775" s="1" t="s">
        <v>22</v>
      </c>
      <c r="R775" s="1" t="s">
        <v>22</v>
      </c>
      <c r="S775" s="1">
        <v>29</v>
      </c>
      <c r="T775" s="1">
        <v>1</v>
      </c>
      <c r="U775" s="1">
        <v>1</v>
      </c>
    </row>
    <row r="776" spans="1:21" x14ac:dyDescent="0.25">
      <c r="A776" s="4">
        <v>44776</v>
      </c>
      <c r="B776" s="5">
        <v>0.53063657407407405</v>
      </c>
      <c r="C776" s="1">
        <v>1586</v>
      </c>
      <c r="D776" s="1">
        <v>13002595</v>
      </c>
      <c r="E776" s="1">
        <v>13</v>
      </c>
      <c r="F776" s="1">
        <v>22589</v>
      </c>
      <c r="G776" s="1" t="s">
        <v>18</v>
      </c>
      <c r="H776" s="1">
        <v>15</v>
      </c>
      <c r="I776" s="1">
        <v>99346</v>
      </c>
      <c r="J776" s="1" t="s">
        <v>806</v>
      </c>
      <c r="K776" s="1" t="s">
        <v>114</v>
      </c>
      <c r="L776" s="1" t="s">
        <v>807</v>
      </c>
      <c r="M776" s="1">
        <v>0.12</v>
      </c>
      <c r="N776" s="2">
        <v>364.98</v>
      </c>
      <c r="O776" s="3">
        <v>537</v>
      </c>
      <c r="P776" s="1">
        <v>0</v>
      </c>
      <c r="Q776" s="1" t="s">
        <v>22</v>
      </c>
      <c r="R776" s="1" t="s">
        <v>22</v>
      </c>
      <c r="S776" s="1">
        <v>29</v>
      </c>
      <c r="T776" s="1">
        <v>1</v>
      </c>
      <c r="U776" s="1">
        <v>2</v>
      </c>
    </row>
    <row r="777" spans="1:21" x14ac:dyDescent="0.25">
      <c r="A777" s="4">
        <v>44776</v>
      </c>
      <c r="B777" s="5">
        <v>0.53063657407407405</v>
      </c>
      <c r="C777" s="1">
        <v>1586</v>
      </c>
      <c r="D777" s="1">
        <v>13002595</v>
      </c>
      <c r="E777" s="1">
        <v>13</v>
      </c>
      <c r="F777" s="1">
        <v>22589</v>
      </c>
      <c r="G777" s="1" t="s">
        <v>18</v>
      </c>
      <c r="H777" s="1">
        <v>15</v>
      </c>
      <c r="I777" s="1">
        <v>575493</v>
      </c>
      <c r="J777" s="1" t="s">
        <v>182</v>
      </c>
      <c r="K777" s="1" t="s">
        <v>31</v>
      </c>
      <c r="L777" s="1" t="s">
        <v>183</v>
      </c>
      <c r="M777" s="1">
        <v>1</v>
      </c>
      <c r="N777" s="2">
        <v>50.74</v>
      </c>
      <c r="O777" s="3">
        <v>83</v>
      </c>
      <c r="P777" s="1">
        <v>0</v>
      </c>
      <c r="Q777" s="1" t="s">
        <v>22</v>
      </c>
      <c r="R777" s="1" t="s">
        <v>22</v>
      </c>
      <c r="S777" s="1">
        <v>29</v>
      </c>
      <c r="T777" s="1">
        <v>1</v>
      </c>
      <c r="U777" s="1">
        <v>1</v>
      </c>
    </row>
    <row r="778" spans="1:21" x14ac:dyDescent="0.25">
      <c r="A778" s="4">
        <v>44776</v>
      </c>
      <c r="B778" s="5">
        <v>0.53388888888888886</v>
      </c>
      <c r="C778" s="1">
        <v>1587</v>
      </c>
      <c r="D778" s="1">
        <v>13002595</v>
      </c>
      <c r="E778" s="1">
        <v>13</v>
      </c>
      <c r="F778" s="1">
        <v>22589</v>
      </c>
      <c r="G778" s="1" t="s">
        <v>18</v>
      </c>
      <c r="H778" s="1">
        <v>15</v>
      </c>
      <c r="I778" s="1">
        <v>7697</v>
      </c>
      <c r="J778" s="1" t="s">
        <v>65</v>
      </c>
      <c r="K778" s="1" t="s">
        <v>26</v>
      </c>
      <c r="L778" s="1" t="s">
        <v>66</v>
      </c>
      <c r="M778" s="1">
        <v>1</v>
      </c>
      <c r="N778" s="2">
        <v>247.35</v>
      </c>
      <c r="O778" s="3">
        <v>301</v>
      </c>
      <c r="P778" s="1">
        <v>0</v>
      </c>
      <c r="Q778" s="1" t="s">
        <v>22</v>
      </c>
      <c r="R778" s="1" t="s">
        <v>22</v>
      </c>
      <c r="S778" s="1">
        <v>29</v>
      </c>
      <c r="T778" s="1">
        <v>1</v>
      </c>
      <c r="U778" s="1">
        <v>2</v>
      </c>
    </row>
    <row r="779" spans="1:21" x14ac:dyDescent="0.25">
      <c r="A779" s="4">
        <v>44776</v>
      </c>
      <c r="B779" s="5">
        <v>0.53388888888888886</v>
      </c>
      <c r="C779" s="1">
        <v>1587</v>
      </c>
      <c r="D779" s="1">
        <v>13002595</v>
      </c>
      <c r="E779" s="1">
        <v>13</v>
      </c>
      <c r="F779" s="1">
        <v>22589</v>
      </c>
      <c r="G779" s="1" t="s">
        <v>18</v>
      </c>
      <c r="H779" s="1">
        <v>15</v>
      </c>
      <c r="I779" s="1">
        <v>12822</v>
      </c>
      <c r="J779" s="1" t="s">
        <v>510</v>
      </c>
      <c r="K779" s="1" t="s">
        <v>20</v>
      </c>
      <c r="L779" s="1" t="s">
        <v>172</v>
      </c>
      <c r="M779" s="1">
        <v>1</v>
      </c>
      <c r="N779" s="2">
        <v>187.98</v>
      </c>
      <c r="O779" s="3">
        <v>258</v>
      </c>
      <c r="P779" s="1">
        <v>0</v>
      </c>
      <c r="Q779" s="1" t="s">
        <v>22</v>
      </c>
      <c r="R779" s="1" t="s">
        <v>22</v>
      </c>
      <c r="S779" s="1">
        <v>29</v>
      </c>
      <c r="T779" s="1">
        <v>1</v>
      </c>
      <c r="U779" s="1">
        <v>1</v>
      </c>
    </row>
    <row r="780" spans="1:21" x14ac:dyDescent="0.25">
      <c r="A780" s="4">
        <v>44776</v>
      </c>
      <c r="B780" s="5">
        <v>0.53388888888888886</v>
      </c>
      <c r="C780" s="1">
        <v>1587</v>
      </c>
      <c r="D780" s="1">
        <v>13002595</v>
      </c>
      <c r="E780" s="1">
        <v>13</v>
      </c>
      <c r="F780" s="1">
        <v>22589</v>
      </c>
      <c r="G780" s="1" t="s">
        <v>18</v>
      </c>
      <c r="H780" s="1">
        <v>15</v>
      </c>
      <c r="I780" s="1">
        <v>157387</v>
      </c>
      <c r="J780" s="1" t="s">
        <v>808</v>
      </c>
      <c r="K780" s="1" t="s">
        <v>48</v>
      </c>
      <c r="L780" s="1" t="s">
        <v>809</v>
      </c>
      <c r="M780" s="1">
        <v>1</v>
      </c>
      <c r="N780" s="2">
        <v>132.28</v>
      </c>
      <c r="O780" s="3">
        <v>206</v>
      </c>
      <c r="P780" s="1">
        <v>0</v>
      </c>
      <c r="Q780" s="1" t="s">
        <v>22</v>
      </c>
      <c r="R780" s="1" t="s">
        <v>22</v>
      </c>
      <c r="S780" s="1">
        <v>29</v>
      </c>
      <c r="T780" s="1">
        <v>1</v>
      </c>
      <c r="U780" s="1">
        <v>7</v>
      </c>
    </row>
    <row r="781" spans="1:21" x14ac:dyDescent="0.25">
      <c r="A781" s="4">
        <v>44776</v>
      </c>
      <c r="B781" s="5">
        <v>0.53388888888888886</v>
      </c>
      <c r="C781" s="1">
        <v>1587</v>
      </c>
      <c r="D781" s="1">
        <v>13002595</v>
      </c>
      <c r="E781" s="1">
        <v>13</v>
      </c>
      <c r="F781" s="1">
        <v>22589</v>
      </c>
      <c r="G781" s="1" t="s">
        <v>18</v>
      </c>
      <c r="H781" s="1">
        <v>15</v>
      </c>
      <c r="I781" s="1">
        <v>540835</v>
      </c>
      <c r="J781" s="1" t="s">
        <v>810</v>
      </c>
      <c r="K781" s="1" t="s">
        <v>31</v>
      </c>
      <c r="L781" s="1" t="s">
        <v>77</v>
      </c>
      <c r="M781" s="1">
        <v>1</v>
      </c>
      <c r="N781" s="2">
        <v>152.04</v>
      </c>
      <c r="O781" s="3">
        <v>236</v>
      </c>
      <c r="P781" s="1">
        <v>0</v>
      </c>
      <c r="Q781" s="1" t="s">
        <v>22</v>
      </c>
      <c r="R781" s="1" t="s">
        <v>22</v>
      </c>
      <c r="S781" s="1">
        <v>29</v>
      </c>
      <c r="T781" s="1">
        <v>1</v>
      </c>
      <c r="U781" s="1">
        <v>3</v>
      </c>
    </row>
    <row r="782" spans="1:21" x14ac:dyDescent="0.25">
      <c r="A782" s="4">
        <v>44776</v>
      </c>
      <c r="B782" s="5">
        <v>0.53388888888888886</v>
      </c>
      <c r="C782" s="1">
        <v>1587</v>
      </c>
      <c r="D782" s="1">
        <v>13002595</v>
      </c>
      <c r="E782" s="1">
        <v>13</v>
      </c>
      <c r="F782" s="1">
        <v>22589</v>
      </c>
      <c r="G782" s="1" t="s">
        <v>18</v>
      </c>
      <c r="H782" s="1">
        <v>15</v>
      </c>
      <c r="I782" s="1">
        <v>13911</v>
      </c>
      <c r="J782" s="1" t="s">
        <v>811</v>
      </c>
      <c r="K782" s="1" t="s">
        <v>48</v>
      </c>
      <c r="L782" s="1" t="s">
        <v>77</v>
      </c>
      <c r="M782" s="1">
        <v>1</v>
      </c>
      <c r="N782" s="2">
        <v>66.2</v>
      </c>
      <c r="O782" s="3">
        <v>104</v>
      </c>
      <c r="P782" s="1">
        <v>0</v>
      </c>
      <c r="Q782" s="1" t="s">
        <v>22</v>
      </c>
      <c r="R782" s="1" t="s">
        <v>22</v>
      </c>
      <c r="S782" s="1">
        <v>29</v>
      </c>
      <c r="T782" s="1">
        <v>1</v>
      </c>
      <c r="U782" s="1">
        <v>5</v>
      </c>
    </row>
    <row r="783" spans="1:21" x14ac:dyDescent="0.25">
      <c r="A783" s="4">
        <v>44776</v>
      </c>
      <c r="B783" s="5">
        <v>0.53388888888888886</v>
      </c>
      <c r="C783" s="1">
        <v>1587</v>
      </c>
      <c r="D783" s="1">
        <v>13002595</v>
      </c>
      <c r="E783" s="1">
        <v>13</v>
      </c>
      <c r="F783" s="1">
        <v>22589</v>
      </c>
      <c r="G783" s="1" t="s">
        <v>18</v>
      </c>
      <c r="H783" s="1">
        <v>15</v>
      </c>
      <c r="I783" s="1">
        <v>59689</v>
      </c>
      <c r="J783" s="1" t="s">
        <v>812</v>
      </c>
      <c r="K783" s="1" t="s">
        <v>61</v>
      </c>
      <c r="L783" s="1" t="s">
        <v>77</v>
      </c>
      <c r="M783" s="1">
        <v>1</v>
      </c>
      <c r="N783" s="2">
        <v>61.96</v>
      </c>
      <c r="O783" s="3">
        <v>98</v>
      </c>
      <c r="P783" s="1">
        <v>0</v>
      </c>
      <c r="Q783" s="1" t="s">
        <v>22</v>
      </c>
      <c r="R783" s="1" t="s">
        <v>22</v>
      </c>
      <c r="S783" s="1">
        <v>29</v>
      </c>
      <c r="T783" s="1">
        <v>1</v>
      </c>
      <c r="U783" s="1">
        <v>4</v>
      </c>
    </row>
    <row r="784" spans="1:21" x14ac:dyDescent="0.25">
      <c r="A784" s="4">
        <v>44776</v>
      </c>
      <c r="B784" s="5">
        <v>0.53520833333333329</v>
      </c>
      <c r="C784" s="1">
        <v>1588</v>
      </c>
      <c r="D784" s="1">
        <v>13002595</v>
      </c>
      <c r="E784" s="1">
        <v>13</v>
      </c>
      <c r="F784" s="1">
        <v>22589</v>
      </c>
      <c r="G784" s="1" t="s">
        <v>18</v>
      </c>
      <c r="H784" s="1">
        <v>18</v>
      </c>
      <c r="I784" s="1">
        <v>339209</v>
      </c>
      <c r="J784" s="1" t="s">
        <v>813</v>
      </c>
      <c r="K784" s="1" t="s">
        <v>42</v>
      </c>
      <c r="L784" s="1" t="s">
        <v>34</v>
      </c>
      <c r="M784" s="1">
        <v>1</v>
      </c>
      <c r="N784" s="2">
        <v>309.10000000000002</v>
      </c>
      <c r="O784" s="3">
        <v>409</v>
      </c>
      <c r="P784" s="1">
        <v>0</v>
      </c>
      <c r="Q784" s="1" t="s">
        <v>22</v>
      </c>
      <c r="R784" s="1" t="s">
        <v>22</v>
      </c>
      <c r="S784" s="1">
        <v>29</v>
      </c>
      <c r="T784" s="1">
        <v>1</v>
      </c>
      <c r="U784" s="1">
        <v>1</v>
      </c>
    </row>
    <row r="785" spans="1:21" x14ac:dyDescent="0.25">
      <c r="A785" s="4">
        <v>44776</v>
      </c>
      <c r="B785" s="5">
        <v>0.53577546296296297</v>
      </c>
      <c r="C785" s="1">
        <v>1589</v>
      </c>
      <c r="D785" s="1">
        <v>13002595</v>
      </c>
      <c r="E785" s="1">
        <v>13</v>
      </c>
      <c r="F785" s="1">
        <v>22589</v>
      </c>
      <c r="G785" s="1" t="s">
        <v>18</v>
      </c>
      <c r="H785" s="1">
        <v>15</v>
      </c>
      <c r="I785" s="1">
        <v>435135</v>
      </c>
      <c r="J785" s="1" t="s">
        <v>814</v>
      </c>
      <c r="K785" s="1" t="s">
        <v>26</v>
      </c>
      <c r="L785" s="1" t="s">
        <v>194</v>
      </c>
      <c r="M785" s="1">
        <v>1</v>
      </c>
      <c r="N785" s="2">
        <v>31.26</v>
      </c>
      <c r="O785" s="3">
        <v>48</v>
      </c>
      <c r="P785" s="1">
        <v>0</v>
      </c>
      <c r="Q785" s="1" t="s">
        <v>22</v>
      </c>
      <c r="R785" s="1" t="s">
        <v>22</v>
      </c>
      <c r="S785" s="1">
        <v>29</v>
      </c>
      <c r="T785" s="1">
        <v>1</v>
      </c>
      <c r="U785" s="1">
        <v>1</v>
      </c>
    </row>
    <row r="786" spans="1:21" x14ac:dyDescent="0.25">
      <c r="A786" s="4">
        <v>44776</v>
      </c>
      <c r="B786" s="5">
        <v>0.53577546296296297</v>
      </c>
      <c r="C786" s="1">
        <v>1589</v>
      </c>
      <c r="D786" s="1">
        <v>13002595</v>
      </c>
      <c r="E786" s="1">
        <v>13</v>
      </c>
      <c r="F786" s="1">
        <v>22589</v>
      </c>
      <c r="G786" s="1" t="s">
        <v>18</v>
      </c>
      <c r="H786" s="1">
        <v>15</v>
      </c>
      <c r="I786" s="1">
        <v>435135</v>
      </c>
      <c r="J786" s="1" t="s">
        <v>814</v>
      </c>
      <c r="K786" s="1" t="s">
        <v>26</v>
      </c>
      <c r="L786" s="1" t="s">
        <v>194</v>
      </c>
      <c r="M786" s="1">
        <v>1</v>
      </c>
      <c r="N786" s="2">
        <v>31.26</v>
      </c>
      <c r="O786" s="3">
        <v>48</v>
      </c>
      <c r="P786" s="1">
        <v>0</v>
      </c>
      <c r="Q786" s="1" t="s">
        <v>22</v>
      </c>
      <c r="R786" s="1" t="s">
        <v>22</v>
      </c>
      <c r="S786" s="1">
        <v>29</v>
      </c>
      <c r="T786" s="1">
        <v>1</v>
      </c>
      <c r="U786" s="1">
        <v>2</v>
      </c>
    </row>
    <row r="787" spans="1:21" x14ac:dyDescent="0.25">
      <c r="A787" s="4">
        <v>44776</v>
      </c>
      <c r="B787" s="5">
        <v>0.53886574074074078</v>
      </c>
      <c r="C787" s="1">
        <v>1590</v>
      </c>
      <c r="D787" s="1">
        <v>13002595</v>
      </c>
      <c r="E787" s="1">
        <v>13</v>
      </c>
      <c r="F787" s="1">
        <v>22589</v>
      </c>
      <c r="G787" s="1" t="s">
        <v>18</v>
      </c>
      <c r="H787" s="1">
        <v>18</v>
      </c>
      <c r="I787" s="1">
        <v>446025</v>
      </c>
      <c r="J787" s="1" t="s">
        <v>815</v>
      </c>
      <c r="K787" s="1" t="s">
        <v>20</v>
      </c>
      <c r="L787" s="1" t="s">
        <v>101</v>
      </c>
      <c r="M787" s="1">
        <v>1</v>
      </c>
      <c r="N787" s="2">
        <v>38.97</v>
      </c>
      <c r="O787" s="3">
        <v>47</v>
      </c>
      <c r="P787" s="1">
        <v>3</v>
      </c>
      <c r="Q787" s="1">
        <v>9</v>
      </c>
      <c r="R787" s="1">
        <v>200010022559</v>
      </c>
      <c r="S787" s="1">
        <v>29</v>
      </c>
      <c r="T787" s="1">
        <v>1</v>
      </c>
      <c r="U787" s="1">
        <v>2</v>
      </c>
    </row>
    <row r="788" spans="1:21" x14ac:dyDescent="0.25">
      <c r="A788" s="4">
        <v>44776</v>
      </c>
      <c r="B788" s="5">
        <v>0.53886574074074078</v>
      </c>
      <c r="C788" s="1">
        <v>1590</v>
      </c>
      <c r="D788" s="1">
        <v>13002595</v>
      </c>
      <c r="E788" s="1">
        <v>13</v>
      </c>
      <c r="F788" s="1">
        <v>22589</v>
      </c>
      <c r="G788" s="1" t="s">
        <v>18</v>
      </c>
      <c r="H788" s="1">
        <v>18</v>
      </c>
      <c r="I788" s="1">
        <v>9594</v>
      </c>
      <c r="J788" s="1" t="s">
        <v>299</v>
      </c>
      <c r="K788" s="1" t="s">
        <v>20</v>
      </c>
      <c r="L788" s="1" t="s">
        <v>300</v>
      </c>
      <c r="M788" s="1">
        <v>1</v>
      </c>
      <c r="N788" s="2">
        <v>61.61</v>
      </c>
      <c r="O788" s="3">
        <v>74</v>
      </c>
      <c r="P788" s="1">
        <v>5</v>
      </c>
      <c r="Q788" s="1">
        <v>9</v>
      </c>
      <c r="R788" s="1">
        <v>200010022559</v>
      </c>
      <c r="S788" s="1">
        <v>29</v>
      </c>
      <c r="T788" s="1">
        <v>1</v>
      </c>
      <c r="U788" s="1">
        <v>3</v>
      </c>
    </row>
    <row r="789" spans="1:21" x14ac:dyDescent="0.25">
      <c r="A789" s="4">
        <v>44776</v>
      </c>
      <c r="B789" s="5">
        <v>0.53886574074074078</v>
      </c>
      <c r="C789" s="1">
        <v>1590</v>
      </c>
      <c r="D789" s="1">
        <v>13002595</v>
      </c>
      <c r="E789" s="1">
        <v>13</v>
      </c>
      <c r="F789" s="1">
        <v>22589</v>
      </c>
      <c r="G789" s="1" t="s">
        <v>18</v>
      </c>
      <c r="H789" s="1">
        <v>18</v>
      </c>
      <c r="I789" s="1">
        <v>435842</v>
      </c>
      <c r="J789" s="1" t="s">
        <v>816</v>
      </c>
      <c r="K789" s="1" t="s">
        <v>48</v>
      </c>
      <c r="L789" s="1" t="s">
        <v>380</v>
      </c>
      <c r="M789" s="1">
        <v>1</v>
      </c>
      <c r="N789" s="2">
        <v>27.03</v>
      </c>
      <c r="O789" s="3">
        <v>42</v>
      </c>
      <c r="P789" s="1">
        <v>2</v>
      </c>
      <c r="Q789" s="1">
        <v>9</v>
      </c>
      <c r="R789" s="1">
        <v>200010022559</v>
      </c>
      <c r="S789" s="1">
        <v>29</v>
      </c>
      <c r="T789" s="1">
        <v>1</v>
      </c>
      <c r="U789" s="1">
        <v>1</v>
      </c>
    </row>
    <row r="790" spans="1:21" x14ac:dyDescent="0.25">
      <c r="A790" s="4">
        <v>44776</v>
      </c>
      <c r="B790" s="5">
        <v>0.53950231481481481</v>
      </c>
      <c r="C790" s="1">
        <v>1591</v>
      </c>
      <c r="D790" s="1">
        <v>13002595</v>
      </c>
      <c r="E790" s="1">
        <v>13</v>
      </c>
      <c r="F790" s="1">
        <v>22589</v>
      </c>
      <c r="G790" s="1" t="s">
        <v>18</v>
      </c>
      <c r="H790" s="1">
        <v>18</v>
      </c>
      <c r="I790" s="1">
        <v>20089</v>
      </c>
      <c r="J790" s="1" t="s">
        <v>817</v>
      </c>
      <c r="K790" s="1" t="s">
        <v>20</v>
      </c>
      <c r="L790" s="1" t="s">
        <v>300</v>
      </c>
      <c r="M790" s="1">
        <v>1</v>
      </c>
      <c r="N790" s="2">
        <v>412.55</v>
      </c>
      <c r="O790" s="3">
        <v>545</v>
      </c>
      <c r="P790" s="1">
        <v>38</v>
      </c>
      <c r="Q790" s="1">
        <v>9</v>
      </c>
      <c r="R790" s="1">
        <v>200010022559</v>
      </c>
      <c r="S790" s="1">
        <v>29</v>
      </c>
      <c r="T790" s="1">
        <v>1</v>
      </c>
      <c r="U790" s="1">
        <v>1</v>
      </c>
    </row>
    <row r="791" spans="1:21" x14ac:dyDescent="0.25">
      <c r="A791" s="4">
        <v>44776</v>
      </c>
      <c r="B791" s="5">
        <v>0.54353009259259255</v>
      </c>
      <c r="C791" s="1">
        <v>1592</v>
      </c>
      <c r="D791" s="1">
        <v>13002595</v>
      </c>
      <c r="E791" s="1">
        <v>13</v>
      </c>
      <c r="F791" s="1">
        <v>22589</v>
      </c>
      <c r="G791" s="1" t="s">
        <v>18</v>
      </c>
      <c r="H791" s="1">
        <v>15</v>
      </c>
      <c r="I791" s="1">
        <v>19568</v>
      </c>
      <c r="J791" s="1" t="s">
        <v>818</v>
      </c>
      <c r="K791" s="1" t="s">
        <v>48</v>
      </c>
      <c r="L791" s="1" t="s">
        <v>819</v>
      </c>
      <c r="M791" s="1">
        <v>1</v>
      </c>
      <c r="N791" s="2">
        <v>216.04</v>
      </c>
      <c r="O791" s="3">
        <v>292</v>
      </c>
      <c r="P791" s="1">
        <v>35.18</v>
      </c>
      <c r="Q791" s="1">
        <v>925</v>
      </c>
      <c r="R791" s="1">
        <v>200000000492</v>
      </c>
      <c r="S791" s="1">
        <v>29</v>
      </c>
      <c r="T791" s="1">
        <v>1</v>
      </c>
      <c r="U791" s="1">
        <v>2</v>
      </c>
    </row>
    <row r="792" spans="1:21" x14ac:dyDescent="0.25">
      <c r="A792" s="4">
        <v>44776</v>
      </c>
      <c r="B792" s="5">
        <v>0.54693287037037042</v>
      </c>
      <c r="C792" s="1">
        <v>1593</v>
      </c>
      <c r="D792" s="1">
        <v>13002595</v>
      </c>
      <c r="E792" s="1">
        <v>13</v>
      </c>
      <c r="F792" s="1">
        <v>22589</v>
      </c>
      <c r="G792" s="1" t="s">
        <v>18</v>
      </c>
      <c r="H792" s="1">
        <v>18</v>
      </c>
      <c r="I792" s="1">
        <v>154751</v>
      </c>
      <c r="J792" s="1" t="s">
        <v>820</v>
      </c>
      <c r="K792" s="1" t="s">
        <v>20</v>
      </c>
      <c r="L792" s="1" t="s">
        <v>338</v>
      </c>
      <c r="M792" s="1">
        <v>1</v>
      </c>
      <c r="N792" s="2">
        <v>739.82</v>
      </c>
      <c r="O792" s="3">
        <v>955</v>
      </c>
      <c r="P792" s="1">
        <v>66</v>
      </c>
      <c r="Q792" s="1">
        <v>9</v>
      </c>
      <c r="R792" s="1">
        <v>200010000782</v>
      </c>
      <c r="S792" s="1">
        <v>29</v>
      </c>
      <c r="T792" s="1">
        <v>1</v>
      </c>
      <c r="U792" s="1">
        <v>1</v>
      </c>
    </row>
    <row r="793" spans="1:21" x14ac:dyDescent="0.25">
      <c r="A793" s="4">
        <v>44776</v>
      </c>
      <c r="B793" s="5">
        <v>0.55040509259259263</v>
      </c>
      <c r="C793" s="1">
        <v>1594</v>
      </c>
      <c r="D793" s="1">
        <v>13002595</v>
      </c>
      <c r="E793" s="1">
        <v>13</v>
      </c>
      <c r="F793" s="1">
        <v>22589</v>
      </c>
      <c r="G793" s="1" t="s">
        <v>18</v>
      </c>
      <c r="H793" s="1">
        <v>15</v>
      </c>
      <c r="I793" s="1">
        <v>341339</v>
      </c>
      <c r="J793" s="1" t="s">
        <v>821</v>
      </c>
      <c r="K793" s="1" t="s">
        <v>114</v>
      </c>
      <c r="L793" s="1" t="s">
        <v>822</v>
      </c>
      <c r="M793" s="1">
        <v>1</v>
      </c>
      <c r="N793" s="2">
        <v>275</v>
      </c>
      <c r="O793" s="3">
        <v>372</v>
      </c>
      <c r="P793" s="1">
        <v>26</v>
      </c>
      <c r="Q793" s="1">
        <v>9</v>
      </c>
      <c r="R793" s="1">
        <v>200010020300</v>
      </c>
      <c r="S793" s="1">
        <v>29</v>
      </c>
      <c r="T793" s="1">
        <v>1</v>
      </c>
      <c r="U793" s="1">
        <v>1</v>
      </c>
    </row>
    <row r="794" spans="1:21" x14ac:dyDescent="0.25">
      <c r="A794" s="4">
        <v>44776</v>
      </c>
      <c r="B794" s="5">
        <v>0.55040509259259263</v>
      </c>
      <c r="C794" s="1">
        <v>1594</v>
      </c>
      <c r="D794" s="1">
        <v>13002595</v>
      </c>
      <c r="E794" s="1">
        <v>13</v>
      </c>
      <c r="F794" s="1">
        <v>22589</v>
      </c>
      <c r="G794" s="1" t="s">
        <v>18</v>
      </c>
      <c r="H794" s="1">
        <v>15</v>
      </c>
      <c r="I794" s="1">
        <v>30028</v>
      </c>
      <c r="J794" s="1" t="s">
        <v>163</v>
      </c>
      <c r="K794" s="1" t="s">
        <v>48</v>
      </c>
      <c r="L794" s="1" t="s">
        <v>164</v>
      </c>
      <c r="M794" s="1">
        <v>4</v>
      </c>
      <c r="N794" s="2">
        <v>10.01</v>
      </c>
      <c r="O794" s="3">
        <v>17</v>
      </c>
      <c r="P794" s="1">
        <v>6.68</v>
      </c>
      <c r="Q794" s="1">
        <v>9</v>
      </c>
      <c r="R794" s="1">
        <v>200010020300</v>
      </c>
      <c r="S794" s="1">
        <v>29</v>
      </c>
      <c r="T794" s="1">
        <v>1</v>
      </c>
      <c r="U794" s="1">
        <v>2</v>
      </c>
    </row>
    <row r="795" spans="1:21" x14ac:dyDescent="0.25">
      <c r="A795" s="4">
        <v>44776</v>
      </c>
      <c r="B795" s="5">
        <v>0.55040509259259263</v>
      </c>
      <c r="C795" s="1">
        <v>1594</v>
      </c>
      <c r="D795" s="1">
        <v>13002595</v>
      </c>
      <c r="E795" s="1">
        <v>13</v>
      </c>
      <c r="F795" s="1">
        <v>22589</v>
      </c>
      <c r="G795" s="1" t="s">
        <v>18</v>
      </c>
      <c r="H795" s="1">
        <v>15</v>
      </c>
      <c r="I795" s="1">
        <v>30028</v>
      </c>
      <c r="J795" s="1" t="s">
        <v>163</v>
      </c>
      <c r="K795" s="1" t="s">
        <v>48</v>
      </c>
      <c r="L795" s="1" t="s">
        <v>164</v>
      </c>
      <c r="M795" s="1">
        <v>2</v>
      </c>
      <c r="N795" s="2">
        <v>10.01</v>
      </c>
      <c r="O795" s="3">
        <v>17</v>
      </c>
      <c r="P795" s="1">
        <v>3.32</v>
      </c>
      <c r="Q795" s="1">
        <v>9</v>
      </c>
      <c r="R795" s="1">
        <v>200010020300</v>
      </c>
      <c r="S795" s="1">
        <v>29</v>
      </c>
      <c r="T795" s="1">
        <v>1</v>
      </c>
      <c r="U795" s="1">
        <v>3</v>
      </c>
    </row>
    <row r="796" spans="1:21" x14ac:dyDescent="0.25">
      <c r="A796" s="4">
        <v>44776</v>
      </c>
      <c r="B796" s="5">
        <v>0.55040509259259263</v>
      </c>
      <c r="C796" s="1">
        <v>1594</v>
      </c>
      <c r="D796" s="1">
        <v>13002595</v>
      </c>
      <c r="E796" s="1">
        <v>13</v>
      </c>
      <c r="F796" s="1">
        <v>22589</v>
      </c>
      <c r="G796" s="1" t="s">
        <v>18</v>
      </c>
      <c r="H796" s="1">
        <v>15</v>
      </c>
      <c r="I796" s="1">
        <v>346984</v>
      </c>
      <c r="J796" s="1" t="s">
        <v>711</v>
      </c>
      <c r="K796" s="1" t="s">
        <v>48</v>
      </c>
      <c r="L796" s="1" t="s">
        <v>665</v>
      </c>
      <c r="M796" s="1">
        <v>0.01</v>
      </c>
      <c r="N796" s="2">
        <v>766.81</v>
      </c>
      <c r="O796" s="3">
        <v>1089</v>
      </c>
      <c r="P796" s="1">
        <v>0.89</v>
      </c>
      <c r="Q796" s="1">
        <v>9</v>
      </c>
      <c r="R796" s="1">
        <v>200010020300</v>
      </c>
      <c r="S796" s="1">
        <v>29</v>
      </c>
      <c r="T796" s="1">
        <v>1</v>
      </c>
      <c r="U796" s="1">
        <v>4</v>
      </c>
    </row>
    <row r="797" spans="1:21" x14ac:dyDescent="0.25">
      <c r="A797" s="4">
        <v>44776</v>
      </c>
      <c r="B797" s="5">
        <v>0.56052083333333336</v>
      </c>
      <c r="C797" s="1">
        <v>1596</v>
      </c>
      <c r="D797" s="1">
        <v>13002595</v>
      </c>
      <c r="E797" s="1">
        <v>13</v>
      </c>
      <c r="F797" s="1">
        <v>22589</v>
      </c>
      <c r="G797" s="1" t="s">
        <v>18</v>
      </c>
      <c r="H797" s="1">
        <v>18</v>
      </c>
      <c r="I797" s="1">
        <v>100269</v>
      </c>
      <c r="J797" s="1" t="s">
        <v>432</v>
      </c>
      <c r="K797" s="1" t="s">
        <v>26</v>
      </c>
      <c r="L797" s="1" t="s">
        <v>433</v>
      </c>
      <c r="M797" s="1">
        <v>1</v>
      </c>
      <c r="N797" s="2">
        <v>724.63</v>
      </c>
      <c r="O797" s="3">
        <v>892</v>
      </c>
      <c r="P797" s="1">
        <v>24</v>
      </c>
      <c r="Q797" s="1">
        <v>925</v>
      </c>
      <c r="R797" s="1">
        <v>200000000492</v>
      </c>
      <c r="S797" s="1">
        <v>29</v>
      </c>
      <c r="T797" s="1">
        <v>1</v>
      </c>
      <c r="U797" s="1">
        <v>1</v>
      </c>
    </row>
    <row r="798" spans="1:21" x14ac:dyDescent="0.25">
      <c r="A798" s="4">
        <v>44776</v>
      </c>
      <c r="B798" s="5">
        <v>0.56142361111111116</v>
      </c>
      <c r="C798" s="1">
        <v>1597</v>
      </c>
      <c r="D798" s="1">
        <v>13002595</v>
      </c>
      <c r="E798" s="1">
        <v>13</v>
      </c>
      <c r="F798" s="1">
        <v>22589</v>
      </c>
      <c r="G798" s="1" t="s">
        <v>18</v>
      </c>
      <c r="H798" s="1">
        <v>18</v>
      </c>
      <c r="I798" s="1">
        <v>108630</v>
      </c>
      <c r="J798" s="1" t="s">
        <v>823</v>
      </c>
      <c r="K798" s="1" t="s">
        <v>114</v>
      </c>
      <c r="L798" s="1" t="s">
        <v>807</v>
      </c>
      <c r="M798" s="1">
        <v>0.24</v>
      </c>
      <c r="N798" s="2">
        <v>1085.72</v>
      </c>
      <c r="O798" s="3">
        <v>1488</v>
      </c>
      <c r="P798" s="1">
        <v>35.119999999999997</v>
      </c>
      <c r="Q798" s="1">
        <v>9</v>
      </c>
      <c r="R798" s="1">
        <v>200010018142</v>
      </c>
      <c r="S798" s="1">
        <v>29</v>
      </c>
      <c r="T798" s="1">
        <v>1</v>
      </c>
      <c r="U798" s="1">
        <v>1</v>
      </c>
    </row>
    <row r="799" spans="1:21" x14ac:dyDescent="0.25">
      <c r="A799" s="4">
        <v>44776</v>
      </c>
      <c r="B799" s="5">
        <v>0.56376157407407412</v>
      </c>
      <c r="C799" s="1">
        <v>1598</v>
      </c>
      <c r="D799" s="1">
        <v>13002595</v>
      </c>
      <c r="E799" s="1">
        <v>13</v>
      </c>
      <c r="F799" s="1">
        <v>22589</v>
      </c>
      <c r="G799" s="1" t="s">
        <v>18</v>
      </c>
      <c r="H799" s="1">
        <v>15</v>
      </c>
      <c r="I799" s="1">
        <v>9029</v>
      </c>
      <c r="J799" s="1" t="s">
        <v>824</v>
      </c>
      <c r="K799" s="1" t="s">
        <v>20</v>
      </c>
      <c r="L799" s="1" t="s">
        <v>731</v>
      </c>
      <c r="M799" s="1">
        <v>1</v>
      </c>
      <c r="N799" s="2">
        <v>110.23</v>
      </c>
      <c r="O799" s="3">
        <v>133</v>
      </c>
      <c r="P799" s="1">
        <v>6</v>
      </c>
      <c r="Q799" s="1">
        <v>9</v>
      </c>
      <c r="R799" s="1">
        <v>200010001803</v>
      </c>
      <c r="S799" s="1">
        <v>29</v>
      </c>
      <c r="T799" s="1">
        <v>1</v>
      </c>
      <c r="U799" s="1">
        <v>7</v>
      </c>
    </row>
    <row r="800" spans="1:21" x14ac:dyDescent="0.25">
      <c r="A800" s="4">
        <v>44776</v>
      </c>
      <c r="B800" s="5">
        <v>0.56376157407407412</v>
      </c>
      <c r="C800" s="1">
        <v>1598</v>
      </c>
      <c r="D800" s="1">
        <v>13002595</v>
      </c>
      <c r="E800" s="1">
        <v>13</v>
      </c>
      <c r="F800" s="1">
        <v>22589</v>
      </c>
      <c r="G800" s="1" t="s">
        <v>18</v>
      </c>
      <c r="H800" s="1">
        <v>15</v>
      </c>
      <c r="I800" s="1">
        <v>434298</v>
      </c>
      <c r="J800" s="1" t="s">
        <v>825</v>
      </c>
      <c r="K800" s="1" t="s">
        <v>20</v>
      </c>
      <c r="L800" s="1" t="s">
        <v>73</v>
      </c>
      <c r="M800" s="1">
        <v>1</v>
      </c>
      <c r="N800" s="2">
        <v>87.66</v>
      </c>
      <c r="O800" s="3">
        <v>125</v>
      </c>
      <c r="P800" s="1">
        <v>8</v>
      </c>
      <c r="Q800" s="1">
        <v>9</v>
      </c>
      <c r="R800" s="1">
        <v>200010001803</v>
      </c>
      <c r="S800" s="1">
        <v>29</v>
      </c>
      <c r="T800" s="1">
        <v>1</v>
      </c>
      <c r="U800" s="1">
        <v>5</v>
      </c>
    </row>
    <row r="801" spans="1:21" x14ac:dyDescent="0.25">
      <c r="A801" s="4">
        <v>44776</v>
      </c>
      <c r="B801" s="5">
        <v>0.56376157407407412</v>
      </c>
      <c r="C801" s="1">
        <v>1598</v>
      </c>
      <c r="D801" s="1">
        <v>13002595</v>
      </c>
      <c r="E801" s="1">
        <v>13</v>
      </c>
      <c r="F801" s="1">
        <v>22589</v>
      </c>
      <c r="G801" s="1" t="s">
        <v>18</v>
      </c>
      <c r="H801" s="1">
        <v>15</v>
      </c>
      <c r="I801" s="1">
        <v>434298</v>
      </c>
      <c r="J801" s="1" t="s">
        <v>825</v>
      </c>
      <c r="K801" s="1" t="s">
        <v>26</v>
      </c>
      <c r="L801" s="1" t="s">
        <v>332</v>
      </c>
      <c r="M801" s="1">
        <v>1</v>
      </c>
      <c r="N801" s="2">
        <v>85.97</v>
      </c>
      <c r="O801" s="3">
        <v>123</v>
      </c>
      <c r="P801" s="1">
        <v>8</v>
      </c>
      <c r="Q801" s="1">
        <v>9</v>
      </c>
      <c r="R801" s="1">
        <v>200010001803</v>
      </c>
      <c r="S801" s="1">
        <v>29</v>
      </c>
      <c r="T801" s="1">
        <v>1</v>
      </c>
      <c r="U801" s="1">
        <v>6</v>
      </c>
    </row>
    <row r="802" spans="1:21" x14ac:dyDescent="0.25">
      <c r="A802" s="4">
        <v>44776</v>
      </c>
      <c r="B802" s="5">
        <v>0.56376157407407412</v>
      </c>
      <c r="C802" s="1">
        <v>1598</v>
      </c>
      <c r="D802" s="1">
        <v>13002595</v>
      </c>
      <c r="E802" s="1">
        <v>13</v>
      </c>
      <c r="F802" s="1">
        <v>22589</v>
      </c>
      <c r="G802" s="1" t="s">
        <v>18</v>
      </c>
      <c r="H802" s="1">
        <v>15</v>
      </c>
      <c r="I802" s="1">
        <v>393397</v>
      </c>
      <c r="J802" s="1" t="s">
        <v>331</v>
      </c>
      <c r="K802" s="1" t="s">
        <v>26</v>
      </c>
      <c r="L802" s="1" t="s">
        <v>332</v>
      </c>
      <c r="M802" s="1">
        <v>1</v>
      </c>
      <c r="N802" s="2">
        <v>20.079999999999998</v>
      </c>
      <c r="O802" s="3">
        <v>26</v>
      </c>
      <c r="P802" s="1">
        <v>1</v>
      </c>
      <c r="Q802" s="1">
        <v>9</v>
      </c>
      <c r="R802" s="1">
        <v>200010001803</v>
      </c>
      <c r="S802" s="1">
        <v>29</v>
      </c>
      <c r="T802" s="1">
        <v>1</v>
      </c>
      <c r="U802" s="1">
        <v>2</v>
      </c>
    </row>
    <row r="803" spans="1:21" x14ac:dyDescent="0.25">
      <c r="A803" s="4">
        <v>44776</v>
      </c>
      <c r="B803" s="5">
        <v>0.56376157407407412</v>
      </c>
      <c r="C803" s="1">
        <v>1598</v>
      </c>
      <c r="D803" s="1">
        <v>13002595</v>
      </c>
      <c r="E803" s="1">
        <v>13</v>
      </c>
      <c r="F803" s="1">
        <v>22589</v>
      </c>
      <c r="G803" s="1" t="s">
        <v>18</v>
      </c>
      <c r="H803" s="1">
        <v>15</v>
      </c>
      <c r="I803" s="1">
        <v>393397</v>
      </c>
      <c r="J803" s="1" t="s">
        <v>331</v>
      </c>
      <c r="K803" s="1" t="s">
        <v>26</v>
      </c>
      <c r="L803" s="1" t="s">
        <v>332</v>
      </c>
      <c r="M803" s="1">
        <v>1</v>
      </c>
      <c r="N803" s="2">
        <v>20.079999999999998</v>
      </c>
      <c r="O803" s="3">
        <v>26</v>
      </c>
      <c r="P803" s="1">
        <v>1</v>
      </c>
      <c r="Q803" s="1">
        <v>9</v>
      </c>
      <c r="R803" s="1">
        <v>200010001803</v>
      </c>
      <c r="S803" s="1">
        <v>29</v>
      </c>
      <c r="T803" s="1">
        <v>1</v>
      </c>
      <c r="U803" s="1">
        <v>3</v>
      </c>
    </row>
    <row r="804" spans="1:21" x14ac:dyDescent="0.25">
      <c r="A804" s="4">
        <v>44776</v>
      </c>
      <c r="B804" s="5">
        <v>0.56376157407407412</v>
      </c>
      <c r="C804" s="1">
        <v>1598</v>
      </c>
      <c r="D804" s="1">
        <v>13002595</v>
      </c>
      <c r="E804" s="1">
        <v>13</v>
      </c>
      <c r="F804" s="1">
        <v>22589</v>
      </c>
      <c r="G804" s="1" t="s">
        <v>18</v>
      </c>
      <c r="H804" s="1">
        <v>15</v>
      </c>
      <c r="I804" s="1">
        <v>393397</v>
      </c>
      <c r="J804" s="1" t="s">
        <v>331</v>
      </c>
      <c r="K804" s="1" t="s">
        <v>26</v>
      </c>
      <c r="L804" s="1" t="s">
        <v>332</v>
      </c>
      <c r="M804" s="1">
        <v>1</v>
      </c>
      <c r="N804" s="2">
        <v>20.079999999999998</v>
      </c>
      <c r="O804" s="3">
        <v>26</v>
      </c>
      <c r="P804" s="1">
        <v>1</v>
      </c>
      <c r="Q804" s="1">
        <v>9</v>
      </c>
      <c r="R804" s="1">
        <v>200010001803</v>
      </c>
      <c r="S804" s="1">
        <v>29</v>
      </c>
      <c r="T804" s="1">
        <v>1</v>
      </c>
      <c r="U804" s="1">
        <v>4</v>
      </c>
    </row>
    <row r="805" spans="1:21" x14ac:dyDescent="0.25">
      <c r="A805" s="4">
        <v>44776</v>
      </c>
      <c r="B805" s="5">
        <v>0.57343750000000004</v>
      </c>
      <c r="C805" s="1">
        <v>1604</v>
      </c>
      <c r="D805" s="1">
        <v>13002595</v>
      </c>
      <c r="E805" s="1">
        <v>13</v>
      </c>
      <c r="F805" s="1">
        <v>22589</v>
      </c>
      <c r="G805" s="1" t="s">
        <v>18</v>
      </c>
      <c r="H805" s="1">
        <v>15</v>
      </c>
      <c r="I805" s="1">
        <v>393397</v>
      </c>
      <c r="J805" s="1" t="s">
        <v>331</v>
      </c>
      <c r="K805" s="1" t="s">
        <v>26</v>
      </c>
      <c r="L805" s="1" t="s">
        <v>332</v>
      </c>
      <c r="M805" s="1">
        <v>1</v>
      </c>
      <c r="N805" s="2">
        <v>20.079999999999998</v>
      </c>
      <c r="O805" s="3">
        <v>26</v>
      </c>
      <c r="P805" s="1">
        <v>1</v>
      </c>
      <c r="Q805" s="1">
        <v>9</v>
      </c>
      <c r="R805" s="1">
        <v>200010001680</v>
      </c>
      <c r="S805" s="1">
        <v>29</v>
      </c>
      <c r="T805" s="1">
        <v>1</v>
      </c>
      <c r="U805" s="1">
        <v>1</v>
      </c>
    </row>
    <row r="806" spans="1:21" x14ac:dyDescent="0.25">
      <c r="A806" s="4">
        <v>44776</v>
      </c>
      <c r="B806" s="5">
        <v>0.57343750000000004</v>
      </c>
      <c r="C806" s="1">
        <v>1604</v>
      </c>
      <c r="D806" s="1">
        <v>13002595</v>
      </c>
      <c r="E806" s="1">
        <v>13</v>
      </c>
      <c r="F806" s="1">
        <v>22589</v>
      </c>
      <c r="G806" s="1" t="s">
        <v>18</v>
      </c>
      <c r="H806" s="1">
        <v>15</v>
      </c>
      <c r="I806" s="1">
        <v>393397</v>
      </c>
      <c r="J806" s="1" t="s">
        <v>331</v>
      </c>
      <c r="K806" s="1" t="s">
        <v>26</v>
      </c>
      <c r="L806" s="1" t="s">
        <v>332</v>
      </c>
      <c r="M806" s="1">
        <v>1</v>
      </c>
      <c r="N806" s="2">
        <v>20.079999999999998</v>
      </c>
      <c r="O806" s="3">
        <v>26</v>
      </c>
      <c r="P806" s="1">
        <v>1</v>
      </c>
      <c r="Q806" s="1">
        <v>9</v>
      </c>
      <c r="R806" s="1">
        <v>200010001680</v>
      </c>
      <c r="S806" s="1">
        <v>29</v>
      </c>
      <c r="T806" s="1">
        <v>1</v>
      </c>
      <c r="U806" s="1">
        <v>2</v>
      </c>
    </row>
    <row r="807" spans="1:21" x14ac:dyDescent="0.25">
      <c r="A807" s="4">
        <v>44776</v>
      </c>
      <c r="B807" s="5">
        <v>0.6519328703703704</v>
      </c>
      <c r="C807" s="1">
        <v>1618</v>
      </c>
      <c r="D807" s="1">
        <v>13002595</v>
      </c>
      <c r="E807" s="1">
        <v>13</v>
      </c>
      <c r="F807" s="1">
        <v>22589</v>
      </c>
      <c r="G807" s="1" t="s">
        <v>18</v>
      </c>
      <c r="H807" s="1">
        <v>18</v>
      </c>
      <c r="I807" s="1">
        <v>393397</v>
      </c>
      <c r="J807" s="1" t="s">
        <v>331</v>
      </c>
      <c r="K807" s="1" t="s">
        <v>26</v>
      </c>
      <c r="L807" s="1" t="s">
        <v>332</v>
      </c>
      <c r="M807" s="1">
        <v>1</v>
      </c>
      <c r="N807" s="2">
        <v>20.079999999999998</v>
      </c>
      <c r="O807" s="3">
        <v>26</v>
      </c>
      <c r="P807" s="1">
        <v>1</v>
      </c>
      <c r="Q807" s="1">
        <v>9</v>
      </c>
      <c r="R807" s="1">
        <v>200010004049</v>
      </c>
      <c r="S807" s="1">
        <v>29</v>
      </c>
      <c r="T807" s="1">
        <v>1</v>
      </c>
      <c r="U807" s="1">
        <v>4</v>
      </c>
    </row>
    <row r="808" spans="1:21" x14ac:dyDescent="0.25">
      <c r="A808" s="4">
        <v>44776</v>
      </c>
      <c r="B808" s="5">
        <v>0.56376157407407412</v>
      </c>
      <c r="C808" s="1">
        <v>1598</v>
      </c>
      <c r="D808" s="1">
        <v>13002595</v>
      </c>
      <c r="E808" s="1">
        <v>13</v>
      </c>
      <c r="F808" s="1">
        <v>22589</v>
      </c>
      <c r="G808" s="1" t="s">
        <v>18</v>
      </c>
      <c r="H808" s="1">
        <v>15</v>
      </c>
      <c r="I808" s="1">
        <v>348748</v>
      </c>
      <c r="J808" s="1" t="s">
        <v>257</v>
      </c>
      <c r="K808" s="1" t="s">
        <v>26</v>
      </c>
      <c r="L808" s="1" t="s">
        <v>258</v>
      </c>
      <c r="M808" s="1">
        <v>1</v>
      </c>
      <c r="N808" s="2">
        <v>56.03</v>
      </c>
      <c r="O808" s="3">
        <v>70</v>
      </c>
      <c r="P808" s="1">
        <v>3</v>
      </c>
      <c r="Q808" s="1">
        <v>9</v>
      </c>
      <c r="R808" s="1">
        <v>200010001803</v>
      </c>
      <c r="S808" s="1">
        <v>29</v>
      </c>
      <c r="T808" s="1">
        <v>1</v>
      </c>
      <c r="U808" s="1">
        <v>1</v>
      </c>
    </row>
    <row r="809" spans="1:21" x14ac:dyDescent="0.25">
      <c r="A809" s="4">
        <v>44776</v>
      </c>
      <c r="B809" s="5">
        <v>0.56773148148148145</v>
      </c>
      <c r="C809" s="1">
        <v>1599</v>
      </c>
      <c r="D809" s="1">
        <v>13002595</v>
      </c>
      <c r="E809" s="1">
        <v>13</v>
      </c>
      <c r="F809" s="1">
        <v>22589</v>
      </c>
      <c r="G809" s="1" t="s">
        <v>18</v>
      </c>
      <c r="H809" s="1">
        <v>18</v>
      </c>
      <c r="I809" s="1">
        <v>290470</v>
      </c>
      <c r="J809" s="1" t="s">
        <v>293</v>
      </c>
      <c r="K809" s="1" t="s">
        <v>48</v>
      </c>
      <c r="L809" s="1" t="s">
        <v>294</v>
      </c>
      <c r="M809" s="1">
        <v>1</v>
      </c>
      <c r="N809" s="2">
        <v>373.44</v>
      </c>
      <c r="O809" s="3">
        <v>493</v>
      </c>
      <c r="P809" s="1">
        <v>0</v>
      </c>
      <c r="Q809" s="1" t="s">
        <v>22</v>
      </c>
      <c r="R809" s="1" t="s">
        <v>22</v>
      </c>
      <c r="S809" s="1">
        <v>29</v>
      </c>
      <c r="T809" s="1">
        <v>1</v>
      </c>
      <c r="U809" s="1">
        <v>1</v>
      </c>
    </row>
    <row r="810" spans="1:21" x14ac:dyDescent="0.25">
      <c r="A810" s="4">
        <v>44776</v>
      </c>
      <c r="B810" s="5">
        <v>0.56773148148148145</v>
      </c>
      <c r="C810" s="1">
        <v>1599</v>
      </c>
      <c r="D810" s="1">
        <v>13002595</v>
      </c>
      <c r="E810" s="1">
        <v>13</v>
      </c>
      <c r="F810" s="1">
        <v>22589</v>
      </c>
      <c r="G810" s="1" t="s">
        <v>18</v>
      </c>
      <c r="H810" s="1">
        <v>18</v>
      </c>
      <c r="I810" s="1">
        <v>61029</v>
      </c>
      <c r="J810" s="1" t="s">
        <v>826</v>
      </c>
      <c r="K810" s="1" t="s">
        <v>20</v>
      </c>
      <c r="L810" s="1" t="s">
        <v>827</v>
      </c>
      <c r="M810" s="1">
        <v>1</v>
      </c>
      <c r="N810" s="2">
        <v>406.85</v>
      </c>
      <c r="O810" s="3">
        <v>490</v>
      </c>
      <c r="P810" s="1">
        <v>0</v>
      </c>
      <c r="Q810" s="1" t="s">
        <v>22</v>
      </c>
      <c r="R810" s="1" t="s">
        <v>22</v>
      </c>
      <c r="S810" s="1">
        <v>29</v>
      </c>
      <c r="T810" s="1">
        <v>1</v>
      </c>
      <c r="U810" s="1">
        <v>3</v>
      </c>
    </row>
    <row r="811" spans="1:21" x14ac:dyDescent="0.25">
      <c r="A811" s="4">
        <v>44776</v>
      </c>
      <c r="B811" s="5">
        <v>0.56773148148148145</v>
      </c>
      <c r="C811" s="1">
        <v>1599</v>
      </c>
      <c r="D811" s="1">
        <v>13002595</v>
      </c>
      <c r="E811" s="1">
        <v>13</v>
      </c>
      <c r="F811" s="1">
        <v>22589</v>
      </c>
      <c r="G811" s="1" t="s">
        <v>18</v>
      </c>
      <c r="H811" s="1">
        <v>18</v>
      </c>
      <c r="I811" s="1">
        <v>61029</v>
      </c>
      <c r="J811" s="1" t="s">
        <v>826</v>
      </c>
      <c r="K811" s="1" t="s">
        <v>20</v>
      </c>
      <c r="L811" s="1" t="s">
        <v>827</v>
      </c>
      <c r="M811" s="1">
        <v>1</v>
      </c>
      <c r="N811" s="2">
        <v>406.85</v>
      </c>
      <c r="O811" s="3">
        <v>490</v>
      </c>
      <c r="P811" s="1">
        <v>0</v>
      </c>
      <c r="Q811" s="1" t="s">
        <v>22</v>
      </c>
      <c r="R811" s="1" t="s">
        <v>22</v>
      </c>
      <c r="S811" s="1">
        <v>29</v>
      </c>
      <c r="T811" s="1">
        <v>1</v>
      </c>
      <c r="U811" s="1">
        <v>4</v>
      </c>
    </row>
    <row r="812" spans="1:21" x14ac:dyDescent="0.25">
      <c r="A812" s="4">
        <v>44776</v>
      </c>
      <c r="B812" s="5">
        <v>0.56773148148148145</v>
      </c>
      <c r="C812" s="1">
        <v>1599</v>
      </c>
      <c r="D812" s="1">
        <v>13002595</v>
      </c>
      <c r="E812" s="1">
        <v>13</v>
      </c>
      <c r="F812" s="1">
        <v>22589</v>
      </c>
      <c r="G812" s="1" t="s">
        <v>18</v>
      </c>
      <c r="H812" s="1">
        <v>18</v>
      </c>
      <c r="I812" s="1">
        <v>3037</v>
      </c>
      <c r="J812" s="1" t="s">
        <v>828</v>
      </c>
      <c r="K812" s="1" t="s">
        <v>31</v>
      </c>
      <c r="L812" s="1" t="s">
        <v>829</v>
      </c>
      <c r="M812" s="1">
        <v>1</v>
      </c>
      <c r="N812" s="2">
        <v>149.37</v>
      </c>
      <c r="O812" s="3">
        <v>217</v>
      </c>
      <c r="P812" s="1">
        <v>0</v>
      </c>
      <c r="Q812" s="1" t="s">
        <v>22</v>
      </c>
      <c r="R812" s="1" t="s">
        <v>22</v>
      </c>
      <c r="S812" s="1">
        <v>29</v>
      </c>
      <c r="T812" s="1">
        <v>1</v>
      </c>
      <c r="U812" s="1">
        <v>5</v>
      </c>
    </row>
    <row r="813" spans="1:21" x14ac:dyDescent="0.25">
      <c r="A813" s="4">
        <v>44776</v>
      </c>
      <c r="B813" s="5">
        <v>0.56773148148148145</v>
      </c>
      <c r="C813" s="1">
        <v>1599</v>
      </c>
      <c r="D813" s="1">
        <v>13002595</v>
      </c>
      <c r="E813" s="1">
        <v>13</v>
      </c>
      <c r="F813" s="1">
        <v>22589</v>
      </c>
      <c r="G813" s="1" t="s">
        <v>18</v>
      </c>
      <c r="H813" s="1">
        <v>18</v>
      </c>
      <c r="I813" s="1">
        <v>157498</v>
      </c>
      <c r="J813" s="1" t="s">
        <v>830</v>
      </c>
      <c r="K813" s="1" t="s">
        <v>31</v>
      </c>
      <c r="L813" s="1" t="s">
        <v>122</v>
      </c>
      <c r="M813" s="1">
        <v>1</v>
      </c>
      <c r="N813" s="2">
        <v>161.84</v>
      </c>
      <c r="O813" s="3">
        <v>222</v>
      </c>
      <c r="P813" s="1">
        <v>0</v>
      </c>
      <c r="Q813" s="1" t="s">
        <v>22</v>
      </c>
      <c r="R813" s="1" t="s">
        <v>22</v>
      </c>
      <c r="S813" s="1">
        <v>29</v>
      </c>
      <c r="T813" s="1">
        <v>1</v>
      </c>
      <c r="U813" s="1">
        <v>2</v>
      </c>
    </row>
    <row r="814" spans="1:21" x14ac:dyDescent="0.25">
      <c r="A814" s="4">
        <v>44776</v>
      </c>
      <c r="B814" s="5">
        <v>0.56918981481481479</v>
      </c>
      <c r="C814" s="1">
        <v>1600</v>
      </c>
      <c r="D814" s="1">
        <v>13002595</v>
      </c>
      <c r="E814" s="1">
        <v>13</v>
      </c>
      <c r="F814" s="1">
        <v>22589</v>
      </c>
      <c r="G814" s="1" t="s">
        <v>18</v>
      </c>
      <c r="H814" s="1">
        <v>15</v>
      </c>
      <c r="I814" s="1">
        <v>6402</v>
      </c>
      <c r="J814" s="1" t="s">
        <v>465</v>
      </c>
      <c r="K814" s="1" t="s">
        <v>42</v>
      </c>
      <c r="L814" s="1" t="s">
        <v>73</v>
      </c>
      <c r="M814" s="1">
        <v>2</v>
      </c>
      <c r="N814" s="2">
        <v>18.18</v>
      </c>
      <c r="O814" s="3">
        <v>30</v>
      </c>
      <c r="P814" s="1">
        <v>6</v>
      </c>
      <c r="Q814" s="1">
        <v>939</v>
      </c>
      <c r="R814" s="1">
        <v>200000000042</v>
      </c>
      <c r="S814" s="1">
        <v>29</v>
      </c>
      <c r="T814" s="1">
        <v>1</v>
      </c>
      <c r="U814" s="1">
        <v>4</v>
      </c>
    </row>
    <row r="815" spans="1:21" x14ac:dyDescent="0.25">
      <c r="A815" s="4">
        <v>44776</v>
      </c>
      <c r="B815" s="5">
        <v>0.73636574074074079</v>
      </c>
      <c r="C815" s="1">
        <v>1638</v>
      </c>
      <c r="D815" s="1">
        <v>13002595</v>
      </c>
      <c r="E815" s="1">
        <v>13</v>
      </c>
      <c r="F815" s="1">
        <v>22589</v>
      </c>
      <c r="G815" s="1" t="s">
        <v>18</v>
      </c>
      <c r="H815" s="1">
        <v>18</v>
      </c>
      <c r="I815" s="1">
        <v>6402</v>
      </c>
      <c r="J815" s="1" t="s">
        <v>465</v>
      </c>
      <c r="K815" s="1" t="s">
        <v>42</v>
      </c>
      <c r="L815" s="1" t="s">
        <v>73</v>
      </c>
      <c r="M815" s="1">
        <v>1</v>
      </c>
      <c r="N815" s="2">
        <v>18.18</v>
      </c>
      <c r="O815" s="3">
        <v>30</v>
      </c>
      <c r="P815" s="1">
        <v>3</v>
      </c>
      <c r="Q815" s="1">
        <v>939</v>
      </c>
      <c r="R815" s="1">
        <v>200000000042</v>
      </c>
      <c r="S815" s="1">
        <v>29</v>
      </c>
      <c r="T815" s="1">
        <v>1</v>
      </c>
      <c r="U815" s="1">
        <v>4</v>
      </c>
    </row>
    <row r="816" spans="1:21" x14ac:dyDescent="0.25">
      <c r="A816" s="4">
        <v>44776</v>
      </c>
      <c r="B816" s="5">
        <v>0.56918981481481479</v>
      </c>
      <c r="C816" s="1">
        <v>1600</v>
      </c>
      <c r="D816" s="1">
        <v>13002595</v>
      </c>
      <c r="E816" s="1">
        <v>13</v>
      </c>
      <c r="F816" s="1">
        <v>22589</v>
      </c>
      <c r="G816" s="1" t="s">
        <v>18</v>
      </c>
      <c r="H816" s="1">
        <v>15</v>
      </c>
      <c r="I816" s="1">
        <v>260840</v>
      </c>
      <c r="J816" s="1" t="s">
        <v>355</v>
      </c>
      <c r="K816" s="1" t="s">
        <v>48</v>
      </c>
      <c r="L816" s="1" t="s">
        <v>164</v>
      </c>
      <c r="M816" s="1">
        <v>1</v>
      </c>
      <c r="N816" s="2">
        <v>9.66</v>
      </c>
      <c r="O816" s="3">
        <v>16</v>
      </c>
      <c r="P816" s="1">
        <v>0</v>
      </c>
      <c r="Q816" s="1" t="s">
        <v>22</v>
      </c>
      <c r="R816" s="1" t="s">
        <v>22</v>
      </c>
      <c r="S816" s="1">
        <v>29</v>
      </c>
      <c r="T816" s="1">
        <v>1</v>
      </c>
      <c r="U816" s="1">
        <v>2</v>
      </c>
    </row>
    <row r="817" spans="1:21" x14ac:dyDescent="0.25">
      <c r="A817" s="4">
        <v>44776</v>
      </c>
      <c r="B817" s="5">
        <v>0.56918981481481479</v>
      </c>
      <c r="C817" s="1">
        <v>1600</v>
      </c>
      <c r="D817" s="1">
        <v>13002595</v>
      </c>
      <c r="E817" s="1">
        <v>13</v>
      </c>
      <c r="F817" s="1">
        <v>22589</v>
      </c>
      <c r="G817" s="1" t="s">
        <v>18</v>
      </c>
      <c r="H817" s="1">
        <v>15</v>
      </c>
      <c r="I817" s="1">
        <v>564766</v>
      </c>
      <c r="J817" s="1" t="s">
        <v>831</v>
      </c>
      <c r="K817" s="1" t="s">
        <v>61</v>
      </c>
      <c r="L817" s="1" t="s">
        <v>506</v>
      </c>
      <c r="M817" s="1">
        <v>1</v>
      </c>
      <c r="N817" s="2">
        <v>6.44</v>
      </c>
      <c r="O817" s="3">
        <v>11</v>
      </c>
      <c r="P817" s="1">
        <v>0</v>
      </c>
      <c r="Q817" s="1" t="s">
        <v>22</v>
      </c>
      <c r="R817" s="1" t="s">
        <v>22</v>
      </c>
      <c r="S817" s="1">
        <v>29</v>
      </c>
      <c r="T817" s="1">
        <v>1</v>
      </c>
      <c r="U817" s="1">
        <v>3</v>
      </c>
    </row>
    <row r="818" spans="1:21" x14ac:dyDescent="0.25">
      <c r="A818" s="4">
        <v>44776</v>
      </c>
      <c r="B818" s="5">
        <v>0.56918981481481479</v>
      </c>
      <c r="C818" s="1">
        <v>1600</v>
      </c>
      <c r="D818" s="1">
        <v>13002595</v>
      </c>
      <c r="E818" s="1">
        <v>13</v>
      </c>
      <c r="F818" s="1">
        <v>22589</v>
      </c>
      <c r="G818" s="1" t="s">
        <v>18</v>
      </c>
      <c r="H818" s="1">
        <v>15</v>
      </c>
      <c r="I818" s="1">
        <v>83202</v>
      </c>
      <c r="J818" s="1" t="s">
        <v>832</v>
      </c>
      <c r="K818" s="1" t="s">
        <v>48</v>
      </c>
      <c r="L818" s="1" t="s">
        <v>833</v>
      </c>
      <c r="M818" s="1">
        <v>1</v>
      </c>
      <c r="N818" s="2">
        <v>74.8</v>
      </c>
      <c r="O818" s="3">
        <v>118</v>
      </c>
      <c r="P818" s="1">
        <v>0</v>
      </c>
      <c r="Q818" s="1" t="s">
        <v>22</v>
      </c>
      <c r="R818" s="1" t="s">
        <v>22</v>
      </c>
      <c r="S818" s="1">
        <v>29</v>
      </c>
      <c r="T818" s="1">
        <v>1</v>
      </c>
      <c r="U818" s="1">
        <v>1</v>
      </c>
    </row>
    <row r="819" spans="1:21" x14ac:dyDescent="0.25">
      <c r="A819" s="4">
        <v>44776</v>
      </c>
      <c r="B819" s="5">
        <v>0.56975694444444447</v>
      </c>
      <c r="C819" s="1">
        <v>1601</v>
      </c>
      <c r="D819" s="1">
        <v>13002595</v>
      </c>
      <c r="E819" s="1">
        <v>13</v>
      </c>
      <c r="F819" s="1">
        <v>22589</v>
      </c>
      <c r="G819" s="1" t="s">
        <v>18</v>
      </c>
      <c r="H819" s="1">
        <v>15</v>
      </c>
      <c r="I819" s="1">
        <v>463100</v>
      </c>
      <c r="J819" s="1" t="s">
        <v>408</v>
      </c>
      <c r="K819" s="1" t="s">
        <v>48</v>
      </c>
      <c r="L819" s="1" t="s">
        <v>32</v>
      </c>
      <c r="M819" s="1">
        <v>1</v>
      </c>
      <c r="N819" s="2">
        <v>47.5</v>
      </c>
      <c r="O819" s="3">
        <v>73</v>
      </c>
      <c r="P819" s="1">
        <v>0</v>
      </c>
      <c r="Q819" s="1" t="s">
        <v>22</v>
      </c>
      <c r="R819" s="1" t="s">
        <v>22</v>
      </c>
      <c r="S819" s="1">
        <v>29</v>
      </c>
      <c r="T819" s="1">
        <v>1</v>
      </c>
      <c r="U819" s="1">
        <v>1</v>
      </c>
    </row>
    <row r="820" spans="1:21" x14ac:dyDescent="0.25">
      <c r="A820" s="4">
        <v>44776</v>
      </c>
      <c r="B820" s="5">
        <v>0.73636574074074079</v>
      </c>
      <c r="C820" s="1">
        <v>1638</v>
      </c>
      <c r="D820" s="1">
        <v>13002595</v>
      </c>
      <c r="E820" s="1">
        <v>13</v>
      </c>
      <c r="F820" s="1">
        <v>22589</v>
      </c>
      <c r="G820" s="1" t="s">
        <v>18</v>
      </c>
      <c r="H820" s="1">
        <v>18</v>
      </c>
      <c r="I820" s="1">
        <v>463100</v>
      </c>
      <c r="J820" s="1" t="s">
        <v>408</v>
      </c>
      <c r="K820" s="1" t="s">
        <v>48</v>
      </c>
      <c r="L820" s="1" t="s">
        <v>32</v>
      </c>
      <c r="M820" s="1">
        <v>1</v>
      </c>
      <c r="N820" s="2">
        <v>47.5</v>
      </c>
      <c r="O820" s="3">
        <v>73</v>
      </c>
      <c r="P820" s="1">
        <v>0</v>
      </c>
      <c r="Q820" s="1" t="s">
        <v>22</v>
      </c>
      <c r="R820" s="1" t="s">
        <v>22</v>
      </c>
      <c r="S820" s="1">
        <v>29</v>
      </c>
      <c r="T820" s="1">
        <v>1</v>
      </c>
      <c r="U820" s="1">
        <v>2</v>
      </c>
    </row>
    <row r="821" spans="1:21" x14ac:dyDescent="0.25">
      <c r="A821" s="4">
        <v>44776</v>
      </c>
      <c r="B821" s="5">
        <v>0.57062500000000005</v>
      </c>
      <c r="C821" s="1">
        <v>1602</v>
      </c>
      <c r="D821" s="1">
        <v>13002595</v>
      </c>
      <c r="E821" s="1">
        <v>13</v>
      </c>
      <c r="F821" s="1">
        <v>22589</v>
      </c>
      <c r="G821" s="1" t="s">
        <v>18</v>
      </c>
      <c r="H821" s="1">
        <v>18</v>
      </c>
      <c r="I821" s="1">
        <v>418039</v>
      </c>
      <c r="J821" s="1" t="s">
        <v>699</v>
      </c>
      <c r="K821" s="1" t="s">
        <v>20</v>
      </c>
      <c r="L821" s="1" t="s">
        <v>700</v>
      </c>
      <c r="M821" s="1">
        <v>1</v>
      </c>
      <c r="N821" s="2">
        <v>257.92</v>
      </c>
      <c r="O821" s="3">
        <v>349</v>
      </c>
      <c r="P821" s="1">
        <v>24</v>
      </c>
      <c r="Q821" s="1">
        <v>9</v>
      </c>
      <c r="R821" s="1">
        <v>200010023583</v>
      </c>
      <c r="S821" s="1">
        <v>29</v>
      </c>
      <c r="T821" s="1">
        <v>1</v>
      </c>
      <c r="U821" s="1">
        <v>2</v>
      </c>
    </row>
    <row r="822" spans="1:21" x14ac:dyDescent="0.25">
      <c r="A822" s="4">
        <v>44776</v>
      </c>
      <c r="B822" s="5">
        <v>0.57062500000000005</v>
      </c>
      <c r="C822" s="1">
        <v>1602</v>
      </c>
      <c r="D822" s="1">
        <v>13002595</v>
      </c>
      <c r="E822" s="1">
        <v>13</v>
      </c>
      <c r="F822" s="1">
        <v>22589</v>
      </c>
      <c r="G822" s="1" t="s">
        <v>18</v>
      </c>
      <c r="H822" s="1">
        <v>18</v>
      </c>
      <c r="I822" s="1">
        <v>384267</v>
      </c>
      <c r="J822" s="1" t="s">
        <v>382</v>
      </c>
      <c r="K822" s="1" t="s">
        <v>26</v>
      </c>
      <c r="L822" s="1" t="s">
        <v>32</v>
      </c>
      <c r="M822" s="1">
        <v>1</v>
      </c>
      <c r="N822" s="2">
        <v>256.69</v>
      </c>
      <c r="O822" s="3">
        <v>347</v>
      </c>
      <c r="P822" s="1">
        <v>24</v>
      </c>
      <c r="Q822" s="1">
        <v>9</v>
      </c>
      <c r="R822" s="1">
        <v>200010023583</v>
      </c>
      <c r="S822" s="1">
        <v>29</v>
      </c>
      <c r="T822" s="1">
        <v>1</v>
      </c>
      <c r="U822" s="1">
        <v>1</v>
      </c>
    </row>
    <row r="823" spans="1:21" x14ac:dyDescent="0.25">
      <c r="A823" s="4">
        <v>44776</v>
      </c>
      <c r="B823" s="5">
        <v>0.57207175925925924</v>
      </c>
      <c r="C823" s="1">
        <v>1603</v>
      </c>
      <c r="D823" s="1">
        <v>13002595</v>
      </c>
      <c r="E823" s="1">
        <v>13</v>
      </c>
      <c r="F823" s="1">
        <v>22589</v>
      </c>
      <c r="G823" s="1" t="s">
        <v>18</v>
      </c>
      <c r="H823" s="1">
        <v>18</v>
      </c>
      <c r="I823" s="1">
        <v>298572</v>
      </c>
      <c r="J823" s="1" t="s">
        <v>834</v>
      </c>
      <c r="K823" s="1" t="s">
        <v>48</v>
      </c>
      <c r="L823" s="1" t="s">
        <v>77</v>
      </c>
      <c r="M823" s="1">
        <v>1</v>
      </c>
      <c r="N823" s="2">
        <v>351.42</v>
      </c>
      <c r="O823" s="3">
        <v>517</v>
      </c>
      <c r="P823" s="1">
        <v>51</v>
      </c>
      <c r="Q823" s="1">
        <v>9</v>
      </c>
      <c r="R823" s="1">
        <v>200010001680</v>
      </c>
      <c r="S823" s="1">
        <v>29</v>
      </c>
      <c r="T823" s="1">
        <v>1</v>
      </c>
      <c r="U823" s="1">
        <v>1</v>
      </c>
    </row>
    <row r="824" spans="1:21" x14ac:dyDescent="0.25">
      <c r="A824" s="4">
        <v>44776</v>
      </c>
      <c r="B824" s="5">
        <v>0.57207175925925924</v>
      </c>
      <c r="C824" s="1">
        <v>1603</v>
      </c>
      <c r="D824" s="1">
        <v>13002595</v>
      </c>
      <c r="E824" s="1">
        <v>13</v>
      </c>
      <c r="F824" s="1">
        <v>22589</v>
      </c>
      <c r="G824" s="1" t="s">
        <v>18</v>
      </c>
      <c r="H824" s="1">
        <v>18</v>
      </c>
      <c r="I824" s="1">
        <v>298573</v>
      </c>
      <c r="J824" s="1" t="s">
        <v>835</v>
      </c>
      <c r="K824" s="1" t="s">
        <v>48</v>
      </c>
      <c r="L824" s="1" t="s">
        <v>77</v>
      </c>
      <c r="M824" s="1">
        <v>1</v>
      </c>
      <c r="N824" s="2">
        <v>319.07</v>
      </c>
      <c r="O824" s="3">
        <v>470</v>
      </c>
      <c r="P824" s="1">
        <v>47</v>
      </c>
      <c r="Q824" s="1">
        <v>9</v>
      </c>
      <c r="R824" s="1">
        <v>200010001680</v>
      </c>
      <c r="S824" s="1">
        <v>29</v>
      </c>
      <c r="T824" s="1">
        <v>1</v>
      </c>
      <c r="U824" s="1">
        <v>2</v>
      </c>
    </row>
    <row r="825" spans="1:21" x14ac:dyDescent="0.25">
      <c r="A825" s="4">
        <v>44776</v>
      </c>
      <c r="B825" s="5">
        <v>0.57721064814814815</v>
      </c>
      <c r="C825" s="1">
        <v>1605</v>
      </c>
      <c r="D825" s="1">
        <v>13002595</v>
      </c>
      <c r="E825" s="1">
        <v>13</v>
      </c>
      <c r="F825" s="1">
        <v>22589</v>
      </c>
      <c r="G825" s="1" t="s">
        <v>18</v>
      </c>
      <c r="H825" s="1">
        <v>18</v>
      </c>
      <c r="I825" s="1">
        <v>23971</v>
      </c>
      <c r="J825" s="1" t="s">
        <v>836</v>
      </c>
      <c r="K825" s="1" t="s">
        <v>48</v>
      </c>
      <c r="L825" s="1" t="s">
        <v>837</v>
      </c>
      <c r="M825" s="1">
        <v>1</v>
      </c>
      <c r="N825" s="2">
        <v>1095.5999999999999</v>
      </c>
      <c r="O825" s="3">
        <v>1206</v>
      </c>
      <c r="P825" s="1">
        <v>0</v>
      </c>
      <c r="Q825" s="1" t="s">
        <v>22</v>
      </c>
      <c r="R825" s="1" t="s">
        <v>22</v>
      </c>
      <c r="S825" s="1">
        <v>29</v>
      </c>
      <c r="T825" s="1">
        <v>1</v>
      </c>
      <c r="U825" s="1">
        <v>6</v>
      </c>
    </row>
    <row r="826" spans="1:21" x14ac:dyDescent="0.25">
      <c r="A826" s="4">
        <v>44776</v>
      </c>
      <c r="B826" s="5">
        <v>0.57721064814814815</v>
      </c>
      <c r="C826" s="1">
        <v>1605</v>
      </c>
      <c r="D826" s="1">
        <v>13002595</v>
      </c>
      <c r="E826" s="1">
        <v>13</v>
      </c>
      <c r="F826" s="1">
        <v>22589</v>
      </c>
      <c r="G826" s="1" t="s">
        <v>18</v>
      </c>
      <c r="H826" s="1">
        <v>18</v>
      </c>
      <c r="I826" s="1">
        <v>47647</v>
      </c>
      <c r="J826" s="1" t="s">
        <v>838</v>
      </c>
      <c r="K826" s="1" t="s">
        <v>31</v>
      </c>
      <c r="L826" s="1" t="s">
        <v>839</v>
      </c>
      <c r="M826" s="1">
        <v>1</v>
      </c>
      <c r="N826" s="2">
        <v>562.03</v>
      </c>
      <c r="O826" s="3">
        <v>726</v>
      </c>
      <c r="P826" s="1">
        <v>0</v>
      </c>
      <c r="Q826" s="1" t="s">
        <v>22</v>
      </c>
      <c r="R826" s="1" t="s">
        <v>22</v>
      </c>
      <c r="S826" s="1">
        <v>29</v>
      </c>
      <c r="T826" s="1">
        <v>1</v>
      </c>
      <c r="U826" s="1">
        <v>1</v>
      </c>
    </row>
    <row r="827" spans="1:21" x14ac:dyDescent="0.25">
      <c r="A827" s="4">
        <v>44776</v>
      </c>
      <c r="B827" s="5">
        <v>0.57721064814814815</v>
      </c>
      <c r="C827" s="1">
        <v>1605</v>
      </c>
      <c r="D827" s="1">
        <v>13002595</v>
      </c>
      <c r="E827" s="1">
        <v>13</v>
      </c>
      <c r="F827" s="1">
        <v>22589</v>
      </c>
      <c r="G827" s="1" t="s">
        <v>18</v>
      </c>
      <c r="H827" s="1">
        <v>18</v>
      </c>
      <c r="I827" s="1">
        <v>153278</v>
      </c>
      <c r="J827" s="1" t="s">
        <v>840</v>
      </c>
      <c r="K827" s="1" t="s">
        <v>20</v>
      </c>
      <c r="L827" s="1" t="s">
        <v>841</v>
      </c>
      <c r="M827" s="1">
        <v>1</v>
      </c>
      <c r="N827" s="2">
        <v>255.76</v>
      </c>
      <c r="O827" s="3">
        <v>313</v>
      </c>
      <c r="P827" s="1">
        <v>0</v>
      </c>
      <c r="Q827" s="1" t="s">
        <v>22</v>
      </c>
      <c r="R827" s="1" t="s">
        <v>22</v>
      </c>
      <c r="S827" s="1">
        <v>29</v>
      </c>
      <c r="T827" s="1">
        <v>1</v>
      </c>
      <c r="U827" s="1">
        <v>2</v>
      </c>
    </row>
    <row r="828" spans="1:21" x14ac:dyDescent="0.25">
      <c r="A828" s="4">
        <v>44776</v>
      </c>
      <c r="B828" s="5">
        <v>0.57721064814814815</v>
      </c>
      <c r="C828" s="1">
        <v>1605</v>
      </c>
      <c r="D828" s="1">
        <v>13002595</v>
      </c>
      <c r="E828" s="1">
        <v>13</v>
      </c>
      <c r="F828" s="1">
        <v>22589</v>
      </c>
      <c r="G828" s="1" t="s">
        <v>18</v>
      </c>
      <c r="H828" s="1">
        <v>18</v>
      </c>
      <c r="I828" s="1">
        <v>345211</v>
      </c>
      <c r="J828" s="1" t="s">
        <v>89</v>
      </c>
      <c r="K828" s="1" t="s">
        <v>48</v>
      </c>
      <c r="L828" s="1" t="s">
        <v>90</v>
      </c>
      <c r="M828" s="1">
        <v>1</v>
      </c>
      <c r="N828" s="2">
        <v>25.71</v>
      </c>
      <c r="O828" s="3">
        <v>31</v>
      </c>
      <c r="P828" s="1">
        <v>0</v>
      </c>
      <c r="Q828" s="1" t="s">
        <v>22</v>
      </c>
      <c r="R828" s="1" t="s">
        <v>22</v>
      </c>
      <c r="S828" s="1">
        <v>29</v>
      </c>
      <c r="T828" s="1">
        <v>1</v>
      </c>
      <c r="U828" s="1">
        <v>3</v>
      </c>
    </row>
    <row r="829" spans="1:21" x14ac:dyDescent="0.25">
      <c r="A829" s="4">
        <v>44776</v>
      </c>
      <c r="B829" s="5">
        <v>0.57721064814814815</v>
      </c>
      <c r="C829" s="1">
        <v>1605</v>
      </c>
      <c r="D829" s="1">
        <v>13002595</v>
      </c>
      <c r="E829" s="1">
        <v>13</v>
      </c>
      <c r="F829" s="1">
        <v>22589</v>
      </c>
      <c r="G829" s="1" t="s">
        <v>18</v>
      </c>
      <c r="H829" s="1">
        <v>18</v>
      </c>
      <c r="I829" s="1">
        <v>101272</v>
      </c>
      <c r="J829" s="1" t="s">
        <v>842</v>
      </c>
      <c r="K829" s="1" t="s">
        <v>48</v>
      </c>
      <c r="L829" s="1" t="s">
        <v>753</v>
      </c>
      <c r="M829" s="1">
        <v>1</v>
      </c>
      <c r="N829" s="2">
        <v>557.91999999999996</v>
      </c>
      <c r="O829" s="3">
        <v>720</v>
      </c>
      <c r="P829" s="1">
        <v>0</v>
      </c>
      <c r="Q829" s="1" t="s">
        <v>22</v>
      </c>
      <c r="R829" s="1" t="s">
        <v>22</v>
      </c>
      <c r="S829" s="1">
        <v>29</v>
      </c>
      <c r="T829" s="1">
        <v>1</v>
      </c>
      <c r="U829" s="1">
        <v>4</v>
      </c>
    </row>
    <row r="830" spans="1:21" x14ac:dyDescent="0.25">
      <c r="A830" s="4">
        <v>44776</v>
      </c>
      <c r="B830" s="5">
        <v>0.57721064814814815</v>
      </c>
      <c r="C830" s="1">
        <v>1605</v>
      </c>
      <c r="D830" s="1">
        <v>13002595</v>
      </c>
      <c r="E830" s="1">
        <v>13</v>
      </c>
      <c r="F830" s="1">
        <v>22589</v>
      </c>
      <c r="G830" s="1" t="s">
        <v>18</v>
      </c>
      <c r="H830" s="1">
        <v>18</v>
      </c>
      <c r="I830" s="1">
        <v>1261</v>
      </c>
      <c r="J830" s="1" t="s">
        <v>843</v>
      </c>
      <c r="K830" s="1" t="s">
        <v>48</v>
      </c>
      <c r="L830" s="1" t="s">
        <v>294</v>
      </c>
      <c r="M830" s="1">
        <v>1</v>
      </c>
      <c r="N830" s="2">
        <v>67.510000000000005</v>
      </c>
      <c r="O830" s="3">
        <v>84</v>
      </c>
      <c r="P830" s="1">
        <v>0</v>
      </c>
      <c r="Q830" s="1" t="s">
        <v>22</v>
      </c>
      <c r="R830" s="1" t="s">
        <v>22</v>
      </c>
      <c r="S830" s="1">
        <v>29</v>
      </c>
      <c r="T830" s="1">
        <v>1</v>
      </c>
      <c r="U830" s="1">
        <v>5</v>
      </c>
    </row>
    <row r="831" spans="1:21" x14ac:dyDescent="0.25">
      <c r="A831" s="4">
        <v>44776</v>
      </c>
      <c r="B831" s="5">
        <v>0.58226851851851846</v>
      </c>
      <c r="C831" s="1">
        <v>1606</v>
      </c>
      <c r="D831" s="1">
        <v>13002595</v>
      </c>
      <c r="E831" s="1">
        <v>13</v>
      </c>
      <c r="F831" s="1">
        <v>22589</v>
      </c>
      <c r="G831" s="1" t="s">
        <v>18</v>
      </c>
      <c r="H831" s="1">
        <v>18</v>
      </c>
      <c r="I831" s="1">
        <v>343815</v>
      </c>
      <c r="J831" s="1" t="s">
        <v>844</v>
      </c>
      <c r="K831" s="1" t="s">
        <v>55</v>
      </c>
      <c r="L831" s="1" t="s">
        <v>90</v>
      </c>
      <c r="M831" s="1">
        <v>1</v>
      </c>
      <c r="N831" s="2">
        <v>65.2</v>
      </c>
      <c r="O831" s="3">
        <v>84</v>
      </c>
      <c r="P831" s="1">
        <v>4</v>
      </c>
      <c r="Q831" s="1">
        <v>9</v>
      </c>
      <c r="R831" s="1">
        <v>200010020729</v>
      </c>
      <c r="S831" s="1">
        <v>29</v>
      </c>
      <c r="T831" s="1">
        <v>1</v>
      </c>
      <c r="U831" s="1">
        <v>1</v>
      </c>
    </row>
    <row r="832" spans="1:21" x14ac:dyDescent="0.25">
      <c r="A832" s="4">
        <v>44776</v>
      </c>
      <c r="B832" s="5">
        <v>0.58226851851851846</v>
      </c>
      <c r="C832" s="1">
        <v>1606</v>
      </c>
      <c r="D832" s="1">
        <v>13002595</v>
      </c>
      <c r="E832" s="1">
        <v>13</v>
      </c>
      <c r="F832" s="1">
        <v>22589</v>
      </c>
      <c r="G832" s="1" t="s">
        <v>18</v>
      </c>
      <c r="H832" s="1">
        <v>18</v>
      </c>
      <c r="I832" s="1">
        <v>343815</v>
      </c>
      <c r="J832" s="1" t="s">
        <v>844</v>
      </c>
      <c r="K832" s="1" t="s">
        <v>55</v>
      </c>
      <c r="L832" s="1" t="s">
        <v>90</v>
      </c>
      <c r="M832" s="1">
        <v>1</v>
      </c>
      <c r="N832" s="2">
        <v>65.2</v>
      </c>
      <c r="O832" s="3">
        <v>84</v>
      </c>
      <c r="P832" s="1">
        <v>4</v>
      </c>
      <c r="Q832" s="1">
        <v>9</v>
      </c>
      <c r="R832" s="1">
        <v>200010020729</v>
      </c>
      <c r="S832" s="1">
        <v>29</v>
      </c>
      <c r="T832" s="1">
        <v>1</v>
      </c>
      <c r="U832" s="1">
        <v>2</v>
      </c>
    </row>
    <row r="833" spans="1:21" x14ac:dyDescent="0.25">
      <c r="A833" s="4">
        <v>44776</v>
      </c>
      <c r="B833" s="5">
        <v>0.58226851851851846</v>
      </c>
      <c r="C833" s="1">
        <v>1606</v>
      </c>
      <c r="D833" s="1">
        <v>13002595</v>
      </c>
      <c r="E833" s="1">
        <v>13</v>
      </c>
      <c r="F833" s="1">
        <v>22589</v>
      </c>
      <c r="G833" s="1" t="s">
        <v>18</v>
      </c>
      <c r="H833" s="1">
        <v>18</v>
      </c>
      <c r="I833" s="1">
        <v>493753</v>
      </c>
      <c r="J833" s="1" t="s">
        <v>845</v>
      </c>
      <c r="K833" s="1" t="s">
        <v>48</v>
      </c>
      <c r="L833" s="1" t="s">
        <v>846</v>
      </c>
      <c r="M833" s="1">
        <v>1</v>
      </c>
      <c r="N833" s="2">
        <v>488.41</v>
      </c>
      <c r="O833" s="3">
        <v>562</v>
      </c>
      <c r="P833" s="1">
        <v>56</v>
      </c>
      <c r="Q833" s="1">
        <v>9</v>
      </c>
      <c r="R833" s="1">
        <v>200010020729</v>
      </c>
      <c r="S833" s="1">
        <v>29</v>
      </c>
      <c r="T833" s="1">
        <v>1</v>
      </c>
      <c r="U833" s="1">
        <v>3</v>
      </c>
    </row>
    <row r="834" spans="1:21" x14ac:dyDescent="0.25">
      <c r="A834" s="4">
        <v>44776</v>
      </c>
      <c r="B834" s="5">
        <v>0.58453703703703708</v>
      </c>
      <c r="C834" s="1">
        <v>1607</v>
      </c>
      <c r="D834" s="1">
        <v>13002595</v>
      </c>
      <c r="E834" s="1">
        <v>13</v>
      </c>
      <c r="F834" s="1">
        <v>22589</v>
      </c>
      <c r="G834" s="1" t="s">
        <v>18</v>
      </c>
      <c r="H834" s="1">
        <v>15</v>
      </c>
      <c r="I834" s="1">
        <v>290468</v>
      </c>
      <c r="J834" s="1" t="s">
        <v>847</v>
      </c>
      <c r="K834" s="1" t="s">
        <v>48</v>
      </c>
      <c r="L834" s="1" t="s">
        <v>294</v>
      </c>
      <c r="M834" s="1">
        <v>1</v>
      </c>
      <c r="N834" s="2">
        <v>267.45</v>
      </c>
      <c r="O834" s="3">
        <v>362</v>
      </c>
      <c r="P834" s="1">
        <v>25</v>
      </c>
      <c r="Q834" s="1">
        <v>9</v>
      </c>
      <c r="R834" s="1">
        <v>200010016178</v>
      </c>
      <c r="S834" s="1">
        <v>29</v>
      </c>
      <c r="T834" s="1">
        <v>1</v>
      </c>
      <c r="U834" s="1">
        <v>1</v>
      </c>
    </row>
    <row r="835" spans="1:21" x14ac:dyDescent="0.25">
      <c r="A835" s="4">
        <v>44776</v>
      </c>
      <c r="B835" s="5">
        <v>0.5942708333333333</v>
      </c>
      <c r="C835" s="1">
        <v>1608</v>
      </c>
      <c r="D835" s="1">
        <v>13002595</v>
      </c>
      <c r="E835" s="1">
        <v>13</v>
      </c>
      <c r="F835" s="1">
        <v>22589</v>
      </c>
      <c r="G835" s="1" t="s">
        <v>18</v>
      </c>
      <c r="H835" s="1">
        <v>18</v>
      </c>
      <c r="I835" s="1">
        <v>2448</v>
      </c>
      <c r="J835" s="1" t="s">
        <v>848</v>
      </c>
      <c r="K835" s="1" t="s">
        <v>20</v>
      </c>
      <c r="L835" s="1" t="s">
        <v>849</v>
      </c>
      <c r="M835" s="1">
        <v>1</v>
      </c>
      <c r="N835" s="2">
        <v>155.83000000000001</v>
      </c>
      <c r="O835" s="3">
        <v>214</v>
      </c>
      <c r="P835" s="1">
        <v>14</v>
      </c>
      <c r="Q835" s="1">
        <v>9</v>
      </c>
      <c r="R835" s="1">
        <v>200010020930</v>
      </c>
      <c r="S835" s="1">
        <v>29</v>
      </c>
      <c r="T835" s="1">
        <v>1</v>
      </c>
      <c r="U835" s="1">
        <v>2</v>
      </c>
    </row>
    <row r="836" spans="1:21" x14ac:dyDescent="0.25">
      <c r="A836" s="4">
        <v>44776</v>
      </c>
      <c r="B836" s="5">
        <v>0.5942708333333333</v>
      </c>
      <c r="C836" s="1">
        <v>1608</v>
      </c>
      <c r="D836" s="1">
        <v>13002595</v>
      </c>
      <c r="E836" s="1">
        <v>13</v>
      </c>
      <c r="F836" s="1">
        <v>22589</v>
      </c>
      <c r="G836" s="1" t="s">
        <v>18</v>
      </c>
      <c r="H836" s="1">
        <v>18</v>
      </c>
      <c r="I836" s="1">
        <v>345542</v>
      </c>
      <c r="J836" s="1" t="s">
        <v>381</v>
      </c>
      <c r="K836" s="1" t="s">
        <v>48</v>
      </c>
      <c r="L836" s="1" t="s">
        <v>73</v>
      </c>
      <c r="M836" s="1">
        <v>1</v>
      </c>
      <c r="N836" s="2">
        <v>15.18</v>
      </c>
      <c r="O836" s="3">
        <v>19</v>
      </c>
      <c r="P836" s="1">
        <v>0</v>
      </c>
      <c r="Q836" s="1" t="s">
        <v>22</v>
      </c>
      <c r="R836" s="1" t="s">
        <v>22</v>
      </c>
      <c r="S836" s="1">
        <v>29</v>
      </c>
      <c r="T836" s="1">
        <v>1</v>
      </c>
      <c r="U836" s="1">
        <v>1</v>
      </c>
    </row>
    <row r="837" spans="1:21" x14ac:dyDescent="0.25">
      <c r="A837" s="4">
        <v>44776</v>
      </c>
      <c r="B837" s="5">
        <v>0.60665509259259254</v>
      </c>
      <c r="C837" s="1">
        <v>1609</v>
      </c>
      <c r="D837" s="1">
        <v>13002595</v>
      </c>
      <c r="E837" s="1">
        <v>13</v>
      </c>
      <c r="F837" s="1">
        <v>22589</v>
      </c>
      <c r="G837" s="1" t="s">
        <v>18</v>
      </c>
      <c r="H837" s="1">
        <v>18</v>
      </c>
      <c r="I837" s="1">
        <v>443168</v>
      </c>
      <c r="J837" s="1" t="s">
        <v>492</v>
      </c>
      <c r="K837" s="1" t="s">
        <v>48</v>
      </c>
      <c r="L837" s="1" t="s">
        <v>49</v>
      </c>
      <c r="M837" s="1">
        <v>1</v>
      </c>
      <c r="N837" s="2">
        <v>69.83</v>
      </c>
      <c r="O837" s="3">
        <v>110</v>
      </c>
      <c r="P837" s="1">
        <v>0</v>
      </c>
      <c r="Q837" s="1" t="s">
        <v>22</v>
      </c>
      <c r="R837" s="1" t="s">
        <v>22</v>
      </c>
      <c r="S837" s="1">
        <v>29</v>
      </c>
      <c r="T837" s="1">
        <v>1</v>
      </c>
      <c r="U837" s="1">
        <v>4</v>
      </c>
    </row>
    <row r="838" spans="1:21" x14ac:dyDescent="0.25">
      <c r="A838" s="4">
        <v>44776</v>
      </c>
      <c r="B838" s="5">
        <v>0.69087962962962968</v>
      </c>
      <c r="C838" s="1">
        <v>1627</v>
      </c>
      <c r="D838" s="1">
        <v>13002595</v>
      </c>
      <c r="E838" s="1">
        <v>13</v>
      </c>
      <c r="F838" s="1">
        <v>22589</v>
      </c>
      <c r="G838" s="1" t="s">
        <v>18</v>
      </c>
      <c r="H838" s="1">
        <v>18</v>
      </c>
      <c r="I838" s="1">
        <v>443168</v>
      </c>
      <c r="J838" s="1" t="s">
        <v>492</v>
      </c>
      <c r="K838" s="1" t="s">
        <v>48</v>
      </c>
      <c r="L838" s="1" t="s">
        <v>49</v>
      </c>
      <c r="M838" s="1">
        <v>1</v>
      </c>
      <c r="N838" s="2">
        <v>69.83</v>
      </c>
      <c r="O838" s="3">
        <v>110</v>
      </c>
      <c r="P838" s="1">
        <v>11</v>
      </c>
      <c r="Q838" s="1">
        <v>9</v>
      </c>
      <c r="R838" s="1">
        <v>200010006183</v>
      </c>
      <c r="S838" s="1">
        <v>29</v>
      </c>
      <c r="T838" s="1">
        <v>1</v>
      </c>
      <c r="U838" s="1">
        <v>3</v>
      </c>
    </row>
    <row r="839" spans="1:21" x14ac:dyDescent="0.25">
      <c r="A839" s="4">
        <v>44776</v>
      </c>
      <c r="B839" s="5">
        <v>0.60665509259259254</v>
      </c>
      <c r="C839" s="1">
        <v>1609</v>
      </c>
      <c r="D839" s="1">
        <v>13002595</v>
      </c>
      <c r="E839" s="1">
        <v>13</v>
      </c>
      <c r="F839" s="1">
        <v>22589</v>
      </c>
      <c r="G839" s="1" t="s">
        <v>18</v>
      </c>
      <c r="H839" s="1">
        <v>18</v>
      </c>
      <c r="I839" s="1">
        <v>345914</v>
      </c>
      <c r="J839" s="1" t="s">
        <v>850</v>
      </c>
      <c r="K839" s="1" t="s">
        <v>45</v>
      </c>
      <c r="L839" s="1" t="s">
        <v>170</v>
      </c>
      <c r="M839" s="1">
        <v>1</v>
      </c>
      <c r="N839" s="2">
        <v>27.41</v>
      </c>
      <c r="O839" s="3">
        <v>35</v>
      </c>
      <c r="P839" s="1">
        <v>0</v>
      </c>
      <c r="Q839" s="1" t="s">
        <v>22</v>
      </c>
      <c r="R839" s="1" t="s">
        <v>22</v>
      </c>
      <c r="S839" s="1">
        <v>29</v>
      </c>
      <c r="T839" s="1">
        <v>1</v>
      </c>
      <c r="U839" s="1">
        <v>3</v>
      </c>
    </row>
    <row r="840" spans="1:21" x14ac:dyDescent="0.25">
      <c r="A840" s="4">
        <v>44776</v>
      </c>
      <c r="B840" s="5">
        <v>0.60665509259259254</v>
      </c>
      <c r="C840" s="1">
        <v>1609</v>
      </c>
      <c r="D840" s="1">
        <v>13002595</v>
      </c>
      <c r="E840" s="1">
        <v>13</v>
      </c>
      <c r="F840" s="1">
        <v>22589</v>
      </c>
      <c r="G840" s="1" t="s">
        <v>18</v>
      </c>
      <c r="H840" s="1">
        <v>18</v>
      </c>
      <c r="I840" s="1">
        <v>343363</v>
      </c>
      <c r="J840" s="1" t="s">
        <v>851</v>
      </c>
      <c r="K840" s="1" t="s">
        <v>31</v>
      </c>
      <c r="L840" s="1" t="s">
        <v>852</v>
      </c>
      <c r="M840" s="1">
        <v>1</v>
      </c>
      <c r="N840" s="2">
        <v>28.17</v>
      </c>
      <c r="O840" s="3">
        <v>37</v>
      </c>
      <c r="P840" s="1">
        <v>0</v>
      </c>
      <c r="Q840" s="1" t="s">
        <v>22</v>
      </c>
      <c r="R840" s="1" t="s">
        <v>22</v>
      </c>
      <c r="S840" s="1">
        <v>29</v>
      </c>
      <c r="T840" s="1">
        <v>1</v>
      </c>
      <c r="U840" s="1">
        <v>5</v>
      </c>
    </row>
    <row r="841" spans="1:21" x14ac:dyDescent="0.25">
      <c r="A841" s="4">
        <v>44776</v>
      </c>
      <c r="B841" s="5">
        <v>0.60665509259259254</v>
      </c>
      <c r="C841" s="1">
        <v>1609</v>
      </c>
      <c r="D841" s="1">
        <v>13002595</v>
      </c>
      <c r="E841" s="1">
        <v>13</v>
      </c>
      <c r="F841" s="1">
        <v>22589</v>
      </c>
      <c r="G841" s="1" t="s">
        <v>18</v>
      </c>
      <c r="H841" s="1">
        <v>18</v>
      </c>
      <c r="I841" s="1">
        <v>343363</v>
      </c>
      <c r="J841" s="1" t="s">
        <v>851</v>
      </c>
      <c r="K841" s="1" t="s">
        <v>31</v>
      </c>
      <c r="L841" s="1" t="s">
        <v>852</v>
      </c>
      <c r="M841" s="1">
        <v>1</v>
      </c>
      <c r="N841" s="2">
        <v>28.17</v>
      </c>
      <c r="O841" s="3">
        <v>37</v>
      </c>
      <c r="P841" s="1">
        <v>0</v>
      </c>
      <c r="Q841" s="1" t="s">
        <v>22</v>
      </c>
      <c r="R841" s="1" t="s">
        <v>22</v>
      </c>
      <c r="S841" s="1">
        <v>29</v>
      </c>
      <c r="T841" s="1">
        <v>1</v>
      </c>
      <c r="U841" s="1">
        <v>6</v>
      </c>
    </row>
    <row r="842" spans="1:21" x14ac:dyDescent="0.25">
      <c r="A842" s="4">
        <v>44776</v>
      </c>
      <c r="B842" s="5">
        <v>0.60665509259259254</v>
      </c>
      <c r="C842" s="1">
        <v>1609</v>
      </c>
      <c r="D842" s="1">
        <v>13002595</v>
      </c>
      <c r="E842" s="1">
        <v>13</v>
      </c>
      <c r="F842" s="1">
        <v>22589</v>
      </c>
      <c r="G842" s="1" t="s">
        <v>18</v>
      </c>
      <c r="H842" s="1">
        <v>18</v>
      </c>
      <c r="I842" s="1">
        <v>343363</v>
      </c>
      <c r="J842" s="1" t="s">
        <v>851</v>
      </c>
      <c r="K842" s="1" t="s">
        <v>31</v>
      </c>
      <c r="L842" s="1" t="s">
        <v>852</v>
      </c>
      <c r="M842" s="1">
        <v>1</v>
      </c>
      <c r="N842" s="2">
        <v>28.17</v>
      </c>
      <c r="O842" s="3">
        <v>37</v>
      </c>
      <c r="P842" s="1">
        <v>0</v>
      </c>
      <c r="Q842" s="1" t="s">
        <v>22</v>
      </c>
      <c r="R842" s="1" t="s">
        <v>22</v>
      </c>
      <c r="S842" s="1">
        <v>29</v>
      </c>
      <c r="T842" s="1">
        <v>1</v>
      </c>
      <c r="U842" s="1">
        <v>7</v>
      </c>
    </row>
    <row r="843" spans="1:21" x14ac:dyDescent="0.25">
      <c r="A843" s="4">
        <v>44776</v>
      </c>
      <c r="B843" s="5">
        <v>0.60665509259259254</v>
      </c>
      <c r="C843" s="1">
        <v>1609</v>
      </c>
      <c r="D843" s="1">
        <v>13002595</v>
      </c>
      <c r="E843" s="1">
        <v>13</v>
      </c>
      <c r="F843" s="1">
        <v>22589</v>
      </c>
      <c r="G843" s="1" t="s">
        <v>18</v>
      </c>
      <c r="H843" s="1">
        <v>18</v>
      </c>
      <c r="I843" s="1">
        <v>343363</v>
      </c>
      <c r="J843" s="1" t="s">
        <v>851</v>
      </c>
      <c r="K843" s="1" t="s">
        <v>31</v>
      </c>
      <c r="L843" s="1" t="s">
        <v>852</v>
      </c>
      <c r="M843" s="1">
        <v>1</v>
      </c>
      <c r="N843" s="2">
        <v>28.17</v>
      </c>
      <c r="O843" s="3">
        <v>37</v>
      </c>
      <c r="P843" s="1">
        <v>0</v>
      </c>
      <c r="Q843" s="1" t="s">
        <v>22</v>
      </c>
      <c r="R843" s="1" t="s">
        <v>22</v>
      </c>
      <c r="S843" s="1">
        <v>29</v>
      </c>
      <c r="T843" s="1">
        <v>1</v>
      </c>
      <c r="U843" s="1">
        <v>8</v>
      </c>
    </row>
    <row r="844" spans="1:21" x14ac:dyDescent="0.25">
      <c r="A844" s="4">
        <v>44776</v>
      </c>
      <c r="B844" s="5">
        <v>0.60665509259259254</v>
      </c>
      <c r="C844" s="1">
        <v>1609</v>
      </c>
      <c r="D844" s="1">
        <v>13002595</v>
      </c>
      <c r="E844" s="1">
        <v>13</v>
      </c>
      <c r="F844" s="1">
        <v>22589</v>
      </c>
      <c r="G844" s="1" t="s">
        <v>18</v>
      </c>
      <c r="H844" s="1">
        <v>18</v>
      </c>
      <c r="I844" s="1">
        <v>343363</v>
      </c>
      <c r="J844" s="1" t="s">
        <v>851</v>
      </c>
      <c r="K844" s="1" t="s">
        <v>31</v>
      </c>
      <c r="L844" s="1" t="s">
        <v>852</v>
      </c>
      <c r="M844" s="1">
        <v>1</v>
      </c>
      <c r="N844" s="2">
        <v>28.17</v>
      </c>
      <c r="O844" s="3">
        <v>37</v>
      </c>
      <c r="P844" s="1">
        <v>0</v>
      </c>
      <c r="Q844" s="1" t="s">
        <v>22</v>
      </c>
      <c r="R844" s="1" t="s">
        <v>22</v>
      </c>
      <c r="S844" s="1">
        <v>29</v>
      </c>
      <c r="T844" s="1">
        <v>1</v>
      </c>
      <c r="U844" s="1">
        <v>9</v>
      </c>
    </row>
    <row r="845" spans="1:21" x14ac:dyDescent="0.25">
      <c r="A845" s="4">
        <v>44776</v>
      </c>
      <c r="B845" s="5">
        <v>0.60665509259259254</v>
      </c>
      <c r="C845" s="1">
        <v>1609</v>
      </c>
      <c r="D845" s="1">
        <v>13002595</v>
      </c>
      <c r="E845" s="1">
        <v>13</v>
      </c>
      <c r="F845" s="1">
        <v>22589</v>
      </c>
      <c r="G845" s="1" t="s">
        <v>18</v>
      </c>
      <c r="H845" s="1">
        <v>18</v>
      </c>
      <c r="I845" s="1">
        <v>343363</v>
      </c>
      <c r="J845" s="1" t="s">
        <v>851</v>
      </c>
      <c r="K845" s="1" t="s">
        <v>31</v>
      </c>
      <c r="L845" s="1" t="s">
        <v>852</v>
      </c>
      <c r="M845" s="1">
        <v>1</v>
      </c>
      <c r="N845" s="2">
        <v>28.17</v>
      </c>
      <c r="O845" s="3">
        <v>37</v>
      </c>
      <c r="P845" s="1">
        <v>0</v>
      </c>
      <c r="Q845" s="1" t="s">
        <v>22</v>
      </c>
      <c r="R845" s="1" t="s">
        <v>22</v>
      </c>
      <c r="S845" s="1">
        <v>29</v>
      </c>
      <c r="T845" s="1">
        <v>1</v>
      </c>
      <c r="U845" s="1">
        <v>10</v>
      </c>
    </row>
    <row r="846" spans="1:21" x14ac:dyDescent="0.25">
      <c r="A846" s="4">
        <v>44776</v>
      </c>
      <c r="B846" s="5">
        <v>0.60665509259259254</v>
      </c>
      <c r="C846" s="1">
        <v>1609</v>
      </c>
      <c r="D846" s="1">
        <v>13002595</v>
      </c>
      <c r="E846" s="1">
        <v>13</v>
      </c>
      <c r="F846" s="1">
        <v>22589</v>
      </c>
      <c r="G846" s="1" t="s">
        <v>18</v>
      </c>
      <c r="H846" s="1">
        <v>18</v>
      </c>
      <c r="I846" s="1">
        <v>343363</v>
      </c>
      <c r="J846" s="1" t="s">
        <v>851</v>
      </c>
      <c r="K846" s="1" t="s">
        <v>31</v>
      </c>
      <c r="L846" s="1" t="s">
        <v>852</v>
      </c>
      <c r="M846" s="1">
        <v>1</v>
      </c>
      <c r="N846" s="2">
        <v>28.17</v>
      </c>
      <c r="O846" s="3">
        <v>37</v>
      </c>
      <c r="P846" s="1">
        <v>0</v>
      </c>
      <c r="Q846" s="1" t="s">
        <v>22</v>
      </c>
      <c r="R846" s="1" t="s">
        <v>22</v>
      </c>
      <c r="S846" s="1">
        <v>29</v>
      </c>
      <c r="T846" s="1">
        <v>1</v>
      </c>
      <c r="U846" s="1">
        <v>11</v>
      </c>
    </row>
    <row r="847" spans="1:21" x14ac:dyDescent="0.25">
      <c r="A847" s="4">
        <v>44776</v>
      </c>
      <c r="B847" s="5">
        <v>0.60665509259259254</v>
      </c>
      <c r="C847" s="1">
        <v>1609</v>
      </c>
      <c r="D847" s="1">
        <v>13002595</v>
      </c>
      <c r="E847" s="1">
        <v>13</v>
      </c>
      <c r="F847" s="1">
        <v>22589</v>
      </c>
      <c r="G847" s="1" t="s">
        <v>18</v>
      </c>
      <c r="H847" s="1">
        <v>18</v>
      </c>
      <c r="I847" s="1">
        <v>343363</v>
      </c>
      <c r="J847" s="1" t="s">
        <v>851</v>
      </c>
      <c r="K847" s="1" t="s">
        <v>31</v>
      </c>
      <c r="L847" s="1" t="s">
        <v>852</v>
      </c>
      <c r="M847" s="1">
        <v>1</v>
      </c>
      <c r="N847" s="2">
        <v>28.17</v>
      </c>
      <c r="O847" s="3">
        <v>37</v>
      </c>
      <c r="P847" s="1">
        <v>0</v>
      </c>
      <c r="Q847" s="1" t="s">
        <v>22</v>
      </c>
      <c r="R847" s="1" t="s">
        <v>22</v>
      </c>
      <c r="S847" s="1">
        <v>29</v>
      </c>
      <c r="T847" s="1">
        <v>1</v>
      </c>
      <c r="U847" s="1">
        <v>12</v>
      </c>
    </row>
    <row r="848" spans="1:21" x14ac:dyDescent="0.25">
      <c r="A848" s="4">
        <v>44776</v>
      </c>
      <c r="B848" s="5">
        <v>0.60665509259259254</v>
      </c>
      <c r="C848" s="1">
        <v>1609</v>
      </c>
      <c r="D848" s="1">
        <v>13002595</v>
      </c>
      <c r="E848" s="1">
        <v>13</v>
      </c>
      <c r="F848" s="1">
        <v>22589</v>
      </c>
      <c r="G848" s="1" t="s">
        <v>18</v>
      </c>
      <c r="H848" s="1">
        <v>18</v>
      </c>
      <c r="I848" s="1">
        <v>343363</v>
      </c>
      <c r="J848" s="1" t="s">
        <v>851</v>
      </c>
      <c r="K848" s="1" t="s">
        <v>31</v>
      </c>
      <c r="L848" s="1" t="s">
        <v>852</v>
      </c>
      <c r="M848" s="1">
        <v>1</v>
      </c>
      <c r="N848" s="2">
        <v>28.17</v>
      </c>
      <c r="O848" s="3">
        <v>37</v>
      </c>
      <c r="P848" s="1">
        <v>0</v>
      </c>
      <c r="Q848" s="1" t="s">
        <v>22</v>
      </c>
      <c r="R848" s="1" t="s">
        <v>22</v>
      </c>
      <c r="S848" s="1">
        <v>29</v>
      </c>
      <c r="T848" s="1">
        <v>1</v>
      </c>
      <c r="U848" s="1">
        <v>13</v>
      </c>
    </row>
    <row r="849" spans="1:21" x14ac:dyDescent="0.25">
      <c r="A849" s="4">
        <v>44776</v>
      </c>
      <c r="B849" s="5">
        <v>0.60665509259259254</v>
      </c>
      <c r="C849" s="1">
        <v>1609</v>
      </c>
      <c r="D849" s="1">
        <v>13002595</v>
      </c>
      <c r="E849" s="1">
        <v>13</v>
      </c>
      <c r="F849" s="1">
        <v>22589</v>
      </c>
      <c r="G849" s="1" t="s">
        <v>18</v>
      </c>
      <c r="H849" s="1">
        <v>18</v>
      </c>
      <c r="I849" s="1">
        <v>343363</v>
      </c>
      <c r="J849" s="1" t="s">
        <v>851</v>
      </c>
      <c r="K849" s="1" t="s">
        <v>31</v>
      </c>
      <c r="L849" s="1" t="s">
        <v>852</v>
      </c>
      <c r="M849" s="1">
        <v>1</v>
      </c>
      <c r="N849" s="2">
        <v>28.17</v>
      </c>
      <c r="O849" s="3">
        <v>37</v>
      </c>
      <c r="P849" s="1">
        <v>0</v>
      </c>
      <c r="Q849" s="1" t="s">
        <v>22</v>
      </c>
      <c r="R849" s="1" t="s">
        <v>22</v>
      </c>
      <c r="S849" s="1">
        <v>29</v>
      </c>
      <c r="T849" s="1">
        <v>1</v>
      </c>
      <c r="U849" s="1">
        <v>14</v>
      </c>
    </row>
    <row r="850" spans="1:21" x14ac:dyDescent="0.25">
      <c r="A850" s="4">
        <v>44776</v>
      </c>
      <c r="B850" s="5">
        <v>0.60979166666666662</v>
      </c>
      <c r="C850" s="1">
        <v>1610</v>
      </c>
      <c r="D850" s="1">
        <v>13002595</v>
      </c>
      <c r="E850" s="1">
        <v>13</v>
      </c>
      <c r="F850" s="1">
        <v>22589</v>
      </c>
      <c r="G850" s="1" t="s">
        <v>18</v>
      </c>
      <c r="H850" s="1">
        <v>18</v>
      </c>
      <c r="I850" s="1">
        <v>114886</v>
      </c>
      <c r="J850" s="1" t="s">
        <v>853</v>
      </c>
      <c r="K850" s="1" t="s">
        <v>81</v>
      </c>
      <c r="L850" s="1" t="s">
        <v>24</v>
      </c>
      <c r="M850" s="1">
        <v>1</v>
      </c>
      <c r="N850" s="2">
        <v>321.66000000000003</v>
      </c>
      <c r="O850" s="3">
        <v>425</v>
      </c>
      <c r="P850" s="1">
        <v>42</v>
      </c>
      <c r="Q850" s="1">
        <v>941</v>
      </c>
      <c r="R850" s="1">
        <v>200000000044</v>
      </c>
      <c r="S850" s="1">
        <v>29</v>
      </c>
      <c r="T850" s="1">
        <v>1</v>
      </c>
      <c r="U850" s="1">
        <v>1</v>
      </c>
    </row>
    <row r="851" spans="1:21" x14ac:dyDescent="0.25">
      <c r="A851" s="4">
        <v>44776</v>
      </c>
      <c r="B851" s="5">
        <v>0.61141203703703706</v>
      </c>
      <c r="C851" s="1">
        <v>1611</v>
      </c>
      <c r="D851" s="1">
        <v>13002595</v>
      </c>
      <c r="E851" s="1">
        <v>13</v>
      </c>
      <c r="F851" s="1">
        <v>22589</v>
      </c>
      <c r="G851" s="1" t="s">
        <v>18</v>
      </c>
      <c r="H851" s="1">
        <v>18</v>
      </c>
      <c r="I851" s="1">
        <v>16026</v>
      </c>
      <c r="J851" s="1" t="s">
        <v>854</v>
      </c>
      <c r="K851" s="1" t="s">
        <v>31</v>
      </c>
      <c r="L851" s="1" t="s">
        <v>385</v>
      </c>
      <c r="M851" s="1">
        <v>1</v>
      </c>
      <c r="N851" s="2">
        <v>555.70000000000005</v>
      </c>
      <c r="O851" s="3">
        <v>640</v>
      </c>
      <c r="P851" s="1">
        <v>44</v>
      </c>
      <c r="Q851" s="1">
        <v>9</v>
      </c>
      <c r="R851" s="1">
        <v>200010026815</v>
      </c>
      <c r="S851" s="1">
        <v>29</v>
      </c>
      <c r="T851" s="1">
        <v>1</v>
      </c>
      <c r="U851" s="1">
        <v>1</v>
      </c>
    </row>
    <row r="852" spans="1:21" x14ac:dyDescent="0.25">
      <c r="A852" s="4">
        <v>44776</v>
      </c>
      <c r="B852" s="5">
        <v>0.61141203703703706</v>
      </c>
      <c r="C852" s="1">
        <v>1611</v>
      </c>
      <c r="D852" s="1">
        <v>13002595</v>
      </c>
      <c r="E852" s="1">
        <v>13</v>
      </c>
      <c r="F852" s="1">
        <v>22589</v>
      </c>
      <c r="G852" s="1" t="s">
        <v>18</v>
      </c>
      <c r="H852" s="1">
        <v>18</v>
      </c>
      <c r="I852" s="1">
        <v>21983</v>
      </c>
      <c r="J852" s="1" t="s">
        <v>855</v>
      </c>
      <c r="K852" s="1" t="s">
        <v>48</v>
      </c>
      <c r="L852" s="1" t="s">
        <v>637</v>
      </c>
      <c r="M852" s="1">
        <v>1</v>
      </c>
      <c r="N852" s="2">
        <v>1006.07</v>
      </c>
      <c r="O852" s="3">
        <v>1258</v>
      </c>
      <c r="P852" s="1">
        <v>88</v>
      </c>
      <c r="Q852" s="1">
        <v>9</v>
      </c>
      <c r="R852" s="1">
        <v>200010026815</v>
      </c>
      <c r="S852" s="1">
        <v>29</v>
      </c>
      <c r="T852" s="1">
        <v>1</v>
      </c>
      <c r="U852" s="1">
        <v>3</v>
      </c>
    </row>
    <row r="853" spans="1:21" x14ac:dyDescent="0.25">
      <c r="A853" s="4">
        <v>44776</v>
      </c>
      <c r="B853" s="5">
        <v>0.61141203703703706</v>
      </c>
      <c r="C853" s="1">
        <v>1611</v>
      </c>
      <c r="D853" s="1">
        <v>13002595</v>
      </c>
      <c r="E853" s="1">
        <v>13</v>
      </c>
      <c r="F853" s="1">
        <v>22589</v>
      </c>
      <c r="G853" s="1" t="s">
        <v>18</v>
      </c>
      <c r="H853" s="1">
        <v>18</v>
      </c>
      <c r="I853" s="1">
        <v>3770</v>
      </c>
      <c r="J853" s="1" t="s">
        <v>779</v>
      </c>
      <c r="K853" s="1" t="s">
        <v>20</v>
      </c>
      <c r="L853" s="1" t="s">
        <v>252</v>
      </c>
      <c r="M853" s="1">
        <v>1</v>
      </c>
      <c r="N853" s="2">
        <v>148.46</v>
      </c>
      <c r="O853" s="3">
        <v>180</v>
      </c>
      <c r="P853" s="1">
        <v>9</v>
      </c>
      <c r="Q853" s="1">
        <v>9</v>
      </c>
      <c r="R853" s="1">
        <v>200010026815</v>
      </c>
      <c r="S853" s="1">
        <v>29</v>
      </c>
      <c r="T853" s="1">
        <v>1</v>
      </c>
      <c r="U853" s="1">
        <v>2</v>
      </c>
    </row>
    <row r="854" spans="1:21" x14ac:dyDescent="0.25">
      <c r="A854" s="4">
        <v>44776</v>
      </c>
      <c r="B854" s="5">
        <v>0.61731481481481476</v>
      </c>
      <c r="C854" s="1">
        <v>1612</v>
      </c>
      <c r="D854" s="1">
        <v>13002595</v>
      </c>
      <c r="E854" s="1">
        <v>13</v>
      </c>
      <c r="F854" s="1">
        <v>22589</v>
      </c>
      <c r="G854" s="1" t="s">
        <v>18</v>
      </c>
      <c r="H854" s="1">
        <v>15</v>
      </c>
      <c r="I854" s="1">
        <v>508726</v>
      </c>
      <c r="J854" s="1" t="s">
        <v>485</v>
      </c>
      <c r="K854" s="1" t="s">
        <v>48</v>
      </c>
      <c r="L854" s="1" t="s">
        <v>271</v>
      </c>
      <c r="M854" s="1">
        <v>1</v>
      </c>
      <c r="N854" s="2">
        <v>174.59</v>
      </c>
      <c r="O854" s="3">
        <v>240</v>
      </c>
      <c r="P854" s="1">
        <v>0</v>
      </c>
      <c r="Q854" s="1" t="s">
        <v>22</v>
      </c>
      <c r="R854" s="1" t="s">
        <v>22</v>
      </c>
      <c r="S854" s="1">
        <v>29</v>
      </c>
      <c r="T854" s="1">
        <v>1</v>
      </c>
      <c r="U854" s="1">
        <v>2</v>
      </c>
    </row>
    <row r="855" spans="1:21" x14ac:dyDescent="0.25">
      <c r="A855" s="4">
        <v>44776</v>
      </c>
      <c r="B855" s="5">
        <v>0.61731481481481476</v>
      </c>
      <c r="C855" s="1">
        <v>1612</v>
      </c>
      <c r="D855" s="1">
        <v>13002595</v>
      </c>
      <c r="E855" s="1">
        <v>13</v>
      </c>
      <c r="F855" s="1">
        <v>22589</v>
      </c>
      <c r="G855" s="1" t="s">
        <v>18</v>
      </c>
      <c r="H855" s="1">
        <v>15</v>
      </c>
      <c r="I855" s="1">
        <v>28310</v>
      </c>
      <c r="J855" s="1" t="s">
        <v>856</v>
      </c>
      <c r="K855" s="1" t="s">
        <v>48</v>
      </c>
      <c r="L855" s="1" t="s">
        <v>77</v>
      </c>
      <c r="M855" s="1">
        <v>1</v>
      </c>
      <c r="N855" s="2">
        <v>26.97</v>
      </c>
      <c r="O855" s="3">
        <v>44</v>
      </c>
      <c r="P855" s="1">
        <v>0</v>
      </c>
      <c r="Q855" s="1" t="s">
        <v>22</v>
      </c>
      <c r="R855" s="1" t="s">
        <v>22</v>
      </c>
      <c r="S855" s="1">
        <v>29</v>
      </c>
      <c r="T855" s="1">
        <v>1</v>
      </c>
      <c r="U855" s="1">
        <v>1</v>
      </c>
    </row>
    <row r="856" spans="1:21" x14ac:dyDescent="0.25">
      <c r="A856" s="4">
        <v>44776</v>
      </c>
      <c r="B856" s="5">
        <v>0.6196990740740741</v>
      </c>
      <c r="C856" s="1">
        <v>1613</v>
      </c>
      <c r="D856" s="1">
        <v>13002595</v>
      </c>
      <c r="E856" s="1">
        <v>13</v>
      </c>
      <c r="F856" s="1">
        <v>22589</v>
      </c>
      <c r="G856" s="1" t="s">
        <v>18</v>
      </c>
      <c r="H856" s="1">
        <v>15</v>
      </c>
      <c r="I856" s="1">
        <v>124404</v>
      </c>
      <c r="J856" s="1" t="s">
        <v>781</v>
      </c>
      <c r="K856" s="1" t="s">
        <v>20</v>
      </c>
      <c r="L856" s="1" t="s">
        <v>273</v>
      </c>
      <c r="M856" s="1">
        <v>1</v>
      </c>
      <c r="N856" s="2">
        <v>611.12</v>
      </c>
      <c r="O856" s="3">
        <v>789</v>
      </c>
      <c r="P856" s="1">
        <v>55</v>
      </c>
      <c r="Q856" s="1">
        <v>9</v>
      </c>
      <c r="R856" s="1">
        <v>200010015892</v>
      </c>
      <c r="S856" s="1">
        <v>29</v>
      </c>
      <c r="T856" s="1">
        <v>1</v>
      </c>
      <c r="U856" s="1">
        <v>1</v>
      </c>
    </row>
    <row r="857" spans="1:21" x14ac:dyDescent="0.25">
      <c r="A857" s="4">
        <v>44776</v>
      </c>
      <c r="B857" s="5">
        <v>0.6196990740740741</v>
      </c>
      <c r="C857" s="1">
        <v>1613</v>
      </c>
      <c r="D857" s="1">
        <v>13002595</v>
      </c>
      <c r="E857" s="1">
        <v>13</v>
      </c>
      <c r="F857" s="1">
        <v>22589</v>
      </c>
      <c r="G857" s="1" t="s">
        <v>18</v>
      </c>
      <c r="H857" s="1">
        <v>15</v>
      </c>
      <c r="I857" s="1">
        <v>149580</v>
      </c>
      <c r="J857" s="1" t="s">
        <v>857</v>
      </c>
      <c r="K857" s="1" t="s">
        <v>58</v>
      </c>
      <c r="L857" s="1" t="s">
        <v>156</v>
      </c>
      <c r="M857" s="1">
        <v>1</v>
      </c>
      <c r="N857" s="2">
        <v>278.41000000000003</v>
      </c>
      <c r="O857" s="3">
        <v>376</v>
      </c>
      <c r="P857" s="1">
        <v>26</v>
      </c>
      <c r="Q857" s="1">
        <v>9</v>
      </c>
      <c r="R857" s="1">
        <v>200010015892</v>
      </c>
      <c r="S857" s="1">
        <v>29</v>
      </c>
      <c r="T857" s="1">
        <v>1</v>
      </c>
      <c r="U857" s="1">
        <v>2</v>
      </c>
    </row>
    <row r="858" spans="1:21" x14ac:dyDescent="0.25">
      <c r="A858" s="4">
        <v>44776</v>
      </c>
      <c r="B858" s="5">
        <v>0.62587962962962962</v>
      </c>
      <c r="C858" s="1">
        <v>1614</v>
      </c>
      <c r="D858" s="1">
        <v>13002595</v>
      </c>
      <c r="E858" s="1">
        <v>13</v>
      </c>
      <c r="F858" s="1">
        <v>22589</v>
      </c>
      <c r="G858" s="1" t="s">
        <v>18</v>
      </c>
      <c r="H858" s="1">
        <v>18</v>
      </c>
      <c r="I858" s="1">
        <v>188015</v>
      </c>
      <c r="J858" s="1" t="s">
        <v>858</v>
      </c>
      <c r="K858" s="1" t="s">
        <v>48</v>
      </c>
      <c r="L858" s="1" t="s">
        <v>859</v>
      </c>
      <c r="M858" s="1">
        <v>1</v>
      </c>
      <c r="N858" s="2">
        <v>147.82</v>
      </c>
      <c r="O858" s="3">
        <v>203</v>
      </c>
      <c r="P858" s="1">
        <v>14</v>
      </c>
      <c r="Q858" s="1">
        <v>9</v>
      </c>
      <c r="R858" s="1">
        <v>200010022358</v>
      </c>
      <c r="S858" s="1">
        <v>29</v>
      </c>
      <c r="T858" s="1">
        <v>1</v>
      </c>
      <c r="U858" s="1">
        <v>1</v>
      </c>
    </row>
    <row r="859" spans="1:21" x14ac:dyDescent="0.25">
      <c r="A859" s="4">
        <v>44776</v>
      </c>
      <c r="B859" s="5">
        <v>0.62587962962962962</v>
      </c>
      <c r="C859" s="1">
        <v>1614</v>
      </c>
      <c r="D859" s="1">
        <v>13002595</v>
      </c>
      <c r="E859" s="1">
        <v>13</v>
      </c>
      <c r="F859" s="1">
        <v>22589</v>
      </c>
      <c r="G859" s="1" t="s">
        <v>18</v>
      </c>
      <c r="H859" s="1">
        <v>18</v>
      </c>
      <c r="I859" s="1">
        <v>188015</v>
      </c>
      <c r="J859" s="1" t="s">
        <v>858</v>
      </c>
      <c r="K859" s="1" t="s">
        <v>26</v>
      </c>
      <c r="L859" s="1" t="s">
        <v>859</v>
      </c>
      <c r="M859" s="1">
        <v>1</v>
      </c>
      <c r="N859" s="2">
        <v>148.19</v>
      </c>
      <c r="O859" s="3">
        <v>204</v>
      </c>
      <c r="P859" s="1">
        <v>14</v>
      </c>
      <c r="Q859" s="1">
        <v>9</v>
      </c>
      <c r="R859" s="1">
        <v>200010022358</v>
      </c>
      <c r="S859" s="1">
        <v>29</v>
      </c>
      <c r="T859" s="1">
        <v>1</v>
      </c>
      <c r="U859" s="1">
        <v>2</v>
      </c>
    </row>
    <row r="860" spans="1:21" x14ac:dyDescent="0.25">
      <c r="A860" s="4">
        <v>44776</v>
      </c>
      <c r="B860" s="5">
        <v>0.63142361111111112</v>
      </c>
      <c r="C860" s="1">
        <v>1615</v>
      </c>
      <c r="D860" s="1">
        <v>13002595</v>
      </c>
      <c r="E860" s="1">
        <v>13</v>
      </c>
      <c r="F860" s="1">
        <v>22589</v>
      </c>
      <c r="G860" s="1" t="s">
        <v>18</v>
      </c>
      <c r="H860" s="1">
        <v>15</v>
      </c>
      <c r="I860" s="1">
        <v>346864</v>
      </c>
      <c r="J860" s="1" t="s">
        <v>328</v>
      </c>
      <c r="K860" s="1" t="s">
        <v>55</v>
      </c>
      <c r="L860" s="1" t="s">
        <v>329</v>
      </c>
      <c r="M860" s="1">
        <v>0.32142860000000001</v>
      </c>
      <c r="N860" s="2">
        <v>622.16</v>
      </c>
      <c r="O860" s="3">
        <v>685</v>
      </c>
      <c r="P860" s="1">
        <v>0</v>
      </c>
      <c r="Q860" s="1" t="s">
        <v>22</v>
      </c>
      <c r="R860" s="1" t="s">
        <v>22</v>
      </c>
      <c r="S860" s="1">
        <v>29</v>
      </c>
      <c r="T860" s="1">
        <v>1</v>
      </c>
      <c r="U860" s="1">
        <v>1</v>
      </c>
    </row>
    <row r="861" spans="1:21" x14ac:dyDescent="0.25">
      <c r="A861" s="4">
        <v>44776</v>
      </c>
      <c r="B861" s="5">
        <v>0.63768518518518513</v>
      </c>
      <c r="C861" s="1">
        <v>1616</v>
      </c>
      <c r="D861" s="1">
        <v>13002595</v>
      </c>
      <c r="E861" s="1">
        <v>13</v>
      </c>
      <c r="F861" s="1">
        <v>22589</v>
      </c>
      <c r="G861" s="1" t="s">
        <v>18</v>
      </c>
      <c r="H861" s="1">
        <v>18</v>
      </c>
      <c r="I861" s="1">
        <v>172464</v>
      </c>
      <c r="J861" s="1" t="s">
        <v>860</v>
      </c>
      <c r="K861" s="1" t="s">
        <v>58</v>
      </c>
      <c r="L861" s="1" t="s">
        <v>103</v>
      </c>
      <c r="M861" s="1">
        <v>1</v>
      </c>
      <c r="N861" s="2">
        <v>60.72</v>
      </c>
      <c r="O861" s="3">
        <v>96</v>
      </c>
      <c r="P861" s="1">
        <v>0</v>
      </c>
      <c r="Q861" s="1" t="s">
        <v>22</v>
      </c>
      <c r="R861" s="1" t="s">
        <v>22</v>
      </c>
      <c r="S861" s="1">
        <v>29</v>
      </c>
      <c r="T861" s="1">
        <v>1</v>
      </c>
      <c r="U861" s="1">
        <v>1</v>
      </c>
    </row>
    <row r="862" spans="1:21" x14ac:dyDescent="0.25">
      <c r="A862" s="4">
        <v>44776</v>
      </c>
      <c r="B862" s="5">
        <v>0.6390393518518519</v>
      </c>
      <c r="C862" s="1">
        <v>1617</v>
      </c>
      <c r="D862" s="1">
        <v>13002595</v>
      </c>
      <c r="E862" s="1">
        <v>13</v>
      </c>
      <c r="F862" s="1">
        <v>22589</v>
      </c>
      <c r="G862" s="1" t="s">
        <v>18</v>
      </c>
      <c r="H862" s="1">
        <v>15</v>
      </c>
      <c r="I862" s="1">
        <v>142036</v>
      </c>
      <c r="J862" s="1" t="s">
        <v>98</v>
      </c>
      <c r="K862" s="1" t="s">
        <v>20</v>
      </c>
      <c r="L862" s="1" t="s">
        <v>73</v>
      </c>
      <c r="M862" s="1">
        <v>1</v>
      </c>
      <c r="N862" s="2">
        <v>187.36</v>
      </c>
      <c r="O862" s="3">
        <v>220</v>
      </c>
      <c r="P862" s="1">
        <v>15</v>
      </c>
      <c r="Q862" s="1">
        <v>9</v>
      </c>
      <c r="R862" s="1">
        <v>200010001084</v>
      </c>
      <c r="S862" s="1">
        <v>29</v>
      </c>
      <c r="T862" s="1">
        <v>1</v>
      </c>
      <c r="U862" s="1">
        <v>3</v>
      </c>
    </row>
    <row r="863" spans="1:21" x14ac:dyDescent="0.25">
      <c r="A863" s="4">
        <v>44776</v>
      </c>
      <c r="B863" s="5">
        <v>0.6390393518518519</v>
      </c>
      <c r="C863" s="1">
        <v>1617</v>
      </c>
      <c r="D863" s="1">
        <v>13002595</v>
      </c>
      <c r="E863" s="1">
        <v>13</v>
      </c>
      <c r="F863" s="1">
        <v>22589</v>
      </c>
      <c r="G863" s="1" t="s">
        <v>18</v>
      </c>
      <c r="H863" s="1">
        <v>15</v>
      </c>
      <c r="I863" s="1">
        <v>348186</v>
      </c>
      <c r="J863" s="1" t="s">
        <v>416</v>
      </c>
      <c r="K863" s="1" t="s">
        <v>138</v>
      </c>
      <c r="L863" s="1" t="s">
        <v>170</v>
      </c>
      <c r="M863" s="1">
        <v>1</v>
      </c>
      <c r="N863" s="2">
        <v>5.83</v>
      </c>
      <c r="O863" s="3">
        <v>8</v>
      </c>
      <c r="P863" s="1">
        <v>0</v>
      </c>
      <c r="Q863" s="1" t="s">
        <v>22</v>
      </c>
      <c r="R863" s="1" t="s">
        <v>22</v>
      </c>
      <c r="S863" s="1">
        <v>29</v>
      </c>
      <c r="T863" s="1">
        <v>1</v>
      </c>
      <c r="U863" s="1">
        <v>2</v>
      </c>
    </row>
    <row r="864" spans="1:21" x14ac:dyDescent="0.25">
      <c r="A864" s="4">
        <v>44776</v>
      </c>
      <c r="B864" s="5">
        <v>0.69327546296296294</v>
      </c>
      <c r="C864" s="1">
        <v>1628</v>
      </c>
      <c r="D864" s="1">
        <v>13002595</v>
      </c>
      <c r="E864" s="1">
        <v>13</v>
      </c>
      <c r="F864" s="1">
        <v>22589</v>
      </c>
      <c r="G864" s="1" t="s">
        <v>18</v>
      </c>
      <c r="H864" s="1">
        <v>18</v>
      </c>
      <c r="I864" s="1">
        <v>348186</v>
      </c>
      <c r="J864" s="1" t="s">
        <v>416</v>
      </c>
      <c r="K864" s="1" t="s">
        <v>138</v>
      </c>
      <c r="L864" s="1" t="s">
        <v>170</v>
      </c>
      <c r="M864" s="1">
        <v>4</v>
      </c>
      <c r="N864" s="2">
        <v>5.83</v>
      </c>
      <c r="O864" s="3">
        <v>8</v>
      </c>
      <c r="P864" s="1">
        <v>0</v>
      </c>
      <c r="Q864" s="1" t="s">
        <v>22</v>
      </c>
      <c r="R864" s="1" t="s">
        <v>22</v>
      </c>
      <c r="S864" s="1">
        <v>29</v>
      </c>
      <c r="T864" s="1">
        <v>1</v>
      </c>
      <c r="U864" s="1">
        <v>1</v>
      </c>
    </row>
    <row r="865" spans="1:21" x14ac:dyDescent="0.25">
      <c r="A865" s="4">
        <v>44776</v>
      </c>
      <c r="B865" s="5">
        <v>0.6390393518518519</v>
      </c>
      <c r="C865" s="1">
        <v>1617</v>
      </c>
      <c r="D865" s="1">
        <v>13002595</v>
      </c>
      <c r="E865" s="1">
        <v>13</v>
      </c>
      <c r="F865" s="1">
        <v>22589</v>
      </c>
      <c r="G865" s="1" t="s">
        <v>18</v>
      </c>
      <c r="H865" s="1">
        <v>15</v>
      </c>
      <c r="I865" s="1">
        <v>438876</v>
      </c>
      <c r="J865" s="1" t="s">
        <v>861</v>
      </c>
      <c r="K865" s="1" t="s">
        <v>48</v>
      </c>
      <c r="L865" s="1" t="s">
        <v>862</v>
      </c>
      <c r="M865" s="1">
        <v>1</v>
      </c>
      <c r="N865" s="2">
        <v>92.3</v>
      </c>
      <c r="O865" s="3">
        <v>145</v>
      </c>
      <c r="P865" s="1">
        <v>14</v>
      </c>
      <c r="Q865" s="1">
        <v>9</v>
      </c>
      <c r="R865" s="1">
        <v>200010001084</v>
      </c>
      <c r="S865" s="1">
        <v>29</v>
      </c>
      <c r="T865" s="1">
        <v>1</v>
      </c>
      <c r="U865" s="1">
        <v>1</v>
      </c>
    </row>
    <row r="866" spans="1:21" x14ac:dyDescent="0.25">
      <c r="A866" s="4">
        <v>44776</v>
      </c>
      <c r="B866" s="5">
        <v>0.6519328703703704</v>
      </c>
      <c r="C866" s="1">
        <v>1618</v>
      </c>
      <c r="D866" s="1">
        <v>13002595</v>
      </c>
      <c r="E866" s="1">
        <v>13</v>
      </c>
      <c r="F866" s="1">
        <v>22589</v>
      </c>
      <c r="G866" s="1" t="s">
        <v>18</v>
      </c>
      <c r="H866" s="1">
        <v>18</v>
      </c>
      <c r="I866" s="1">
        <v>342435</v>
      </c>
      <c r="J866" s="1" t="s">
        <v>863</v>
      </c>
      <c r="K866" s="1" t="s">
        <v>20</v>
      </c>
      <c r="L866" s="1" t="s">
        <v>225</v>
      </c>
      <c r="M866" s="1">
        <v>1</v>
      </c>
      <c r="N866" s="2">
        <v>34.32</v>
      </c>
      <c r="O866" s="3">
        <v>53</v>
      </c>
      <c r="P866" s="1">
        <v>3</v>
      </c>
      <c r="Q866" s="1">
        <v>9</v>
      </c>
      <c r="R866" s="1">
        <v>200010004049</v>
      </c>
      <c r="S866" s="1">
        <v>29</v>
      </c>
      <c r="T866" s="1">
        <v>1</v>
      </c>
      <c r="U866" s="1">
        <v>8</v>
      </c>
    </row>
    <row r="867" spans="1:21" x14ac:dyDescent="0.25">
      <c r="A867" s="4">
        <v>44776</v>
      </c>
      <c r="B867" s="5">
        <v>0.6519328703703704</v>
      </c>
      <c r="C867" s="1">
        <v>1618</v>
      </c>
      <c r="D867" s="1">
        <v>13002595</v>
      </c>
      <c r="E867" s="1">
        <v>13</v>
      </c>
      <c r="F867" s="1">
        <v>22589</v>
      </c>
      <c r="G867" s="1" t="s">
        <v>18</v>
      </c>
      <c r="H867" s="1">
        <v>18</v>
      </c>
      <c r="I867" s="1">
        <v>342435</v>
      </c>
      <c r="J867" s="1" t="s">
        <v>863</v>
      </c>
      <c r="K867" s="1" t="s">
        <v>48</v>
      </c>
      <c r="L867" s="1" t="s">
        <v>225</v>
      </c>
      <c r="M867" s="1">
        <v>1</v>
      </c>
      <c r="N867" s="2">
        <v>34.4</v>
      </c>
      <c r="O867" s="3">
        <v>53</v>
      </c>
      <c r="P867" s="1">
        <v>3</v>
      </c>
      <c r="Q867" s="1">
        <v>9</v>
      </c>
      <c r="R867" s="1">
        <v>200010004049</v>
      </c>
      <c r="S867" s="1">
        <v>29</v>
      </c>
      <c r="T867" s="1">
        <v>1</v>
      </c>
      <c r="U867" s="1">
        <v>9</v>
      </c>
    </row>
    <row r="868" spans="1:21" x14ac:dyDescent="0.25">
      <c r="A868" s="4">
        <v>44776</v>
      </c>
      <c r="B868" s="5">
        <v>0.6519328703703704</v>
      </c>
      <c r="C868" s="1">
        <v>1618</v>
      </c>
      <c r="D868" s="1">
        <v>13002595</v>
      </c>
      <c r="E868" s="1">
        <v>13</v>
      </c>
      <c r="F868" s="1">
        <v>22589</v>
      </c>
      <c r="G868" s="1" t="s">
        <v>18</v>
      </c>
      <c r="H868" s="1">
        <v>18</v>
      </c>
      <c r="I868" s="1">
        <v>342435</v>
      </c>
      <c r="J868" s="1" t="s">
        <v>863</v>
      </c>
      <c r="K868" s="1" t="s">
        <v>48</v>
      </c>
      <c r="L868" s="1" t="s">
        <v>225</v>
      </c>
      <c r="M868" s="1">
        <v>1</v>
      </c>
      <c r="N868" s="2">
        <v>34.4</v>
      </c>
      <c r="O868" s="3">
        <v>53</v>
      </c>
      <c r="P868" s="1">
        <v>3</v>
      </c>
      <c r="Q868" s="1">
        <v>9</v>
      </c>
      <c r="R868" s="1">
        <v>200010004049</v>
      </c>
      <c r="S868" s="1">
        <v>29</v>
      </c>
      <c r="T868" s="1">
        <v>1</v>
      </c>
      <c r="U868" s="1">
        <v>10</v>
      </c>
    </row>
    <row r="869" spans="1:21" x14ac:dyDescent="0.25">
      <c r="A869" s="4">
        <v>44776</v>
      </c>
      <c r="B869" s="5">
        <v>0.6519328703703704</v>
      </c>
      <c r="C869" s="1">
        <v>1618</v>
      </c>
      <c r="D869" s="1">
        <v>13002595</v>
      </c>
      <c r="E869" s="1">
        <v>13</v>
      </c>
      <c r="F869" s="1">
        <v>22589</v>
      </c>
      <c r="G869" s="1" t="s">
        <v>18</v>
      </c>
      <c r="H869" s="1">
        <v>18</v>
      </c>
      <c r="I869" s="1">
        <v>176132</v>
      </c>
      <c r="J869" s="1" t="s">
        <v>864</v>
      </c>
      <c r="K869" s="1" t="s">
        <v>20</v>
      </c>
      <c r="L869" s="1" t="s">
        <v>252</v>
      </c>
      <c r="M869" s="1">
        <v>1</v>
      </c>
      <c r="N869" s="2">
        <v>105.59</v>
      </c>
      <c r="O869" s="3">
        <v>128</v>
      </c>
      <c r="P869" s="1">
        <v>6</v>
      </c>
      <c r="Q869" s="1">
        <v>9</v>
      </c>
      <c r="R869" s="1">
        <v>200010004049</v>
      </c>
      <c r="S869" s="1">
        <v>29</v>
      </c>
      <c r="T869" s="1">
        <v>1</v>
      </c>
      <c r="U869" s="1">
        <v>2</v>
      </c>
    </row>
    <row r="870" spans="1:21" x14ac:dyDescent="0.25">
      <c r="A870" s="4">
        <v>44776</v>
      </c>
      <c r="B870" s="5">
        <v>0.6519328703703704</v>
      </c>
      <c r="C870" s="1">
        <v>1618</v>
      </c>
      <c r="D870" s="1">
        <v>13002595</v>
      </c>
      <c r="E870" s="1">
        <v>13</v>
      </c>
      <c r="F870" s="1">
        <v>22589</v>
      </c>
      <c r="G870" s="1" t="s">
        <v>18</v>
      </c>
      <c r="H870" s="1">
        <v>18</v>
      </c>
      <c r="I870" s="1">
        <v>72603</v>
      </c>
      <c r="J870" s="1" t="s">
        <v>265</v>
      </c>
      <c r="K870" s="1" t="s">
        <v>48</v>
      </c>
      <c r="L870" s="1" t="s">
        <v>266</v>
      </c>
      <c r="M870" s="1">
        <v>1</v>
      </c>
      <c r="N870" s="2">
        <v>29.11</v>
      </c>
      <c r="O870" s="3">
        <v>48</v>
      </c>
      <c r="P870" s="1">
        <v>4</v>
      </c>
      <c r="Q870" s="1">
        <v>9</v>
      </c>
      <c r="R870" s="1">
        <v>200010004049</v>
      </c>
      <c r="S870" s="1">
        <v>29</v>
      </c>
      <c r="T870" s="1">
        <v>1</v>
      </c>
      <c r="U870" s="1">
        <v>6</v>
      </c>
    </row>
    <row r="871" spans="1:21" x14ac:dyDescent="0.25">
      <c r="A871" s="4">
        <v>44776</v>
      </c>
      <c r="B871" s="5">
        <v>0.6519328703703704</v>
      </c>
      <c r="C871" s="1">
        <v>1618</v>
      </c>
      <c r="D871" s="1">
        <v>13002595</v>
      </c>
      <c r="E871" s="1">
        <v>13</v>
      </c>
      <c r="F871" s="1">
        <v>22589</v>
      </c>
      <c r="G871" s="1" t="s">
        <v>18</v>
      </c>
      <c r="H871" s="1">
        <v>18</v>
      </c>
      <c r="I871" s="1">
        <v>51599</v>
      </c>
      <c r="J871" s="1" t="s">
        <v>552</v>
      </c>
      <c r="K871" s="1" t="s">
        <v>31</v>
      </c>
      <c r="L871" s="1" t="s">
        <v>223</v>
      </c>
      <c r="M871" s="1">
        <v>3</v>
      </c>
      <c r="N871" s="2">
        <v>37.49</v>
      </c>
      <c r="O871" s="3">
        <v>61</v>
      </c>
      <c r="P871" s="1">
        <v>18</v>
      </c>
      <c r="Q871" s="1">
        <v>9</v>
      </c>
      <c r="R871" s="1">
        <v>200010004049</v>
      </c>
      <c r="S871" s="1">
        <v>29</v>
      </c>
      <c r="T871" s="1">
        <v>1</v>
      </c>
      <c r="U871" s="1">
        <v>7</v>
      </c>
    </row>
    <row r="872" spans="1:21" x14ac:dyDescent="0.25">
      <c r="A872" s="4">
        <v>44776</v>
      </c>
      <c r="B872" s="5">
        <v>0.6519328703703704</v>
      </c>
      <c r="C872" s="1">
        <v>1618</v>
      </c>
      <c r="D872" s="1">
        <v>13002595</v>
      </c>
      <c r="E872" s="1">
        <v>13</v>
      </c>
      <c r="F872" s="1">
        <v>22589</v>
      </c>
      <c r="G872" s="1" t="s">
        <v>18</v>
      </c>
      <c r="H872" s="1">
        <v>18</v>
      </c>
      <c r="I872" s="1">
        <v>141664</v>
      </c>
      <c r="J872" s="1" t="s">
        <v>321</v>
      </c>
      <c r="K872" s="1" t="s">
        <v>48</v>
      </c>
      <c r="L872" s="1" t="s">
        <v>77</v>
      </c>
      <c r="M872" s="1">
        <v>1</v>
      </c>
      <c r="N872" s="2">
        <v>38.14</v>
      </c>
      <c r="O872" s="3">
        <v>62</v>
      </c>
      <c r="P872" s="1">
        <v>6</v>
      </c>
      <c r="Q872" s="1">
        <v>9</v>
      </c>
      <c r="R872" s="1">
        <v>200010004049</v>
      </c>
      <c r="S872" s="1">
        <v>29</v>
      </c>
      <c r="T872" s="1">
        <v>1</v>
      </c>
      <c r="U872" s="1">
        <v>5</v>
      </c>
    </row>
    <row r="873" spans="1:21" x14ac:dyDescent="0.25">
      <c r="A873" s="4">
        <v>44776</v>
      </c>
      <c r="B873" s="5">
        <v>0.6519328703703704</v>
      </c>
      <c r="C873" s="1">
        <v>1618</v>
      </c>
      <c r="D873" s="1">
        <v>13002595</v>
      </c>
      <c r="E873" s="1">
        <v>13</v>
      </c>
      <c r="F873" s="1">
        <v>22589</v>
      </c>
      <c r="G873" s="1" t="s">
        <v>18</v>
      </c>
      <c r="H873" s="1">
        <v>18</v>
      </c>
      <c r="I873" s="1">
        <v>297896</v>
      </c>
      <c r="J873" s="1" t="s">
        <v>865</v>
      </c>
      <c r="K873" s="1" t="s">
        <v>26</v>
      </c>
      <c r="L873" s="1" t="s">
        <v>866</v>
      </c>
      <c r="M873" s="1">
        <v>0.5</v>
      </c>
      <c r="N873" s="2">
        <v>2550.1</v>
      </c>
      <c r="O873" s="3">
        <v>3061</v>
      </c>
      <c r="P873" s="1">
        <v>152.5</v>
      </c>
      <c r="Q873" s="1">
        <v>9</v>
      </c>
      <c r="R873" s="1">
        <v>200010004049</v>
      </c>
      <c r="S873" s="1">
        <v>29</v>
      </c>
      <c r="T873" s="1">
        <v>1</v>
      </c>
      <c r="U873" s="1">
        <v>1</v>
      </c>
    </row>
    <row r="874" spans="1:21" x14ac:dyDescent="0.25">
      <c r="A874" s="4">
        <v>44776</v>
      </c>
      <c r="B874" s="5">
        <v>0.65290509259259255</v>
      </c>
      <c r="C874" s="1">
        <v>1619</v>
      </c>
      <c r="D874" s="1">
        <v>13002595</v>
      </c>
      <c r="E874" s="1">
        <v>13</v>
      </c>
      <c r="F874" s="1">
        <v>22589</v>
      </c>
      <c r="G874" s="1" t="s">
        <v>18</v>
      </c>
      <c r="H874" s="1">
        <v>15</v>
      </c>
      <c r="I874" s="1">
        <v>117695</v>
      </c>
      <c r="J874" s="1" t="s">
        <v>867</v>
      </c>
      <c r="K874" s="1" t="s">
        <v>114</v>
      </c>
      <c r="L874" s="1" t="s">
        <v>152</v>
      </c>
      <c r="M874" s="1">
        <v>1</v>
      </c>
      <c r="N874" s="2">
        <v>77.3</v>
      </c>
      <c r="O874" s="3">
        <v>122</v>
      </c>
      <c r="P874" s="1">
        <v>12</v>
      </c>
      <c r="Q874" s="1">
        <v>9</v>
      </c>
      <c r="R874" s="1">
        <v>200010001007</v>
      </c>
      <c r="S874" s="1">
        <v>29</v>
      </c>
      <c r="T874" s="1">
        <v>1</v>
      </c>
      <c r="U874" s="1">
        <v>1</v>
      </c>
    </row>
    <row r="875" spans="1:21" x14ac:dyDescent="0.25">
      <c r="A875" s="4">
        <v>44776</v>
      </c>
      <c r="B875" s="5">
        <v>0.65290509259259255</v>
      </c>
      <c r="C875" s="1">
        <v>1619</v>
      </c>
      <c r="D875" s="1">
        <v>13002595</v>
      </c>
      <c r="E875" s="1">
        <v>13</v>
      </c>
      <c r="F875" s="1">
        <v>22589</v>
      </c>
      <c r="G875" s="1" t="s">
        <v>18</v>
      </c>
      <c r="H875" s="1">
        <v>15</v>
      </c>
      <c r="I875" s="1">
        <v>338371</v>
      </c>
      <c r="J875" s="1" t="s">
        <v>868</v>
      </c>
      <c r="K875" s="1" t="s">
        <v>20</v>
      </c>
      <c r="L875" s="1" t="s">
        <v>588</v>
      </c>
      <c r="M875" s="1">
        <v>1</v>
      </c>
      <c r="N875" s="2">
        <v>29.75</v>
      </c>
      <c r="O875" s="3">
        <v>49</v>
      </c>
      <c r="P875" s="1">
        <v>4</v>
      </c>
      <c r="Q875" s="1">
        <v>9</v>
      </c>
      <c r="R875" s="1">
        <v>200010001007</v>
      </c>
      <c r="S875" s="1">
        <v>29</v>
      </c>
      <c r="T875" s="1">
        <v>1</v>
      </c>
      <c r="U875" s="1">
        <v>2</v>
      </c>
    </row>
    <row r="876" spans="1:21" x14ac:dyDescent="0.25">
      <c r="A876" s="4">
        <v>44776</v>
      </c>
      <c r="B876" s="5">
        <v>0.65454861111111107</v>
      </c>
      <c r="C876" s="1">
        <v>1620</v>
      </c>
      <c r="D876" s="1">
        <v>13002595</v>
      </c>
      <c r="E876" s="1">
        <v>13</v>
      </c>
      <c r="F876" s="1">
        <v>22589</v>
      </c>
      <c r="G876" s="1" t="s">
        <v>18</v>
      </c>
      <c r="H876" s="1">
        <v>15</v>
      </c>
      <c r="I876" s="1">
        <v>438633</v>
      </c>
      <c r="J876" s="1" t="s">
        <v>869</v>
      </c>
      <c r="K876" s="1" t="s">
        <v>114</v>
      </c>
      <c r="L876" s="1" t="s">
        <v>24</v>
      </c>
      <c r="M876" s="1">
        <v>1</v>
      </c>
      <c r="N876" s="2">
        <v>129.74</v>
      </c>
      <c r="O876" s="3">
        <v>178</v>
      </c>
      <c r="P876" s="1">
        <v>12</v>
      </c>
      <c r="Q876" s="1">
        <v>9</v>
      </c>
      <c r="R876" s="1">
        <v>200010001659</v>
      </c>
      <c r="S876" s="1">
        <v>29</v>
      </c>
      <c r="T876" s="1">
        <v>1</v>
      </c>
      <c r="U876" s="1">
        <v>1</v>
      </c>
    </row>
    <row r="877" spans="1:21" x14ac:dyDescent="0.25">
      <c r="A877" s="4">
        <v>44776</v>
      </c>
      <c r="B877" s="5">
        <v>0.65983796296296293</v>
      </c>
      <c r="C877" s="1">
        <v>1621</v>
      </c>
      <c r="D877" s="1">
        <v>13002595</v>
      </c>
      <c r="E877" s="1">
        <v>13</v>
      </c>
      <c r="F877" s="1">
        <v>22589</v>
      </c>
      <c r="G877" s="1" t="s">
        <v>18</v>
      </c>
      <c r="H877" s="1">
        <v>18</v>
      </c>
      <c r="I877" s="1">
        <v>21240</v>
      </c>
      <c r="J877" s="1" t="s">
        <v>870</v>
      </c>
      <c r="K877" s="1" t="s">
        <v>48</v>
      </c>
      <c r="L877" s="1" t="s">
        <v>871</v>
      </c>
      <c r="M877" s="1">
        <v>1</v>
      </c>
      <c r="N877" s="2">
        <v>261.47000000000003</v>
      </c>
      <c r="O877" s="3">
        <v>398</v>
      </c>
      <c r="P877" s="1">
        <v>0</v>
      </c>
      <c r="Q877" s="1" t="s">
        <v>22</v>
      </c>
      <c r="R877" s="1" t="s">
        <v>22</v>
      </c>
      <c r="S877" s="1">
        <v>29</v>
      </c>
      <c r="T877" s="1">
        <v>1</v>
      </c>
      <c r="U877" s="1">
        <v>3</v>
      </c>
    </row>
    <row r="878" spans="1:21" x14ac:dyDescent="0.25">
      <c r="A878" s="4">
        <v>44776</v>
      </c>
      <c r="B878" s="5">
        <v>0.65983796296296293</v>
      </c>
      <c r="C878" s="1">
        <v>1621</v>
      </c>
      <c r="D878" s="1">
        <v>13002595</v>
      </c>
      <c r="E878" s="1">
        <v>13</v>
      </c>
      <c r="F878" s="1">
        <v>22589</v>
      </c>
      <c r="G878" s="1" t="s">
        <v>18</v>
      </c>
      <c r="H878" s="1">
        <v>18</v>
      </c>
      <c r="I878" s="1">
        <v>459</v>
      </c>
      <c r="J878" s="1" t="s">
        <v>550</v>
      </c>
      <c r="K878" s="1" t="s">
        <v>31</v>
      </c>
      <c r="L878" s="1" t="s">
        <v>551</v>
      </c>
      <c r="M878" s="1">
        <v>1</v>
      </c>
      <c r="N878" s="2">
        <v>316.54000000000002</v>
      </c>
      <c r="O878" s="3">
        <v>418</v>
      </c>
      <c r="P878" s="1">
        <v>0</v>
      </c>
      <c r="Q878" s="1" t="s">
        <v>22</v>
      </c>
      <c r="R878" s="1" t="s">
        <v>22</v>
      </c>
      <c r="S878" s="1">
        <v>29</v>
      </c>
      <c r="T878" s="1">
        <v>1</v>
      </c>
      <c r="U878" s="1">
        <v>2</v>
      </c>
    </row>
    <row r="879" spans="1:21" x14ac:dyDescent="0.25">
      <c r="A879" s="4">
        <v>44776</v>
      </c>
      <c r="B879" s="5">
        <v>0.65983796296296293</v>
      </c>
      <c r="C879" s="1">
        <v>1621</v>
      </c>
      <c r="D879" s="1">
        <v>13002595</v>
      </c>
      <c r="E879" s="1">
        <v>13</v>
      </c>
      <c r="F879" s="1">
        <v>22589</v>
      </c>
      <c r="G879" s="1" t="s">
        <v>18</v>
      </c>
      <c r="H879" s="1">
        <v>18</v>
      </c>
      <c r="I879" s="1">
        <v>5312</v>
      </c>
      <c r="J879" s="1" t="s">
        <v>639</v>
      </c>
      <c r="K879" s="1" t="s">
        <v>61</v>
      </c>
      <c r="L879" s="1" t="s">
        <v>609</v>
      </c>
      <c r="M879" s="1">
        <v>1</v>
      </c>
      <c r="N879" s="2">
        <v>283.52</v>
      </c>
      <c r="O879" s="3">
        <v>383</v>
      </c>
      <c r="P879" s="1">
        <v>38</v>
      </c>
      <c r="Q879" s="1">
        <v>30</v>
      </c>
      <c r="R879" s="1">
        <v>200000000024</v>
      </c>
      <c r="S879" s="1">
        <v>29</v>
      </c>
      <c r="T879" s="1">
        <v>1</v>
      </c>
      <c r="U879" s="1">
        <v>4</v>
      </c>
    </row>
    <row r="880" spans="1:21" x14ac:dyDescent="0.25">
      <c r="A880" s="4">
        <v>44776</v>
      </c>
      <c r="B880" s="5">
        <v>0.66252314814814817</v>
      </c>
      <c r="C880" s="1">
        <v>1622</v>
      </c>
      <c r="D880" s="1">
        <v>13002595</v>
      </c>
      <c r="E880" s="1">
        <v>13</v>
      </c>
      <c r="F880" s="1">
        <v>22589</v>
      </c>
      <c r="G880" s="1" t="s">
        <v>18</v>
      </c>
      <c r="H880" s="1">
        <v>18</v>
      </c>
      <c r="I880" s="1">
        <v>101347</v>
      </c>
      <c r="J880" s="1" t="s">
        <v>872</v>
      </c>
      <c r="K880" s="1" t="s">
        <v>26</v>
      </c>
      <c r="L880" s="1" t="s">
        <v>269</v>
      </c>
      <c r="M880" s="1">
        <v>1</v>
      </c>
      <c r="N880" s="2">
        <v>269.87</v>
      </c>
      <c r="O880" s="3">
        <v>365</v>
      </c>
      <c r="P880" s="1">
        <v>3.26</v>
      </c>
      <c r="Q880" s="1">
        <v>925</v>
      </c>
      <c r="R880" s="1">
        <v>200000000492</v>
      </c>
      <c r="S880" s="1">
        <v>29</v>
      </c>
      <c r="T880" s="1">
        <v>1</v>
      </c>
      <c r="U880" s="1">
        <v>1</v>
      </c>
    </row>
    <row r="881" spans="1:21" x14ac:dyDescent="0.25">
      <c r="A881" s="4">
        <v>44776</v>
      </c>
      <c r="B881" s="5">
        <v>0.66252314814814817</v>
      </c>
      <c r="C881" s="1">
        <v>1622</v>
      </c>
      <c r="D881" s="1">
        <v>13002595</v>
      </c>
      <c r="E881" s="1">
        <v>13</v>
      </c>
      <c r="F881" s="1">
        <v>22589</v>
      </c>
      <c r="G881" s="1" t="s">
        <v>18</v>
      </c>
      <c r="H881" s="1">
        <v>18</v>
      </c>
      <c r="I881" s="1">
        <v>106412</v>
      </c>
      <c r="J881" s="1" t="s">
        <v>568</v>
      </c>
      <c r="K881" s="1" t="s">
        <v>42</v>
      </c>
      <c r="L881" s="1" t="s">
        <v>569</v>
      </c>
      <c r="M881" s="1">
        <v>1</v>
      </c>
      <c r="N881" s="2">
        <v>401.19</v>
      </c>
      <c r="O881" s="3">
        <v>530</v>
      </c>
      <c r="P881" s="1">
        <v>4.74</v>
      </c>
      <c r="Q881" s="1">
        <v>925</v>
      </c>
      <c r="R881" s="1">
        <v>200000000492</v>
      </c>
      <c r="S881" s="1">
        <v>29</v>
      </c>
      <c r="T881" s="1">
        <v>1</v>
      </c>
      <c r="U881" s="1">
        <v>2</v>
      </c>
    </row>
    <row r="882" spans="1:21" x14ac:dyDescent="0.25">
      <c r="A882" s="4">
        <v>44776</v>
      </c>
      <c r="B882" s="5">
        <v>0.67155092592592591</v>
      </c>
      <c r="C882" s="1">
        <v>1623</v>
      </c>
      <c r="D882" s="1">
        <v>13002595</v>
      </c>
      <c r="E882" s="1">
        <v>13</v>
      </c>
      <c r="F882" s="1">
        <v>22589</v>
      </c>
      <c r="G882" s="1" t="s">
        <v>18</v>
      </c>
      <c r="H882" s="1">
        <v>18</v>
      </c>
      <c r="I882" s="1">
        <v>63036</v>
      </c>
      <c r="J882" s="1" t="s">
        <v>873</v>
      </c>
      <c r="K882" s="1" t="s">
        <v>31</v>
      </c>
      <c r="L882" s="1" t="s">
        <v>36</v>
      </c>
      <c r="M882" s="1">
        <v>1</v>
      </c>
      <c r="N882" s="2">
        <v>43.81</v>
      </c>
      <c r="O882" s="3">
        <v>55</v>
      </c>
      <c r="P882" s="1">
        <v>2</v>
      </c>
      <c r="Q882" s="1">
        <v>9</v>
      </c>
      <c r="R882" s="1">
        <v>200010023600</v>
      </c>
      <c r="S882" s="1">
        <v>29</v>
      </c>
      <c r="T882" s="1">
        <v>1</v>
      </c>
      <c r="U882" s="1">
        <v>3</v>
      </c>
    </row>
    <row r="883" spans="1:21" x14ac:dyDescent="0.25">
      <c r="A883" s="4">
        <v>44776</v>
      </c>
      <c r="B883" s="5">
        <v>0.67155092592592591</v>
      </c>
      <c r="C883" s="1">
        <v>1623</v>
      </c>
      <c r="D883" s="1">
        <v>13002595</v>
      </c>
      <c r="E883" s="1">
        <v>13</v>
      </c>
      <c r="F883" s="1">
        <v>22589</v>
      </c>
      <c r="G883" s="1" t="s">
        <v>18</v>
      </c>
      <c r="H883" s="1">
        <v>18</v>
      </c>
      <c r="I883" s="1">
        <v>22533</v>
      </c>
      <c r="J883" s="1" t="s">
        <v>153</v>
      </c>
      <c r="K883" s="1" t="s">
        <v>26</v>
      </c>
      <c r="L883" s="1" t="s">
        <v>154</v>
      </c>
      <c r="M883" s="1">
        <v>1</v>
      </c>
      <c r="N883" s="2">
        <v>130.83000000000001</v>
      </c>
      <c r="O883" s="3">
        <v>158</v>
      </c>
      <c r="P883" s="1">
        <v>7</v>
      </c>
      <c r="Q883" s="1">
        <v>9</v>
      </c>
      <c r="R883" s="1">
        <v>200010023600</v>
      </c>
      <c r="S883" s="1">
        <v>29</v>
      </c>
      <c r="T883" s="1">
        <v>1</v>
      </c>
      <c r="U883" s="1">
        <v>2</v>
      </c>
    </row>
    <row r="884" spans="1:21" x14ac:dyDescent="0.25">
      <c r="A884" s="4">
        <v>44776</v>
      </c>
      <c r="B884" s="5">
        <v>0.67155092592592591</v>
      </c>
      <c r="C884" s="1">
        <v>1623</v>
      </c>
      <c r="D884" s="1">
        <v>13002595</v>
      </c>
      <c r="E884" s="1">
        <v>13</v>
      </c>
      <c r="F884" s="1">
        <v>22589</v>
      </c>
      <c r="G884" s="1" t="s">
        <v>18</v>
      </c>
      <c r="H884" s="1">
        <v>18</v>
      </c>
      <c r="I884" s="1">
        <v>6015</v>
      </c>
      <c r="J884" s="1" t="s">
        <v>874</v>
      </c>
      <c r="K884" s="1" t="s">
        <v>31</v>
      </c>
      <c r="L884" s="1" t="s">
        <v>134</v>
      </c>
      <c r="M884" s="1">
        <v>1</v>
      </c>
      <c r="N884" s="2">
        <v>87.93</v>
      </c>
      <c r="O884" s="3">
        <v>109</v>
      </c>
      <c r="P884" s="1">
        <v>5</v>
      </c>
      <c r="Q884" s="1">
        <v>9</v>
      </c>
      <c r="R884" s="1">
        <v>200010023600</v>
      </c>
      <c r="S884" s="1">
        <v>29</v>
      </c>
      <c r="T884" s="1">
        <v>1</v>
      </c>
      <c r="U884" s="1">
        <v>1</v>
      </c>
    </row>
    <row r="885" spans="1:21" x14ac:dyDescent="0.25">
      <c r="A885" s="4">
        <v>44776</v>
      </c>
      <c r="B885" s="5">
        <v>0.67218750000000005</v>
      </c>
      <c r="C885" s="1">
        <v>1624</v>
      </c>
      <c r="D885" s="1">
        <v>13002595</v>
      </c>
      <c r="E885" s="1">
        <v>13</v>
      </c>
      <c r="F885" s="1">
        <v>22589</v>
      </c>
      <c r="G885" s="1" t="s">
        <v>18</v>
      </c>
      <c r="H885" s="1">
        <v>15</v>
      </c>
      <c r="I885" s="1">
        <v>141344</v>
      </c>
      <c r="J885" s="1" t="s">
        <v>875</v>
      </c>
      <c r="K885" s="1" t="s">
        <v>20</v>
      </c>
      <c r="L885" s="1" t="s">
        <v>412</v>
      </c>
      <c r="M885" s="1">
        <v>1</v>
      </c>
      <c r="N885" s="2">
        <v>82.24</v>
      </c>
      <c r="O885" s="3">
        <v>101</v>
      </c>
      <c r="P885" s="1">
        <v>0</v>
      </c>
      <c r="Q885" s="1" t="s">
        <v>22</v>
      </c>
      <c r="R885" s="1" t="s">
        <v>22</v>
      </c>
      <c r="S885" s="1">
        <v>29</v>
      </c>
      <c r="T885" s="1">
        <v>1</v>
      </c>
      <c r="U885" s="1">
        <v>1</v>
      </c>
    </row>
    <row r="886" spans="1:21" x14ac:dyDescent="0.25">
      <c r="A886" s="4">
        <v>44776</v>
      </c>
      <c r="B886" s="5">
        <v>0.67645833333333338</v>
      </c>
      <c r="C886" s="1">
        <v>1625</v>
      </c>
      <c r="D886" s="1">
        <v>13002595</v>
      </c>
      <c r="E886" s="1">
        <v>13</v>
      </c>
      <c r="F886" s="1">
        <v>22589</v>
      </c>
      <c r="G886" s="1" t="s">
        <v>18</v>
      </c>
      <c r="H886" s="1">
        <v>15</v>
      </c>
      <c r="I886" s="1">
        <v>1398</v>
      </c>
      <c r="J886" s="1" t="s">
        <v>527</v>
      </c>
      <c r="K886" s="1" t="s">
        <v>20</v>
      </c>
      <c r="L886" s="1" t="s">
        <v>528</v>
      </c>
      <c r="M886" s="1">
        <v>1</v>
      </c>
      <c r="N886" s="2">
        <v>576.44000000000005</v>
      </c>
      <c r="O886" s="3">
        <v>744</v>
      </c>
      <c r="P886" s="1">
        <v>52</v>
      </c>
      <c r="Q886" s="1">
        <v>9</v>
      </c>
      <c r="R886" s="1">
        <v>200010026807</v>
      </c>
      <c r="S886" s="1">
        <v>29</v>
      </c>
      <c r="T886" s="1">
        <v>1</v>
      </c>
      <c r="U886" s="1">
        <v>1</v>
      </c>
    </row>
    <row r="887" spans="1:21" x14ac:dyDescent="0.25">
      <c r="A887" s="4">
        <v>44776</v>
      </c>
      <c r="B887" s="5">
        <v>0.68222222222222217</v>
      </c>
      <c r="C887" s="1">
        <v>1626</v>
      </c>
      <c r="D887" s="1">
        <v>13002595</v>
      </c>
      <c r="E887" s="1">
        <v>13</v>
      </c>
      <c r="F887" s="1">
        <v>22589</v>
      </c>
      <c r="G887" s="1" t="s">
        <v>18</v>
      </c>
      <c r="H887" s="1">
        <v>18</v>
      </c>
      <c r="I887" s="1">
        <v>4399</v>
      </c>
      <c r="J887" s="1" t="s">
        <v>876</v>
      </c>
      <c r="K887" s="1" t="s">
        <v>20</v>
      </c>
      <c r="L887" s="1" t="s">
        <v>877</v>
      </c>
      <c r="M887" s="1">
        <v>0.1</v>
      </c>
      <c r="N887" s="2">
        <v>689.28</v>
      </c>
      <c r="O887" s="3">
        <v>759</v>
      </c>
      <c r="P887" s="1">
        <v>0</v>
      </c>
      <c r="Q887" s="1" t="s">
        <v>22</v>
      </c>
      <c r="R887" s="1" t="s">
        <v>22</v>
      </c>
      <c r="S887" s="1">
        <v>29</v>
      </c>
      <c r="T887" s="1">
        <v>1</v>
      </c>
      <c r="U887" s="1">
        <v>1</v>
      </c>
    </row>
    <row r="888" spans="1:21" x14ac:dyDescent="0.25">
      <c r="A888" s="4">
        <v>44776</v>
      </c>
      <c r="B888" s="5">
        <v>0.69087962962962968</v>
      </c>
      <c r="C888" s="1">
        <v>1627</v>
      </c>
      <c r="D888" s="1">
        <v>13002595</v>
      </c>
      <c r="E888" s="1">
        <v>13</v>
      </c>
      <c r="F888" s="1">
        <v>22589</v>
      </c>
      <c r="G888" s="1" t="s">
        <v>18</v>
      </c>
      <c r="H888" s="1">
        <v>18</v>
      </c>
      <c r="I888" s="1">
        <v>3534</v>
      </c>
      <c r="J888" s="1" t="s">
        <v>878</v>
      </c>
      <c r="K888" s="1" t="s">
        <v>61</v>
      </c>
      <c r="L888" s="1" t="s">
        <v>879</v>
      </c>
      <c r="M888" s="1">
        <v>1</v>
      </c>
      <c r="N888" s="2">
        <v>296.8</v>
      </c>
      <c r="O888" s="3">
        <v>366</v>
      </c>
      <c r="P888" s="1">
        <v>18</v>
      </c>
      <c r="Q888" s="1">
        <v>9</v>
      </c>
      <c r="R888" s="1">
        <v>200010006183</v>
      </c>
      <c r="S888" s="1">
        <v>29</v>
      </c>
      <c r="T888" s="1">
        <v>1</v>
      </c>
      <c r="U888" s="1">
        <v>2</v>
      </c>
    </row>
    <row r="889" spans="1:21" x14ac:dyDescent="0.25">
      <c r="A889" s="4">
        <v>44776</v>
      </c>
      <c r="B889" s="5">
        <v>0.69839120370370367</v>
      </c>
      <c r="C889" s="1">
        <v>1629</v>
      </c>
      <c r="D889" s="1">
        <v>13002595</v>
      </c>
      <c r="E889" s="1">
        <v>13</v>
      </c>
      <c r="F889" s="1">
        <v>22589</v>
      </c>
      <c r="G889" s="1" t="s">
        <v>18</v>
      </c>
      <c r="H889" s="1">
        <v>18</v>
      </c>
      <c r="I889" s="1">
        <v>85298</v>
      </c>
      <c r="J889" s="1" t="s">
        <v>880</v>
      </c>
      <c r="K889" s="1" t="s">
        <v>55</v>
      </c>
      <c r="L889" s="1" t="s">
        <v>881</v>
      </c>
      <c r="M889" s="1">
        <v>1</v>
      </c>
      <c r="N889" s="2">
        <v>87.3</v>
      </c>
      <c r="O889" s="3">
        <v>138</v>
      </c>
      <c r="P889" s="1">
        <v>0</v>
      </c>
      <c r="Q889" s="1" t="s">
        <v>22</v>
      </c>
      <c r="R889" s="1" t="s">
        <v>22</v>
      </c>
      <c r="S889" s="1">
        <v>29</v>
      </c>
      <c r="T889" s="1">
        <v>1</v>
      </c>
      <c r="U889" s="1">
        <v>1</v>
      </c>
    </row>
    <row r="890" spans="1:21" x14ac:dyDescent="0.25">
      <c r="A890" s="4">
        <v>44776</v>
      </c>
      <c r="B890" s="5">
        <v>0.70473379629629629</v>
      </c>
      <c r="C890" s="1">
        <v>1630</v>
      </c>
      <c r="D890" s="1">
        <v>13002595</v>
      </c>
      <c r="E890" s="1">
        <v>13</v>
      </c>
      <c r="F890" s="1">
        <v>22589</v>
      </c>
      <c r="G890" s="1" t="s">
        <v>18</v>
      </c>
      <c r="H890" s="1">
        <v>15</v>
      </c>
      <c r="I890" s="1">
        <v>14828</v>
      </c>
      <c r="J890" s="1" t="s">
        <v>882</v>
      </c>
      <c r="K890" s="1" t="s">
        <v>58</v>
      </c>
      <c r="L890" s="1" t="s">
        <v>883</v>
      </c>
      <c r="M890" s="1">
        <v>1</v>
      </c>
      <c r="N890" s="2">
        <v>73.040000000000006</v>
      </c>
      <c r="O890" s="3">
        <v>88</v>
      </c>
      <c r="P890" s="1">
        <v>6</v>
      </c>
      <c r="Q890" s="1">
        <v>9</v>
      </c>
      <c r="R890" s="1">
        <v>200010027867</v>
      </c>
      <c r="S890" s="1">
        <v>29</v>
      </c>
      <c r="T890" s="1">
        <v>1</v>
      </c>
      <c r="U890" s="1">
        <v>1</v>
      </c>
    </row>
    <row r="891" spans="1:21" x14ac:dyDescent="0.25">
      <c r="A891" s="4">
        <v>44776</v>
      </c>
      <c r="B891" s="5">
        <v>0.71657407407407403</v>
      </c>
      <c r="C891" s="1">
        <v>1631</v>
      </c>
      <c r="D891" s="1">
        <v>13002595</v>
      </c>
      <c r="E891" s="1">
        <v>13</v>
      </c>
      <c r="F891" s="1">
        <v>22589</v>
      </c>
      <c r="G891" s="1" t="s">
        <v>18</v>
      </c>
      <c r="H891" s="1">
        <v>15</v>
      </c>
      <c r="I891" s="1">
        <v>162483</v>
      </c>
      <c r="J891" s="1" t="s">
        <v>222</v>
      </c>
      <c r="K891" s="1" t="s">
        <v>48</v>
      </c>
      <c r="L891" s="1" t="s">
        <v>223</v>
      </c>
      <c r="M891" s="1">
        <v>2</v>
      </c>
      <c r="N891" s="2">
        <v>8.08</v>
      </c>
      <c r="O891" s="3">
        <v>14</v>
      </c>
      <c r="P891" s="1">
        <v>0</v>
      </c>
      <c r="Q891" s="1" t="s">
        <v>22</v>
      </c>
      <c r="R891" s="1" t="s">
        <v>22</v>
      </c>
      <c r="S891" s="1">
        <v>29</v>
      </c>
      <c r="T891" s="1">
        <v>1</v>
      </c>
      <c r="U891" s="1">
        <v>2</v>
      </c>
    </row>
    <row r="892" spans="1:21" x14ac:dyDescent="0.25">
      <c r="A892" s="4">
        <v>44776</v>
      </c>
      <c r="B892" s="5">
        <v>0.71657407407407403</v>
      </c>
      <c r="C892" s="1">
        <v>1631</v>
      </c>
      <c r="D892" s="1">
        <v>13002595</v>
      </c>
      <c r="E892" s="1">
        <v>13</v>
      </c>
      <c r="F892" s="1">
        <v>22589</v>
      </c>
      <c r="G892" s="1" t="s">
        <v>18</v>
      </c>
      <c r="H892" s="1">
        <v>15</v>
      </c>
      <c r="I892" s="1">
        <v>15423</v>
      </c>
      <c r="J892" s="1" t="s">
        <v>884</v>
      </c>
      <c r="K892" s="1" t="s">
        <v>138</v>
      </c>
      <c r="L892" s="1" t="s">
        <v>885</v>
      </c>
      <c r="M892" s="1">
        <v>1</v>
      </c>
      <c r="N892" s="2">
        <v>23.87</v>
      </c>
      <c r="O892" s="3">
        <v>39</v>
      </c>
      <c r="P892" s="1">
        <v>0</v>
      </c>
      <c r="Q892" s="1" t="s">
        <v>22</v>
      </c>
      <c r="R892" s="1" t="s">
        <v>22</v>
      </c>
      <c r="S892" s="1">
        <v>29</v>
      </c>
      <c r="T892" s="1">
        <v>1</v>
      </c>
      <c r="U892" s="1">
        <v>1</v>
      </c>
    </row>
    <row r="893" spans="1:21" x14ac:dyDescent="0.25">
      <c r="A893" s="4">
        <v>44776</v>
      </c>
      <c r="B893" s="5">
        <v>0.72297453703703707</v>
      </c>
      <c r="C893" s="1">
        <v>1632</v>
      </c>
      <c r="D893" s="1">
        <v>13002595</v>
      </c>
      <c r="E893" s="1">
        <v>13</v>
      </c>
      <c r="F893" s="1">
        <v>22589</v>
      </c>
      <c r="G893" s="1" t="s">
        <v>18</v>
      </c>
      <c r="H893" s="1">
        <v>15</v>
      </c>
      <c r="I893" s="1">
        <v>15310</v>
      </c>
      <c r="J893" s="1" t="s">
        <v>886</v>
      </c>
      <c r="K893" s="1" t="s">
        <v>31</v>
      </c>
      <c r="L893" s="1" t="s">
        <v>887</v>
      </c>
      <c r="M893" s="1">
        <v>1</v>
      </c>
      <c r="N893" s="2">
        <v>580.17999999999995</v>
      </c>
      <c r="O893" s="3">
        <v>824</v>
      </c>
      <c r="P893" s="1">
        <v>82</v>
      </c>
      <c r="Q893" s="1">
        <v>9</v>
      </c>
      <c r="R893" s="1">
        <v>200010001144</v>
      </c>
      <c r="S893" s="1">
        <v>29</v>
      </c>
      <c r="T893" s="1">
        <v>1</v>
      </c>
      <c r="U893" s="1">
        <v>1</v>
      </c>
    </row>
    <row r="894" spans="1:21" x14ac:dyDescent="0.25">
      <c r="A894" s="4">
        <v>44776</v>
      </c>
      <c r="B894" s="5">
        <v>0.72741898148148143</v>
      </c>
      <c r="C894" s="1">
        <v>1633</v>
      </c>
      <c r="D894" s="1">
        <v>13002595</v>
      </c>
      <c r="E894" s="1">
        <v>13</v>
      </c>
      <c r="F894" s="1">
        <v>22589</v>
      </c>
      <c r="G894" s="1" t="s">
        <v>18</v>
      </c>
      <c r="H894" s="1">
        <v>18</v>
      </c>
      <c r="I894" s="1">
        <v>130464</v>
      </c>
      <c r="J894" s="1" t="s">
        <v>888</v>
      </c>
      <c r="K894" s="1" t="s">
        <v>61</v>
      </c>
      <c r="L894" s="1" t="s">
        <v>753</v>
      </c>
      <c r="M894" s="1">
        <v>1</v>
      </c>
      <c r="N894" s="2">
        <v>267</v>
      </c>
      <c r="O894" s="3">
        <v>361</v>
      </c>
      <c r="P894" s="1">
        <v>0</v>
      </c>
      <c r="Q894" s="1" t="s">
        <v>22</v>
      </c>
      <c r="R894" s="1" t="s">
        <v>22</v>
      </c>
      <c r="S894" s="1">
        <v>29</v>
      </c>
      <c r="T894" s="1">
        <v>1</v>
      </c>
      <c r="U894" s="1">
        <v>2</v>
      </c>
    </row>
    <row r="895" spans="1:21" x14ac:dyDescent="0.25">
      <c r="A895" s="4">
        <v>44776</v>
      </c>
      <c r="B895" s="5">
        <v>0.72820601851851852</v>
      </c>
      <c r="C895" s="1">
        <v>1634</v>
      </c>
      <c r="D895" s="1">
        <v>13002595</v>
      </c>
      <c r="E895" s="1">
        <v>13</v>
      </c>
      <c r="F895" s="1">
        <v>22589</v>
      </c>
      <c r="G895" s="1" t="s">
        <v>18</v>
      </c>
      <c r="H895" s="1">
        <v>18</v>
      </c>
      <c r="I895" s="1">
        <v>354089</v>
      </c>
      <c r="J895" s="1" t="s">
        <v>366</v>
      </c>
      <c r="K895" s="1" t="s">
        <v>26</v>
      </c>
      <c r="L895" s="1" t="s">
        <v>332</v>
      </c>
      <c r="M895" s="1">
        <v>1</v>
      </c>
      <c r="N895" s="2">
        <v>39.369999999999997</v>
      </c>
      <c r="O895" s="3">
        <v>60</v>
      </c>
      <c r="P895" s="1">
        <v>0</v>
      </c>
      <c r="Q895" s="1" t="s">
        <v>22</v>
      </c>
      <c r="R895" s="1" t="s">
        <v>22</v>
      </c>
      <c r="S895" s="1">
        <v>29</v>
      </c>
      <c r="T895" s="1">
        <v>1</v>
      </c>
      <c r="U895" s="1">
        <v>1</v>
      </c>
    </row>
    <row r="896" spans="1:21" x14ac:dyDescent="0.25">
      <c r="A896" s="4">
        <v>44776</v>
      </c>
      <c r="B896" s="5">
        <v>0.73282407407407413</v>
      </c>
      <c r="C896" s="1">
        <v>1635</v>
      </c>
      <c r="D896" s="1">
        <v>13002595</v>
      </c>
      <c r="E896" s="1">
        <v>13</v>
      </c>
      <c r="F896" s="1">
        <v>22589</v>
      </c>
      <c r="G896" s="1" t="s">
        <v>18</v>
      </c>
      <c r="H896" s="1">
        <v>15</v>
      </c>
      <c r="I896" s="1">
        <v>589914</v>
      </c>
      <c r="J896" s="1" t="s">
        <v>889</v>
      </c>
      <c r="K896" s="1" t="s">
        <v>114</v>
      </c>
      <c r="L896" s="1" t="s">
        <v>890</v>
      </c>
      <c r="M896" s="1">
        <v>1</v>
      </c>
      <c r="N896" s="2">
        <v>498.08</v>
      </c>
      <c r="O896" s="3">
        <v>658</v>
      </c>
      <c r="P896" s="1">
        <v>0</v>
      </c>
      <c r="Q896" s="1" t="s">
        <v>22</v>
      </c>
      <c r="R896" s="1" t="s">
        <v>22</v>
      </c>
      <c r="S896" s="1">
        <v>29</v>
      </c>
      <c r="T896" s="1">
        <v>1</v>
      </c>
      <c r="U896" s="1">
        <v>3</v>
      </c>
    </row>
    <row r="897" spans="1:21" x14ac:dyDescent="0.25">
      <c r="A897" s="4">
        <v>44776</v>
      </c>
      <c r="B897" s="5">
        <v>0.73282407407407413</v>
      </c>
      <c r="C897" s="1">
        <v>1635</v>
      </c>
      <c r="D897" s="1">
        <v>13002595</v>
      </c>
      <c r="E897" s="1">
        <v>13</v>
      </c>
      <c r="F897" s="1">
        <v>22589</v>
      </c>
      <c r="G897" s="1" t="s">
        <v>18</v>
      </c>
      <c r="H897" s="1">
        <v>15</v>
      </c>
      <c r="I897" s="1">
        <v>6597</v>
      </c>
      <c r="J897" s="1" t="s">
        <v>891</v>
      </c>
      <c r="K897" s="1" t="s">
        <v>42</v>
      </c>
      <c r="L897" s="1" t="s">
        <v>892</v>
      </c>
      <c r="M897" s="1">
        <v>0.33333332999999998</v>
      </c>
      <c r="N897" s="2">
        <v>1150.58</v>
      </c>
      <c r="O897" s="3">
        <v>1531</v>
      </c>
      <c r="P897" s="1">
        <v>0</v>
      </c>
      <c r="Q897" s="1" t="s">
        <v>22</v>
      </c>
      <c r="R897" s="1" t="s">
        <v>22</v>
      </c>
      <c r="S897" s="1">
        <v>29</v>
      </c>
      <c r="T897" s="1">
        <v>1</v>
      </c>
      <c r="U897" s="1">
        <v>1</v>
      </c>
    </row>
    <row r="898" spans="1:21" x14ac:dyDescent="0.25">
      <c r="A898" s="4">
        <v>44776</v>
      </c>
      <c r="B898" s="5">
        <v>0.73282407407407413</v>
      </c>
      <c r="C898" s="1">
        <v>1635</v>
      </c>
      <c r="D898" s="1">
        <v>13002595</v>
      </c>
      <c r="E898" s="1">
        <v>13</v>
      </c>
      <c r="F898" s="1">
        <v>22589</v>
      </c>
      <c r="G898" s="1" t="s">
        <v>18</v>
      </c>
      <c r="H898" s="1">
        <v>15</v>
      </c>
      <c r="I898" s="1">
        <v>345578</v>
      </c>
      <c r="J898" s="1" t="s">
        <v>118</v>
      </c>
      <c r="K898" s="1" t="s">
        <v>48</v>
      </c>
      <c r="L898" s="1" t="s">
        <v>73</v>
      </c>
      <c r="M898" s="1">
        <v>1</v>
      </c>
      <c r="N898" s="2">
        <v>20.68</v>
      </c>
      <c r="O898" s="3">
        <v>25</v>
      </c>
      <c r="P898" s="1">
        <v>0</v>
      </c>
      <c r="Q898" s="1" t="s">
        <v>22</v>
      </c>
      <c r="R898" s="1" t="s">
        <v>22</v>
      </c>
      <c r="S898" s="1">
        <v>29</v>
      </c>
      <c r="T898" s="1">
        <v>1</v>
      </c>
      <c r="U898" s="1">
        <v>2</v>
      </c>
    </row>
    <row r="899" spans="1:21" x14ac:dyDescent="0.25">
      <c r="A899" s="4">
        <v>44776</v>
      </c>
      <c r="B899" s="5">
        <v>0.73439814814814819</v>
      </c>
      <c r="C899" s="1">
        <v>1636</v>
      </c>
      <c r="D899" s="1">
        <v>13002595</v>
      </c>
      <c r="E899" s="1">
        <v>13</v>
      </c>
      <c r="F899" s="1">
        <v>22589</v>
      </c>
      <c r="G899" s="1" t="s">
        <v>18</v>
      </c>
      <c r="H899" s="1">
        <v>15</v>
      </c>
      <c r="I899" s="1">
        <v>154368</v>
      </c>
      <c r="J899" s="1" t="s">
        <v>893</v>
      </c>
      <c r="K899" s="1" t="s">
        <v>20</v>
      </c>
      <c r="L899" s="1" t="s">
        <v>21</v>
      </c>
      <c r="M899" s="1">
        <v>1</v>
      </c>
      <c r="N899" s="2">
        <v>75.2</v>
      </c>
      <c r="O899" s="3">
        <v>93</v>
      </c>
      <c r="P899" s="1">
        <v>0</v>
      </c>
      <c r="Q899" s="1" t="s">
        <v>22</v>
      </c>
      <c r="R899" s="1" t="s">
        <v>22</v>
      </c>
      <c r="S899" s="1">
        <v>29</v>
      </c>
      <c r="T899" s="1">
        <v>1</v>
      </c>
      <c r="U899" s="1">
        <v>2</v>
      </c>
    </row>
    <row r="900" spans="1:21" x14ac:dyDescent="0.25">
      <c r="A900" s="4">
        <v>44776</v>
      </c>
      <c r="B900" s="5">
        <v>0.73439814814814819</v>
      </c>
      <c r="C900" s="1">
        <v>1636</v>
      </c>
      <c r="D900" s="1">
        <v>13002595</v>
      </c>
      <c r="E900" s="1">
        <v>13</v>
      </c>
      <c r="F900" s="1">
        <v>22589</v>
      </c>
      <c r="G900" s="1" t="s">
        <v>18</v>
      </c>
      <c r="H900" s="1">
        <v>15</v>
      </c>
      <c r="I900" s="1">
        <v>110499</v>
      </c>
      <c r="J900" s="1" t="s">
        <v>894</v>
      </c>
      <c r="K900" s="1" t="s">
        <v>20</v>
      </c>
      <c r="L900" s="1" t="s">
        <v>156</v>
      </c>
      <c r="M900" s="1">
        <v>1</v>
      </c>
      <c r="N900" s="2">
        <v>694.8</v>
      </c>
      <c r="O900" s="3">
        <v>987</v>
      </c>
      <c r="P900" s="1">
        <v>0</v>
      </c>
      <c r="Q900" s="1" t="s">
        <v>22</v>
      </c>
      <c r="R900" s="1" t="s">
        <v>22</v>
      </c>
      <c r="S900" s="1">
        <v>29</v>
      </c>
      <c r="T900" s="1">
        <v>1</v>
      </c>
      <c r="U900" s="1">
        <v>1</v>
      </c>
    </row>
    <row r="901" spans="1:21" x14ac:dyDescent="0.25">
      <c r="A901" s="4">
        <v>44776</v>
      </c>
      <c r="B901" s="5">
        <v>0.73519675925925931</v>
      </c>
      <c r="C901" s="1">
        <v>1637</v>
      </c>
      <c r="D901" s="1">
        <v>13002595</v>
      </c>
      <c r="E901" s="1">
        <v>13</v>
      </c>
      <c r="F901" s="1">
        <v>22589</v>
      </c>
      <c r="G901" s="1" t="s">
        <v>18</v>
      </c>
      <c r="H901" s="1">
        <v>18</v>
      </c>
      <c r="I901" s="1">
        <v>17182</v>
      </c>
      <c r="J901" s="1" t="s">
        <v>159</v>
      </c>
      <c r="K901" s="1" t="s">
        <v>114</v>
      </c>
      <c r="L901" s="1" t="s">
        <v>160</v>
      </c>
      <c r="M901" s="1">
        <v>1</v>
      </c>
      <c r="N901" s="2">
        <v>525</v>
      </c>
      <c r="O901" s="3">
        <v>678</v>
      </c>
      <c r="P901" s="1">
        <v>0</v>
      </c>
      <c r="Q901" s="1" t="s">
        <v>22</v>
      </c>
      <c r="R901" s="1" t="s">
        <v>22</v>
      </c>
      <c r="S901" s="1">
        <v>29</v>
      </c>
      <c r="T901" s="1">
        <v>1</v>
      </c>
      <c r="U901" s="1">
        <v>1</v>
      </c>
    </row>
    <row r="902" spans="1:21" x14ac:dyDescent="0.25">
      <c r="A902" s="4">
        <v>44776</v>
      </c>
      <c r="B902" s="5">
        <v>0.73636574074074079</v>
      </c>
      <c r="C902" s="1">
        <v>1638</v>
      </c>
      <c r="D902" s="1">
        <v>13002595</v>
      </c>
      <c r="E902" s="1">
        <v>13</v>
      </c>
      <c r="F902" s="1">
        <v>22589</v>
      </c>
      <c r="G902" s="1" t="s">
        <v>18</v>
      </c>
      <c r="H902" s="1">
        <v>18</v>
      </c>
      <c r="I902" s="1">
        <v>341501</v>
      </c>
      <c r="J902" s="1" t="s">
        <v>330</v>
      </c>
      <c r="K902" s="1" t="s">
        <v>114</v>
      </c>
      <c r="L902" s="1" t="s">
        <v>197</v>
      </c>
      <c r="M902" s="1">
        <v>1</v>
      </c>
      <c r="N902" s="2">
        <v>27.91</v>
      </c>
      <c r="O902" s="3">
        <v>34</v>
      </c>
      <c r="P902" s="1">
        <v>0</v>
      </c>
      <c r="Q902" s="1" t="s">
        <v>22</v>
      </c>
      <c r="R902" s="1" t="s">
        <v>22</v>
      </c>
      <c r="S902" s="1">
        <v>29</v>
      </c>
      <c r="T902" s="1">
        <v>1</v>
      </c>
      <c r="U902" s="1">
        <v>1</v>
      </c>
    </row>
    <row r="903" spans="1:21" x14ac:dyDescent="0.25">
      <c r="A903" s="4">
        <v>44776</v>
      </c>
      <c r="B903" s="5">
        <v>0.73725694444444445</v>
      </c>
      <c r="C903" s="1">
        <v>1638</v>
      </c>
      <c r="D903" s="1">
        <v>13002595</v>
      </c>
      <c r="E903" s="1">
        <v>13</v>
      </c>
      <c r="F903" s="1">
        <v>22589</v>
      </c>
      <c r="G903" s="1" t="s">
        <v>18</v>
      </c>
      <c r="H903" s="1">
        <v>18</v>
      </c>
      <c r="I903" s="1">
        <v>84918</v>
      </c>
      <c r="J903" s="1" t="s">
        <v>895</v>
      </c>
      <c r="K903" s="1" t="s">
        <v>26</v>
      </c>
      <c r="L903" s="1" t="s">
        <v>594</v>
      </c>
      <c r="M903" s="1">
        <v>1</v>
      </c>
      <c r="N903" s="2">
        <v>424.78</v>
      </c>
      <c r="O903" s="3">
        <v>625</v>
      </c>
      <c r="P903" s="1">
        <v>62</v>
      </c>
      <c r="Q903" s="1">
        <v>9</v>
      </c>
      <c r="R903" s="1">
        <v>200010023527</v>
      </c>
      <c r="S903" s="1">
        <v>29</v>
      </c>
      <c r="T903" s="1">
        <v>1</v>
      </c>
      <c r="U903" s="1">
        <v>3</v>
      </c>
    </row>
    <row r="904" spans="1:21" x14ac:dyDescent="0.25">
      <c r="A904" s="4">
        <v>44776</v>
      </c>
      <c r="B904" s="5">
        <v>0.74061342592592594</v>
      </c>
      <c r="C904" s="1">
        <v>1640</v>
      </c>
      <c r="D904" s="1">
        <v>13002595</v>
      </c>
      <c r="E904" s="1">
        <v>13</v>
      </c>
      <c r="F904" s="1">
        <v>22589</v>
      </c>
      <c r="G904" s="1" t="s">
        <v>18</v>
      </c>
      <c r="H904" s="1">
        <v>18</v>
      </c>
      <c r="I904" s="1">
        <v>39337</v>
      </c>
      <c r="J904" s="1" t="s">
        <v>896</v>
      </c>
      <c r="K904" s="1" t="s">
        <v>48</v>
      </c>
      <c r="L904" s="1" t="s">
        <v>897</v>
      </c>
      <c r="M904" s="1">
        <v>2</v>
      </c>
      <c r="N904" s="2">
        <v>10.17</v>
      </c>
      <c r="O904" s="3">
        <v>17</v>
      </c>
      <c r="P904" s="1">
        <v>0</v>
      </c>
      <c r="Q904" s="1" t="s">
        <v>22</v>
      </c>
      <c r="R904" s="1" t="s">
        <v>22</v>
      </c>
      <c r="S904" s="1">
        <v>29</v>
      </c>
      <c r="T904" s="1">
        <v>1</v>
      </c>
      <c r="U904" s="1">
        <v>1</v>
      </c>
    </row>
    <row r="905" spans="1:21" x14ac:dyDescent="0.25">
      <c r="A905" s="4">
        <v>44776</v>
      </c>
      <c r="B905" s="5">
        <v>0.75444444444444447</v>
      </c>
      <c r="C905" s="1">
        <v>1641</v>
      </c>
      <c r="D905" s="1">
        <v>13002595</v>
      </c>
      <c r="E905" s="1">
        <v>13</v>
      </c>
      <c r="F905" s="1">
        <v>22589</v>
      </c>
      <c r="G905" s="1" t="s">
        <v>18</v>
      </c>
      <c r="H905" s="1">
        <v>15</v>
      </c>
      <c r="I905" s="1">
        <v>312498</v>
      </c>
      <c r="J905" s="1" t="s">
        <v>898</v>
      </c>
      <c r="K905" s="1" t="s">
        <v>48</v>
      </c>
      <c r="L905" s="1" t="s">
        <v>32</v>
      </c>
      <c r="M905" s="1">
        <v>1</v>
      </c>
      <c r="N905" s="2">
        <v>432.72</v>
      </c>
      <c r="O905" s="3">
        <v>572</v>
      </c>
      <c r="P905" s="1">
        <v>40</v>
      </c>
      <c r="Q905" s="1">
        <v>9</v>
      </c>
      <c r="R905" s="1">
        <v>200010009870</v>
      </c>
      <c r="S905" s="1">
        <v>29</v>
      </c>
      <c r="T905" s="1">
        <v>1</v>
      </c>
      <c r="U905" s="1">
        <v>1</v>
      </c>
    </row>
    <row r="906" spans="1:21" x14ac:dyDescent="0.25">
      <c r="A906" s="4">
        <v>44776</v>
      </c>
      <c r="B906" s="5">
        <v>0.75495370370370374</v>
      </c>
      <c r="C906" s="1">
        <v>1642</v>
      </c>
      <c r="D906" s="1">
        <v>13002595</v>
      </c>
      <c r="E906" s="1">
        <v>13</v>
      </c>
      <c r="F906" s="1">
        <v>22589</v>
      </c>
      <c r="G906" s="1" t="s">
        <v>18</v>
      </c>
      <c r="H906" s="1">
        <v>18</v>
      </c>
      <c r="I906" s="1">
        <v>322</v>
      </c>
      <c r="J906" s="1" t="s">
        <v>899</v>
      </c>
      <c r="K906" s="1" t="s">
        <v>42</v>
      </c>
      <c r="L906" s="1" t="s">
        <v>181</v>
      </c>
      <c r="M906" s="1">
        <v>1</v>
      </c>
      <c r="N906" s="2">
        <v>317.60000000000002</v>
      </c>
      <c r="O906" s="3">
        <v>420</v>
      </c>
      <c r="P906" s="1">
        <v>0</v>
      </c>
      <c r="Q906" s="1" t="s">
        <v>22</v>
      </c>
      <c r="R906" s="1" t="s">
        <v>22</v>
      </c>
      <c r="S906" s="1">
        <v>29</v>
      </c>
      <c r="T906" s="1">
        <v>1</v>
      </c>
      <c r="U906" s="1">
        <v>1</v>
      </c>
    </row>
    <row r="907" spans="1:21" x14ac:dyDescent="0.25">
      <c r="A907" s="4">
        <v>44776</v>
      </c>
      <c r="B907" s="5">
        <v>0.75740740740740742</v>
      </c>
      <c r="C907" s="1">
        <v>1643</v>
      </c>
      <c r="D907" s="1">
        <v>13002595</v>
      </c>
      <c r="E907" s="1">
        <v>13</v>
      </c>
      <c r="F907" s="1">
        <v>22589</v>
      </c>
      <c r="G907" s="1" t="s">
        <v>18</v>
      </c>
      <c r="H907" s="1">
        <v>15</v>
      </c>
      <c r="I907" s="1">
        <v>173202</v>
      </c>
      <c r="J907" s="1" t="s">
        <v>270</v>
      </c>
      <c r="K907" s="1" t="s">
        <v>20</v>
      </c>
      <c r="L907" s="1" t="s">
        <v>271</v>
      </c>
      <c r="M907" s="1">
        <v>1</v>
      </c>
      <c r="N907" s="2">
        <v>25.78</v>
      </c>
      <c r="O907" s="3">
        <v>40</v>
      </c>
      <c r="P907" s="1">
        <v>0</v>
      </c>
      <c r="Q907" s="1" t="s">
        <v>22</v>
      </c>
      <c r="R907" s="1" t="s">
        <v>22</v>
      </c>
      <c r="S907" s="1">
        <v>29</v>
      </c>
      <c r="T907" s="1">
        <v>1</v>
      </c>
      <c r="U907" s="1">
        <v>2</v>
      </c>
    </row>
    <row r="908" spans="1:21" x14ac:dyDescent="0.25">
      <c r="A908" s="4">
        <v>44776</v>
      </c>
      <c r="B908" s="5">
        <v>0.75740740740740742</v>
      </c>
      <c r="C908" s="1">
        <v>1643</v>
      </c>
      <c r="D908" s="1">
        <v>13002595</v>
      </c>
      <c r="E908" s="1">
        <v>13</v>
      </c>
      <c r="F908" s="1">
        <v>22589</v>
      </c>
      <c r="G908" s="1" t="s">
        <v>18</v>
      </c>
      <c r="H908" s="1">
        <v>15</v>
      </c>
      <c r="I908" s="1">
        <v>3318</v>
      </c>
      <c r="J908" s="1" t="s">
        <v>900</v>
      </c>
      <c r="K908" s="1" t="s">
        <v>114</v>
      </c>
      <c r="L908" s="1" t="s">
        <v>227</v>
      </c>
      <c r="M908" s="1">
        <v>2</v>
      </c>
      <c r="N908" s="2">
        <v>29.87</v>
      </c>
      <c r="O908" s="3">
        <v>46</v>
      </c>
      <c r="P908" s="1">
        <v>32</v>
      </c>
      <c r="Q908" s="1">
        <v>939</v>
      </c>
      <c r="R908" s="1">
        <v>200000000042</v>
      </c>
      <c r="S908" s="1">
        <v>29</v>
      </c>
      <c r="T908" s="1">
        <v>1</v>
      </c>
      <c r="U908" s="1">
        <v>1</v>
      </c>
    </row>
    <row r="909" spans="1:21" x14ac:dyDescent="0.25">
      <c r="A909" s="4">
        <v>44776</v>
      </c>
      <c r="B909" s="5">
        <v>0.76508101851851851</v>
      </c>
      <c r="C909" s="1">
        <v>1644</v>
      </c>
      <c r="D909" s="1">
        <v>13002595</v>
      </c>
      <c r="E909" s="1">
        <v>13</v>
      </c>
      <c r="F909" s="1">
        <v>22589</v>
      </c>
      <c r="G909" s="1" t="s">
        <v>18</v>
      </c>
      <c r="H909" s="1">
        <v>18</v>
      </c>
      <c r="I909" s="1">
        <v>342176</v>
      </c>
      <c r="J909" s="1" t="s">
        <v>901</v>
      </c>
      <c r="K909" s="1" t="s">
        <v>48</v>
      </c>
      <c r="L909" s="1" t="s">
        <v>201</v>
      </c>
      <c r="M909" s="1">
        <v>1</v>
      </c>
      <c r="N909" s="2">
        <v>228.16</v>
      </c>
      <c r="O909" s="3">
        <v>347</v>
      </c>
      <c r="P909" s="1">
        <v>0</v>
      </c>
      <c r="Q909" s="1" t="s">
        <v>22</v>
      </c>
      <c r="R909" s="1" t="s">
        <v>22</v>
      </c>
      <c r="S909" s="1">
        <v>29</v>
      </c>
      <c r="T909" s="1">
        <v>1</v>
      </c>
      <c r="U909" s="1">
        <v>1</v>
      </c>
    </row>
    <row r="910" spans="1:21" x14ac:dyDescent="0.25">
      <c r="A910" s="4">
        <v>44776</v>
      </c>
      <c r="B910" s="5">
        <v>0.77318287037037037</v>
      </c>
      <c r="C910" s="1">
        <v>1645</v>
      </c>
      <c r="D910" s="1">
        <v>13002595</v>
      </c>
      <c r="E910" s="1">
        <v>13</v>
      </c>
      <c r="F910" s="1">
        <v>22589</v>
      </c>
      <c r="G910" s="1" t="s">
        <v>18</v>
      </c>
      <c r="H910" s="1">
        <v>18</v>
      </c>
      <c r="I910" s="1">
        <v>47735</v>
      </c>
      <c r="J910" s="1" t="s">
        <v>589</v>
      </c>
      <c r="K910" s="1" t="s">
        <v>20</v>
      </c>
      <c r="L910" s="1" t="s">
        <v>172</v>
      </c>
      <c r="M910" s="1">
        <v>1</v>
      </c>
      <c r="N910" s="2">
        <v>97.32</v>
      </c>
      <c r="O910" s="3">
        <v>139</v>
      </c>
      <c r="P910" s="1">
        <v>0</v>
      </c>
      <c r="Q910" s="1" t="s">
        <v>22</v>
      </c>
      <c r="R910" s="1" t="s">
        <v>22</v>
      </c>
      <c r="S910" s="1">
        <v>29</v>
      </c>
      <c r="T910" s="1">
        <v>1</v>
      </c>
      <c r="U910" s="1">
        <v>2</v>
      </c>
    </row>
    <row r="911" spans="1:21" x14ac:dyDescent="0.25">
      <c r="A911" s="4">
        <v>44776</v>
      </c>
      <c r="B911" s="5">
        <v>0.77318287037037037</v>
      </c>
      <c r="C911" s="1">
        <v>1645</v>
      </c>
      <c r="D911" s="1">
        <v>13002595</v>
      </c>
      <c r="E911" s="1">
        <v>13</v>
      </c>
      <c r="F911" s="1">
        <v>22589</v>
      </c>
      <c r="G911" s="1" t="s">
        <v>18</v>
      </c>
      <c r="H911" s="1">
        <v>18</v>
      </c>
      <c r="I911" s="1">
        <v>348072</v>
      </c>
      <c r="J911" s="1" t="s">
        <v>902</v>
      </c>
      <c r="K911" s="1" t="s">
        <v>48</v>
      </c>
      <c r="L911" s="1" t="s">
        <v>32</v>
      </c>
      <c r="M911" s="1">
        <v>1</v>
      </c>
      <c r="N911" s="2">
        <v>227.13</v>
      </c>
      <c r="O911" s="3">
        <v>307</v>
      </c>
      <c r="P911" s="1">
        <v>0</v>
      </c>
      <c r="Q911" s="1" t="s">
        <v>22</v>
      </c>
      <c r="R911" s="1" t="s">
        <v>22</v>
      </c>
      <c r="S911" s="1">
        <v>29</v>
      </c>
      <c r="T911" s="1">
        <v>1</v>
      </c>
      <c r="U911" s="1">
        <v>1</v>
      </c>
    </row>
    <row r="912" spans="1:21" x14ac:dyDescent="0.25">
      <c r="A912" s="4">
        <v>44776</v>
      </c>
      <c r="B912" s="5">
        <v>0.77318287037037037</v>
      </c>
      <c r="C912" s="1">
        <v>1645</v>
      </c>
      <c r="D912" s="1">
        <v>13002595</v>
      </c>
      <c r="E912" s="1">
        <v>13</v>
      </c>
      <c r="F912" s="1">
        <v>22589</v>
      </c>
      <c r="G912" s="1" t="s">
        <v>18</v>
      </c>
      <c r="H912" s="1">
        <v>18</v>
      </c>
      <c r="I912" s="1">
        <v>4820</v>
      </c>
      <c r="J912" s="1" t="s">
        <v>903</v>
      </c>
      <c r="K912" s="1" t="s">
        <v>26</v>
      </c>
      <c r="L912" s="1" t="s">
        <v>292</v>
      </c>
      <c r="M912" s="1">
        <v>1</v>
      </c>
      <c r="N912" s="2">
        <v>372.97</v>
      </c>
      <c r="O912" s="3">
        <v>448</v>
      </c>
      <c r="P912" s="1">
        <v>0</v>
      </c>
      <c r="Q912" s="1" t="s">
        <v>22</v>
      </c>
      <c r="R912" s="1" t="s">
        <v>22</v>
      </c>
      <c r="S912" s="1">
        <v>29</v>
      </c>
      <c r="T912" s="1">
        <v>1</v>
      </c>
      <c r="U912" s="1">
        <v>3</v>
      </c>
    </row>
    <row r="913" spans="1:21" x14ac:dyDescent="0.25">
      <c r="A913" s="4">
        <v>44776</v>
      </c>
      <c r="B913" s="5">
        <v>0.77439814814814811</v>
      </c>
      <c r="C913" s="1">
        <v>1646</v>
      </c>
      <c r="D913" s="1">
        <v>13002595</v>
      </c>
      <c r="E913" s="1">
        <v>13</v>
      </c>
      <c r="F913" s="1">
        <v>22589</v>
      </c>
      <c r="G913" s="1" t="s">
        <v>18</v>
      </c>
      <c r="H913" s="1">
        <v>15</v>
      </c>
      <c r="I913" s="1">
        <v>91889</v>
      </c>
      <c r="J913" s="1" t="s">
        <v>904</v>
      </c>
      <c r="K913" s="1" t="s">
        <v>26</v>
      </c>
      <c r="L913" s="1" t="s">
        <v>905</v>
      </c>
      <c r="M913" s="1">
        <v>1</v>
      </c>
      <c r="N913" s="2">
        <v>340.03</v>
      </c>
      <c r="O913" s="3">
        <v>449</v>
      </c>
      <c r="P913" s="1">
        <v>31</v>
      </c>
      <c r="Q913" s="1">
        <v>9</v>
      </c>
      <c r="R913" s="1">
        <v>200010013101</v>
      </c>
      <c r="S913" s="1">
        <v>29</v>
      </c>
      <c r="T913" s="1">
        <v>1</v>
      </c>
      <c r="U913" s="1">
        <v>1</v>
      </c>
    </row>
    <row r="914" spans="1:21" x14ac:dyDescent="0.25">
      <c r="A914" s="4">
        <v>44776</v>
      </c>
      <c r="B914" s="5">
        <v>0.77738425925925925</v>
      </c>
      <c r="C914" s="1">
        <v>1647</v>
      </c>
      <c r="D914" s="1">
        <v>13002595</v>
      </c>
      <c r="E914" s="1">
        <v>13</v>
      </c>
      <c r="F914" s="1">
        <v>22589</v>
      </c>
      <c r="G914" s="1" t="s">
        <v>18</v>
      </c>
      <c r="H914" s="1">
        <v>18</v>
      </c>
      <c r="I914" s="1">
        <v>132407</v>
      </c>
      <c r="J914" s="1" t="s">
        <v>906</v>
      </c>
      <c r="K914" s="1" t="s">
        <v>42</v>
      </c>
      <c r="L914" s="1" t="s">
        <v>892</v>
      </c>
      <c r="M914" s="1">
        <v>1</v>
      </c>
      <c r="N914" s="2">
        <v>574.48</v>
      </c>
      <c r="O914" s="3">
        <v>742</v>
      </c>
      <c r="P914" s="1">
        <v>0</v>
      </c>
      <c r="Q914" s="1" t="s">
        <v>22</v>
      </c>
      <c r="R914" s="1" t="s">
        <v>22</v>
      </c>
      <c r="S914" s="1">
        <v>29</v>
      </c>
      <c r="T914" s="1">
        <v>1</v>
      </c>
      <c r="U914" s="1">
        <v>1</v>
      </c>
    </row>
    <row r="915" spans="1:21" x14ac:dyDescent="0.25">
      <c r="A915" s="4">
        <v>44776</v>
      </c>
      <c r="B915" s="5">
        <v>0.78501157407407407</v>
      </c>
      <c r="C915" s="1">
        <v>1648</v>
      </c>
      <c r="D915" s="1">
        <v>13002595</v>
      </c>
      <c r="E915" s="1">
        <v>13</v>
      </c>
      <c r="F915" s="1">
        <v>22589</v>
      </c>
      <c r="G915" s="1" t="s">
        <v>18</v>
      </c>
      <c r="H915" s="1">
        <v>15</v>
      </c>
      <c r="I915" s="1">
        <v>184993</v>
      </c>
      <c r="J915" s="1" t="s">
        <v>430</v>
      </c>
      <c r="K915" s="1" t="s">
        <v>20</v>
      </c>
      <c r="L915" s="1" t="s">
        <v>156</v>
      </c>
      <c r="M915" s="1">
        <v>1</v>
      </c>
      <c r="N915" s="2">
        <v>198</v>
      </c>
      <c r="O915" s="3">
        <v>236</v>
      </c>
      <c r="P915" s="1">
        <v>0</v>
      </c>
      <c r="Q915" s="1" t="s">
        <v>22</v>
      </c>
      <c r="R915" s="1" t="s">
        <v>22</v>
      </c>
      <c r="S915" s="1">
        <v>29</v>
      </c>
      <c r="T915" s="1">
        <v>1</v>
      </c>
      <c r="U915" s="1">
        <v>1</v>
      </c>
    </row>
    <row r="916" spans="1:21" x14ac:dyDescent="0.25">
      <c r="A916" s="4">
        <v>44776</v>
      </c>
      <c r="B916" s="5">
        <v>0.78501157407407407</v>
      </c>
      <c r="C916" s="1">
        <v>1648</v>
      </c>
      <c r="D916" s="1">
        <v>13002595</v>
      </c>
      <c r="E916" s="1">
        <v>13</v>
      </c>
      <c r="F916" s="1">
        <v>22589</v>
      </c>
      <c r="G916" s="1" t="s">
        <v>18</v>
      </c>
      <c r="H916" s="1">
        <v>15</v>
      </c>
      <c r="I916" s="1">
        <v>342459</v>
      </c>
      <c r="J916" s="1" t="s">
        <v>907</v>
      </c>
      <c r="K916" s="1" t="s">
        <v>48</v>
      </c>
      <c r="L916" s="1" t="s">
        <v>841</v>
      </c>
      <c r="M916" s="1">
        <v>1</v>
      </c>
      <c r="N916" s="2">
        <v>57.82</v>
      </c>
      <c r="O916" s="3">
        <v>83</v>
      </c>
      <c r="P916" s="1">
        <v>0</v>
      </c>
      <c r="Q916" s="1" t="s">
        <v>22</v>
      </c>
      <c r="R916" s="1" t="s">
        <v>22</v>
      </c>
      <c r="S916" s="1">
        <v>29</v>
      </c>
      <c r="T916" s="1">
        <v>1</v>
      </c>
      <c r="U916" s="1">
        <v>2</v>
      </c>
    </row>
    <row r="917" spans="1:21" x14ac:dyDescent="0.25">
      <c r="A917" s="4">
        <v>44776</v>
      </c>
      <c r="B917" s="5">
        <v>0.78734953703703703</v>
      </c>
      <c r="C917" s="1">
        <v>1649</v>
      </c>
      <c r="D917" s="1">
        <v>13002595</v>
      </c>
      <c r="E917" s="1">
        <v>13</v>
      </c>
      <c r="F917" s="1">
        <v>22589</v>
      </c>
      <c r="G917" s="1" t="s">
        <v>18</v>
      </c>
      <c r="H917" s="1">
        <v>18</v>
      </c>
      <c r="I917" s="1">
        <v>12853</v>
      </c>
      <c r="J917" s="1" t="s">
        <v>908</v>
      </c>
      <c r="K917" s="1" t="s">
        <v>114</v>
      </c>
      <c r="L917" s="1" t="s">
        <v>909</v>
      </c>
      <c r="M917" s="1">
        <v>1</v>
      </c>
      <c r="N917" s="2">
        <v>339.63</v>
      </c>
      <c r="O917" s="3">
        <v>524</v>
      </c>
      <c r="P917" s="1">
        <v>0</v>
      </c>
      <c r="Q917" s="1" t="s">
        <v>22</v>
      </c>
      <c r="R917" s="1" t="s">
        <v>22</v>
      </c>
      <c r="S917" s="1">
        <v>29</v>
      </c>
      <c r="T917" s="1">
        <v>1</v>
      </c>
      <c r="U917" s="1">
        <v>1</v>
      </c>
    </row>
    <row r="918" spans="1:21" x14ac:dyDescent="0.25">
      <c r="A918" s="4">
        <v>44776</v>
      </c>
      <c r="B918" s="5">
        <v>0.78861111111111115</v>
      </c>
      <c r="C918" s="1">
        <v>1650</v>
      </c>
      <c r="D918" s="1">
        <v>13002595</v>
      </c>
      <c r="E918" s="1">
        <v>13</v>
      </c>
      <c r="F918" s="1">
        <v>22589</v>
      </c>
      <c r="G918" s="1" t="s">
        <v>18</v>
      </c>
      <c r="H918" s="1">
        <v>18</v>
      </c>
      <c r="I918" s="1">
        <v>55064</v>
      </c>
      <c r="J918" s="1" t="s">
        <v>910</v>
      </c>
      <c r="K918" s="1" t="s">
        <v>114</v>
      </c>
      <c r="L918" s="1" t="s">
        <v>911</v>
      </c>
      <c r="M918" s="1">
        <v>1</v>
      </c>
      <c r="N918" s="2">
        <v>60.12</v>
      </c>
      <c r="O918" s="3">
        <v>98</v>
      </c>
      <c r="P918" s="1">
        <v>0</v>
      </c>
      <c r="Q918" s="1" t="s">
        <v>22</v>
      </c>
      <c r="R918" s="1" t="s">
        <v>22</v>
      </c>
      <c r="S918" s="1">
        <v>29</v>
      </c>
      <c r="T918" s="1">
        <v>1</v>
      </c>
      <c r="U918" s="1">
        <v>1</v>
      </c>
    </row>
    <row r="919" spans="1:21" x14ac:dyDescent="0.25">
      <c r="A919" s="4">
        <v>44776</v>
      </c>
      <c r="B919" s="5">
        <v>0.78979166666666667</v>
      </c>
      <c r="C919" s="1">
        <v>1651</v>
      </c>
      <c r="D919" s="1">
        <v>13002595</v>
      </c>
      <c r="E919" s="1">
        <v>13</v>
      </c>
      <c r="F919" s="1">
        <v>22589</v>
      </c>
      <c r="G919" s="1" t="s">
        <v>18</v>
      </c>
      <c r="H919" s="1">
        <v>15</v>
      </c>
      <c r="I919" s="1">
        <v>20113</v>
      </c>
      <c r="J919" s="1" t="s">
        <v>912</v>
      </c>
      <c r="K919" s="1" t="s">
        <v>31</v>
      </c>
      <c r="L919" s="1" t="s">
        <v>905</v>
      </c>
      <c r="M919" s="1">
        <v>0.2</v>
      </c>
      <c r="N919" s="2">
        <v>336.24</v>
      </c>
      <c r="O919" s="3">
        <v>444</v>
      </c>
      <c r="P919" s="1">
        <v>5.8</v>
      </c>
      <c r="Q919" s="1">
        <v>9</v>
      </c>
      <c r="R919" s="1">
        <v>200010006181</v>
      </c>
      <c r="S919" s="1">
        <v>29</v>
      </c>
      <c r="T919" s="1">
        <v>1</v>
      </c>
      <c r="U919" s="1">
        <v>2</v>
      </c>
    </row>
    <row r="920" spans="1:21" x14ac:dyDescent="0.25">
      <c r="A920" s="4">
        <v>44776</v>
      </c>
      <c r="B920" s="5">
        <v>0.79831018518518515</v>
      </c>
      <c r="C920" s="1">
        <v>1652</v>
      </c>
      <c r="D920" s="1">
        <v>13002595</v>
      </c>
      <c r="E920" s="1">
        <v>13</v>
      </c>
      <c r="F920" s="1">
        <v>22589</v>
      </c>
      <c r="G920" s="1" t="s">
        <v>18</v>
      </c>
      <c r="H920" s="1">
        <v>15</v>
      </c>
      <c r="I920" s="1">
        <v>1365</v>
      </c>
      <c r="J920" s="1" t="s">
        <v>913</v>
      </c>
      <c r="K920" s="1" t="s">
        <v>48</v>
      </c>
      <c r="L920" s="1" t="s">
        <v>914</v>
      </c>
      <c r="M920" s="1">
        <v>1</v>
      </c>
      <c r="N920" s="2">
        <v>97.54</v>
      </c>
      <c r="O920" s="3">
        <v>122</v>
      </c>
      <c r="P920" s="1">
        <v>0</v>
      </c>
      <c r="Q920" s="1" t="s">
        <v>22</v>
      </c>
      <c r="R920" s="1" t="s">
        <v>22</v>
      </c>
      <c r="S920" s="1">
        <v>29</v>
      </c>
      <c r="T920" s="1">
        <v>1</v>
      </c>
      <c r="U920" s="1">
        <v>6</v>
      </c>
    </row>
    <row r="921" spans="1:21" x14ac:dyDescent="0.25">
      <c r="A921" s="4">
        <v>44776</v>
      </c>
      <c r="B921" s="5">
        <v>0.79831018518518515</v>
      </c>
      <c r="C921" s="1">
        <v>1652</v>
      </c>
      <c r="D921" s="1">
        <v>13002595</v>
      </c>
      <c r="E921" s="1">
        <v>13</v>
      </c>
      <c r="F921" s="1">
        <v>22589</v>
      </c>
      <c r="G921" s="1" t="s">
        <v>18</v>
      </c>
      <c r="H921" s="1">
        <v>15</v>
      </c>
      <c r="I921" s="1">
        <v>338779</v>
      </c>
      <c r="J921" s="1" t="s">
        <v>915</v>
      </c>
      <c r="K921" s="1" t="s">
        <v>26</v>
      </c>
      <c r="L921" s="1" t="s">
        <v>120</v>
      </c>
      <c r="M921" s="1">
        <v>1</v>
      </c>
      <c r="N921" s="2">
        <v>29.85</v>
      </c>
      <c r="O921" s="3">
        <v>36</v>
      </c>
      <c r="P921" s="1">
        <v>0</v>
      </c>
      <c r="Q921" s="1" t="s">
        <v>22</v>
      </c>
      <c r="R921" s="1" t="s">
        <v>22</v>
      </c>
      <c r="S921" s="1">
        <v>29</v>
      </c>
      <c r="T921" s="1">
        <v>1</v>
      </c>
      <c r="U921" s="1">
        <v>2</v>
      </c>
    </row>
    <row r="922" spans="1:21" x14ac:dyDescent="0.25">
      <c r="A922" s="4">
        <v>44776</v>
      </c>
      <c r="B922" s="5">
        <v>0.79831018518518515</v>
      </c>
      <c r="C922" s="1">
        <v>1652</v>
      </c>
      <c r="D922" s="1">
        <v>13002595</v>
      </c>
      <c r="E922" s="1">
        <v>13</v>
      </c>
      <c r="F922" s="1">
        <v>22589</v>
      </c>
      <c r="G922" s="1" t="s">
        <v>18</v>
      </c>
      <c r="H922" s="1">
        <v>15</v>
      </c>
      <c r="I922" s="1">
        <v>338798</v>
      </c>
      <c r="J922" s="1" t="s">
        <v>916</v>
      </c>
      <c r="K922" s="1" t="s">
        <v>26</v>
      </c>
      <c r="L922" s="1" t="s">
        <v>120</v>
      </c>
      <c r="M922" s="1">
        <v>1</v>
      </c>
      <c r="N922" s="2">
        <v>40.21</v>
      </c>
      <c r="O922" s="3">
        <v>51.66</v>
      </c>
      <c r="P922" s="1">
        <v>0</v>
      </c>
      <c r="Q922" s="1" t="s">
        <v>22</v>
      </c>
      <c r="R922" s="1" t="s">
        <v>22</v>
      </c>
      <c r="S922" s="1">
        <v>29</v>
      </c>
      <c r="T922" s="1">
        <v>1</v>
      </c>
      <c r="U922" s="1">
        <v>3</v>
      </c>
    </row>
    <row r="923" spans="1:21" x14ac:dyDescent="0.25">
      <c r="A923" s="4">
        <v>44776</v>
      </c>
      <c r="B923" s="5">
        <v>0.79831018518518515</v>
      </c>
      <c r="C923" s="1">
        <v>1652</v>
      </c>
      <c r="D923" s="1">
        <v>13002595</v>
      </c>
      <c r="E923" s="1">
        <v>13</v>
      </c>
      <c r="F923" s="1">
        <v>22589</v>
      </c>
      <c r="G923" s="1" t="s">
        <v>18</v>
      </c>
      <c r="H923" s="1">
        <v>15</v>
      </c>
      <c r="I923" s="1">
        <v>443177</v>
      </c>
      <c r="J923" s="1" t="s">
        <v>917</v>
      </c>
      <c r="K923" s="1" t="s">
        <v>48</v>
      </c>
      <c r="L923" s="1" t="s">
        <v>49</v>
      </c>
      <c r="M923" s="1">
        <v>2</v>
      </c>
      <c r="N923" s="2">
        <v>47.16</v>
      </c>
      <c r="O923" s="3">
        <v>77</v>
      </c>
      <c r="P923" s="1">
        <v>0</v>
      </c>
      <c r="Q923" s="1" t="s">
        <v>22</v>
      </c>
      <c r="R923" s="1" t="s">
        <v>22</v>
      </c>
      <c r="S923" s="1">
        <v>29</v>
      </c>
      <c r="T923" s="1">
        <v>1</v>
      </c>
      <c r="U923" s="1">
        <v>5</v>
      </c>
    </row>
    <row r="924" spans="1:21" x14ac:dyDescent="0.25">
      <c r="A924" s="4">
        <v>44776</v>
      </c>
      <c r="B924" s="5">
        <v>0.79931712962962964</v>
      </c>
      <c r="C924" s="1">
        <v>1653</v>
      </c>
      <c r="D924" s="1">
        <v>13002595</v>
      </c>
      <c r="E924" s="1">
        <v>13</v>
      </c>
      <c r="F924" s="1">
        <v>22589</v>
      </c>
      <c r="G924" s="1" t="s">
        <v>18</v>
      </c>
      <c r="H924" s="1">
        <v>15</v>
      </c>
      <c r="I924" s="1">
        <v>57761</v>
      </c>
      <c r="J924" s="1" t="s">
        <v>918</v>
      </c>
      <c r="K924" s="1" t="s">
        <v>55</v>
      </c>
      <c r="L924" s="1" t="s">
        <v>919</v>
      </c>
      <c r="M924" s="1">
        <v>0.33333332999999998</v>
      </c>
      <c r="N924" s="2">
        <v>2346.54</v>
      </c>
      <c r="O924" s="3">
        <v>3215</v>
      </c>
      <c r="P924" s="1">
        <v>106.67</v>
      </c>
      <c r="Q924" s="1">
        <v>9</v>
      </c>
      <c r="R924" s="1">
        <v>200010023008</v>
      </c>
      <c r="S924" s="1">
        <v>29</v>
      </c>
      <c r="T924" s="1">
        <v>1</v>
      </c>
      <c r="U924" s="1">
        <v>1</v>
      </c>
    </row>
    <row r="925" spans="1:21" x14ac:dyDescent="0.25">
      <c r="A925" s="4">
        <v>44776</v>
      </c>
      <c r="B925" s="5">
        <v>0.80046296296296293</v>
      </c>
      <c r="C925" s="1">
        <v>1654</v>
      </c>
      <c r="D925" s="1">
        <v>13002595</v>
      </c>
      <c r="E925" s="1">
        <v>13</v>
      </c>
      <c r="F925" s="1">
        <v>22589</v>
      </c>
      <c r="G925" s="1" t="s">
        <v>18</v>
      </c>
      <c r="H925" s="1">
        <v>15</v>
      </c>
      <c r="I925" s="1">
        <v>345248</v>
      </c>
      <c r="J925" s="1" t="s">
        <v>920</v>
      </c>
      <c r="K925" s="1" t="s">
        <v>114</v>
      </c>
      <c r="L925" s="1" t="s">
        <v>170</v>
      </c>
      <c r="M925" s="1">
        <v>1</v>
      </c>
      <c r="N925" s="2">
        <v>18.82</v>
      </c>
      <c r="O925" s="3">
        <v>23</v>
      </c>
      <c r="P925" s="1">
        <v>1</v>
      </c>
      <c r="Q925" s="1">
        <v>9</v>
      </c>
      <c r="R925" s="1">
        <v>200010001832</v>
      </c>
      <c r="S925" s="1">
        <v>29</v>
      </c>
      <c r="T925" s="1">
        <v>1</v>
      </c>
      <c r="U925" s="1">
        <v>1</v>
      </c>
    </row>
    <row r="926" spans="1:21" x14ac:dyDescent="0.25">
      <c r="A926" s="4">
        <v>44776</v>
      </c>
      <c r="B926" s="5">
        <v>0.80046296296296293</v>
      </c>
      <c r="C926" s="1">
        <v>1654</v>
      </c>
      <c r="D926" s="1">
        <v>13002595</v>
      </c>
      <c r="E926" s="1">
        <v>13</v>
      </c>
      <c r="F926" s="1">
        <v>22589</v>
      </c>
      <c r="G926" s="1" t="s">
        <v>18</v>
      </c>
      <c r="H926" s="1">
        <v>15</v>
      </c>
      <c r="I926" s="1">
        <v>345248</v>
      </c>
      <c r="J926" s="1" t="s">
        <v>920</v>
      </c>
      <c r="K926" s="1" t="s">
        <v>55</v>
      </c>
      <c r="L926" s="1" t="s">
        <v>170</v>
      </c>
      <c r="M926" s="1">
        <v>1</v>
      </c>
      <c r="N926" s="2">
        <v>19.5</v>
      </c>
      <c r="O926" s="3">
        <v>23</v>
      </c>
      <c r="P926" s="1">
        <v>1</v>
      </c>
      <c r="Q926" s="1">
        <v>9</v>
      </c>
      <c r="R926" s="1">
        <v>200010001832</v>
      </c>
      <c r="S926" s="1">
        <v>29</v>
      </c>
      <c r="T926" s="1">
        <v>1</v>
      </c>
      <c r="U926" s="1">
        <v>2</v>
      </c>
    </row>
    <row r="927" spans="1:21" x14ac:dyDescent="0.25">
      <c r="A927" s="4">
        <v>44776</v>
      </c>
      <c r="B927" s="5">
        <v>0.80192129629629627</v>
      </c>
      <c r="C927" s="1">
        <v>1655</v>
      </c>
      <c r="D927" s="1">
        <v>13002595</v>
      </c>
      <c r="E927" s="1">
        <v>13</v>
      </c>
      <c r="F927" s="1">
        <v>22589</v>
      </c>
      <c r="G927" s="1" t="s">
        <v>18</v>
      </c>
      <c r="H927" s="1">
        <v>18</v>
      </c>
      <c r="I927" s="1">
        <v>724</v>
      </c>
      <c r="J927" s="1" t="s">
        <v>526</v>
      </c>
      <c r="K927" s="1" t="s">
        <v>20</v>
      </c>
      <c r="L927" s="1" t="s">
        <v>211</v>
      </c>
      <c r="M927" s="1">
        <v>1</v>
      </c>
      <c r="N927" s="2">
        <v>66.09</v>
      </c>
      <c r="O927" s="3">
        <v>78</v>
      </c>
      <c r="P927" s="1">
        <v>3</v>
      </c>
      <c r="Q927" s="1">
        <v>9</v>
      </c>
      <c r="R927" s="1">
        <v>200010013119</v>
      </c>
      <c r="S927" s="1">
        <v>29</v>
      </c>
      <c r="T927" s="1">
        <v>1</v>
      </c>
      <c r="U927" s="1">
        <v>1</v>
      </c>
    </row>
    <row r="928" spans="1:21" x14ac:dyDescent="0.25">
      <c r="A928" s="4">
        <v>44776</v>
      </c>
      <c r="B928" s="5">
        <v>0.81172453703703706</v>
      </c>
      <c r="C928" s="1">
        <v>1656</v>
      </c>
      <c r="D928" s="1">
        <v>13002595</v>
      </c>
      <c r="E928" s="1">
        <v>13</v>
      </c>
      <c r="F928" s="1">
        <v>22589</v>
      </c>
      <c r="G928" s="1" t="s">
        <v>18</v>
      </c>
      <c r="H928" s="1">
        <v>15</v>
      </c>
      <c r="I928" s="1">
        <v>446309</v>
      </c>
      <c r="J928" s="1" t="s">
        <v>671</v>
      </c>
      <c r="K928" s="1" t="s">
        <v>48</v>
      </c>
      <c r="L928" s="1" t="s">
        <v>94</v>
      </c>
      <c r="M928" s="1">
        <v>1</v>
      </c>
      <c r="N928" s="2">
        <v>16.3</v>
      </c>
      <c r="O928" s="3">
        <v>25</v>
      </c>
      <c r="P928" s="1">
        <v>0</v>
      </c>
      <c r="Q928" s="1" t="s">
        <v>22</v>
      </c>
      <c r="R928" s="1" t="s">
        <v>22</v>
      </c>
      <c r="S928" s="1">
        <v>29</v>
      </c>
      <c r="T928" s="1">
        <v>1</v>
      </c>
      <c r="U928" s="1">
        <v>1</v>
      </c>
    </row>
    <row r="929" spans="1:21" x14ac:dyDescent="0.25">
      <c r="A929" s="4">
        <v>44776</v>
      </c>
      <c r="B929" s="5">
        <v>0.81172453703703706</v>
      </c>
      <c r="C929" s="1">
        <v>1656</v>
      </c>
      <c r="D929" s="1">
        <v>13002595</v>
      </c>
      <c r="E929" s="1">
        <v>13</v>
      </c>
      <c r="F929" s="1">
        <v>22589</v>
      </c>
      <c r="G929" s="1" t="s">
        <v>18</v>
      </c>
      <c r="H929" s="1">
        <v>15</v>
      </c>
      <c r="I929" s="1">
        <v>446309</v>
      </c>
      <c r="J929" s="1" t="s">
        <v>671</v>
      </c>
      <c r="K929" s="1" t="s">
        <v>48</v>
      </c>
      <c r="L929" s="1" t="s">
        <v>94</v>
      </c>
      <c r="M929" s="1">
        <v>1</v>
      </c>
      <c r="N929" s="2">
        <v>16.3</v>
      </c>
      <c r="O929" s="3">
        <v>25</v>
      </c>
      <c r="P929" s="1">
        <v>0</v>
      </c>
      <c r="Q929" s="1" t="s">
        <v>22</v>
      </c>
      <c r="R929" s="1" t="s">
        <v>22</v>
      </c>
      <c r="S929" s="1">
        <v>29</v>
      </c>
      <c r="T929" s="1">
        <v>1</v>
      </c>
      <c r="U929" s="1">
        <v>2</v>
      </c>
    </row>
    <row r="930" spans="1:21" x14ac:dyDescent="0.25">
      <c r="A930" s="4">
        <v>44776</v>
      </c>
      <c r="B930" s="5">
        <v>0.81172453703703706</v>
      </c>
      <c r="C930" s="1">
        <v>1656</v>
      </c>
      <c r="D930" s="1">
        <v>13002595</v>
      </c>
      <c r="E930" s="1">
        <v>13</v>
      </c>
      <c r="F930" s="1">
        <v>22589</v>
      </c>
      <c r="G930" s="1" t="s">
        <v>18</v>
      </c>
      <c r="H930" s="1">
        <v>15</v>
      </c>
      <c r="I930" s="1">
        <v>450544</v>
      </c>
      <c r="J930" s="1" t="s">
        <v>670</v>
      </c>
      <c r="K930" s="1" t="s">
        <v>114</v>
      </c>
      <c r="L930" s="1" t="s">
        <v>380</v>
      </c>
      <c r="M930" s="1">
        <v>1</v>
      </c>
      <c r="N930" s="2">
        <v>26.39</v>
      </c>
      <c r="O930" s="3">
        <v>41</v>
      </c>
      <c r="P930" s="1">
        <v>0</v>
      </c>
      <c r="Q930" s="1" t="s">
        <v>22</v>
      </c>
      <c r="R930" s="1" t="s">
        <v>22</v>
      </c>
      <c r="S930" s="1">
        <v>29</v>
      </c>
      <c r="T930" s="1">
        <v>1</v>
      </c>
      <c r="U930" s="1">
        <v>3</v>
      </c>
    </row>
    <row r="931" spans="1:21" x14ac:dyDescent="0.25">
      <c r="A931" s="4">
        <v>44776</v>
      </c>
      <c r="B931" s="5">
        <v>0.82079861111111108</v>
      </c>
      <c r="C931" s="1">
        <v>1657</v>
      </c>
      <c r="D931" s="1">
        <v>13002595</v>
      </c>
      <c r="E931" s="1">
        <v>13</v>
      </c>
      <c r="F931" s="1">
        <v>22589</v>
      </c>
      <c r="G931" s="1" t="s">
        <v>18</v>
      </c>
      <c r="H931" s="1">
        <v>18</v>
      </c>
      <c r="I931" s="1">
        <v>19546</v>
      </c>
      <c r="J931" s="1" t="s">
        <v>673</v>
      </c>
      <c r="K931" s="1" t="s">
        <v>48</v>
      </c>
      <c r="L931" s="1" t="s">
        <v>29</v>
      </c>
      <c r="M931" s="1">
        <v>1</v>
      </c>
      <c r="N931" s="2">
        <v>25.81</v>
      </c>
      <c r="O931" s="3">
        <v>32</v>
      </c>
      <c r="P931" s="1">
        <v>4.22</v>
      </c>
      <c r="Q931" s="1">
        <v>925</v>
      </c>
      <c r="R931" s="1">
        <v>200000000492</v>
      </c>
      <c r="S931" s="1">
        <v>29</v>
      </c>
      <c r="T931" s="1">
        <v>1</v>
      </c>
      <c r="U931" s="1">
        <v>2</v>
      </c>
    </row>
    <row r="932" spans="1:21" x14ac:dyDescent="0.25">
      <c r="A932" s="4">
        <v>44776</v>
      </c>
      <c r="B932" s="5">
        <v>0.82079861111111108</v>
      </c>
      <c r="C932" s="1">
        <v>1657</v>
      </c>
      <c r="D932" s="1">
        <v>13002595</v>
      </c>
      <c r="E932" s="1">
        <v>13</v>
      </c>
      <c r="F932" s="1">
        <v>22589</v>
      </c>
      <c r="G932" s="1" t="s">
        <v>18</v>
      </c>
      <c r="H932" s="1">
        <v>18</v>
      </c>
      <c r="I932" s="1">
        <v>19546</v>
      </c>
      <c r="J932" s="1" t="s">
        <v>673</v>
      </c>
      <c r="K932" s="1" t="s">
        <v>48</v>
      </c>
      <c r="L932" s="1" t="s">
        <v>29</v>
      </c>
      <c r="M932" s="1">
        <v>1</v>
      </c>
      <c r="N932" s="2">
        <v>25.81</v>
      </c>
      <c r="O932" s="3">
        <v>32</v>
      </c>
      <c r="P932" s="1">
        <v>4.22</v>
      </c>
      <c r="Q932" s="1">
        <v>925</v>
      </c>
      <c r="R932" s="1">
        <v>200000000492</v>
      </c>
      <c r="S932" s="1">
        <v>29</v>
      </c>
      <c r="T932" s="1">
        <v>1</v>
      </c>
      <c r="U932" s="1">
        <v>3</v>
      </c>
    </row>
    <row r="933" spans="1:21" x14ac:dyDescent="0.25">
      <c r="A933" s="4">
        <v>44776</v>
      </c>
      <c r="B933" s="5">
        <v>0.82079861111111108</v>
      </c>
      <c r="C933" s="1">
        <v>1657</v>
      </c>
      <c r="D933" s="1">
        <v>13002595</v>
      </c>
      <c r="E933" s="1">
        <v>13</v>
      </c>
      <c r="F933" s="1">
        <v>22589</v>
      </c>
      <c r="G933" s="1" t="s">
        <v>18</v>
      </c>
      <c r="H933" s="1">
        <v>18</v>
      </c>
      <c r="I933" s="1">
        <v>67418</v>
      </c>
      <c r="J933" s="1" t="s">
        <v>921</v>
      </c>
      <c r="K933" s="1" t="s">
        <v>20</v>
      </c>
      <c r="L933" s="1" t="s">
        <v>64</v>
      </c>
      <c r="M933" s="1">
        <v>1</v>
      </c>
      <c r="N933" s="2">
        <v>197.01</v>
      </c>
      <c r="O933" s="3">
        <v>247</v>
      </c>
      <c r="P933" s="1">
        <v>32.56</v>
      </c>
      <c r="Q933" s="1">
        <v>925</v>
      </c>
      <c r="R933" s="1">
        <v>200000000492</v>
      </c>
      <c r="S933" s="1">
        <v>29</v>
      </c>
      <c r="T933" s="1">
        <v>1</v>
      </c>
      <c r="U933" s="1">
        <v>1</v>
      </c>
    </row>
    <row r="934" spans="1:21" x14ac:dyDescent="0.25">
      <c r="A934" s="4">
        <v>44776</v>
      </c>
      <c r="B934" s="5">
        <v>0.82193287037037033</v>
      </c>
      <c r="C934" s="1">
        <v>1658</v>
      </c>
      <c r="D934" s="1">
        <v>13002595</v>
      </c>
      <c r="E934" s="1">
        <v>13</v>
      </c>
      <c r="F934" s="1">
        <v>22589</v>
      </c>
      <c r="G934" s="1" t="s">
        <v>18</v>
      </c>
      <c r="H934" s="1">
        <v>15</v>
      </c>
      <c r="I934" s="1">
        <v>9634</v>
      </c>
      <c r="J934" s="1" t="s">
        <v>922</v>
      </c>
      <c r="K934" s="1" t="s">
        <v>20</v>
      </c>
      <c r="L934" s="1" t="s">
        <v>923</v>
      </c>
      <c r="M934" s="1">
        <v>1</v>
      </c>
      <c r="N934" s="2">
        <v>370.22</v>
      </c>
      <c r="O934" s="3">
        <v>489</v>
      </c>
      <c r="P934" s="1">
        <v>34</v>
      </c>
      <c r="Q934" s="1">
        <v>9</v>
      </c>
      <c r="R934" s="1">
        <v>200010019519</v>
      </c>
      <c r="S934" s="1">
        <v>29</v>
      </c>
      <c r="T934" s="1">
        <v>1</v>
      </c>
      <c r="U934" s="1">
        <v>1</v>
      </c>
    </row>
    <row r="935" spans="1:21" x14ac:dyDescent="0.25">
      <c r="A935" s="4">
        <v>44776</v>
      </c>
      <c r="B935" s="5">
        <v>0.82486111111111116</v>
      </c>
      <c r="C935" s="1">
        <v>1659</v>
      </c>
      <c r="D935" s="1">
        <v>13002595</v>
      </c>
      <c r="E935" s="1">
        <v>13</v>
      </c>
      <c r="F935" s="1">
        <v>22589</v>
      </c>
      <c r="G935" s="1" t="s">
        <v>18</v>
      </c>
      <c r="H935" s="1">
        <v>15</v>
      </c>
      <c r="I935" s="1">
        <v>573255</v>
      </c>
      <c r="J935" s="1" t="s">
        <v>721</v>
      </c>
      <c r="K935" s="1" t="s">
        <v>48</v>
      </c>
      <c r="L935" s="1" t="s">
        <v>722</v>
      </c>
      <c r="M935" s="1">
        <v>1</v>
      </c>
      <c r="N935" s="2">
        <v>106.4</v>
      </c>
      <c r="O935" s="3">
        <v>146</v>
      </c>
      <c r="P935" s="1">
        <v>0</v>
      </c>
      <c r="Q935" s="1" t="s">
        <v>22</v>
      </c>
      <c r="R935" s="1" t="s">
        <v>22</v>
      </c>
      <c r="S935" s="1">
        <v>29</v>
      </c>
      <c r="T935" s="1">
        <v>1</v>
      </c>
      <c r="U935" s="1">
        <v>1</v>
      </c>
    </row>
    <row r="936" spans="1:21" x14ac:dyDescent="0.25">
      <c r="A936" s="4">
        <v>44777</v>
      </c>
      <c r="B936" s="5">
        <v>0.34461805555555558</v>
      </c>
      <c r="C936" s="1">
        <v>1663</v>
      </c>
      <c r="D936" s="1">
        <v>13002606</v>
      </c>
      <c r="E936" s="1">
        <v>13</v>
      </c>
      <c r="F936" s="1">
        <v>22589</v>
      </c>
      <c r="G936" s="1" t="s">
        <v>18</v>
      </c>
      <c r="H936" s="1">
        <v>18</v>
      </c>
      <c r="I936" s="1">
        <v>26866</v>
      </c>
      <c r="J936" s="1" t="s">
        <v>924</v>
      </c>
      <c r="K936" s="1" t="s">
        <v>26</v>
      </c>
      <c r="L936" s="1" t="s">
        <v>925</v>
      </c>
      <c r="M936" s="1">
        <v>1</v>
      </c>
      <c r="N936" s="2">
        <v>336.35</v>
      </c>
      <c r="O936" s="3">
        <v>512</v>
      </c>
      <c r="P936" s="1">
        <v>51</v>
      </c>
      <c r="Q936" s="1">
        <v>9</v>
      </c>
      <c r="R936" s="1">
        <v>200010020474</v>
      </c>
      <c r="S936" s="1">
        <v>50</v>
      </c>
      <c r="T936" s="1">
        <v>1</v>
      </c>
      <c r="U936" s="1">
        <v>1</v>
      </c>
    </row>
    <row r="937" spans="1:21" x14ac:dyDescent="0.25">
      <c r="A937" s="4">
        <v>44777</v>
      </c>
      <c r="B937" s="5">
        <v>0.34695601851851854</v>
      </c>
      <c r="C937" s="1">
        <v>1664</v>
      </c>
      <c r="D937" s="1">
        <v>13002606</v>
      </c>
      <c r="E937" s="1">
        <v>13</v>
      </c>
      <c r="F937" s="1">
        <v>22589</v>
      </c>
      <c r="G937" s="1" t="s">
        <v>18</v>
      </c>
      <c r="H937" s="1">
        <v>15</v>
      </c>
      <c r="I937" s="1">
        <v>30687</v>
      </c>
      <c r="J937" s="1" t="s">
        <v>926</v>
      </c>
      <c r="K937" s="1" t="s">
        <v>58</v>
      </c>
      <c r="L937" s="1" t="s">
        <v>927</v>
      </c>
      <c r="M937" s="1">
        <v>1</v>
      </c>
      <c r="N937" s="2">
        <v>219.78</v>
      </c>
      <c r="O937" s="3">
        <v>275</v>
      </c>
      <c r="P937" s="1">
        <v>13</v>
      </c>
      <c r="Q937" s="1">
        <v>9</v>
      </c>
      <c r="R937" s="1">
        <v>200010023916</v>
      </c>
      <c r="S937" s="1">
        <v>50</v>
      </c>
      <c r="T937" s="1">
        <v>1</v>
      </c>
      <c r="U937" s="1">
        <v>1</v>
      </c>
    </row>
    <row r="938" spans="1:21" x14ac:dyDescent="0.25">
      <c r="A938" s="4">
        <v>44777</v>
      </c>
      <c r="B938" s="5">
        <v>0.36493055555555554</v>
      </c>
      <c r="C938" s="1">
        <v>1665</v>
      </c>
      <c r="D938" s="1">
        <v>13002606</v>
      </c>
      <c r="E938" s="1">
        <v>13</v>
      </c>
      <c r="F938" s="1">
        <v>22589</v>
      </c>
      <c r="G938" s="1" t="s">
        <v>18</v>
      </c>
      <c r="H938" s="1">
        <v>18</v>
      </c>
      <c r="I938" s="1">
        <v>5155</v>
      </c>
      <c r="J938" s="1" t="s">
        <v>290</v>
      </c>
      <c r="K938" s="1" t="s">
        <v>26</v>
      </c>
      <c r="L938" s="1" t="s">
        <v>217</v>
      </c>
      <c r="M938" s="1">
        <v>1</v>
      </c>
      <c r="N938" s="2">
        <v>72.02</v>
      </c>
      <c r="O938" s="3">
        <v>90</v>
      </c>
      <c r="P938" s="1">
        <v>0</v>
      </c>
      <c r="Q938" s="1" t="s">
        <v>22</v>
      </c>
      <c r="R938" s="1" t="s">
        <v>22</v>
      </c>
      <c r="S938" s="1">
        <v>50</v>
      </c>
      <c r="T938" s="1">
        <v>1</v>
      </c>
      <c r="U938" s="1">
        <v>1</v>
      </c>
    </row>
    <row r="939" spans="1:21" x14ac:dyDescent="0.25">
      <c r="A939" s="4">
        <v>44777</v>
      </c>
      <c r="B939" s="5">
        <v>0.36594907407407407</v>
      </c>
      <c r="C939" s="1">
        <v>1666</v>
      </c>
      <c r="D939" s="1">
        <v>13002606</v>
      </c>
      <c r="E939" s="1">
        <v>13</v>
      </c>
      <c r="F939" s="1">
        <v>22589</v>
      </c>
      <c r="G939" s="1" t="s">
        <v>18</v>
      </c>
      <c r="H939" s="1">
        <v>15</v>
      </c>
      <c r="I939" s="1">
        <v>475</v>
      </c>
      <c r="J939" s="1" t="s">
        <v>238</v>
      </c>
      <c r="K939" s="1" t="s">
        <v>114</v>
      </c>
      <c r="L939" s="1" t="s">
        <v>32</v>
      </c>
      <c r="M939" s="1">
        <v>1</v>
      </c>
      <c r="N939" s="2">
        <v>130.46</v>
      </c>
      <c r="O939" s="3">
        <v>179</v>
      </c>
      <c r="P939" s="1">
        <v>0</v>
      </c>
      <c r="Q939" s="1" t="s">
        <v>22</v>
      </c>
      <c r="R939" s="1" t="s">
        <v>22</v>
      </c>
      <c r="S939" s="1">
        <v>50</v>
      </c>
      <c r="T939" s="1">
        <v>1</v>
      </c>
      <c r="U939" s="1">
        <v>1</v>
      </c>
    </row>
    <row r="940" spans="1:21" x14ac:dyDescent="0.25">
      <c r="A940" s="4">
        <v>44777</v>
      </c>
      <c r="B940" s="5">
        <v>0.36594907407407407</v>
      </c>
      <c r="C940" s="1">
        <v>1666</v>
      </c>
      <c r="D940" s="1">
        <v>13002606</v>
      </c>
      <c r="E940" s="1">
        <v>13</v>
      </c>
      <c r="F940" s="1">
        <v>22589</v>
      </c>
      <c r="G940" s="1" t="s">
        <v>18</v>
      </c>
      <c r="H940" s="1">
        <v>15</v>
      </c>
      <c r="I940" s="1">
        <v>129036</v>
      </c>
      <c r="J940" s="1" t="s">
        <v>239</v>
      </c>
      <c r="K940" s="1" t="s">
        <v>26</v>
      </c>
      <c r="L940" s="1" t="s">
        <v>32</v>
      </c>
      <c r="M940" s="1">
        <v>1</v>
      </c>
      <c r="N940" s="2">
        <v>223.96</v>
      </c>
      <c r="O940" s="3">
        <v>303</v>
      </c>
      <c r="P940" s="1">
        <v>0</v>
      </c>
      <c r="Q940" s="1" t="s">
        <v>22</v>
      </c>
      <c r="R940" s="1" t="s">
        <v>22</v>
      </c>
      <c r="S940" s="1">
        <v>50</v>
      </c>
      <c r="T940" s="1">
        <v>1</v>
      </c>
      <c r="U940" s="1">
        <v>2</v>
      </c>
    </row>
    <row r="941" spans="1:21" x14ac:dyDescent="0.25">
      <c r="A941" s="4">
        <v>44777</v>
      </c>
      <c r="B941" s="5">
        <v>0.37998842592592591</v>
      </c>
      <c r="C941" s="1">
        <v>1667</v>
      </c>
      <c r="D941" s="1">
        <v>13002606</v>
      </c>
      <c r="E941" s="1">
        <v>13</v>
      </c>
      <c r="F941" s="1">
        <v>22589</v>
      </c>
      <c r="G941" s="1" t="s">
        <v>18</v>
      </c>
      <c r="H941" s="1">
        <v>15</v>
      </c>
      <c r="I941" s="1">
        <v>1308</v>
      </c>
      <c r="J941" s="1" t="s">
        <v>928</v>
      </c>
      <c r="K941" s="1" t="s">
        <v>249</v>
      </c>
      <c r="L941" s="1" t="s">
        <v>929</v>
      </c>
      <c r="M941" s="1">
        <v>1</v>
      </c>
      <c r="N941" s="2">
        <v>866.26</v>
      </c>
      <c r="O941" s="3">
        <v>1083</v>
      </c>
      <c r="P941" s="1">
        <v>75</v>
      </c>
      <c r="Q941" s="1">
        <v>9</v>
      </c>
      <c r="R941" s="1">
        <v>200010006097</v>
      </c>
      <c r="S941" s="1">
        <v>50</v>
      </c>
      <c r="T941" s="1">
        <v>1</v>
      </c>
      <c r="U941" s="1">
        <v>6</v>
      </c>
    </row>
    <row r="942" spans="1:21" x14ac:dyDescent="0.25">
      <c r="A942" s="4">
        <v>44777</v>
      </c>
      <c r="B942" s="5">
        <v>0.37998842592592591</v>
      </c>
      <c r="C942" s="1">
        <v>1667</v>
      </c>
      <c r="D942" s="1">
        <v>13002606</v>
      </c>
      <c r="E942" s="1">
        <v>13</v>
      </c>
      <c r="F942" s="1">
        <v>22589</v>
      </c>
      <c r="G942" s="1" t="s">
        <v>18</v>
      </c>
      <c r="H942" s="1">
        <v>15</v>
      </c>
      <c r="I942" s="1">
        <v>74656</v>
      </c>
      <c r="J942" s="1" t="s">
        <v>195</v>
      </c>
      <c r="K942" s="1" t="s">
        <v>48</v>
      </c>
      <c r="L942" s="1" t="s">
        <v>73</v>
      </c>
      <c r="M942" s="1">
        <v>1</v>
      </c>
      <c r="N942" s="2">
        <v>400.74</v>
      </c>
      <c r="O942" s="3">
        <v>481</v>
      </c>
      <c r="P942" s="1">
        <v>33</v>
      </c>
      <c r="Q942" s="1">
        <v>9</v>
      </c>
      <c r="R942" s="1">
        <v>200010006097</v>
      </c>
      <c r="S942" s="1">
        <v>50</v>
      </c>
      <c r="T942" s="1">
        <v>1</v>
      </c>
      <c r="U942" s="1">
        <v>1</v>
      </c>
    </row>
    <row r="943" spans="1:21" x14ac:dyDescent="0.25">
      <c r="A943" s="4">
        <v>44777</v>
      </c>
      <c r="B943" s="5">
        <v>0.37998842592592591</v>
      </c>
      <c r="C943" s="1">
        <v>1667</v>
      </c>
      <c r="D943" s="1">
        <v>13002606</v>
      </c>
      <c r="E943" s="1">
        <v>13</v>
      </c>
      <c r="F943" s="1">
        <v>22589</v>
      </c>
      <c r="G943" s="1" t="s">
        <v>18</v>
      </c>
      <c r="H943" s="1">
        <v>15</v>
      </c>
      <c r="I943" s="1">
        <v>164991</v>
      </c>
      <c r="J943" s="1" t="s">
        <v>930</v>
      </c>
      <c r="K943" s="1" t="s">
        <v>20</v>
      </c>
      <c r="L943" s="1" t="s">
        <v>544</v>
      </c>
      <c r="M943" s="1">
        <v>1</v>
      </c>
      <c r="N943" s="2">
        <v>506.31</v>
      </c>
      <c r="O943" s="3">
        <v>654</v>
      </c>
      <c r="P943" s="1">
        <v>45</v>
      </c>
      <c r="Q943" s="1">
        <v>9</v>
      </c>
      <c r="R943" s="1">
        <v>200010006097</v>
      </c>
      <c r="S943" s="1">
        <v>50</v>
      </c>
      <c r="T943" s="1">
        <v>1</v>
      </c>
      <c r="U943" s="1">
        <v>2</v>
      </c>
    </row>
    <row r="944" spans="1:21" x14ac:dyDescent="0.25">
      <c r="A944" s="4">
        <v>44777</v>
      </c>
      <c r="B944" s="5">
        <v>0.37998842592592591</v>
      </c>
      <c r="C944" s="1">
        <v>1667</v>
      </c>
      <c r="D944" s="1">
        <v>13002606</v>
      </c>
      <c r="E944" s="1">
        <v>13</v>
      </c>
      <c r="F944" s="1">
        <v>22589</v>
      </c>
      <c r="G944" s="1" t="s">
        <v>18</v>
      </c>
      <c r="H944" s="1">
        <v>15</v>
      </c>
      <c r="I944" s="1">
        <v>9329</v>
      </c>
      <c r="J944" s="1" t="s">
        <v>309</v>
      </c>
      <c r="K944" s="1" t="s">
        <v>61</v>
      </c>
      <c r="L944" s="1" t="s">
        <v>310</v>
      </c>
      <c r="M944" s="1">
        <v>1</v>
      </c>
      <c r="N944" s="2">
        <v>201.71</v>
      </c>
      <c r="O944" s="3">
        <v>239</v>
      </c>
      <c r="P944" s="1">
        <v>11</v>
      </c>
      <c r="Q944" s="1">
        <v>9</v>
      </c>
      <c r="R944" s="1">
        <v>200010006097</v>
      </c>
      <c r="S944" s="1">
        <v>50</v>
      </c>
      <c r="T944" s="1">
        <v>1</v>
      </c>
      <c r="U944" s="1">
        <v>3</v>
      </c>
    </row>
    <row r="945" spans="1:21" x14ac:dyDescent="0.25">
      <c r="A945" s="4">
        <v>44777</v>
      </c>
      <c r="B945" s="5">
        <v>0.37998842592592591</v>
      </c>
      <c r="C945" s="1">
        <v>1667</v>
      </c>
      <c r="D945" s="1">
        <v>13002606</v>
      </c>
      <c r="E945" s="1">
        <v>13</v>
      </c>
      <c r="F945" s="1">
        <v>22589</v>
      </c>
      <c r="G945" s="1" t="s">
        <v>18</v>
      </c>
      <c r="H945" s="1">
        <v>15</v>
      </c>
      <c r="I945" s="1">
        <v>142036</v>
      </c>
      <c r="J945" s="1" t="s">
        <v>98</v>
      </c>
      <c r="K945" s="1" t="s">
        <v>20</v>
      </c>
      <c r="L945" s="1" t="s">
        <v>73</v>
      </c>
      <c r="M945" s="1">
        <v>1</v>
      </c>
      <c r="N945" s="2">
        <v>187.36</v>
      </c>
      <c r="O945" s="3">
        <v>220</v>
      </c>
      <c r="P945" s="1">
        <v>15</v>
      </c>
      <c r="Q945" s="1">
        <v>9</v>
      </c>
      <c r="R945" s="1">
        <v>200010006097</v>
      </c>
      <c r="S945" s="1">
        <v>50</v>
      </c>
      <c r="T945" s="1">
        <v>1</v>
      </c>
      <c r="U945" s="1">
        <v>5</v>
      </c>
    </row>
    <row r="946" spans="1:21" x14ac:dyDescent="0.25">
      <c r="A946" s="4">
        <v>44777</v>
      </c>
      <c r="B946" s="5">
        <v>0.37998842592592591</v>
      </c>
      <c r="C946" s="1">
        <v>1667</v>
      </c>
      <c r="D946" s="1">
        <v>13002606</v>
      </c>
      <c r="E946" s="1">
        <v>13</v>
      </c>
      <c r="F946" s="1">
        <v>22589</v>
      </c>
      <c r="G946" s="1" t="s">
        <v>18</v>
      </c>
      <c r="H946" s="1">
        <v>15</v>
      </c>
      <c r="I946" s="1">
        <v>312880</v>
      </c>
      <c r="J946" s="1" t="s">
        <v>931</v>
      </c>
      <c r="K946" s="1" t="s">
        <v>31</v>
      </c>
      <c r="L946" s="1" t="s">
        <v>34</v>
      </c>
      <c r="M946" s="1">
        <v>1</v>
      </c>
      <c r="N946" s="2">
        <v>436.25</v>
      </c>
      <c r="O946" s="3">
        <v>576</v>
      </c>
      <c r="P946" s="1">
        <v>40</v>
      </c>
      <c r="Q946" s="1">
        <v>9</v>
      </c>
      <c r="R946" s="1">
        <v>200010006097</v>
      </c>
      <c r="S946" s="1">
        <v>50</v>
      </c>
      <c r="T946" s="1">
        <v>1</v>
      </c>
      <c r="U946" s="1">
        <v>4</v>
      </c>
    </row>
    <row r="947" spans="1:21" x14ac:dyDescent="0.25">
      <c r="A947" s="4">
        <v>44777</v>
      </c>
      <c r="B947" s="5">
        <v>0.3831134259259259</v>
      </c>
      <c r="C947" s="1">
        <v>1668</v>
      </c>
      <c r="D947" s="1">
        <v>13002606</v>
      </c>
      <c r="E947" s="1">
        <v>13</v>
      </c>
      <c r="F947" s="1">
        <v>22589</v>
      </c>
      <c r="G947" s="1" t="s">
        <v>18</v>
      </c>
      <c r="H947" s="1">
        <v>15</v>
      </c>
      <c r="I947" s="1">
        <v>120091</v>
      </c>
      <c r="J947" s="1" t="s">
        <v>457</v>
      </c>
      <c r="K947" s="1" t="s">
        <v>48</v>
      </c>
      <c r="L947" s="1" t="s">
        <v>62</v>
      </c>
      <c r="M947" s="1">
        <v>1</v>
      </c>
      <c r="N947" s="2">
        <v>32.840000000000003</v>
      </c>
      <c r="O947" s="3">
        <v>41</v>
      </c>
      <c r="P947" s="1">
        <v>2</v>
      </c>
      <c r="Q947" s="1">
        <v>9</v>
      </c>
      <c r="R947" s="1">
        <v>200010019013</v>
      </c>
      <c r="S947" s="1">
        <v>50</v>
      </c>
      <c r="T947" s="1">
        <v>1</v>
      </c>
      <c r="U947" s="1">
        <v>1</v>
      </c>
    </row>
    <row r="948" spans="1:21" x14ac:dyDescent="0.25">
      <c r="A948" s="4">
        <v>44777</v>
      </c>
      <c r="B948" s="5">
        <v>0.39839120370370368</v>
      </c>
      <c r="C948" s="1">
        <v>1669</v>
      </c>
      <c r="D948" s="1">
        <v>13002606</v>
      </c>
      <c r="E948" s="1">
        <v>13</v>
      </c>
      <c r="F948" s="1">
        <v>22589</v>
      </c>
      <c r="G948" s="1" t="s">
        <v>18</v>
      </c>
      <c r="H948" s="1">
        <v>15</v>
      </c>
      <c r="I948" s="1">
        <v>50107</v>
      </c>
      <c r="J948" s="1" t="s">
        <v>932</v>
      </c>
      <c r="K948" s="1" t="s">
        <v>31</v>
      </c>
      <c r="L948" s="1" t="s">
        <v>807</v>
      </c>
      <c r="M948" s="1">
        <v>0.2</v>
      </c>
      <c r="N948" s="2">
        <v>1195.4100000000001</v>
      </c>
      <c r="O948" s="3">
        <v>1638</v>
      </c>
      <c r="P948" s="1">
        <v>0</v>
      </c>
      <c r="Q948" s="1" t="s">
        <v>22</v>
      </c>
      <c r="R948" s="1" t="s">
        <v>22</v>
      </c>
      <c r="S948" s="1">
        <v>50</v>
      </c>
      <c r="T948" s="1">
        <v>1</v>
      </c>
      <c r="U948" s="1">
        <v>1</v>
      </c>
    </row>
    <row r="949" spans="1:21" x14ac:dyDescent="0.25">
      <c r="A949" s="4">
        <v>44777</v>
      </c>
      <c r="B949" s="5">
        <v>0.43222222222222223</v>
      </c>
      <c r="C949" s="1">
        <v>1670</v>
      </c>
      <c r="D949" s="1">
        <v>13002606</v>
      </c>
      <c r="E949" s="1">
        <v>13</v>
      </c>
      <c r="F949" s="1">
        <v>22589</v>
      </c>
      <c r="G949" s="1" t="s">
        <v>18</v>
      </c>
      <c r="H949" s="1">
        <v>18</v>
      </c>
      <c r="I949" s="1">
        <v>11821</v>
      </c>
      <c r="J949" s="1" t="s">
        <v>933</v>
      </c>
      <c r="K949" s="1" t="s">
        <v>20</v>
      </c>
      <c r="L949" s="1" t="s">
        <v>934</v>
      </c>
      <c r="M949" s="1">
        <v>1</v>
      </c>
      <c r="N949" s="2">
        <v>185.36</v>
      </c>
      <c r="O949" s="3">
        <v>254</v>
      </c>
      <c r="P949" s="1">
        <v>17</v>
      </c>
      <c r="Q949" s="1">
        <v>9</v>
      </c>
      <c r="R949" s="1">
        <v>200010020276</v>
      </c>
      <c r="S949" s="1">
        <v>50</v>
      </c>
      <c r="T949" s="1">
        <v>1</v>
      </c>
      <c r="U949" s="1">
        <v>2</v>
      </c>
    </row>
    <row r="950" spans="1:21" x14ac:dyDescent="0.25">
      <c r="A950" s="4">
        <v>44777</v>
      </c>
      <c r="B950" s="5">
        <v>0.43222222222222223</v>
      </c>
      <c r="C950" s="1">
        <v>1670</v>
      </c>
      <c r="D950" s="1">
        <v>13002606</v>
      </c>
      <c r="E950" s="1">
        <v>13</v>
      </c>
      <c r="F950" s="1">
        <v>22589</v>
      </c>
      <c r="G950" s="1" t="s">
        <v>18</v>
      </c>
      <c r="H950" s="1">
        <v>18</v>
      </c>
      <c r="I950" s="1">
        <v>245</v>
      </c>
      <c r="J950" s="1" t="s">
        <v>935</v>
      </c>
      <c r="K950" s="1" t="s">
        <v>20</v>
      </c>
      <c r="L950" s="1" t="s">
        <v>936</v>
      </c>
      <c r="M950" s="1">
        <v>1</v>
      </c>
      <c r="N950" s="2">
        <v>123.97</v>
      </c>
      <c r="O950" s="3">
        <v>170</v>
      </c>
      <c r="P950" s="1">
        <v>11</v>
      </c>
      <c r="Q950" s="1">
        <v>9</v>
      </c>
      <c r="R950" s="1">
        <v>200010020276</v>
      </c>
      <c r="S950" s="1">
        <v>50</v>
      </c>
      <c r="T950" s="1">
        <v>1</v>
      </c>
      <c r="U950" s="1">
        <v>1</v>
      </c>
    </row>
    <row r="951" spans="1:21" x14ac:dyDescent="0.25">
      <c r="A951" s="4">
        <v>44777</v>
      </c>
      <c r="B951" s="5">
        <v>0.43403935185185183</v>
      </c>
      <c r="C951" s="1">
        <v>1671</v>
      </c>
      <c r="D951" s="1">
        <v>13002606</v>
      </c>
      <c r="E951" s="1">
        <v>13</v>
      </c>
      <c r="F951" s="1">
        <v>22589</v>
      </c>
      <c r="G951" s="1" t="s">
        <v>18</v>
      </c>
      <c r="H951" s="1">
        <v>15</v>
      </c>
      <c r="I951" s="1">
        <v>75837</v>
      </c>
      <c r="J951" s="1" t="s">
        <v>937</v>
      </c>
      <c r="K951" s="1" t="s">
        <v>48</v>
      </c>
      <c r="L951" s="1" t="s">
        <v>64</v>
      </c>
      <c r="M951" s="1">
        <v>1</v>
      </c>
      <c r="N951" s="2">
        <v>548.47</v>
      </c>
      <c r="O951" s="3">
        <v>659</v>
      </c>
      <c r="P951" s="1">
        <v>46</v>
      </c>
      <c r="Q951" s="1">
        <v>9</v>
      </c>
      <c r="R951" s="1">
        <v>200010000498</v>
      </c>
      <c r="S951" s="1">
        <v>50</v>
      </c>
      <c r="T951" s="1">
        <v>1</v>
      </c>
      <c r="U951" s="1">
        <v>1</v>
      </c>
    </row>
    <row r="952" spans="1:21" x14ac:dyDescent="0.25">
      <c r="A952" s="4">
        <v>44777</v>
      </c>
      <c r="B952" s="5">
        <v>0.43846064814814817</v>
      </c>
      <c r="C952" s="1">
        <v>1672</v>
      </c>
      <c r="D952" s="1">
        <v>13002606</v>
      </c>
      <c r="E952" s="1">
        <v>13</v>
      </c>
      <c r="F952" s="1">
        <v>22589</v>
      </c>
      <c r="G952" s="1" t="s">
        <v>18</v>
      </c>
      <c r="H952" s="1">
        <v>18</v>
      </c>
      <c r="I952" s="1">
        <v>196444</v>
      </c>
      <c r="J952" s="1" t="s">
        <v>278</v>
      </c>
      <c r="K952" s="1" t="s">
        <v>48</v>
      </c>
      <c r="L952" s="1" t="s">
        <v>29</v>
      </c>
      <c r="M952" s="1">
        <v>1</v>
      </c>
      <c r="N952" s="2">
        <v>79.930000000000007</v>
      </c>
      <c r="O952" s="3">
        <v>100</v>
      </c>
      <c r="P952" s="1">
        <v>0</v>
      </c>
      <c r="Q952" s="1" t="s">
        <v>22</v>
      </c>
      <c r="R952" s="1" t="s">
        <v>22</v>
      </c>
      <c r="S952" s="1">
        <v>50</v>
      </c>
      <c r="T952" s="1">
        <v>1</v>
      </c>
      <c r="U952" s="1">
        <v>1</v>
      </c>
    </row>
    <row r="953" spans="1:21" x14ac:dyDescent="0.25">
      <c r="A953" s="4">
        <v>44777</v>
      </c>
      <c r="B953" s="5">
        <v>0.44571759259259258</v>
      </c>
      <c r="C953" s="1">
        <v>1673</v>
      </c>
      <c r="D953" s="1">
        <v>13002606</v>
      </c>
      <c r="E953" s="1">
        <v>13</v>
      </c>
      <c r="F953" s="1">
        <v>22589</v>
      </c>
      <c r="G953" s="1" t="s">
        <v>18</v>
      </c>
      <c r="H953" s="1">
        <v>18</v>
      </c>
      <c r="I953" s="1">
        <v>142036</v>
      </c>
      <c r="J953" s="1" t="s">
        <v>98</v>
      </c>
      <c r="K953" s="1" t="s">
        <v>48</v>
      </c>
      <c r="L953" s="1" t="s">
        <v>73</v>
      </c>
      <c r="M953" s="1">
        <v>1</v>
      </c>
      <c r="N953" s="2">
        <v>187.95</v>
      </c>
      <c r="O953" s="3">
        <v>220</v>
      </c>
      <c r="P953" s="1">
        <v>15</v>
      </c>
      <c r="Q953" s="1">
        <v>9</v>
      </c>
      <c r="R953" s="1">
        <v>200010022526</v>
      </c>
      <c r="S953" s="1">
        <v>50</v>
      </c>
      <c r="T953" s="1">
        <v>1</v>
      </c>
      <c r="U953" s="1">
        <v>1</v>
      </c>
    </row>
    <row r="954" spans="1:21" x14ac:dyDescent="0.25">
      <c r="A954" s="4">
        <v>44777</v>
      </c>
      <c r="B954" s="5">
        <v>0.5758564814814815</v>
      </c>
      <c r="C954" s="1">
        <v>1723</v>
      </c>
      <c r="D954" s="1">
        <v>13002606</v>
      </c>
      <c r="E954" s="1">
        <v>13</v>
      </c>
      <c r="F954" s="1">
        <v>22589</v>
      </c>
      <c r="G954" s="1" t="s">
        <v>18</v>
      </c>
      <c r="H954" s="1">
        <v>15</v>
      </c>
      <c r="I954" s="1">
        <v>142036</v>
      </c>
      <c r="J954" s="1" t="s">
        <v>98</v>
      </c>
      <c r="K954" s="1" t="s">
        <v>48</v>
      </c>
      <c r="L954" s="1" t="s">
        <v>73</v>
      </c>
      <c r="M954" s="1">
        <v>1</v>
      </c>
      <c r="N954" s="2">
        <v>187.95</v>
      </c>
      <c r="O954" s="3">
        <v>220</v>
      </c>
      <c r="P954" s="1">
        <v>15</v>
      </c>
      <c r="Q954" s="1">
        <v>9</v>
      </c>
      <c r="R954" s="1">
        <v>200010000427</v>
      </c>
      <c r="S954" s="1">
        <v>50</v>
      </c>
      <c r="T954" s="1">
        <v>1</v>
      </c>
      <c r="U954" s="1">
        <v>1</v>
      </c>
    </row>
    <row r="955" spans="1:21" x14ac:dyDescent="0.25">
      <c r="A955" s="4">
        <v>44777</v>
      </c>
      <c r="B955" s="5">
        <v>0.6843055555555555</v>
      </c>
      <c r="C955" s="1">
        <v>1747</v>
      </c>
      <c r="D955" s="1">
        <v>13002606</v>
      </c>
      <c r="E955" s="1">
        <v>13</v>
      </c>
      <c r="F955" s="1">
        <v>22589</v>
      </c>
      <c r="G955" s="1" t="s">
        <v>18</v>
      </c>
      <c r="H955" s="1">
        <v>15</v>
      </c>
      <c r="I955" s="1">
        <v>142036</v>
      </c>
      <c r="J955" s="1" t="s">
        <v>98</v>
      </c>
      <c r="K955" s="1" t="s">
        <v>48</v>
      </c>
      <c r="L955" s="1" t="s">
        <v>73</v>
      </c>
      <c r="M955" s="1">
        <v>0.68181818000000005</v>
      </c>
      <c r="N955" s="2">
        <v>187.95</v>
      </c>
      <c r="O955" s="3">
        <v>220</v>
      </c>
      <c r="P955" s="1">
        <v>0</v>
      </c>
      <c r="Q955" s="1" t="s">
        <v>22</v>
      </c>
      <c r="R955" s="1" t="s">
        <v>22</v>
      </c>
      <c r="S955" s="1">
        <v>50</v>
      </c>
      <c r="T955" s="1">
        <v>1</v>
      </c>
      <c r="U955" s="1">
        <v>1</v>
      </c>
    </row>
    <row r="956" spans="1:21" x14ac:dyDescent="0.25">
      <c r="A956" s="4">
        <v>44777</v>
      </c>
      <c r="B956" s="5">
        <v>0.6843055555555555</v>
      </c>
      <c r="C956" s="1">
        <v>1747</v>
      </c>
      <c r="D956" s="1">
        <v>13002606</v>
      </c>
      <c r="E956" s="1">
        <v>13</v>
      </c>
      <c r="F956" s="1">
        <v>22589</v>
      </c>
      <c r="G956" s="1" t="s">
        <v>18</v>
      </c>
      <c r="H956" s="1">
        <v>18</v>
      </c>
      <c r="I956" s="1">
        <v>142036</v>
      </c>
      <c r="J956" s="1" t="s">
        <v>98</v>
      </c>
      <c r="K956" s="1" t="s">
        <v>48</v>
      </c>
      <c r="L956" s="1" t="s">
        <v>73</v>
      </c>
      <c r="M956" s="1">
        <v>0.31818182</v>
      </c>
      <c r="N956" s="2">
        <v>187.95</v>
      </c>
      <c r="O956" s="3">
        <v>220</v>
      </c>
      <c r="P956" s="1">
        <v>0</v>
      </c>
      <c r="Q956" s="1" t="s">
        <v>22</v>
      </c>
      <c r="R956" s="1" t="s">
        <v>22</v>
      </c>
      <c r="S956" s="1">
        <v>50</v>
      </c>
      <c r="T956" s="1">
        <v>1</v>
      </c>
      <c r="U956" s="1">
        <v>2</v>
      </c>
    </row>
    <row r="957" spans="1:21" x14ac:dyDescent="0.25">
      <c r="A957" s="4">
        <v>44777</v>
      </c>
      <c r="B957" s="5">
        <v>0.44711805555555556</v>
      </c>
      <c r="C957" s="1">
        <v>1674</v>
      </c>
      <c r="D957" s="1">
        <v>13002606</v>
      </c>
      <c r="E957" s="1">
        <v>13</v>
      </c>
      <c r="F957" s="1">
        <v>22589</v>
      </c>
      <c r="G957" s="1" t="s">
        <v>18</v>
      </c>
      <c r="H957" s="1">
        <v>15</v>
      </c>
      <c r="I957" s="1">
        <v>5312</v>
      </c>
      <c r="J957" s="1" t="s">
        <v>639</v>
      </c>
      <c r="K957" s="1" t="s">
        <v>61</v>
      </c>
      <c r="L957" s="1" t="s">
        <v>609</v>
      </c>
      <c r="M957" s="1">
        <v>1</v>
      </c>
      <c r="N957" s="2">
        <v>283.52</v>
      </c>
      <c r="O957" s="3">
        <v>383</v>
      </c>
      <c r="P957" s="1">
        <v>38</v>
      </c>
      <c r="Q957" s="1">
        <v>30</v>
      </c>
      <c r="R957" s="1">
        <v>200000000024</v>
      </c>
      <c r="S957" s="1">
        <v>50</v>
      </c>
      <c r="T957" s="1">
        <v>1</v>
      </c>
      <c r="U957" s="1">
        <v>1</v>
      </c>
    </row>
    <row r="958" spans="1:21" x14ac:dyDescent="0.25">
      <c r="A958" s="4">
        <v>44777</v>
      </c>
      <c r="B958" s="5">
        <v>0.45601851851851855</v>
      </c>
      <c r="C958" s="1">
        <v>1675</v>
      </c>
      <c r="D958" s="1">
        <v>13002606</v>
      </c>
      <c r="E958" s="1">
        <v>13</v>
      </c>
      <c r="F958" s="1">
        <v>22589</v>
      </c>
      <c r="G958" s="1" t="s">
        <v>18</v>
      </c>
      <c r="H958" s="1">
        <v>18</v>
      </c>
      <c r="I958" s="1">
        <v>82396</v>
      </c>
      <c r="J958" s="1" t="s">
        <v>607</v>
      </c>
      <c r="K958" s="1" t="s">
        <v>48</v>
      </c>
      <c r="L958" s="1" t="s">
        <v>213</v>
      </c>
      <c r="M958" s="1">
        <v>1</v>
      </c>
      <c r="N958" s="2">
        <v>80.650000000000006</v>
      </c>
      <c r="O958" s="3">
        <v>101</v>
      </c>
      <c r="P958" s="1">
        <v>0</v>
      </c>
      <c r="Q958" s="1" t="s">
        <v>22</v>
      </c>
      <c r="R958" s="1" t="s">
        <v>22</v>
      </c>
      <c r="S958" s="1">
        <v>50</v>
      </c>
      <c r="T958" s="1">
        <v>1</v>
      </c>
      <c r="U958" s="1">
        <v>1</v>
      </c>
    </row>
    <row r="959" spans="1:21" x14ac:dyDescent="0.25">
      <c r="A959" s="4">
        <v>44777</v>
      </c>
      <c r="B959" s="5">
        <v>0.4934722222222222</v>
      </c>
      <c r="C959" s="1">
        <v>1688</v>
      </c>
      <c r="D959" s="1">
        <v>13002606</v>
      </c>
      <c r="E959" s="1">
        <v>13</v>
      </c>
      <c r="F959" s="1">
        <v>22589</v>
      </c>
      <c r="G959" s="1" t="s">
        <v>18</v>
      </c>
      <c r="H959" s="1">
        <v>15</v>
      </c>
      <c r="I959" s="1">
        <v>82396</v>
      </c>
      <c r="J959" s="1" t="s">
        <v>607</v>
      </c>
      <c r="K959" s="1" t="s">
        <v>48</v>
      </c>
      <c r="L959" s="1" t="s">
        <v>213</v>
      </c>
      <c r="M959" s="1">
        <v>1</v>
      </c>
      <c r="N959" s="2">
        <v>80.650000000000006</v>
      </c>
      <c r="O959" s="3">
        <v>101</v>
      </c>
      <c r="P959" s="1">
        <v>5</v>
      </c>
      <c r="Q959" s="1">
        <v>9</v>
      </c>
      <c r="R959" s="1">
        <v>200010006867</v>
      </c>
      <c r="S959" s="1">
        <v>50</v>
      </c>
      <c r="T959" s="1">
        <v>1</v>
      </c>
      <c r="U959" s="1">
        <v>1</v>
      </c>
    </row>
    <row r="960" spans="1:21" x14ac:dyDescent="0.25">
      <c r="A960" s="4">
        <v>44777</v>
      </c>
      <c r="B960" s="5">
        <v>0.45601851851851855</v>
      </c>
      <c r="C960" s="1">
        <v>1675</v>
      </c>
      <c r="D960" s="1">
        <v>13002606</v>
      </c>
      <c r="E960" s="1">
        <v>13</v>
      </c>
      <c r="F960" s="1">
        <v>22589</v>
      </c>
      <c r="G960" s="1" t="s">
        <v>18</v>
      </c>
      <c r="H960" s="1">
        <v>18</v>
      </c>
      <c r="I960" s="1">
        <v>18722</v>
      </c>
      <c r="J960" s="1" t="s">
        <v>938</v>
      </c>
      <c r="K960" s="1" t="s">
        <v>31</v>
      </c>
      <c r="L960" s="1" t="s">
        <v>939</v>
      </c>
      <c r="M960" s="1">
        <v>1</v>
      </c>
      <c r="N960" s="2">
        <v>57.7</v>
      </c>
      <c r="O960" s="3">
        <v>72.5</v>
      </c>
      <c r="P960" s="1">
        <v>0</v>
      </c>
      <c r="Q960" s="1" t="s">
        <v>22</v>
      </c>
      <c r="R960" s="1" t="s">
        <v>22</v>
      </c>
      <c r="S960" s="1">
        <v>50</v>
      </c>
      <c r="T960" s="1">
        <v>1</v>
      </c>
      <c r="U960" s="1">
        <v>2</v>
      </c>
    </row>
    <row r="961" spans="1:21" x14ac:dyDescent="0.25">
      <c r="A961" s="4">
        <v>44777</v>
      </c>
      <c r="B961" s="5">
        <v>0.45601851851851855</v>
      </c>
      <c r="C961" s="1">
        <v>1675</v>
      </c>
      <c r="D961" s="1">
        <v>13002606</v>
      </c>
      <c r="E961" s="1">
        <v>13</v>
      </c>
      <c r="F961" s="1">
        <v>22589</v>
      </c>
      <c r="G961" s="1" t="s">
        <v>18</v>
      </c>
      <c r="H961" s="1">
        <v>18</v>
      </c>
      <c r="I961" s="1">
        <v>13574</v>
      </c>
      <c r="J961" s="1" t="s">
        <v>413</v>
      </c>
      <c r="K961" s="1" t="s">
        <v>45</v>
      </c>
      <c r="L961" s="1" t="s">
        <v>414</v>
      </c>
      <c r="M961" s="1">
        <v>0.1</v>
      </c>
      <c r="N961" s="2">
        <v>927.61</v>
      </c>
      <c r="O961" s="3">
        <v>1197</v>
      </c>
      <c r="P961" s="1">
        <v>0</v>
      </c>
      <c r="Q961" s="1" t="s">
        <v>22</v>
      </c>
      <c r="R961" s="1" t="s">
        <v>22</v>
      </c>
      <c r="S961" s="1">
        <v>50</v>
      </c>
      <c r="T961" s="1">
        <v>1</v>
      </c>
      <c r="U961" s="1">
        <v>3</v>
      </c>
    </row>
    <row r="962" spans="1:21" x14ac:dyDescent="0.25">
      <c r="A962" s="4">
        <v>44777</v>
      </c>
      <c r="B962" s="5">
        <v>0.45702546296296298</v>
      </c>
      <c r="C962" s="1">
        <v>1676</v>
      </c>
      <c r="D962" s="1">
        <v>13002606</v>
      </c>
      <c r="E962" s="1">
        <v>13</v>
      </c>
      <c r="F962" s="1">
        <v>22589</v>
      </c>
      <c r="G962" s="1" t="s">
        <v>18</v>
      </c>
      <c r="H962" s="1">
        <v>15</v>
      </c>
      <c r="I962" s="1">
        <v>42974</v>
      </c>
      <c r="J962" s="1" t="s">
        <v>940</v>
      </c>
      <c r="K962" s="1" t="s">
        <v>31</v>
      </c>
      <c r="L962" s="1" t="s">
        <v>223</v>
      </c>
      <c r="M962" s="1">
        <v>2</v>
      </c>
      <c r="N962" s="2">
        <v>44.45</v>
      </c>
      <c r="O962" s="3">
        <v>72</v>
      </c>
      <c r="P962" s="1">
        <v>14</v>
      </c>
      <c r="Q962" s="1">
        <v>9</v>
      </c>
      <c r="R962" s="1">
        <v>200010023943</v>
      </c>
      <c r="S962" s="1">
        <v>50</v>
      </c>
      <c r="T962" s="1">
        <v>1</v>
      </c>
      <c r="U962" s="1">
        <v>3</v>
      </c>
    </row>
    <row r="963" spans="1:21" x14ac:dyDescent="0.25">
      <c r="A963" s="4">
        <v>44777</v>
      </c>
      <c r="B963" s="5">
        <v>0.45702546296296298</v>
      </c>
      <c r="C963" s="1">
        <v>1676</v>
      </c>
      <c r="D963" s="1">
        <v>13002606</v>
      </c>
      <c r="E963" s="1">
        <v>13</v>
      </c>
      <c r="F963" s="1">
        <v>22589</v>
      </c>
      <c r="G963" s="1" t="s">
        <v>18</v>
      </c>
      <c r="H963" s="1">
        <v>15</v>
      </c>
      <c r="I963" s="1">
        <v>434298</v>
      </c>
      <c r="J963" s="1" t="s">
        <v>825</v>
      </c>
      <c r="K963" s="1" t="s">
        <v>26</v>
      </c>
      <c r="L963" s="1" t="s">
        <v>332</v>
      </c>
      <c r="M963" s="1">
        <v>1</v>
      </c>
      <c r="N963" s="2">
        <v>85.97</v>
      </c>
      <c r="O963" s="3">
        <v>123</v>
      </c>
      <c r="P963" s="1">
        <v>8</v>
      </c>
      <c r="Q963" s="1">
        <v>9</v>
      </c>
      <c r="R963" s="1">
        <v>200010023943</v>
      </c>
      <c r="S963" s="1">
        <v>50</v>
      </c>
      <c r="T963" s="1">
        <v>1</v>
      </c>
      <c r="U963" s="1">
        <v>4</v>
      </c>
    </row>
    <row r="964" spans="1:21" x14ac:dyDescent="0.25">
      <c r="A964" s="4">
        <v>44777</v>
      </c>
      <c r="B964" s="5">
        <v>0.45702546296296298</v>
      </c>
      <c r="C964" s="1">
        <v>1676</v>
      </c>
      <c r="D964" s="1">
        <v>13002606</v>
      </c>
      <c r="E964" s="1">
        <v>13</v>
      </c>
      <c r="F964" s="1">
        <v>22589</v>
      </c>
      <c r="G964" s="1" t="s">
        <v>18</v>
      </c>
      <c r="H964" s="1">
        <v>15</v>
      </c>
      <c r="I964" s="1">
        <v>170308</v>
      </c>
      <c r="J964" s="1" t="s">
        <v>941</v>
      </c>
      <c r="K964" s="1" t="s">
        <v>107</v>
      </c>
      <c r="L964" s="1" t="s">
        <v>156</v>
      </c>
      <c r="M964" s="1">
        <v>1</v>
      </c>
      <c r="N964" s="2">
        <v>78.760000000000005</v>
      </c>
      <c r="O964" s="3">
        <v>97</v>
      </c>
      <c r="P964" s="1">
        <v>4</v>
      </c>
      <c r="Q964" s="1">
        <v>9</v>
      </c>
      <c r="R964" s="1">
        <v>200010023943</v>
      </c>
      <c r="S964" s="1">
        <v>50</v>
      </c>
      <c r="T964" s="1">
        <v>1</v>
      </c>
      <c r="U964" s="1">
        <v>1</v>
      </c>
    </row>
    <row r="965" spans="1:21" x14ac:dyDescent="0.25">
      <c r="A965" s="4">
        <v>44777</v>
      </c>
      <c r="B965" s="5">
        <v>0.45702546296296298</v>
      </c>
      <c r="C965" s="1">
        <v>1676</v>
      </c>
      <c r="D965" s="1">
        <v>13002606</v>
      </c>
      <c r="E965" s="1">
        <v>13</v>
      </c>
      <c r="F965" s="1">
        <v>22589</v>
      </c>
      <c r="G965" s="1" t="s">
        <v>18</v>
      </c>
      <c r="H965" s="1">
        <v>15</v>
      </c>
      <c r="I965" s="1">
        <v>149571</v>
      </c>
      <c r="J965" s="1" t="s">
        <v>942</v>
      </c>
      <c r="K965" s="1" t="s">
        <v>20</v>
      </c>
      <c r="L965" s="1" t="s">
        <v>156</v>
      </c>
      <c r="M965" s="1">
        <v>1</v>
      </c>
      <c r="N965" s="2">
        <v>106.7</v>
      </c>
      <c r="O965" s="3">
        <v>127</v>
      </c>
      <c r="P965" s="1">
        <v>6</v>
      </c>
      <c r="Q965" s="1">
        <v>9</v>
      </c>
      <c r="R965" s="1">
        <v>200010023943</v>
      </c>
      <c r="S965" s="1">
        <v>50</v>
      </c>
      <c r="T965" s="1">
        <v>1</v>
      </c>
      <c r="U965" s="1">
        <v>2</v>
      </c>
    </row>
    <row r="966" spans="1:21" x14ac:dyDescent="0.25">
      <c r="A966" s="4">
        <v>44777</v>
      </c>
      <c r="B966" s="5">
        <v>0.46196759259259257</v>
      </c>
      <c r="C966" s="1">
        <v>1677</v>
      </c>
      <c r="D966" s="1">
        <v>13002606</v>
      </c>
      <c r="E966" s="1">
        <v>13</v>
      </c>
      <c r="F966" s="1">
        <v>22589</v>
      </c>
      <c r="G966" s="1" t="s">
        <v>18</v>
      </c>
      <c r="H966" s="1">
        <v>18</v>
      </c>
      <c r="I966" s="1">
        <v>59697</v>
      </c>
      <c r="J966" s="1" t="s">
        <v>943</v>
      </c>
      <c r="K966" s="1" t="s">
        <v>114</v>
      </c>
      <c r="L966" s="1" t="s">
        <v>352</v>
      </c>
      <c r="M966" s="1">
        <v>1</v>
      </c>
      <c r="N966" s="2">
        <v>2238.25</v>
      </c>
      <c r="O966" s="3">
        <v>2642</v>
      </c>
      <c r="P966" s="1">
        <v>184</v>
      </c>
      <c r="Q966" s="1">
        <v>11</v>
      </c>
      <c r="R966" s="1">
        <v>200010000010</v>
      </c>
      <c r="S966" s="1">
        <v>50</v>
      </c>
      <c r="T966" s="1">
        <v>1</v>
      </c>
      <c r="U966" s="1">
        <v>3</v>
      </c>
    </row>
    <row r="967" spans="1:21" x14ac:dyDescent="0.25">
      <c r="A967" s="4">
        <v>44777</v>
      </c>
      <c r="B967" s="5">
        <v>0.46196759259259257</v>
      </c>
      <c r="C967" s="1">
        <v>1677</v>
      </c>
      <c r="D967" s="1">
        <v>13002606</v>
      </c>
      <c r="E967" s="1">
        <v>13</v>
      </c>
      <c r="F967" s="1">
        <v>22589</v>
      </c>
      <c r="G967" s="1" t="s">
        <v>18</v>
      </c>
      <c r="H967" s="1">
        <v>18</v>
      </c>
      <c r="I967" s="1">
        <v>5939</v>
      </c>
      <c r="J967" s="1" t="s">
        <v>462</v>
      </c>
      <c r="K967" s="1" t="s">
        <v>48</v>
      </c>
      <c r="L967" s="1" t="s">
        <v>172</v>
      </c>
      <c r="M967" s="1">
        <v>1</v>
      </c>
      <c r="N967" s="2">
        <v>1070.22</v>
      </c>
      <c r="O967" s="3">
        <v>1338</v>
      </c>
      <c r="P967" s="1">
        <v>200</v>
      </c>
      <c r="Q967" s="1">
        <v>11</v>
      </c>
      <c r="R967" s="1">
        <v>200010000010</v>
      </c>
      <c r="S967" s="1">
        <v>50</v>
      </c>
      <c r="T967" s="1">
        <v>1</v>
      </c>
      <c r="U967" s="1">
        <v>1</v>
      </c>
    </row>
    <row r="968" spans="1:21" x14ac:dyDescent="0.25">
      <c r="A968" s="4">
        <v>44777</v>
      </c>
      <c r="B968" s="5">
        <v>0.46196759259259257</v>
      </c>
      <c r="C968" s="1">
        <v>1677</v>
      </c>
      <c r="D968" s="1">
        <v>13002606</v>
      </c>
      <c r="E968" s="1">
        <v>13</v>
      </c>
      <c r="F968" s="1">
        <v>22589</v>
      </c>
      <c r="G968" s="1" t="s">
        <v>18</v>
      </c>
      <c r="H968" s="1">
        <v>18</v>
      </c>
      <c r="I968" s="1">
        <v>442</v>
      </c>
      <c r="J968" s="1" t="s">
        <v>944</v>
      </c>
      <c r="K968" s="1" t="s">
        <v>20</v>
      </c>
      <c r="L968" s="1" t="s">
        <v>945</v>
      </c>
      <c r="M968" s="1">
        <v>1</v>
      </c>
      <c r="N968" s="2">
        <v>142.6</v>
      </c>
      <c r="O968" s="3">
        <v>170</v>
      </c>
      <c r="P968" s="1">
        <v>17</v>
      </c>
      <c r="Q968" s="1">
        <v>11</v>
      </c>
      <c r="R968" s="1">
        <v>200010000010</v>
      </c>
      <c r="S968" s="1">
        <v>50</v>
      </c>
      <c r="T968" s="1">
        <v>1</v>
      </c>
      <c r="U968" s="1">
        <v>2</v>
      </c>
    </row>
    <row r="969" spans="1:21" x14ac:dyDescent="0.25">
      <c r="A969" s="4">
        <v>44777</v>
      </c>
      <c r="B969" s="5">
        <v>0.46196759259259257</v>
      </c>
      <c r="C969" s="1">
        <v>1677</v>
      </c>
      <c r="D969" s="1">
        <v>13002606</v>
      </c>
      <c r="E969" s="1">
        <v>13</v>
      </c>
      <c r="F969" s="1">
        <v>22589</v>
      </c>
      <c r="G969" s="1" t="s">
        <v>18</v>
      </c>
      <c r="H969" s="1">
        <v>18</v>
      </c>
      <c r="I969" s="1">
        <v>111259</v>
      </c>
      <c r="J969" s="1" t="s">
        <v>946</v>
      </c>
      <c r="K969" s="1" t="s">
        <v>20</v>
      </c>
      <c r="L969" s="1" t="s">
        <v>947</v>
      </c>
      <c r="M969" s="1">
        <v>1</v>
      </c>
      <c r="N969" s="2">
        <v>539.66</v>
      </c>
      <c r="O969" s="3">
        <v>598</v>
      </c>
      <c r="P969" s="1">
        <v>59</v>
      </c>
      <c r="Q969" s="1">
        <v>11</v>
      </c>
      <c r="R969" s="1">
        <v>200010000010</v>
      </c>
      <c r="S969" s="1">
        <v>50</v>
      </c>
      <c r="T969" s="1">
        <v>1</v>
      </c>
      <c r="U969" s="1">
        <v>4</v>
      </c>
    </row>
    <row r="970" spans="1:21" x14ac:dyDescent="0.25">
      <c r="A970" s="4">
        <v>44777</v>
      </c>
      <c r="B970" s="5">
        <v>0.46325231481481483</v>
      </c>
      <c r="C970" s="1">
        <v>1678</v>
      </c>
      <c r="D970" s="1">
        <v>13002606</v>
      </c>
      <c r="E970" s="1">
        <v>13</v>
      </c>
      <c r="F970" s="1">
        <v>22589</v>
      </c>
      <c r="G970" s="1" t="s">
        <v>18</v>
      </c>
      <c r="H970" s="1">
        <v>18</v>
      </c>
      <c r="I970" s="1">
        <v>13104</v>
      </c>
      <c r="J970" s="1" t="s">
        <v>948</v>
      </c>
      <c r="K970" s="1" t="s">
        <v>58</v>
      </c>
      <c r="L970" s="1" t="s">
        <v>407</v>
      </c>
      <c r="M970" s="1">
        <v>1</v>
      </c>
      <c r="N970" s="2">
        <v>179.46</v>
      </c>
      <c r="O970" s="3">
        <v>279</v>
      </c>
      <c r="P970" s="1">
        <v>0</v>
      </c>
      <c r="Q970" s="1" t="s">
        <v>22</v>
      </c>
      <c r="R970" s="1" t="s">
        <v>22</v>
      </c>
      <c r="S970" s="1">
        <v>50</v>
      </c>
      <c r="T970" s="1">
        <v>1</v>
      </c>
      <c r="U970" s="1">
        <v>2</v>
      </c>
    </row>
    <row r="971" spans="1:21" x14ac:dyDescent="0.25">
      <c r="A971" s="4">
        <v>44777</v>
      </c>
      <c r="B971" s="5">
        <v>0.46325231481481483</v>
      </c>
      <c r="C971" s="1">
        <v>1678</v>
      </c>
      <c r="D971" s="1">
        <v>13002606</v>
      </c>
      <c r="E971" s="1">
        <v>13</v>
      </c>
      <c r="F971" s="1">
        <v>22589</v>
      </c>
      <c r="G971" s="1" t="s">
        <v>18</v>
      </c>
      <c r="H971" s="1">
        <v>18</v>
      </c>
      <c r="I971" s="1">
        <v>159108</v>
      </c>
      <c r="J971" s="1" t="s">
        <v>949</v>
      </c>
      <c r="K971" s="1" t="s">
        <v>114</v>
      </c>
      <c r="L971" s="1" t="s">
        <v>648</v>
      </c>
      <c r="M971" s="1">
        <v>1</v>
      </c>
      <c r="N971" s="2">
        <v>70</v>
      </c>
      <c r="O971" s="3">
        <v>110</v>
      </c>
      <c r="P971" s="1">
        <v>0</v>
      </c>
      <c r="Q971" s="1" t="s">
        <v>22</v>
      </c>
      <c r="R971" s="1" t="s">
        <v>22</v>
      </c>
      <c r="S971" s="1">
        <v>50</v>
      </c>
      <c r="T971" s="1">
        <v>1</v>
      </c>
      <c r="U971" s="1">
        <v>1</v>
      </c>
    </row>
    <row r="972" spans="1:21" x14ac:dyDescent="0.25">
      <c r="A972" s="4">
        <v>44777</v>
      </c>
      <c r="B972" s="5">
        <v>0.46325231481481483</v>
      </c>
      <c r="C972" s="1">
        <v>1678</v>
      </c>
      <c r="D972" s="1">
        <v>13002606</v>
      </c>
      <c r="E972" s="1">
        <v>13</v>
      </c>
      <c r="F972" s="1">
        <v>22589</v>
      </c>
      <c r="G972" s="1" t="s">
        <v>18</v>
      </c>
      <c r="H972" s="1">
        <v>18</v>
      </c>
      <c r="I972" s="1">
        <v>354089</v>
      </c>
      <c r="J972" s="1" t="s">
        <v>366</v>
      </c>
      <c r="K972" s="1" t="s">
        <v>26</v>
      </c>
      <c r="L972" s="1" t="s">
        <v>332</v>
      </c>
      <c r="M972" s="1">
        <v>1</v>
      </c>
      <c r="N972" s="2">
        <v>39.369999999999997</v>
      </c>
      <c r="O972" s="3">
        <v>60</v>
      </c>
      <c r="P972" s="1">
        <v>0</v>
      </c>
      <c r="Q972" s="1" t="s">
        <v>22</v>
      </c>
      <c r="R972" s="1" t="s">
        <v>22</v>
      </c>
      <c r="S972" s="1">
        <v>50</v>
      </c>
      <c r="T972" s="1">
        <v>1</v>
      </c>
      <c r="U972" s="1">
        <v>3</v>
      </c>
    </row>
    <row r="973" spans="1:21" x14ac:dyDescent="0.25">
      <c r="A973" s="4">
        <v>44777</v>
      </c>
      <c r="B973" s="5">
        <v>0.47031250000000002</v>
      </c>
      <c r="C973" s="1">
        <v>1679</v>
      </c>
      <c r="D973" s="1">
        <v>13002606</v>
      </c>
      <c r="E973" s="1">
        <v>13</v>
      </c>
      <c r="F973" s="1">
        <v>22589</v>
      </c>
      <c r="G973" s="1" t="s">
        <v>18</v>
      </c>
      <c r="H973" s="1">
        <v>15</v>
      </c>
      <c r="I973" s="1">
        <v>150533</v>
      </c>
      <c r="J973" s="1" t="s">
        <v>950</v>
      </c>
      <c r="K973" s="1" t="s">
        <v>114</v>
      </c>
      <c r="L973" s="1" t="s">
        <v>24</v>
      </c>
      <c r="M973" s="1">
        <v>1</v>
      </c>
      <c r="N973" s="2">
        <v>886.98</v>
      </c>
      <c r="O973" s="3">
        <v>1145</v>
      </c>
      <c r="P973" s="1">
        <v>80</v>
      </c>
      <c r="Q973" s="1">
        <v>9</v>
      </c>
      <c r="R973" s="1">
        <v>200010018491</v>
      </c>
      <c r="S973" s="1">
        <v>50</v>
      </c>
      <c r="T973" s="1">
        <v>1</v>
      </c>
      <c r="U973" s="1">
        <v>1</v>
      </c>
    </row>
    <row r="974" spans="1:21" x14ac:dyDescent="0.25">
      <c r="A974" s="4">
        <v>44777</v>
      </c>
      <c r="B974" s="5">
        <v>0.47031250000000002</v>
      </c>
      <c r="C974" s="1">
        <v>1679</v>
      </c>
      <c r="D974" s="1">
        <v>13002606</v>
      </c>
      <c r="E974" s="1">
        <v>13</v>
      </c>
      <c r="F974" s="1">
        <v>22589</v>
      </c>
      <c r="G974" s="1" t="s">
        <v>18</v>
      </c>
      <c r="H974" s="1">
        <v>15</v>
      </c>
      <c r="I974" s="1">
        <v>59853</v>
      </c>
      <c r="J974" s="1" t="s">
        <v>951</v>
      </c>
      <c r="K974" s="1" t="s">
        <v>48</v>
      </c>
      <c r="L974" s="1" t="s">
        <v>952</v>
      </c>
      <c r="M974" s="1">
        <v>1</v>
      </c>
      <c r="N974" s="2">
        <v>134.74</v>
      </c>
      <c r="O974" s="3">
        <v>209</v>
      </c>
      <c r="P974" s="1">
        <v>20</v>
      </c>
      <c r="Q974" s="1">
        <v>9</v>
      </c>
      <c r="R974" s="1">
        <v>200010018491</v>
      </c>
      <c r="S974" s="1">
        <v>50</v>
      </c>
      <c r="T974" s="1">
        <v>1</v>
      </c>
      <c r="U974" s="1">
        <v>2</v>
      </c>
    </row>
    <row r="975" spans="1:21" x14ac:dyDescent="0.25">
      <c r="A975" s="4">
        <v>44777</v>
      </c>
      <c r="B975" s="5">
        <v>0.47141203703703705</v>
      </c>
      <c r="C975" s="1">
        <v>1680</v>
      </c>
      <c r="D975" s="1">
        <v>13002606</v>
      </c>
      <c r="E975" s="1">
        <v>13</v>
      </c>
      <c r="F975" s="1">
        <v>22589</v>
      </c>
      <c r="G975" s="1" t="s">
        <v>18</v>
      </c>
      <c r="H975" s="1">
        <v>15</v>
      </c>
      <c r="I975" s="1">
        <v>7520</v>
      </c>
      <c r="J975" s="1" t="s">
        <v>953</v>
      </c>
      <c r="K975" s="1" t="s">
        <v>45</v>
      </c>
      <c r="L975" s="1" t="s">
        <v>86</v>
      </c>
      <c r="M975" s="1">
        <v>1</v>
      </c>
      <c r="N975" s="2">
        <v>497.74</v>
      </c>
      <c r="O975" s="3">
        <v>658</v>
      </c>
      <c r="P975" s="1">
        <v>46</v>
      </c>
      <c r="Q975" s="1">
        <v>9</v>
      </c>
      <c r="R975" s="1">
        <v>200010018491</v>
      </c>
      <c r="S975" s="1">
        <v>50</v>
      </c>
      <c r="T975" s="1">
        <v>1</v>
      </c>
      <c r="U975" s="1">
        <v>1</v>
      </c>
    </row>
    <row r="976" spans="1:21" x14ac:dyDescent="0.25">
      <c r="A976" s="4">
        <v>44777</v>
      </c>
      <c r="B976" s="5">
        <v>0.47372685185185187</v>
      </c>
      <c r="C976" s="1">
        <v>1681</v>
      </c>
      <c r="D976" s="1">
        <v>13002606</v>
      </c>
      <c r="E976" s="1">
        <v>13</v>
      </c>
      <c r="F976" s="1">
        <v>22589</v>
      </c>
      <c r="G976" s="1" t="s">
        <v>18</v>
      </c>
      <c r="H976" s="1">
        <v>18</v>
      </c>
      <c r="I976" s="1">
        <v>494048</v>
      </c>
      <c r="J976" s="1" t="s">
        <v>954</v>
      </c>
      <c r="K976" s="1" t="s">
        <v>114</v>
      </c>
      <c r="L976" s="1" t="s">
        <v>450</v>
      </c>
      <c r="M976" s="1">
        <v>1</v>
      </c>
      <c r="N976" s="2">
        <v>455</v>
      </c>
      <c r="O976" s="3">
        <v>601</v>
      </c>
      <c r="P976" s="1">
        <v>90</v>
      </c>
      <c r="Q976" s="1">
        <v>27</v>
      </c>
      <c r="R976" s="1">
        <v>200010000015</v>
      </c>
      <c r="S976" s="1">
        <v>50</v>
      </c>
      <c r="T976" s="1">
        <v>1</v>
      </c>
      <c r="U976" s="1">
        <v>2</v>
      </c>
    </row>
    <row r="977" spans="1:21" x14ac:dyDescent="0.25">
      <c r="A977" s="4">
        <v>44777</v>
      </c>
      <c r="B977" s="5">
        <v>0.47372685185185187</v>
      </c>
      <c r="C977" s="1">
        <v>1681</v>
      </c>
      <c r="D977" s="1">
        <v>13002606</v>
      </c>
      <c r="E977" s="1">
        <v>13</v>
      </c>
      <c r="F977" s="1">
        <v>22589</v>
      </c>
      <c r="G977" s="1" t="s">
        <v>18</v>
      </c>
      <c r="H977" s="1">
        <v>18</v>
      </c>
      <c r="I977" s="1">
        <v>339150</v>
      </c>
      <c r="J977" s="1" t="s">
        <v>955</v>
      </c>
      <c r="K977" s="1" t="s">
        <v>20</v>
      </c>
      <c r="L977" s="1" t="s">
        <v>199</v>
      </c>
      <c r="M977" s="1">
        <v>1</v>
      </c>
      <c r="N977" s="2">
        <v>31.38</v>
      </c>
      <c r="O977" s="3">
        <v>40</v>
      </c>
      <c r="P977" s="1">
        <v>4</v>
      </c>
      <c r="Q977" s="1">
        <v>27</v>
      </c>
      <c r="R977" s="1">
        <v>200010000015</v>
      </c>
      <c r="S977" s="1">
        <v>50</v>
      </c>
      <c r="T977" s="1">
        <v>1</v>
      </c>
      <c r="U977" s="1">
        <v>1</v>
      </c>
    </row>
    <row r="978" spans="1:21" x14ac:dyDescent="0.25">
      <c r="A978" s="4">
        <v>44777</v>
      </c>
      <c r="B978" s="5">
        <v>0.47739583333333335</v>
      </c>
      <c r="C978" s="1">
        <v>1682</v>
      </c>
      <c r="D978" s="1">
        <v>13002606</v>
      </c>
      <c r="E978" s="1">
        <v>13</v>
      </c>
      <c r="F978" s="1">
        <v>22589</v>
      </c>
      <c r="G978" s="1" t="s">
        <v>18</v>
      </c>
      <c r="H978" s="1">
        <v>18</v>
      </c>
      <c r="I978" s="1">
        <v>162483</v>
      </c>
      <c r="J978" s="1" t="s">
        <v>222</v>
      </c>
      <c r="K978" s="1" t="s">
        <v>138</v>
      </c>
      <c r="L978" s="1" t="s">
        <v>956</v>
      </c>
      <c r="M978" s="1">
        <v>4</v>
      </c>
      <c r="N978" s="2">
        <v>7.37</v>
      </c>
      <c r="O978" s="3">
        <v>12</v>
      </c>
      <c r="P978" s="1">
        <v>0</v>
      </c>
      <c r="Q978" s="1" t="s">
        <v>22</v>
      </c>
      <c r="R978" s="1" t="s">
        <v>22</v>
      </c>
      <c r="S978" s="1">
        <v>50</v>
      </c>
      <c r="T978" s="1">
        <v>1</v>
      </c>
      <c r="U978" s="1">
        <v>1</v>
      </c>
    </row>
    <row r="979" spans="1:21" x14ac:dyDescent="0.25">
      <c r="A979" s="4">
        <v>44777</v>
      </c>
      <c r="B979" s="5">
        <v>0.74052083333333329</v>
      </c>
      <c r="C979" s="1">
        <v>1761</v>
      </c>
      <c r="D979" s="1">
        <v>13002606</v>
      </c>
      <c r="E979" s="1">
        <v>13</v>
      </c>
      <c r="F979" s="1">
        <v>22589</v>
      </c>
      <c r="G979" s="1" t="s">
        <v>18</v>
      </c>
      <c r="H979" s="1">
        <v>18</v>
      </c>
      <c r="I979" s="1">
        <v>162483</v>
      </c>
      <c r="J979" s="1" t="s">
        <v>222</v>
      </c>
      <c r="K979" s="1" t="s">
        <v>138</v>
      </c>
      <c r="L979" s="1" t="s">
        <v>956</v>
      </c>
      <c r="M979" s="1">
        <v>1</v>
      </c>
      <c r="N979" s="2">
        <v>7.37</v>
      </c>
      <c r="O979" s="3">
        <v>12</v>
      </c>
      <c r="P979" s="1">
        <v>0</v>
      </c>
      <c r="Q979" s="1" t="s">
        <v>22</v>
      </c>
      <c r="R979" s="1" t="s">
        <v>22</v>
      </c>
      <c r="S979" s="1">
        <v>50</v>
      </c>
      <c r="T979" s="1">
        <v>1</v>
      </c>
      <c r="U979" s="1">
        <v>1</v>
      </c>
    </row>
    <row r="980" spans="1:21" x14ac:dyDescent="0.25">
      <c r="A980" s="4">
        <v>44777</v>
      </c>
      <c r="B980" s="5">
        <v>0.47797453703703702</v>
      </c>
      <c r="C980" s="1">
        <v>1683</v>
      </c>
      <c r="D980" s="1">
        <v>13002606</v>
      </c>
      <c r="E980" s="1">
        <v>13</v>
      </c>
      <c r="F980" s="1">
        <v>22589</v>
      </c>
      <c r="G980" s="1" t="s">
        <v>18</v>
      </c>
      <c r="H980" s="1">
        <v>15</v>
      </c>
      <c r="I980" s="1">
        <v>1106</v>
      </c>
      <c r="J980" s="1" t="s">
        <v>957</v>
      </c>
      <c r="K980" s="1" t="s">
        <v>31</v>
      </c>
      <c r="L980" s="1" t="s">
        <v>958</v>
      </c>
      <c r="M980" s="1">
        <v>0.12</v>
      </c>
      <c r="N980" s="2">
        <v>492.1</v>
      </c>
      <c r="O980" s="3">
        <v>593</v>
      </c>
      <c r="P980" s="1">
        <v>1.1599999999999999</v>
      </c>
      <c r="Q980" s="1">
        <v>9</v>
      </c>
      <c r="R980" s="1">
        <v>200010014077</v>
      </c>
      <c r="S980" s="1">
        <v>50</v>
      </c>
      <c r="T980" s="1">
        <v>1</v>
      </c>
      <c r="U980" s="1">
        <v>1</v>
      </c>
    </row>
    <row r="981" spans="1:21" x14ac:dyDescent="0.25">
      <c r="A981" s="4">
        <v>44777</v>
      </c>
      <c r="B981" s="5">
        <v>0.48498842592592595</v>
      </c>
      <c r="C981" s="1">
        <v>1684</v>
      </c>
      <c r="D981" s="1">
        <v>13002606</v>
      </c>
      <c r="E981" s="1">
        <v>13</v>
      </c>
      <c r="F981" s="1">
        <v>22589</v>
      </c>
      <c r="G981" s="1" t="s">
        <v>18</v>
      </c>
      <c r="H981" s="1">
        <v>18</v>
      </c>
      <c r="I981" s="1">
        <v>2625</v>
      </c>
      <c r="J981" s="1" t="s">
        <v>959</v>
      </c>
      <c r="K981" s="1" t="s">
        <v>48</v>
      </c>
      <c r="L981" s="1" t="s">
        <v>960</v>
      </c>
      <c r="M981" s="1">
        <v>1</v>
      </c>
      <c r="N981" s="2">
        <v>119.25</v>
      </c>
      <c r="O981" s="3">
        <v>135</v>
      </c>
      <c r="P981" s="1">
        <v>0</v>
      </c>
      <c r="Q981" s="1" t="s">
        <v>22</v>
      </c>
      <c r="R981" s="1" t="s">
        <v>22</v>
      </c>
      <c r="S981" s="1">
        <v>50</v>
      </c>
      <c r="T981" s="1">
        <v>1</v>
      </c>
      <c r="U981" s="1">
        <v>1</v>
      </c>
    </row>
    <row r="982" spans="1:21" x14ac:dyDescent="0.25">
      <c r="A982" s="4">
        <v>44777</v>
      </c>
      <c r="B982" s="5">
        <v>0.48834490740740738</v>
      </c>
      <c r="C982" s="1">
        <v>1685</v>
      </c>
      <c r="D982" s="1">
        <v>13002606</v>
      </c>
      <c r="E982" s="1">
        <v>13</v>
      </c>
      <c r="F982" s="1">
        <v>22589</v>
      </c>
      <c r="G982" s="1" t="s">
        <v>18</v>
      </c>
      <c r="H982" s="1">
        <v>18</v>
      </c>
      <c r="I982" s="1">
        <v>69536</v>
      </c>
      <c r="J982" s="1" t="s">
        <v>961</v>
      </c>
      <c r="K982" s="1" t="s">
        <v>31</v>
      </c>
      <c r="L982" s="1" t="s">
        <v>40</v>
      </c>
      <c r="M982" s="1">
        <v>1</v>
      </c>
      <c r="N982" s="2">
        <v>566.80999999999995</v>
      </c>
      <c r="O982" s="3">
        <v>652</v>
      </c>
      <c r="P982" s="1">
        <v>45</v>
      </c>
      <c r="Q982" s="1">
        <v>9</v>
      </c>
      <c r="R982" s="1">
        <v>200010022986</v>
      </c>
      <c r="S982" s="1">
        <v>50</v>
      </c>
      <c r="T982" s="1">
        <v>1</v>
      </c>
      <c r="U982" s="1">
        <v>1</v>
      </c>
    </row>
    <row r="983" spans="1:21" x14ac:dyDescent="0.25">
      <c r="A983" s="4">
        <v>44777</v>
      </c>
      <c r="B983" s="5">
        <v>0.48834490740740738</v>
      </c>
      <c r="C983" s="1">
        <v>1685</v>
      </c>
      <c r="D983" s="1">
        <v>13002606</v>
      </c>
      <c r="E983" s="1">
        <v>13</v>
      </c>
      <c r="F983" s="1">
        <v>22589</v>
      </c>
      <c r="G983" s="1" t="s">
        <v>18</v>
      </c>
      <c r="H983" s="1">
        <v>18</v>
      </c>
      <c r="I983" s="1">
        <v>60526</v>
      </c>
      <c r="J983" s="1" t="s">
        <v>277</v>
      </c>
      <c r="K983" s="1" t="s">
        <v>48</v>
      </c>
      <c r="L983" s="1" t="s">
        <v>194</v>
      </c>
      <c r="M983" s="1">
        <v>1</v>
      </c>
      <c r="N983" s="2">
        <v>266.95</v>
      </c>
      <c r="O983" s="3">
        <v>361</v>
      </c>
      <c r="P983" s="1">
        <v>25</v>
      </c>
      <c r="Q983" s="1">
        <v>9</v>
      </c>
      <c r="R983" s="1">
        <v>200010022986</v>
      </c>
      <c r="S983" s="1">
        <v>50</v>
      </c>
      <c r="T983" s="1">
        <v>1</v>
      </c>
      <c r="U983" s="1">
        <v>3</v>
      </c>
    </row>
    <row r="984" spans="1:21" x14ac:dyDescent="0.25">
      <c r="A984" s="4">
        <v>44777</v>
      </c>
      <c r="B984" s="5">
        <v>0.48834490740740738</v>
      </c>
      <c r="C984" s="1">
        <v>1685</v>
      </c>
      <c r="D984" s="1">
        <v>13002606</v>
      </c>
      <c r="E984" s="1">
        <v>13</v>
      </c>
      <c r="F984" s="1">
        <v>22589</v>
      </c>
      <c r="G984" s="1" t="s">
        <v>18</v>
      </c>
      <c r="H984" s="1">
        <v>18</v>
      </c>
      <c r="I984" s="1">
        <v>443168</v>
      </c>
      <c r="J984" s="1" t="s">
        <v>492</v>
      </c>
      <c r="K984" s="1" t="s">
        <v>48</v>
      </c>
      <c r="L984" s="1" t="s">
        <v>49</v>
      </c>
      <c r="M984" s="1">
        <v>1</v>
      </c>
      <c r="N984" s="2">
        <v>69.83</v>
      </c>
      <c r="O984" s="3">
        <v>110</v>
      </c>
      <c r="P984" s="1">
        <v>11</v>
      </c>
      <c r="Q984" s="1">
        <v>9</v>
      </c>
      <c r="R984" s="1">
        <v>200010022986</v>
      </c>
      <c r="S984" s="1">
        <v>50</v>
      </c>
      <c r="T984" s="1">
        <v>1</v>
      </c>
      <c r="U984" s="1">
        <v>4</v>
      </c>
    </row>
    <row r="985" spans="1:21" x14ac:dyDescent="0.25">
      <c r="A985" s="4">
        <v>44777</v>
      </c>
      <c r="B985" s="5">
        <v>0.48834490740740738</v>
      </c>
      <c r="C985" s="1">
        <v>1685</v>
      </c>
      <c r="D985" s="1">
        <v>13002606</v>
      </c>
      <c r="E985" s="1">
        <v>13</v>
      </c>
      <c r="F985" s="1">
        <v>22589</v>
      </c>
      <c r="G985" s="1" t="s">
        <v>18</v>
      </c>
      <c r="H985" s="1">
        <v>18</v>
      </c>
      <c r="I985" s="1">
        <v>105888</v>
      </c>
      <c r="J985" s="1" t="s">
        <v>116</v>
      </c>
      <c r="K985" s="1" t="s">
        <v>114</v>
      </c>
      <c r="L985" s="1" t="s">
        <v>117</v>
      </c>
      <c r="M985" s="1">
        <v>1</v>
      </c>
      <c r="N985" s="2">
        <v>35.770000000000003</v>
      </c>
      <c r="O985" s="3">
        <v>58</v>
      </c>
      <c r="P985" s="1">
        <v>5</v>
      </c>
      <c r="Q985" s="1">
        <v>9</v>
      </c>
      <c r="R985" s="1">
        <v>200010022986</v>
      </c>
      <c r="S985" s="1">
        <v>50</v>
      </c>
      <c r="T985" s="1">
        <v>1</v>
      </c>
      <c r="U985" s="1">
        <v>2</v>
      </c>
    </row>
    <row r="986" spans="1:21" x14ac:dyDescent="0.25">
      <c r="A986" s="4">
        <v>44777</v>
      </c>
      <c r="B986" s="5">
        <v>0.48922453703703705</v>
      </c>
      <c r="C986" s="1">
        <v>1686</v>
      </c>
      <c r="D986" s="1">
        <v>13002606</v>
      </c>
      <c r="E986" s="1">
        <v>13</v>
      </c>
      <c r="F986" s="1">
        <v>22589</v>
      </c>
      <c r="G986" s="1" t="s">
        <v>18</v>
      </c>
      <c r="H986" s="1">
        <v>15</v>
      </c>
      <c r="I986" s="1">
        <v>173202</v>
      </c>
      <c r="J986" s="1" t="s">
        <v>270</v>
      </c>
      <c r="K986" s="1" t="s">
        <v>48</v>
      </c>
      <c r="L986" s="1" t="s">
        <v>271</v>
      </c>
      <c r="M986" s="1">
        <v>1</v>
      </c>
      <c r="N986" s="2">
        <v>21.92</v>
      </c>
      <c r="O986" s="3">
        <v>34</v>
      </c>
      <c r="P986" s="1">
        <v>0</v>
      </c>
      <c r="Q986" s="1" t="s">
        <v>22</v>
      </c>
      <c r="R986" s="1" t="s">
        <v>22</v>
      </c>
      <c r="S986" s="1">
        <v>50</v>
      </c>
      <c r="T986" s="1">
        <v>1</v>
      </c>
      <c r="U986" s="1">
        <v>2</v>
      </c>
    </row>
    <row r="987" spans="1:21" x14ac:dyDescent="0.25">
      <c r="A987" s="4">
        <v>44777</v>
      </c>
      <c r="B987" s="5">
        <v>0.48922453703703705</v>
      </c>
      <c r="C987" s="1">
        <v>1686</v>
      </c>
      <c r="D987" s="1">
        <v>13002606</v>
      </c>
      <c r="E987" s="1">
        <v>13</v>
      </c>
      <c r="F987" s="1">
        <v>22589</v>
      </c>
      <c r="G987" s="1" t="s">
        <v>18</v>
      </c>
      <c r="H987" s="1">
        <v>15</v>
      </c>
      <c r="I987" s="1">
        <v>463100</v>
      </c>
      <c r="J987" s="1" t="s">
        <v>408</v>
      </c>
      <c r="K987" s="1" t="s">
        <v>48</v>
      </c>
      <c r="L987" s="1" t="s">
        <v>32</v>
      </c>
      <c r="M987" s="1">
        <v>1</v>
      </c>
      <c r="N987" s="2">
        <v>47.5</v>
      </c>
      <c r="O987" s="3">
        <v>73</v>
      </c>
      <c r="P987" s="1">
        <v>0</v>
      </c>
      <c r="Q987" s="1" t="s">
        <v>22</v>
      </c>
      <c r="R987" s="1" t="s">
        <v>22</v>
      </c>
      <c r="S987" s="1">
        <v>50</v>
      </c>
      <c r="T987" s="1">
        <v>1</v>
      </c>
      <c r="U987" s="1">
        <v>1</v>
      </c>
    </row>
    <row r="988" spans="1:21" x14ac:dyDescent="0.25">
      <c r="A988" s="4">
        <v>44777</v>
      </c>
      <c r="B988" s="5">
        <v>0.49130787037037038</v>
      </c>
      <c r="C988" s="1">
        <v>1687</v>
      </c>
      <c r="D988" s="1">
        <v>13002606</v>
      </c>
      <c r="E988" s="1">
        <v>13</v>
      </c>
      <c r="F988" s="1">
        <v>22589</v>
      </c>
      <c r="G988" s="1" t="s">
        <v>18</v>
      </c>
      <c r="H988" s="1">
        <v>15</v>
      </c>
      <c r="I988" s="1">
        <v>84599</v>
      </c>
      <c r="J988" s="1" t="s">
        <v>962</v>
      </c>
      <c r="K988" s="1" t="s">
        <v>114</v>
      </c>
      <c r="L988" s="1" t="s">
        <v>172</v>
      </c>
      <c r="M988" s="1">
        <v>1</v>
      </c>
      <c r="N988" s="2">
        <v>95.95</v>
      </c>
      <c r="O988" s="3">
        <v>137</v>
      </c>
      <c r="P988" s="1">
        <v>0</v>
      </c>
      <c r="Q988" s="1" t="s">
        <v>22</v>
      </c>
      <c r="R988" s="1" t="s">
        <v>22</v>
      </c>
      <c r="S988" s="1">
        <v>50</v>
      </c>
      <c r="T988" s="1">
        <v>1</v>
      </c>
      <c r="U988" s="1">
        <v>1</v>
      </c>
    </row>
    <row r="989" spans="1:21" x14ac:dyDescent="0.25">
      <c r="A989" s="4">
        <v>44777</v>
      </c>
      <c r="B989" s="5">
        <v>0.4934722222222222</v>
      </c>
      <c r="C989" s="1">
        <v>1688</v>
      </c>
      <c r="D989" s="1">
        <v>13002606</v>
      </c>
      <c r="E989" s="1">
        <v>13</v>
      </c>
      <c r="F989" s="1">
        <v>22589</v>
      </c>
      <c r="G989" s="1" t="s">
        <v>18</v>
      </c>
      <c r="H989" s="1">
        <v>15</v>
      </c>
      <c r="I989" s="1">
        <v>418134</v>
      </c>
      <c r="J989" s="1" t="s">
        <v>415</v>
      </c>
      <c r="K989" s="1" t="s">
        <v>26</v>
      </c>
      <c r="L989" s="1" t="s">
        <v>332</v>
      </c>
      <c r="M989" s="1">
        <v>1</v>
      </c>
      <c r="N989" s="2">
        <v>30.54</v>
      </c>
      <c r="O989" s="3">
        <v>36</v>
      </c>
      <c r="P989" s="1">
        <v>2</v>
      </c>
      <c r="Q989" s="1">
        <v>9</v>
      </c>
      <c r="R989" s="1">
        <v>200010006867</v>
      </c>
      <c r="S989" s="1">
        <v>50</v>
      </c>
      <c r="T989" s="1">
        <v>1</v>
      </c>
      <c r="U989" s="1">
        <v>3</v>
      </c>
    </row>
    <row r="990" spans="1:21" x14ac:dyDescent="0.25">
      <c r="A990" s="4">
        <v>44777</v>
      </c>
      <c r="B990" s="5">
        <v>0.4934722222222222</v>
      </c>
      <c r="C990" s="1">
        <v>1688</v>
      </c>
      <c r="D990" s="1">
        <v>13002606</v>
      </c>
      <c r="E990" s="1">
        <v>13</v>
      </c>
      <c r="F990" s="1">
        <v>22589</v>
      </c>
      <c r="G990" s="1" t="s">
        <v>18</v>
      </c>
      <c r="H990" s="1">
        <v>15</v>
      </c>
      <c r="I990" s="1">
        <v>418134</v>
      </c>
      <c r="J990" s="1" t="s">
        <v>415</v>
      </c>
      <c r="K990" s="1" t="s">
        <v>26</v>
      </c>
      <c r="L990" s="1" t="s">
        <v>332</v>
      </c>
      <c r="M990" s="1">
        <v>1</v>
      </c>
      <c r="N990" s="2">
        <v>30.54</v>
      </c>
      <c r="O990" s="3">
        <v>36</v>
      </c>
      <c r="P990" s="1">
        <v>2</v>
      </c>
      <c r="Q990" s="1">
        <v>9</v>
      </c>
      <c r="R990" s="1">
        <v>200010006867</v>
      </c>
      <c r="S990" s="1">
        <v>50</v>
      </c>
      <c r="T990" s="1">
        <v>1</v>
      </c>
      <c r="U990" s="1">
        <v>4</v>
      </c>
    </row>
    <row r="991" spans="1:21" x14ac:dyDescent="0.25">
      <c r="A991" s="4">
        <v>44777</v>
      </c>
      <c r="B991" s="5">
        <v>0.4934722222222222</v>
      </c>
      <c r="C991" s="1">
        <v>1688</v>
      </c>
      <c r="D991" s="1">
        <v>13002606</v>
      </c>
      <c r="E991" s="1">
        <v>13</v>
      </c>
      <c r="F991" s="1">
        <v>22589</v>
      </c>
      <c r="G991" s="1" t="s">
        <v>18</v>
      </c>
      <c r="H991" s="1">
        <v>15</v>
      </c>
      <c r="I991" s="1">
        <v>418134</v>
      </c>
      <c r="J991" s="1" t="s">
        <v>415</v>
      </c>
      <c r="K991" s="1" t="s">
        <v>26</v>
      </c>
      <c r="L991" s="1" t="s">
        <v>332</v>
      </c>
      <c r="M991" s="1">
        <v>1</v>
      </c>
      <c r="N991" s="2">
        <v>30.54</v>
      </c>
      <c r="O991" s="3">
        <v>36</v>
      </c>
      <c r="P991" s="1">
        <v>2</v>
      </c>
      <c r="Q991" s="1">
        <v>9</v>
      </c>
      <c r="R991" s="1">
        <v>200010006867</v>
      </c>
      <c r="S991" s="1">
        <v>50</v>
      </c>
      <c r="T991" s="1">
        <v>1</v>
      </c>
      <c r="U991" s="1">
        <v>5</v>
      </c>
    </row>
    <row r="992" spans="1:21" x14ac:dyDescent="0.25">
      <c r="A992" s="4">
        <v>44777</v>
      </c>
      <c r="B992" s="5">
        <v>0.4934722222222222</v>
      </c>
      <c r="C992" s="1">
        <v>1688</v>
      </c>
      <c r="D992" s="1">
        <v>13002606</v>
      </c>
      <c r="E992" s="1">
        <v>13</v>
      </c>
      <c r="F992" s="1">
        <v>22589</v>
      </c>
      <c r="G992" s="1" t="s">
        <v>18</v>
      </c>
      <c r="H992" s="1">
        <v>15</v>
      </c>
      <c r="I992" s="1">
        <v>418134</v>
      </c>
      <c r="J992" s="1" t="s">
        <v>415</v>
      </c>
      <c r="K992" s="1" t="s">
        <v>26</v>
      </c>
      <c r="L992" s="1" t="s">
        <v>332</v>
      </c>
      <c r="M992" s="1">
        <v>1</v>
      </c>
      <c r="N992" s="2">
        <v>30.54</v>
      </c>
      <c r="O992" s="3">
        <v>36</v>
      </c>
      <c r="P992" s="1">
        <v>2</v>
      </c>
      <c r="Q992" s="1">
        <v>9</v>
      </c>
      <c r="R992" s="1">
        <v>200010006867</v>
      </c>
      <c r="S992" s="1">
        <v>50</v>
      </c>
      <c r="T992" s="1">
        <v>1</v>
      </c>
      <c r="U992" s="1">
        <v>6</v>
      </c>
    </row>
    <row r="993" spans="1:21" x14ac:dyDescent="0.25">
      <c r="A993" s="4">
        <v>44777</v>
      </c>
      <c r="B993" s="5">
        <v>0.4934722222222222</v>
      </c>
      <c r="C993" s="1">
        <v>1688</v>
      </c>
      <c r="D993" s="1">
        <v>13002606</v>
      </c>
      <c r="E993" s="1">
        <v>13</v>
      </c>
      <c r="F993" s="1">
        <v>22589</v>
      </c>
      <c r="G993" s="1" t="s">
        <v>18</v>
      </c>
      <c r="H993" s="1">
        <v>15</v>
      </c>
      <c r="I993" s="1">
        <v>418134</v>
      </c>
      <c r="J993" s="1" t="s">
        <v>415</v>
      </c>
      <c r="K993" s="1" t="s">
        <v>26</v>
      </c>
      <c r="L993" s="1" t="s">
        <v>332</v>
      </c>
      <c r="M993" s="1">
        <v>1</v>
      </c>
      <c r="N993" s="2">
        <v>30.54</v>
      </c>
      <c r="O993" s="3">
        <v>36</v>
      </c>
      <c r="P993" s="1">
        <v>2</v>
      </c>
      <c r="Q993" s="1">
        <v>9</v>
      </c>
      <c r="R993" s="1">
        <v>200010006867</v>
      </c>
      <c r="S993" s="1">
        <v>50</v>
      </c>
      <c r="T993" s="1">
        <v>1</v>
      </c>
      <c r="U993" s="1">
        <v>7</v>
      </c>
    </row>
    <row r="994" spans="1:21" x14ac:dyDescent="0.25">
      <c r="A994" s="4">
        <v>44777</v>
      </c>
      <c r="B994" s="5">
        <v>0.4934722222222222</v>
      </c>
      <c r="C994" s="1">
        <v>1688</v>
      </c>
      <c r="D994" s="1">
        <v>13002606</v>
      </c>
      <c r="E994" s="1">
        <v>13</v>
      </c>
      <c r="F994" s="1">
        <v>22589</v>
      </c>
      <c r="G994" s="1" t="s">
        <v>18</v>
      </c>
      <c r="H994" s="1">
        <v>15</v>
      </c>
      <c r="I994" s="1">
        <v>418134</v>
      </c>
      <c r="J994" s="1" t="s">
        <v>415</v>
      </c>
      <c r="K994" s="1" t="s">
        <v>26</v>
      </c>
      <c r="L994" s="1" t="s">
        <v>332</v>
      </c>
      <c r="M994" s="1">
        <v>1</v>
      </c>
      <c r="N994" s="2">
        <v>30.54</v>
      </c>
      <c r="O994" s="3">
        <v>36</v>
      </c>
      <c r="P994" s="1">
        <v>2</v>
      </c>
      <c r="Q994" s="1">
        <v>9</v>
      </c>
      <c r="R994" s="1">
        <v>200010006867</v>
      </c>
      <c r="S994" s="1">
        <v>50</v>
      </c>
      <c r="T994" s="1">
        <v>1</v>
      </c>
      <c r="U994" s="1">
        <v>8</v>
      </c>
    </row>
    <row r="995" spans="1:21" x14ac:dyDescent="0.25">
      <c r="A995" s="4">
        <v>44777</v>
      </c>
      <c r="B995" s="5">
        <v>0.4934722222222222</v>
      </c>
      <c r="C995" s="1">
        <v>1688</v>
      </c>
      <c r="D995" s="1">
        <v>13002606</v>
      </c>
      <c r="E995" s="1">
        <v>13</v>
      </c>
      <c r="F995" s="1">
        <v>22589</v>
      </c>
      <c r="G995" s="1" t="s">
        <v>18</v>
      </c>
      <c r="H995" s="1">
        <v>15</v>
      </c>
      <c r="I995" s="1">
        <v>418134</v>
      </c>
      <c r="J995" s="1" t="s">
        <v>415</v>
      </c>
      <c r="K995" s="1" t="s">
        <v>26</v>
      </c>
      <c r="L995" s="1" t="s">
        <v>332</v>
      </c>
      <c r="M995" s="1">
        <v>1</v>
      </c>
      <c r="N995" s="2">
        <v>30.54</v>
      </c>
      <c r="O995" s="3">
        <v>36</v>
      </c>
      <c r="P995" s="1">
        <v>2</v>
      </c>
      <c r="Q995" s="1">
        <v>9</v>
      </c>
      <c r="R995" s="1">
        <v>200010006867</v>
      </c>
      <c r="S995" s="1">
        <v>50</v>
      </c>
      <c r="T995" s="1">
        <v>1</v>
      </c>
      <c r="U995" s="1">
        <v>9</v>
      </c>
    </row>
    <row r="996" spans="1:21" x14ac:dyDescent="0.25">
      <c r="A996" s="4">
        <v>44777</v>
      </c>
      <c r="B996" s="5">
        <v>0.4934722222222222</v>
      </c>
      <c r="C996" s="1">
        <v>1688</v>
      </c>
      <c r="D996" s="1">
        <v>13002606</v>
      </c>
      <c r="E996" s="1">
        <v>13</v>
      </c>
      <c r="F996" s="1">
        <v>22589</v>
      </c>
      <c r="G996" s="1" t="s">
        <v>18</v>
      </c>
      <c r="H996" s="1">
        <v>15</v>
      </c>
      <c r="I996" s="1">
        <v>418134</v>
      </c>
      <c r="J996" s="1" t="s">
        <v>415</v>
      </c>
      <c r="K996" s="1" t="s">
        <v>26</v>
      </c>
      <c r="L996" s="1" t="s">
        <v>332</v>
      </c>
      <c r="M996" s="1">
        <v>1</v>
      </c>
      <c r="N996" s="2">
        <v>30.54</v>
      </c>
      <c r="O996" s="3">
        <v>36</v>
      </c>
      <c r="P996" s="1">
        <v>2</v>
      </c>
      <c r="Q996" s="1">
        <v>9</v>
      </c>
      <c r="R996" s="1">
        <v>200010006867</v>
      </c>
      <c r="S996" s="1">
        <v>50</v>
      </c>
      <c r="T996" s="1">
        <v>1</v>
      </c>
      <c r="U996" s="1">
        <v>10</v>
      </c>
    </row>
    <row r="997" spans="1:21" x14ac:dyDescent="0.25">
      <c r="A997" s="4">
        <v>44777</v>
      </c>
      <c r="B997" s="5">
        <v>0.4934722222222222</v>
      </c>
      <c r="C997" s="1">
        <v>1688</v>
      </c>
      <c r="D997" s="1">
        <v>13002606</v>
      </c>
      <c r="E997" s="1">
        <v>13</v>
      </c>
      <c r="F997" s="1">
        <v>22589</v>
      </c>
      <c r="G997" s="1" t="s">
        <v>18</v>
      </c>
      <c r="H997" s="1">
        <v>15</v>
      </c>
      <c r="I997" s="1">
        <v>418134</v>
      </c>
      <c r="J997" s="1" t="s">
        <v>415</v>
      </c>
      <c r="K997" s="1" t="s">
        <v>26</v>
      </c>
      <c r="L997" s="1" t="s">
        <v>332</v>
      </c>
      <c r="M997" s="1">
        <v>1</v>
      </c>
      <c r="N997" s="2">
        <v>30.54</v>
      </c>
      <c r="O997" s="3">
        <v>36</v>
      </c>
      <c r="P997" s="1">
        <v>2</v>
      </c>
      <c r="Q997" s="1">
        <v>9</v>
      </c>
      <c r="R997" s="1">
        <v>200010006867</v>
      </c>
      <c r="S997" s="1">
        <v>50</v>
      </c>
      <c r="T997" s="1">
        <v>1</v>
      </c>
      <c r="U997" s="1">
        <v>11</v>
      </c>
    </row>
    <row r="998" spans="1:21" x14ac:dyDescent="0.25">
      <c r="A998" s="4">
        <v>44777</v>
      </c>
      <c r="B998" s="5">
        <v>0.4934722222222222</v>
      </c>
      <c r="C998" s="1">
        <v>1688</v>
      </c>
      <c r="D998" s="1">
        <v>13002606</v>
      </c>
      <c r="E998" s="1">
        <v>13</v>
      </c>
      <c r="F998" s="1">
        <v>22589</v>
      </c>
      <c r="G998" s="1" t="s">
        <v>18</v>
      </c>
      <c r="H998" s="1">
        <v>15</v>
      </c>
      <c r="I998" s="1">
        <v>418134</v>
      </c>
      <c r="J998" s="1" t="s">
        <v>415</v>
      </c>
      <c r="K998" s="1" t="s">
        <v>26</v>
      </c>
      <c r="L998" s="1" t="s">
        <v>332</v>
      </c>
      <c r="M998" s="1">
        <v>1</v>
      </c>
      <c r="N998" s="2">
        <v>30.54</v>
      </c>
      <c r="O998" s="3">
        <v>36</v>
      </c>
      <c r="P998" s="1">
        <v>2</v>
      </c>
      <c r="Q998" s="1">
        <v>9</v>
      </c>
      <c r="R998" s="1">
        <v>200010006867</v>
      </c>
      <c r="S998" s="1">
        <v>50</v>
      </c>
      <c r="T998" s="1">
        <v>1</v>
      </c>
      <c r="U998" s="1">
        <v>12</v>
      </c>
    </row>
    <row r="999" spans="1:21" x14ac:dyDescent="0.25">
      <c r="A999" s="4">
        <v>44777</v>
      </c>
      <c r="B999" s="5">
        <v>0.61011574074074071</v>
      </c>
      <c r="C999" s="1">
        <v>1733</v>
      </c>
      <c r="D999" s="1">
        <v>13002606</v>
      </c>
      <c r="E999" s="1">
        <v>13</v>
      </c>
      <c r="F999" s="1">
        <v>22589</v>
      </c>
      <c r="G999" s="1" t="s">
        <v>18</v>
      </c>
      <c r="H999" s="1">
        <v>15</v>
      </c>
      <c r="I999" s="1">
        <v>418134</v>
      </c>
      <c r="J999" s="1" t="s">
        <v>415</v>
      </c>
      <c r="K999" s="1" t="s">
        <v>26</v>
      </c>
      <c r="L999" s="1" t="s">
        <v>332</v>
      </c>
      <c r="M999" s="1">
        <v>1</v>
      </c>
      <c r="N999" s="2">
        <v>30.54</v>
      </c>
      <c r="O999" s="3">
        <v>36</v>
      </c>
      <c r="P999" s="1">
        <v>2</v>
      </c>
      <c r="Q999" s="1">
        <v>9</v>
      </c>
      <c r="R999" s="1">
        <v>200010004764</v>
      </c>
      <c r="S999" s="1">
        <v>50</v>
      </c>
      <c r="T999" s="1">
        <v>1</v>
      </c>
      <c r="U999" s="1">
        <v>1</v>
      </c>
    </row>
    <row r="1000" spans="1:21" x14ac:dyDescent="0.25">
      <c r="A1000" s="4">
        <v>44777</v>
      </c>
      <c r="B1000" s="5">
        <v>0.4934722222222222</v>
      </c>
      <c r="C1000" s="1">
        <v>1688</v>
      </c>
      <c r="D1000" s="1">
        <v>13002606</v>
      </c>
      <c r="E1000" s="1">
        <v>13</v>
      </c>
      <c r="F1000" s="1">
        <v>22589</v>
      </c>
      <c r="G1000" s="1" t="s">
        <v>18</v>
      </c>
      <c r="H1000" s="1">
        <v>15</v>
      </c>
      <c r="I1000" s="1">
        <v>435123</v>
      </c>
      <c r="J1000" s="1" t="s">
        <v>963</v>
      </c>
      <c r="K1000" s="1" t="s">
        <v>48</v>
      </c>
      <c r="L1000" s="1" t="s">
        <v>225</v>
      </c>
      <c r="M1000" s="1">
        <v>1</v>
      </c>
      <c r="N1000" s="2">
        <v>24.04</v>
      </c>
      <c r="O1000" s="3">
        <v>37</v>
      </c>
      <c r="P1000" s="1">
        <v>2</v>
      </c>
      <c r="Q1000" s="1">
        <v>9</v>
      </c>
      <c r="R1000" s="1">
        <v>200010006867</v>
      </c>
      <c r="S1000" s="1">
        <v>50</v>
      </c>
      <c r="T1000" s="1">
        <v>1</v>
      </c>
      <c r="U1000" s="1">
        <v>2</v>
      </c>
    </row>
    <row r="1001" spans="1:21" x14ac:dyDescent="0.25">
      <c r="A1001" s="4">
        <v>44777</v>
      </c>
      <c r="B1001" s="5">
        <v>0.4934722222222222</v>
      </c>
      <c r="C1001" s="1">
        <v>1688</v>
      </c>
      <c r="D1001" s="1">
        <v>13002606</v>
      </c>
      <c r="E1001" s="1">
        <v>13</v>
      </c>
      <c r="F1001" s="1">
        <v>22589</v>
      </c>
      <c r="G1001" s="1" t="s">
        <v>18</v>
      </c>
      <c r="H1001" s="1">
        <v>15</v>
      </c>
      <c r="I1001" s="1">
        <v>47735</v>
      </c>
      <c r="J1001" s="1" t="s">
        <v>589</v>
      </c>
      <c r="K1001" s="1" t="s">
        <v>20</v>
      </c>
      <c r="L1001" s="1" t="s">
        <v>172</v>
      </c>
      <c r="M1001" s="1">
        <v>1</v>
      </c>
      <c r="N1001" s="2">
        <v>97.32</v>
      </c>
      <c r="O1001" s="3">
        <v>139</v>
      </c>
      <c r="P1001" s="1">
        <v>9</v>
      </c>
      <c r="Q1001" s="1">
        <v>9</v>
      </c>
      <c r="R1001" s="1">
        <v>200010006867</v>
      </c>
      <c r="S1001" s="1">
        <v>50</v>
      </c>
      <c r="T1001" s="1">
        <v>1</v>
      </c>
      <c r="U1001" s="1">
        <v>13</v>
      </c>
    </row>
    <row r="1002" spans="1:21" x14ac:dyDescent="0.25">
      <c r="A1002" s="4">
        <v>44777</v>
      </c>
      <c r="B1002" s="5">
        <v>0.49413194444444447</v>
      </c>
      <c r="C1002" s="1">
        <v>1689</v>
      </c>
      <c r="D1002" s="1">
        <v>13002606</v>
      </c>
      <c r="E1002" s="1">
        <v>13</v>
      </c>
      <c r="F1002" s="1">
        <v>22589</v>
      </c>
      <c r="G1002" s="1" t="s">
        <v>18</v>
      </c>
      <c r="H1002" s="1">
        <v>18</v>
      </c>
      <c r="I1002" s="1">
        <v>22533</v>
      </c>
      <c r="J1002" s="1" t="s">
        <v>153</v>
      </c>
      <c r="K1002" s="1" t="s">
        <v>26</v>
      </c>
      <c r="L1002" s="1" t="s">
        <v>154</v>
      </c>
      <c r="M1002" s="1">
        <v>1</v>
      </c>
      <c r="N1002" s="2">
        <v>130.83000000000001</v>
      </c>
      <c r="O1002" s="3">
        <v>158</v>
      </c>
      <c r="P1002" s="1">
        <v>7</v>
      </c>
      <c r="Q1002" s="1">
        <v>9</v>
      </c>
      <c r="R1002" s="1">
        <v>200010020219</v>
      </c>
      <c r="S1002" s="1">
        <v>50</v>
      </c>
      <c r="T1002" s="1">
        <v>1</v>
      </c>
      <c r="U1002" s="1">
        <v>1</v>
      </c>
    </row>
    <row r="1003" spans="1:21" x14ac:dyDescent="0.25">
      <c r="A1003" s="4">
        <v>44777</v>
      </c>
      <c r="B1003" s="5">
        <v>0.54130787037037043</v>
      </c>
      <c r="C1003" s="1">
        <v>1712</v>
      </c>
      <c r="D1003" s="1">
        <v>13002606</v>
      </c>
      <c r="E1003" s="1">
        <v>13</v>
      </c>
      <c r="F1003" s="1">
        <v>22589</v>
      </c>
      <c r="G1003" s="1" t="s">
        <v>18</v>
      </c>
      <c r="H1003" s="1">
        <v>15</v>
      </c>
      <c r="I1003" s="1">
        <v>22533</v>
      </c>
      <c r="J1003" s="1" t="s">
        <v>153</v>
      </c>
      <c r="K1003" s="1" t="s">
        <v>26</v>
      </c>
      <c r="L1003" s="1" t="s">
        <v>154</v>
      </c>
      <c r="M1003" s="1">
        <v>1</v>
      </c>
      <c r="N1003" s="2">
        <v>130.83000000000001</v>
      </c>
      <c r="O1003" s="3">
        <v>158</v>
      </c>
      <c r="P1003" s="1">
        <v>0</v>
      </c>
      <c r="Q1003" s="1" t="s">
        <v>22</v>
      </c>
      <c r="R1003" s="1" t="s">
        <v>22</v>
      </c>
      <c r="S1003" s="1">
        <v>50</v>
      </c>
      <c r="T1003" s="1">
        <v>1</v>
      </c>
      <c r="U1003" s="1">
        <v>1</v>
      </c>
    </row>
    <row r="1004" spans="1:21" x14ac:dyDescent="0.25">
      <c r="A1004" s="4">
        <v>44777</v>
      </c>
      <c r="B1004" s="5">
        <v>0.60799768518518515</v>
      </c>
      <c r="C1004" s="1">
        <v>1732</v>
      </c>
      <c r="D1004" s="1">
        <v>13002606</v>
      </c>
      <c r="E1004" s="1">
        <v>13</v>
      </c>
      <c r="F1004" s="1">
        <v>22589</v>
      </c>
      <c r="G1004" s="1" t="s">
        <v>18</v>
      </c>
      <c r="H1004" s="1">
        <v>15</v>
      </c>
      <c r="I1004" s="1">
        <v>22533</v>
      </c>
      <c r="J1004" s="1" t="s">
        <v>153</v>
      </c>
      <c r="K1004" s="1" t="s">
        <v>26</v>
      </c>
      <c r="L1004" s="1" t="s">
        <v>154</v>
      </c>
      <c r="M1004" s="1">
        <v>1</v>
      </c>
      <c r="N1004" s="2">
        <v>130.83000000000001</v>
      </c>
      <c r="O1004" s="3">
        <v>158</v>
      </c>
      <c r="P1004" s="1">
        <v>7</v>
      </c>
      <c r="Q1004" s="1">
        <v>9</v>
      </c>
      <c r="R1004" s="1">
        <v>200010004094</v>
      </c>
      <c r="S1004" s="1">
        <v>50</v>
      </c>
      <c r="T1004" s="1">
        <v>1</v>
      </c>
      <c r="U1004" s="1">
        <v>1</v>
      </c>
    </row>
    <row r="1005" spans="1:21" x14ac:dyDescent="0.25">
      <c r="A1005" s="4">
        <v>44777</v>
      </c>
      <c r="B1005" s="5">
        <v>0.6507060185185185</v>
      </c>
      <c r="C1005" s="1">
        <v>1741</v>
      </c>
      <c r="D1005" s="1">
        <v>13002606</v>
      </c>
      <c r="E1005" s="1">
        <v>13</v>
      </c>
      <c r="F1005" s="1">
        <v>22589</v>
      </c>
      <c r="G1005" s="1" t="s">
        <v>18</v>
      </c>
      <c r="H1005" s="1">
        <v>15</v>
      </c>
      <c r="I1005" s="1">
        <v>22533</v>
      </c>
      <c r="J1005" s="1" t="s">
        <v>153</v>
      </c>
      <c r="K1005" s="1" t="s">
        <v>26</v>
      </c>
      <c r="L1005" s="1" t="s">
        <v>154</v>
      </c>
      <c r="M1005" s="1">
        <v>1</v>
      </c>
      <c r="N1005" s="2">
        <v>130.83000000000001</v>
      </c>
      <c r="O1005" s="3">
        <v>158</v>
      </c>
      <c r="P1005" s="1">
        <v>7</v>
      </c>
      <c r="Q1005" s="1">
        <v>9</v>
      </c>
      <c r="R1005" s="1">
        <v>200010026890</v>
      </c>
      <c r="S1005" s="1">
        <v>50</v>
      </c>
      <c r="T1005" s="1">
        <v>1</v>
      </c>
      <c r="U1005" s="1">
        <v>1</v>
      </c>
    </row>
    <row r="1006" spans="1:21" x14ac:dyDescent="0.25">
      <c r="A1006" s="4">
        <v>44777</v>
      </c>
      <c r="B1006" s="5">
        <v>0.49413194444444447</v>
      </c>
      <c r="C1006" s="1">
        <v>1689</v>
      </c>
      <c r="D1006" s="1">
        <v>13002606</v>
      </c>
      <c r="E1006" s="1">
        <v>13</v>
      </c>
      <c r="F1006" s="1">
        <v>22589</v>
      </c>
      <c r="G1006" s="1" t="s">
        <v>18</v>
      </c>
      <c r="H1006" s="1">
        <v>18</v>
      </c>
      <c r="I1006" s="1">
        <v>345211</v>
      </c>
      <c r="J1006" s="1" t="s">
        <v>89</v>
      </c>
      <c r="K1006" s="1" t="s">
        <v>48</v>
      </c>
      <c r="L1006" s="1" t="s">
        <v>90</v>
      </c>
      <c r="M1006" s="1">
        <v>1</v>
      </c>
      <c r="N1006" s="2">
        <v>25.71</v>
      </c>
      <c r="O1006" s="3">
        <v>31</v>
      </c>
      <c r="P1006" s="1">
        <v>1</v>
      </c>
      <c r="Q1006" s="1">
        <v>9</v>
      </c>
      <c r="R1006" s="1">
        <v>200010020219</v>
      </c>
      <c r="S1006" s="1">
        <v>50</v>
      </c>
      <c r="T1006" s="1">
        <v>1</v>
      </c>
      <c r="U1006" s="1">
        <v>2</v>
      </c>
    </row>
    <row r="1007" spans="1:21" x14ac:dyDescent="0.25">
      <c r="A1007" s="4">
        <v>44777</v>
      </c>
      <c r="B1007" s="5">
        <v>0.49444444444444446</v>
      </c>
      <c r="C1007" s="1">
        <v>1690</v>
      </c>
      <c r="D1007" s="1">
        <v>13002606</v>
      </c>
      <c r="E1007" s="1">
        <v>13</v>
      </c>
      <c r="F1007" s="1">
        <v>22589</v>
      </c>
      <c r="G1007" s="1" t="s">
        <v>18</v>
      </c>
      <c r="H1007" s="1">
        <v>15</v>
      </c>
      <c r="I1007" s="1">
        <v>113184</v>
      </c>
      <c r="J1007" s="1" t="s">
        <v>702</v>
      </c>
      <c r="K1007" s="1" t="s">
        <v>20</v>
      </c>
      <c r="L1007" s="1" t="s">
        <v>36</v>
      </c>
      <c r="M1007" s="1">
        <v>1</v>
      </c>
      <c r="N1007" s="2">
        <v>204.56</v>
      </c>
      <c r="O1007" s="3">
        <v>250</v>
      </c>
      <c r="P1007" s="1">
        <v>12</v>
      </c>
      <c r="Q1007" s="1">
        <v>9</v>
      </c>
      <c r="R1007" s="1">
        <v>200010006867</v>
      </c>
      <c r="S1007" s="1">
        <v>50</v>
      </c>
      <c r="T1007" s="1">
        <v>1</v>
      </c>
      <c r="U1007" s="1">
        <v>1</v>
      </c>
    </row>
    <row r="1008" spans="1:21" x14ac:dyDescent="0.25">
      <c r="A1008" s="4">
        <v>44777</v>
      </c>
      <c r="B1008" s="5">
        <v>0.49729166666666669</v>
      </c>
      <c r="C1008" s="1">
        <v>1691</v>
      </c>
      <c r="D1008" s="1">
        <v>13002606</v>
      </c>
      <c r="E1008" s="1">
        <v>13</v>
      </c>
      <c r="F1008" s="1">
        <v>22589</v>
      </c>
      <c r="G1008" s="1" t="s">
        <v>18</v>
      </c>
      <c r="H1008" s="1">
        <v>15</v>
      </c>
      <c r="I1008" s="1">
        <v>100378</v>
      </c>
      <c r="J1008" s="1" t="s">
        <v>719</v>
      </c>
      <c r="K1008" s="1" t="s">
        <v>31</v>
      </c>
      <c r="L1008" s="1" t="s">
        <v>720</v>
      </c>
      <c r="M1008" s="1">
        <v>1</v>
      </c>
      <c r="N1008" s="2">
        <v>60.39</v>
      </c>
      <c r="O1008" s="3">
        <v>74</v>
      </c>
      <c r="P1008" s="1">
        <v>3</v>
      </c>
      <c r="Q1008" s="1">
        <v>9</v>
      </c>
      <c r="R1008" s="1">
        <v>200010000071</v>
      </c>
      <c r="S1008" s="1">
        <v>50</v>
      </c>
      <c r="T1008" s="1">
        <v>1</v>
      </c>
      <c r="U1008" s="1">
        <v>1</v>
      </c>
    </row>
    <row r="1009" spans="1:21" x14ac:dyDescent="0.25">
      <c r="A1009" s="4">
        <v>44777</v>
      </c>
      <c r="B1009" s="5">
        <v>0.49729166666666669</v>
      </c>
      <c r="C1009" s="1">
        <v>1691</v>
      </c>
      <c r="D1009" s="1">
        <v>13002606</v>
      </c>
      <c r="E1009" s="1">
        <v>13</v>
      </c>
      <c r="F1009" s="1">
        <v>22589</v>
      </c>
      <c r="G1009" s="1" t="s">
        <v>18</v>
      </c>
      <c r="H1009" s="1">
        <v>15</v>
      </c>
      <c r="I1009" s="1">
        <v>100378</v>
      </c>
      <c r="J1009" s="1" t="s">
        <v>719</v>
      </c>
      <c r="K1009" s="1" t="s">
        <v>20</v>
      </c>
      <c r="L1009" s="1" t="s">
        <v>720</v>
      </c>
      <c r="M1009" s="1">
        <v>1</v>
      </c>
      <c r="N1009" s="2">
        <v>61.38</v>
      </c>
      <c r="O1009" s="3">
        <v>75</v>
      </c>
      <c r="P1009" s="1">
        <v>3</v>
      </c>
      <c r="Q1009" s="1">
        <v>9</v>
      </c>
      <c r="R1009" s="1">
        <v>200010000071</v>
      </c>
      <c r="S1009" s="1">
        <v>50</v>
      </c>
      <c r="T1009" s="1">
        <v>1</v>
      </c>
      <c r="U1009" s="1">
        <v>2</v>
      </c>
    </row>
    <row r="1010" spans="1:21" x14ac:dyDescent="0.25">
      <c r="A1010" s="4">
        <v>44777</v>
      </c>
      <c r="B1010" s="5">
        <v>0.49881944444444443</v>
      </c>
      <c r="C1010" s="1">
        <v>1692</v>
      </c>
      <c r="D1010" s="1">
        <v>13002606</v>
      </c>
      <c r="E1010" s="1">
        <v>13</v>
      </c>
      <c r="F1010" s="1">
        <v>22589</v>
      </c>
      <c r="G1010" s="1" t="s">
        <v>18</v>
      </c>
      <c r="H1010" s="1">
        <v>15</v>
      </c>
      <c r="I1010" s="1">
        <v>443646</v>
      </c>
      <c r="J1010" s="1" t="s">
        <v>964</v>
      </c>
      <c r="K1010" s="1" t="s">
        <v>48</v>
      </c>
      <c r="L1010" s="1" t="s">
        <v>235</v>
      </c>
      <c r="M1010" s="1">
        <v>1</v>
      </c>
      <c r="N1010" s="2">
        <v>19.66</v>
      </c>
      <c r="O1010" s="3">
        <v>25</v>
      </c>
      <c r="P1010" s="1">
        <v>1</v>
      </c>
      <c r="Q1010" s="1">
        <v>9</v>
      </c>
      <c r="R1010" s="1">
        <v>200010015481</v>
      </c>
      <c r="S1010" s="1">
        <v>50</v>
      </c>
      <c r="T1010" s="1">
        <v>1</v>
      </c>
      <c r="U1010" s="1">
        <v>1</v>
      </c>
    </row>
    <row r="1011" spans="1:21" x14ac:dyDescent="0.25">
      <c r="A1011" s="4">
        <v>44777</v>
      </c>
      <c r="B1011" s="5">
        <v>0.49881944444444443</v>
      </c>
      <c r="C1011" s="1">
        <v>1692</v>
      </c>
      <c r="D1011" s="1">
        <v>13002606</v>
      </c>
      <c r="E1011" s="1">
        <v>13</v>
      </c>
      <c r="F1011" s="1">
        <v>22589</v>
      </c>
      <c r="G1011" s="1" t="s">
        <v>18</v>
      </c>
      <c r="H1011" s="1">
        <v>15</v>
      </c>
      <c r="I1011" s="1">
        <v>443646</v>
      </c>
      <c r="J1011" s="1" t="s">
        <v>964</v>
      </c>
      <c r="K1011" s="1" t="s">
        <v>48</v>
      </c>
      <c r="L1011" s="1" t="s">
        <v>235</v>
      </c>
      <c r="M1011" s="1">
        <v>1</v>
      </c>
      <c r="N1011" s="2">
        <v>19.66</v>
      </c>
      <c r="O1011" s="3">
        <v>25</v>
      </c>
      <c r="P1011" s="1">
        <v>1</v>
      </c>
      <c r="Q1011" s="1">
        <v>9</v>
      </c>
      <c r="R1011" s="1">
        <v>200010015481</v>
      </c>
      <c r="S1011" s="1">
        <v>50</v>
      </c>
      <c r="T1011" s="1">
        <v>1</v>
      </c>
      <c r="U1011" s="1">
        <v>2</v>
      </c>
    </row>
    <row r="1012" spans="1:21" x14ac:dyDescent="0.25">
      <c r="A1012" s="4">
        <v>44777</v>
      </c>
      <c r="B1012" s="5">
        <v>0.50612268518518522</v>
      </c>
      <c r="C1012" s="1">
        <v>1693</v>
      </c>
      <c r="D1012" s="1">
        <v>13002606</v>
      </c>
      <c r="E1012" s="1">
        <v>13</v>
      </c>
      <c r="F1012" s="1">
        <v>22589</v>
      </c>
      <c r="G1012" s="1" t="s">
        <v>18</v>
      </c>
      <c r="H1012" s="1">
        <v>18</v>
      </c>
      <c r="I1012" s="1">
        <v>345530</v>
      </c>
      <c r="J1012" s="1" t="s">
        <v>965</v>
      </c>
      <c r="K1012" s="1" t="s">
        <v>48</v>
      </c>
      <c r="L1012" s="1" t="s">
        <v>380</v>
      </c>
      <c r="M1012" s="1">
        <v>1</v>
      </c>
      <c r="N1012" s="2">
        <v>20.88</v>
      </c>
      <c r="O1012" s="3">
        <v>25</v>
      </c>
      <c r="P1012" s="1">
        <v>0</v>
      </c>
      <c r="Q1012" s="1" t="s">
        <v>22</v>
      </c>
      <c r="R1012" s="1" t="s">
        <v>22</v>
      </c>
      <c r="S1012" s="1">
        <v>50</v>
      </c>
      <c r="T1012" s="1">
        <v>1</v>
      </c>
      <c r="U1012" s="1">
        <v>2</v>
      </c>
    </row>
    <row r="1013" spans="1:21" x14ac:dyDescent="0.25">
      <c r="A1013" s="4">
        <v>44777</v>
      </c>
      <c r="B1013" s="5">
        <v>0.50612268518518522</v>
      </c>
      <c r="C1013" s="1">
        <v>1693</v>
      </c>
      <c r="D1013" s="1">
        <v>13002606</v>
      </c>
      <c r="E1013" s="1">
        <v>13</v>
      </c>
      <c r="F1013" s="1">
        <v>22589</v>
      </c>
      <c r="G1013" s="1" t="s">
        <v>18</v>
      </c>
      <c r="H1013" s="1">
        <v>18</v>
      </c>
      <c r="I1013" s="1">
        <v>475359</v>
      </c>
      <c r="J1013" s="1" t="s">
        <v>966</v>
      </c>
      <c r="K1013" s="1" t="s">
        <v>55</v>
      </c>
      <c r="L1013" s="1" t="s">
        <v>967</v>
      </c>
      <c r="M1013" s="1">
        <v>1</v>
      </c>
      <c r="N1013" s="2">
        <v>46.63</v>
      </c>
      <c r="O1013" s="3">
        <v>76</v>
      </c>
      <c r="P1013" s="1">
        <v>0</v>
      </c>
      <c r="Q1013" s="1" t="s">
        <v>22</v>
      </c>
      <c r="R1013" s="1" t="s">
        <v>22</v>
      </c>
      <c r="S1013" s="1">
        <v>50</v>
      </c>
      <c r="T1013" s="1">
        <v>1</v>
      </c>
      <c r="U1013" s="1">
        <v>1</v>
      </c>
    </row>
    <row r="1014" spans="1:21" x14ac:dyDescent="0.25">
      <c r="A1014" s="4">
        <v>44777</v>
      </c>
      <c r="B1014" s="5">
        <v>0.50817129629629632</v>
      </c>
      <c r="C1014" s="1">
        <v>1694</v>
      </c>
      <c r="D1014" s="1">
        <v>13002606</v>
      </c>
      <c r="E1014" s="1">
        <v>13</v>
      </c>
      <c r="F1014" s="1">
        <v>22589</v>
      </c>
      <c r="G1014" s="1" t="s">
        <v>18</v>
      </c>
      <c r="H1014" s="1">
        <v>18</v>
      </c>
      <c r="I1014" s="1">
        <v>513866</v>
      </c>
      <c r="J1014" s="1" t="s">
        <v>968</v>
      </c>
      <c r="K1014" s="1" t="s">
        <v>48</v>
      </c>
      <c r="L1014" s="1" t="s">
        <v>213</v>
      </c>
      <c r="M1014" s="1">
        <v>1</v>
      </c>
      <c r="N1014" s="2">
        <v>270.95</v>
      </c>
      <c r="O1014" s="3">
        <v>366</v>
      </c>
      <c r="P1014" s="1">
        <v>25</v>
      </c>
      <c r="Q1014" s="1">
        <v>9</v>
      </c>
      <c r="R1014" s="1">
        <v>200010013137</v>
      </c>
      <c r="S1014" s="1">
        <v>50</v>
      </c>
      <c r="T1014" s="1">
        <v>1</v>
      </c>
      <c r="U1014" s="1">
        <v>1</v>
      </c>
    </row>
    <row r="1015" spans="1:21" x14ac:dyDescent="0.25">
      <c r="A1015" s="4">
        <v>44777</v>
      </c>
      <c r="B1015" s="5">
        <v>0.50817129629629632</v>
      </c>
      <c r="C1015" s="1">
        <v>1694</v>
      </c>
      <c r="D1015" s="1">
        <v>13002606</v>
      </c>
      <c r="E1015" s="1">
        <v>13</v>
      </c>
      <c r="F1015" s="1">
        <v>22589</v>
      </c>
      <c r="G1015" s="1" t="s">
        <v>18</v>
      </c>
      <c r="H1015" s="1">
        <v>18</v>
      </c>
      <c r="I1015" s="1">
        <v>193095</v>
      </c>
      <c r="J1015" s="1" t="s">
        <v>969</v>
      </c>
      <c r="K1015" s="1" t="s">
        <v>20</v>
      </c>
      <c r="L1015" s="1" t="s">
        <v>412</v>
      </c>
      <c r="M1015" s="1">
        <v>1</v>
      </c>
      <c r="N1015" s="2">
        <v>201.26</v>
      </c>
      <c r="O1015" s="3">
        <v>272</v>
      </c>
      <c r="P1015" s="1">
        <v>19</v>
      </c>
      <c r="Q1015" s="1">
        <v>9</v>
      </c>
      <c r="R1015" s="1">
        <v>200010013137</v>
      </c>
      <c r="S1015" s="1">
        <v>50</v>
      </c>
      <c r="T1015" s="1">
        <v>1</v>
      </c>
      <c r="U1015" s="1">
        <v>2</v>
      </c>
    </row>
    <row r="1016" spans="1:21" x14ac:dyDescent="0.25">
      <c r="A1016" s="4">
        <v>44777</v>
      </c>
      <c r="B1016" s="5">
        <v>0.50817129629629632</v>
      </c>
      <c r="C1016" s="1">
        <v>1694</v>
      </c>
      <c r="D1016" s="1">
        <v>13002606</v>
      </c>
      <c r="E1016" s="1">
        <v>13</v>
      </c>
      <c r="F1016" s="1">
        <v>22589</v>
      </c>
      <c r="G1016" s="1" t="s">
        <v>18</v>
      </c>
      <c r="H1016" s="1">
        <v>18</v>
      </c>
      <c r="I1016" s="1">
        <v>61029</v>
      </c>
      <c r="J1016" s="1" t="s">
        <v>826</v>
      </c>
      <c r="K1016" s="1" t="s">
        <v>31</v>
      </c>
      <c r="L1016" s="1" t="s">
        <v>827</v>
      </c>
      <c r="M1016" s="1">
        <v>1</v>
      </c>
      <c r="N1016" s="2">
        <v>403.72</v>
      </c>
      <c r="O1016" s="3">
        <v>488</v>
      </c>
      <c r="P1016" s="1">
        <v>24</v>
      </c>
      <c r="Q1016" s="1">
        <v>9</v>
      </c>
      <c r="R1016" s="1">
        <v>200010013137</v>
      </c>
      <c r="S1016" s="1">
        <v>50</v>
      </c>
      <c r="T1016" s="1">
        <v>1</v>
      </c>
      <c r="U1016" s="1">
        <v>3</v>
      </c>
    </row>
    <row r="1017" spans="1:21" x14ac:dyDescent="0.25">
      <c r="A1017" s="4">
        <v>44777</v>
      </c>
      <c r="B1017" s="5">
        <v>0.5115277777777778</v>
      </c>
      <c r="C1017" s="1">
        <v>1695</v>
      </c>
      <c r="D1017" s="1">
        <v>13002606</v>
      </c>
      <c r="E1017" s="1">
        <v>13</v>
      </c>
      <c r="F1017" s="1">
        <v>22589</v>
      </c>
      <c r="G1017" s="1" t="s">
        <v>18</v>
      </c>
      <c r="H1017" s="1">
        <v>15</v>
      </c>
      <c r="I1017" s="1">
        <v>159431</v>
      </c>
      <c r="J1017" s="1" t="s">
        <v>970</v>
      </c>
      <c r="K1017" s="1" t="s">
        <v>26</v>
      </c>
      <c r="L1017" s="1" t="s">
        <v>971</v>
      </c>
      <c r="M1017" s="1">
        <v>0.2</v>
      </c>
      <c r="N1017" s="2">
        <v>411.84</v>
      </c>
      <c r="O1017" s="3">
        <v>544</v>
      </c>
      <c r="P1017" s="1">
        <v>6.8</v>
      </c>
      <c r="Q1017" s="1">
        <v>9</v>
      </c>
      <c r="R1017" s="1">
        <v>200010021056</v>
      </c>
      <c r="S1017" s="1">
        <v>50</v>
      </c>
      <c r="T1017" s="1">
        <v>1</v>
      </c>
      <c r="U1017" s="1">
        <v>1</v>
      </c>
    </row>
    <row r="1018" spans="1:21" x14ac:dyDescent="0.25">
      <c r="A1018" s="4">
        <v>44777</v>
      </c>
      <c r="B1018" s="5">
        <v>0.51216435185185183</v>
      </c>
      <c r="C1018" s="1">
        <v>1696</v>
      </c>
      <c r="D1018" s="1">
        <v>13002606</v>
      </c>
      <c r="E1018" s="1">
        <v>13</v>
      </c>
      <c r="F1018" s="1">
        <v>22589</v>
      </c>
      <c r="G1018" s="1" t="s">
        <v>18</v>
      </c>
      <c r="H1018" s="1">
        <v>15</v>
      </c>
      <c r="I1018" s="1">
        <v>295405</v>
      </c>
      <c r="J1018" s="1" t="s">
        <v>972</v>
      </c>
      <c r="K1018" s="1" t="s">
        <v>20</v>
      </c>
      <c r="L1018" s="1" t="s">
        <v>245</v>
      </c>
      <c r="M1018" s="1">
        <v>1</v>
      </c>
      <c r="N1018" s="2">
        <v>35.39</v>
      </c>
      <c r="O1018" s="3">
        <v>44</v>
      </c>
      <c r="P1018" s="1">
        <v>2</v>
      </c>
      <c r="Q1018" s="1">
        <v>9</v>
      </c>
      <c r="R1018" s="1">
        <v>200010021056</v>
      </c>
      <c r="S1018" s="1">
        <v>50</v>
      </c>
      <c r="T1018" s="1">
        <v>1</v>
      </c>
      <c r="U1018" s="1">
        <v>1</v>
      </c>
    </row>
    <row r="1019" spans="1:21" x14ac:dyDescent="0.25">
      <c r="A1019" s="4">
        <v>44777</v>
      </c>
      <c r="B1019" s="5">
        <v>0.5130555555555556</v>
      </c>
      <c r="C1019" s="1">
        <v>1697</v>
      </c>
      <c r="D1019" s="1">
        <v>13002606</v>
      </c>
      <c r="E1019" s="1">
        <v>13</v>
      </c>
      <c r="F1019" s="1">
        <v>22589</v>
      </c>
      <c r="G1019" s="1" t="s">
        <v>18</v>
      </c>
      <c r="H1019" s="1">
        <v>15</v>
      </c>
      <c r="I1019" s="1">
        <v>295405</v>
      </c>
      <c r="J1019" s="1" t="s">
        <v>972</v>
      </c>
      <c r="K1019" s="1" t="s">
        <v>20</v>
      </c>
      <c r="L1019" s="1" t="s">
        <v>245</v>
      </c>
      <c r="M1019" s="1">
        <v>1</v>
      </c>
      <c r="N1019" s="2">
        <v>35.39</v>
      </c>
      <c r="O1019" s="3">
        <v>44</v>
      </c>
      <c r="P1019" s="1">
        <v>0</v>
      </c>
      <c r="Q1019" s="1" t="s">
        <v>22</v>
      </c>
      <c r="R1019" s="1" t="s">
        <v>22</v>
      </c>
      <c r="S1019" s="1">
        <v>50</v>
      </c>
      <c r="T1019" s="1">
        <v>1</v>
      </c>
      <c r="U1019" s="1">
        <v>1</v>
      </c>
    </row>
    <row r="1020" spans="1:21" x14ac:dyDescent="0.25">
      <c r="A1020" s="4">
        <v>44777</v>
      </c>
      <c r="B1020" s="5">
        <v>0.51480324074074069</v>
      </c>
      <c r="C1020" s="1">
        <v>1698</v>
      </c>
      <c r="D1020" s="1">
        <v>13002606</v>
      </c>
      <c r="E1020" s="1">
        <v>13</v>
      </c>
      <c r="F1020" s="1">
        <v>22589</v>
      </c>
      <c r="G1020" s="1" t="s">
        <v>18</v>
      </c>
      <c r="H1020" s="1">
        <v>15</v>
      </c>
      <c r="I1020" s="1">
        <v>22338</v>
      </c>
      <c r="J1020" s="1" t="s">
        <v>760</v>
      </c>
      <c r="K1020" s="1" t="s">
        <v>61</v>
      </c>
      <c r="L1020" s="1" t="s">
        <v>714</v>
      </c>
      <c r="M1020" s="1">
        <v>0.33333332999999998</v>
      </c>
      <c r="N1020" s="2">
        <v>826.66</v>
      </c>
      <c r="O1020" s="3">
        <v>1067</v>
      </c>
      <c r="P1020" s="1">
        <v>24.67</v>
      </c>
      <c r="Q1020" s="1">
        <v>9</v>
      </c>
      <c r="R1020" s="1">
        <v>200010016190</v>
      </c>
      <c r="S1020" s="1">
        <v>50</v>
      </c>
      <c r="T1020" s="1">
        <v>1</v>
      </c>
      <c r="U1020" s="1">
        <v>1</v>
      </c>
    </row>
    <row r="1021" spans="1:21" x14ac:dyDescent="0.25">
      <c r="A1021" s="4">
        <v>44777</v>
      </c>
      <c r="B1021" s="5">
        <v>0.52053240740740736</v>
      </c>
      <c r="C1021" s="1">
        <v>1699</v>
      </c>
      <c r="D1021" s="1">
        <v>13002606</v>
      </c>
      <c r="E1021" s="1">
        <v>13</v>
      </c>
      <c r="F1021" s="1">
        <v>22589</v>
      </c>
      <c r="G1021" s="1" t="s">
        <v>18</v>
      </c>
      <c r="H1021" s="1">
        <v>15</v>
      </c>
      <c r="I1021" s="1">
        <v>386692</v>
      </c>
      <c r="J1021" s="1" t="s">
        <v>973</v>
      </c>
      <c r="K1021" s="1" t="s">
        <v>31</v>
      </c>
      <c r="L1021" s="1" t="s">
        <v>332</v>
      </c>
      <c r="M1021" s="1">
        <v>1</v>
      </c>
      <c r="N1021" s="2">
        <v>71.12</v>
      </c>
      <c r="O1021" s="3">
        <v>101</v>
      </c>
      <c r="P1021" s="1">
        <v>7</v>
      </c>
      <c r="Q1021" s="1">
        <v>9</v>
      </c>
      <c r="R1021" s="1">
        <v>200010001659</v>
      </c>
      <c r="S1021" s="1">
        <v>50</v>
      </c>
      <c r="T1021" s="1">
        <v>1</v>
      </c>
      <c r="U1021" s="1">
        <v>2</v>
      </c>
    </row>
    <row r="1022" spans="1:21" x14ac:dyDescent="0.25">
      <c r="A1022" s="4">
        <v>44777</v>
      </c>
      <c r="B1022" s="5">
        <v>0.52053240740740736</v>
      </c>
      <c r="C1022" s="1">
        <v>1699</v>
      </c>
      <c r="D1022" s="1">
        <v>13002606</v>
      </c>
      <c r="E1022" s="1">
        <v>13</v>
      </c>
      <c r="F1022" s="1">
        <v>22589</v>
      </c>
      <c r="G1022" s="1" t="s">
        <v>18</v>
      </c>
      <c r="H1022" s="1">
        <v>15</v>
      </c>
      <c r="I1022" s="1">
        <v>137134</v>
      </c>
      <c r="J1022" s="1" t="s">
        <v>337</v>
      </c>
      <c r="K1022" s="1" t="s">
        <v>48</v>
      </c>
      <c r="L1022" s="1" t="s">
        <v>338</v>
      </c>
      <c r="M1022" s="1">
        <v>1</v>
      </c>
      <c r="N1022" s="2">
        <v>178.18</v>
      </c>
      <c r="O1022" s="3">
        <v>216</v>
      </c>
      <c r="P1022" s="1">
        <v>10</v>
      </c>
      <c r="Q1022" s="1">
        <v>9</v>
      </c>
      <c r="R1022" s="1">
        <v>200010001659</v>
      </c>
      <c r="S1022" s="1">
        <v>50</v>
      </c>
      <c r="T1022" s="1">
        <v>1</v>
      </c>
      <c r="U1022" s="1">
        <v>4</v>
      </c>
    </row>
    <row r="1023" spans="1:21" x14ac:dyDescent="0.25">
      <c r="A1023" s="4">
        <v>44777</v>
      </c>
      <c r="B1023" s="5">
        <v>0.52053240740740736</v>
      </c>
      <c r="C1023" s="1">
        <v>1699</v>
      </c>
      <c r="D1023" s="1">
        <v>13002606</v>
      </c>
      <c r="E1023" s="1">
        <v>13</v>
      </c>
      <c r="F1023" s="1">
        <v>22589</v>
      </c>
      <c r="G1023" s="1" t="s">
        <v>18</v>
      </c>
      <c r="H1023" s="1">
        <v>15</v>
      </c>
      <c r="I1023" s="1">
        <v>29515</v>
      </c>
      <c r="J1023" s="1" t="s">
        <v>974</v>
      </c>
      <c r="K1023" s="1" t="s">
        <v>48</v>
      </c>
      <c r="L1023" s="1" t="s">
        <v>975</v>
      </c>
      <c r="M1023" s="1">
        <v>1</v>
      </c>
      <c r="N1023" s="2">
        <v>51.96</v>
      </c>
      <c r="O1023" s="3">
        <v>82</v>
      </c>
      <c r="P1023" s="1">
        <v>8</v>
      </c>
      <c r="Q1023" s="1">
        <v>9</v>
      </c>
      <c r="R1023" s="1">
        <v>200010001659</v>
      </c>
      <c r="S1023" s="1">
        <v>50</v>
      </c>
      <c r="T1023" s="1">
        <v>1</v>
      </c>
      <c r="U1023" s="1">
        <v>3</v>
      </c>
    </row>
    <row r="1024" spans="1:21" x14ac:dyDescent="0.25">
      <c r="A1024" s="4">
        <v>44777</v>
      </c>
      <c r="B1024" s="5">
        <v>0.52053240740740736</v>
      </c>
      <c r="C1024" s="1">
        <v>1699</v>
      </c>
      <c r="D1024" s="1">
        <v>13002606</v>
      </c>
      <c r="E1024" s="1">
        <v>13</v>
      </c>
      <c r="F1024" s="1">
        <v>22589</v>
      </c>
      <c r="G1024" s="1" t="s">
        <v>18</v>
      </c>
      <c r="H1024" s="1">
        <v>15</v>
      </c>
      <c r="I1024" s="1">
        <v>440757</v>
      </c>
      <c r="J1024" s="1" t="s">
        <v>976</v>
      </c>
      <c r="K1024" s="1" t="s">
        <v>58</v>
      </c>
      <c r="L1024" s="1" t="s">
        <v>46</v>
      </c>
      <c r="M1024" s="1">
        <v>1</v>
      </c>
      <c r="N1024" s="2">
        <v>15.84</v>
      </c>
      <c r="O1024" s="3">
        <v>25</v>
      </c>
      <c r="P1024" s="1">
        <v>1</v>
      </c>
      <c r="Q1024" s="1">
        <v>9</v>
      </c>
      <c r="R1024" s="1">
        <v>200010001659</v>
      </c>
      <c r="S1024" s="1">
        <v>50</v>
      </c>
      <c r="T1024" s="1">
        <v>1</v>
      </c>
      <c r="U1024" s="1">
        <v>1</v>
      </c>
    </row>
    <row r="1025" spans="1:21" x14ac:dyDescent="0.25">
      <c r="A1025" s="4">
        <v>44777</v>
      </c>
      <c r="B1025" s="5">
        <v>0.67237268518518523</v>
      </c>
      <c r="C1025" s="1">
        <v>1743</v>
      </c>
      <c r="D1025" s="1">
        <v>13002606</v>
      </c>
      <c r="E1025" s="1">
        <v>13</v>
      </c>
      <c r="F1025" s="1">
        <v>22589</v>
      </c>
      <c r="G1025" s="1" t="s">
        <v>18</v>
      </c>
      <c r="H1025" s="1">
        <v>18</v>
      </c>
      <c r="I1025" s="1">
        <v>440757</v>
      </c>
      <c r="J1025" s="1" t="s">
        <v>976</v>
      </c>
      <c r="K1025" s="1" t="s">
        <v>58</v>
      </c>
      <c r="L1025" s="1" t="s">
        <v>46</v>
      </c>
      <c r="M1025" s="1">
        <v>1</v>
      </c>
      <c r="N1025" s="2">
        <v>15.84</v>
      </c>
      <c r="O1025" s="3">
        <v>25</v>
      </c>
      <c r="P1025" s="1">
        <v>1</v>
      </c>
      <c r="Q1025" s="1">
        <v>9</v>
      </c>
      <c r="R1025" s="1">
        <v>200010021345</v>
      </c>
      <c r="S1025" s="1">
        <v>50</v>
      </c>
      <c r="T1025" s="1">
        <v>1</v>
      </c>
      <c r="U1025" s="1">
        <v>1</v>
      </c>
    </row>
    <row r="1026" spans="1:21" x14ac:dyDescent="0.25">
      <c r="A1026" s="4">
        <v>44777</v>
      </c>
      <c r="B1026" s="5">
        <v>0.67237268518518523</v>
      </c>
      <c r="C1026" s="1">
        <v>1743</v>
      </c>
      <c r="D1026" s="1">
        <v>13002606</v>
      </c>
      <c r="E1026" s="1">
        <v>13</v>
      </c>
      <c r="F1026" s="1">
        <v>22589</v>
      </c>
      <c r="G1026" s="1" t="s">
        <v>18</v>
      </c>
      <c r="H1026" s="1">
        <v>18</v>
      </c>
      <c r="I1026" s="1">
        <v>440757</v>
      </c>
      <c r="J1026" s="1" t="s">
        <v>976</v>
      </c>
      <c r="K1026" s="1" t="s">
        <v>58</v>
      </c>
      <c r="L1026" s="1" t="s">
        <v>46</v>
      </c>
      <c r="M1026" s="1">
        <v>1</v>
      </c>
      <c r="N1026" s="2">
        <v>15.84</v>
      </c>
      <c r="O1026" s="3">
        <v>25</v>
      </c>
      <c r="P1026" s="1">
        <v>1</v>
      </c>
      <c r="Q1026" s="1">
        <v>9</v>
      </c>
      <c r="R1026" s="1">
        <v>200010021345</v>
      </c>
      <c r="S1026" s="1">
        <v>50</v>
      </c>
      <c r="T1026" s="1">
        <v>1</v>
      </c>
      <c r="U1026" s="1">
        <v>2</v>
      </c>
    </row>
    <row r="1027" spans="1:21" x14ac:dyDescent="0.25">
      <c r="A1027" s="4">
        <v>44777</v>
      </c>
      <c r="B1027" s="5">
        <v>0.52184027777777775</v>
      </c>
      <c r="C1027" s="1">
        <v>1700</v>
      </c>
      <c r="D1027" s="1">
        <v>13002606</v>
      </c>
      <c r="E1027" s="1">
        <v>13</v>
      </c>
      <c r="F1027" s="1">
        <v>22589</v>
      </c>
      <c r="G1027" s="1" t="s">
        <v>18</v>
      </c>
      <c r="H1027" s="1">
        <v>15</v>
      </c>
      <c r="I1027" s="1">
        <v>118475</v>
      </c>
      <c r="J1027" s="1" t="s">
        <v>977</v>
      </c>
      <c r="K1027" s="1" t="s">
        <v>26</v>
      </c>
      <c r="L1027" s="1" t="s">
        <v>747</v>
      </c>
      <c r="M1027" s="1">
        <v>1</v>
      </c>
      <c r="N1027" s="2">
        <v>150.72999999999999</v>
      </c>
      <c r="O1027" s="3">
        <v>207</v>
      </c>
      <c r="P1027" s="1">
        <v>14</v>
      </c>
      <c r="Q1027" s="1">
        <v>9</v>
      </c>
      <c r="R1027" s="1">
        <v>200010001659</v>
      </c>
      <c r="S1027" s="1">
        <v>50</v>
      </c>
      <c r="T1027" s="1">
        <v>1</v>
      </c>
      <c r="U1027" s="1">
        <v>1</v>
      </c>
    </row>
    <row r="1028" spans="1:21" x14ac:dyDescent="0.25">
      <c r="A1028" s="4">
        <v>44777</v>
      </c>
      <c r="B1028" s="5">
        <v>0.52355324074074072</v>
      </c>
      <c r="C1028" s="1">
        <v>1701</v>
      </c>
      <c r="D1028" s="1">
        <v>13002606</v>
      </c>
      <c r="E1028" s="1">
        <v>13</v>
      </c>
      <c r="F1028" s="1">
        <v>22589</v>
      </c>
      <c r="G1028" s="1" t="s">
        <v>18</v>
      </c>
      <c r="H1028" s="1">
        <v>15</v>
      </c>
      <c r="I1028" s="1">
        <v>5196</v>
      </c>
      <c r="J1028" s="1" t="s">
        <v>978</v>
      </c>
      <c r="K1028" s="1" t="s">
        <v>31</v>
      </c>
      <c r="L1028" s="1" t="s">
        <v>36</v>
      </c>
      <c r="M1028" s="1">
        <v>1</v>
      </c>
      <c r="N1028" s="2">
        <v>16.32</v>
      </c>
      <c r="O1028" s="3">
        <v>20</v>
      </c>
      <c r="P1028" s="1">
        <v>1</v>
      </c>
      <c r="Q1028" s="1">
        <v>9</v>
      </c>
      <c r="R1028" s="1">
        <v>200010022491</v>
      </c>
      <c r="S1028" s="1">
        <v>50</v>
      </c>
      <c r="T1028" s="1">
        <v>1</v>
      </c>
      <c r="U1028" s="1">
        <v>2</v>
      </c>
    </row>
    <row r="1029" spans="1:21" x14ac:dyDescent="0.25">
      <c r="A1029" s="4">
        <v>44777</v>
      </c>
      <c r="B1029" s="5">
        <v>0.52355324074074072</v>
      </c>
      <c r="C1029" s="1">
        <v>1701</v>
      </c>
      <c r="D1029" s="1">
        <v>13002606</v>
      </c>
      <c r="E1029" s="1">
        <v>13</v>
      </c>
      <c r="F1029" s="1">
        <v>22589</v>
      </c>
      <c r="G1029" s="1" t="s">
        <v>18</v>
      </c>
      <c r="H1029" s="1">
        <v>15</v>
      </c>
      <c r="I1029" s="1">
        <v>12025</v>
      </c>
      <c r="J1029" s="1" t="s">
        <v>979</v>
      </c>
      <c r="K1029" s="1" t="s">
        <v>20</v>
      </c>
      <c r="L1029" s="1" t="s">
        <v>980</v>
      </c>
      <c r="M1029" s="1">
        <v>1</v>
      </c>
      <c r="N1029" s="2">
        <v>572.16999999999996</v>
      </c>
      <c r="O1029" s="3">
        <v>634</v>
      </c>
      <c r="P1029" s="1">
        <v>19</v>
      </c>
      <c r="Q1029" s="1">
        <v>9</v>
      </c>
      <c r="R1029" s="1">
        <v>200010022491</v>
      </c>
      <c r="S1029" s="1">
        <v>50</v>
      </c>
      <c r="T1029" s="1">
        <v>1</v>
      </c>
      <c r="U1029" s="1">
        <v>1</v>
      </c>
    </row>
    <row r="1030" spans="1:21" x14ac:dyDescent="0.25">
      <c r="A1030" s="4">
        <v>44777</v>
      </c>
      <c r="B1030" s="5">
        <v>0.52497685185185183</v>
      </c>
      <c r="C1030" s="1">
        <v>1702</v>
      </c>
      <c r="D1030" s="1">
        <v>13002606</v>
      </c>
      <c r="E1030" s="1">
        <v>13</v>
      </c>
      <c r="F1030" s="1">
        <v>22589</v>
      </c>
      <c r="G1030" s="1" t="s">
        <v>18</v>
      </c>
      <c r="H1030" s="1">
        <v>15</v>
      </c>
      <c r="I1030" s="1">
        <v>18118</v>
      </c>
      <c r="J1030" s="1" t="s">
        <v>981</v>
      </c>
      <c r="K1030" s="1" t="s">
        <v>114</v>
      </c>
      <c r="L1030" s="1" t="s">
        <v>982</v>
      </c>
      <c r="M1030" s="1">
        <v>1</v>
      </c>
      <c r="N1030" s="2">
        <v>102.28</v>
      </c>
      <c r="O1030" s="3">
        <v>141</v>
      </c>
      <c r="P1030" s="1">
        <v>9</v>
      </c>
      <c r="Q1030" s="1">
        <v>9</v>
      </c>
      <c r="R1030" s="1">
        <v>200010006024</v>
      </c>
      <c r="S1030" s="1">
        <v>50</v>
      </c>
      <c r="T1030" s="1">
        <v>1</v>
      </c>
      <c r="U1030" s="1">
        <v>1</v>
      </c>
    </row>
    <row r="1031" spans="1:21" x14ac:dyDescent="0.25">
      <c r="A1031" s="4">
        <v>44777</v>
      </c>
      <c r="B1031" s="5">
        <v>0.52650462962962963</v>
      </c>
      <c r="C1031" s="1">
        <v>1703</v>
      </c>
      <c r="D1031" s="1">
        <v>13002606</v>
      </c>
      <c r="E1031" s="1">
        <v>13</v>
      </c>
      <c r="F1031" s="1">
        <v>22589</v>
      </c>
      <c r="G1031" s="1" t="s">
        <v>18</v>
      </c>
      <c r="H1031" s="1">
        <v>18</v>
      </c>
      <c r="I1031" s="1">
        <v>29118</v>
      </c>
      <c r="J1031" s="1" t="s">
        <v>517</v>
      </c>
      <c r="K1031" s="1" t="s">
        <v>48</v>
      </c>
      <c r="L1031" s="1" t="s">
        <v>266</v>
      </c>
      <c r="M1031" s="1">
        <v>3</v>
      </c>
      <c r="N1031" s="2">
        <v>29.75</v>
      </c>
      <c r="O1031" s="3">
        <v>49</v>
      </c>
      <c r="P1031" s="1">
        <v>0</v>
      </c>
      <c r="Q1031" s="1" t="s">
        <v>22</v>
      </c>
      <c r="R1031" s="1" t="s">
        <v>22</v>
      </c>
      <c r="S1031" s="1">
        <v>50</v>
      </c>
      <c r="T1031" s="1">
        <v>1</v>
      </c>
      <c r="U1031" s="1">
        <v>3</v>
      </c>
    </row>
    <row r="1032" spans="1:21" x14ac:dyDescent="0.25">
      <c r="A1032" s="4">
        <v>44777</v>
      </c>
      <c r="B1032" s="5">
        <v>0.52650462962962963</v>
      </c>
      <c r="C1032" s="1">
        <v>1703</v>
      </c>
      <c r="D1032" s="1">
        <v>13002606</v>
      </c>
      <c r="E1032" s="1">
        <v>13</v>
      </c>
      <c r="F1032" s="1">
        <v>22589</v>
      </c>
      <c r="G1032" s="1" t="s">
        <v>18</v>
      </c>
      <c r="H1032" s="1">
        <v>18</v>
      </c>
      <c r="I1032" s="1">
        <v>81988</v>
      </c>
      <c r="J1032" s="1" t="s">
        <v>448</v>
      </c>
      <c r="K1032" s="1" t="s">
        <v>58</v>
      </c>
      <c r="L1032" s="1" t="s">
        <v>266</v>
      </c>
      <c r="M1032" s="1">
        <v>3</v>
      </c>
      <c r="N1032" s="2">
        <v>4.62</v>
      </c>
      <c r="O1032" s="3">
        <v>8</v>
      </c>
      <c r="P1032" s="1">
        <v>0</v>
      </c>
      <c r="Q1032" s="1" t="s">
        <v>22</v>
      </c>
      <c r="R1032" s="1" t="s">
        <v>22</v>
      </c>
      <c r="S1032" s="1">
        <v>50</v>
      </c>
      <c r="T1032" s="1">
        <v>1</v>
      </c>
      <c r="U1032" s="1">
        <v>4</v>
      </c>
    </row>
    <row r="1033" spans="1:21" x14ac:dyDescent="0.25">
      <c r="A1033" s="4">
        <v>44777</v>
      </c>
      <c r="B1033" s="5">
        <v>0.52650462962962963</v>
      </c>
      <c r="C1033" s="1">
        <v>1703</v>
      </c>
      <c r="D1033" s="1">
        <v>13002606</v>
      </c>
      <c r="E1033" s="1">
        <v>13</v>
      </c>
      <c r="F1033" s="1">
        <v>22589</v>
      </c>
      <c r="G1033" s="1" t="s">
        <v>18</v>
      </c>
      <c r="H1033" s="1">
        <v>18</v>
      </c>
      <c r="I1033" s="1">
        <v>260841</v>
      </c>
      <c r="J1033" s="1" t="s">
        <v>983</v>
      </c>
      <c r="K1033" s="1" t="s">
        <v>48</v>
      </c>
      <c r="L1033" s="1" t="s">
        <v>164</v>
      </c>
      <c r="M1033" s="1">
        <v>1</v>
      </c>
      <c r="N1033" s="2">
        <v>9.67</v>
      </c>
      <c r="O1033" s="3">
        <v>16</v>
      </c>
      <c r="P1033" s="1">
        <v>0</v>
      </c>
      <c r="Q1033" s="1" t="s">
        <v>22</v>
      </c>
      <c r="R1033" s="1" t="s">
        <v>22</v>
      </c>
      <c r="S1033" s="1">
        <v>50</v>
      </c>
      <c r="T1033" s="1">
        <v>1</v>
      </c>
      <c r="U1033" s="1">
        <v>1</v>
      </c>
    </row>
    <row r="1034" spans="1:21" x14ac:dyDescent="0.25">
      <c r="A1034" s="4">
        <v>44777</v>
      </c>
      <c r="B1034" s="5">
        <v>0.54795138888888884</v>
      </c>
      <c r="C1034" s="1">
        <v>1714</v>
      </c>
      <c r="D1034" s="1">
        <v>13002606</v>
      </c>
      <c r="E1034" s="1">
        <v>13</v>
      </c>
      <c r="F1034" s="1">
        <v>22589</v>
      </c>
      <c r="G1034" s="1" t="s">
        <v>18</v>
      </c>
      <c r="H1034" s="1">
        <v>18</v>
      </c>
      <c r="I1034" s="1">
        <v>260841</v>
      </c>
      <c r="J1034" s="1" t="s">
        <v>983</v>
      </c>
      <c r="K1034" s="1" t="s">
        <v>48</v>
      </c>
      <c r="L1034" s="1" t="s">
        <v>164</v>
      </c>
      <c r="M1034" s="1">
        <v>1</v>
      </c>
      <c r="N1034" s="2">
        <v>9.67</v>
      </c>
      <c r="O1034" s="3">
        <v>16</v>
      </c>
      <c r="P1034" s="1">
        <v>1</v>
      </c>
      <c r="Q1034" s="1">
        <v>9</v>
      </c>
      <c r="R1034" s="1">
        <v>200010018671</v>
      </c>
      <c r="S1034" s="1">
        <v>50</v>
      </c>
      <c r="T1034" s="1">
        <v>1</v>
      </c>
      <c r="U1034" s="1">
        <v>2</v>
      </c>
    </row>
    <row r="1035" spans="1:21" x14ac:dyDescent="0.25">
      <c r="A1035" s="4">
        <v>44777</v>
      </c>
      <c r="B1035" s="5">
        <v>0.58459490740740738</v>
      </c>
      <c r="C1035" s="1">
        <v>1725</v>
      </c>
      <c r="D1035" s="1">
        <v>13002606</v>
      </c>
      <c r="E1035" s="1">
        <v>13</v>
      </c>
      <c r="F1035" s="1">
        <v>22589</v>
      </c>
      <c r="G1035" s="1" t="s">
        <v>18</v>
      </c>
      <c r="H1035" s="1">
        <v>15</v>
      </c>
      <c r="I1035" s="1">
        <v>260841</v>
      </c>
      <c r="J1035" s="1" t="s">
        <v>983</v>
      </c>
      <c r="K1035" s="1" t="s">
        <v>48</v>
      </c>
      <c r="L1035" s="1" t="s">
        <v>164</v>
      </c>
      <c r="M1035" s="1">
        <v>1</v>
      </c>
      <c r="N1035" s="2">
        <v>9.67</v>
      </c>
      <c r="O1035" s="3">
        <v>16</v>
      </c>
      <c r="P1035" s="1">
        <v>0</v>
      </c>
      <c r="Q1035" s="1" t="s">
        <v>22</v>
      </c>
      <c r="R1035" s="1" t="s">
        <v>22</v>
      </c>
      <c r="S1035" s="1">
        <v>50</v>
      </c>
      <c r="T1035" s="1">
        <v>1</v>
      </c>
      <c r="U1035" s="1">
        <v>1</v>
      </c>
    </row>
    <row r="1036" spans="1:21" x14ac:dyDescent="0.25">
      <c r="A1036" s="4">
        <v>44777</v>
      </c>
      <c r="B1036" s="5">
        <v>0.52650462962962963</v>
      </c>
      <c r="C1036" s="1">
        <v>1703</v>
      </c>
      <c r="D1036" s="1">
        <v>13002606</v>
      </c>
      <c r="E1036" s="1">
        <v>13</v>
      </c>
      <c r="F1036" s="1">
        <v>22589</v>
      </c>
      <c r="G1036" s="1" t="s">
        <v>18</v>
      </c>
      <c r="H1036" s="1">
        <v>18</v>
      </c>
      <c r="I1036" s="1">
        <v>260840</v>
      </c>
      <c r="J1036" s="1" t="s">
        <v>355</v>
      </c>
      <c r="K1036" s="1" t="s">
        <v>48</v>
      </c>
      <c r="L1036" s="1" t="s">
        <v>164</v>
      </c>
      <c r="M1036" s="1">
        <v>1</v>
      </c>
      <c r="N1036" s="2">
        <v>9.66</v>
      </c>
      <c r="O1036" s="3">
        <v>16</v>
      </c>
      <c r="P1036" s="1">
        <v>0</v>
      </c>
      <c r="Q1036" s="1" t="s">
        <v>22</v>
      </c>
      <c r="R1036" s="1" t="s">
        <v>22</v>
      </c>
      <c r="S1036" s="1">
        <v>50</v>
      </c>
      <c r="T1036" s="1">
        <v>1</v>
      </c>
      <c r="U1036" s="1">
        <v>2</v>
      </c>
    </row>
    <row r="1037" spans="1:21" x14ac:dyDescent="0.25">
      <c r="A1037" s="4">
        <v>44777</v>
      </c>
      <c r="B1037" s="5">
        <v>0.5397453703703704</v>
      </c>
      <c r="C1037" s="1">
        <v>1709</v>
      </c>
      <c r="D1037" s="1">
        <v>13002606</v>
      </c>
      <c r="E1037" s="1">
        <v>13</v>
      </c>
      <c r="F1037" s="1">
        <v>22589</v>
      </c>
      <c r="G1037" s="1" t="s">
        <v>18</v>
      </c>
      <c r="H1037" s="1">
        <v>18</v>
      </c>
      <c r="I1037" s="1">
        <v>260840</v>
      </c>
      <c r="J1037" s="1" t="s">
        <v>355</v>
      </c>
      <c r="K1037" s="1" t="s">
        <v>48</v>
      </c>
      <c r="L1037" s="1" t="s">
        <v>164</v>
      </c>
      <c r="M1037" s="1">
        <v>1</v>
      </c>
      <c r="N1037" s="2">
        <v>9.66</v>
      </c>
      <c r="O1037" s="3">
        <v>16</v>
      </c>
      <c r="P1037" s="1">
        <v>0</v>
      </c>
      <c r="Q1037" s="1" t="s">
        <v>22</v>
      </c>
      <c r="R1037" s="1" t="s">
        <v>22</v>
      </c>
      <c r="S1037" s="1">
        <v>50</v>
      </c>
      <c r="T1037" s="1">
        <v>1</v>
      </c>
      <c r="U1037" s="1">
        <v>1</v>
      </c>
    </row>
    <row r="1038" spans="1:21" x14ac:dyDescent="0.25">
      <c r="A1038" s="4">
        <v>44777</v>
      </c>
      <c r="B1038" s="5">
        <v>0.5276967592592593</v>
      </c>
      <c r="C1038" s="1">
        <v>1704</v>
      </c>
      <c r="D1038" s="1">
        <v>13002606</v>
      </c>
      <c r="E1038" s="1">
        <v>13</v>
      </c>
      <c r="F1038" s="1">
        <v>22589</v>
      </c>
      <c r="G1038" s="1" t="s">
        <v>18</v>
      </c>
      <c r="H1038" s="1">
        <v>15</v>
      </c>
      <c r="I1038" s="1">
        <v>466557</v>
      </c>
      <c r="J1038" s="1" t="s">
        <v>984</v>
      </c>
      <c r="K1038" s="1" t="s">
        <v>31</v>
      </c>
      <c r="L1038" s="1" t="s">
        <v>985</v>
      </c>
      <c r="M1038" s="1">
        <v>1</v>
      </c>
      <c r="N1038" s="2">
        <v>100.58</v>
      </c>
      <c r="O1038" s="3">
        <v>146</v>
      </c>
      <c r="P1038" s="1">
        <v>36</v>
      </c>
      <c r="Q1038" s="1">
        <v>939</v>
      </c>
      <c r="R1038" s="1">
        <v>200000000042</v>
      </c>
      <c r="S1038" s="1">
        <v>50</v>
      </c>
      <c r="T1038" s="1">
        <v>1</v>
      </c>
      <c r="U1038" s="1">
        <v>1</v>
      </c>
    </row>
    <row r="1039" spans="1:21" x14ac:dyDescent="0.25">
      <c r="A1039" s="4">
        <v>44777</v>
      </c>
      <c r="B1039" s="5">
        <v>0.52925925925925921</v>
      </c>
      <c r="C1039" s="1">
        <v>1705</v>
      </c>
      <c r="D1039" s="1">
        <v>13002606</v>
      </c>
      <c r="E1039" s="1">
        <v>13</v>
      </c>
      <c r="F1039" s="1">
        <v>22589</v>
      </c>
      <c r="G1039" s="1" t="s">
        <v>18</v>
      </c>
      <c r="H1039" s="1">
        <v>15</v>
      </c>
      <c r="I1039" s="1">
        <v>431</v>
      </c>
      <c r="J1039" s="1" t="s">
        <v>986</v>
      </c>
      <c r="K1039" s="1" t="s">
        <v>26</v>
      </c>
      <c r="L1039" s="1" t="s">
        <v>213</v>
      </c>
      <c r="M1039" s="1">
        <v>1</v>
      </c>
      <c r="N1039" s="2">
        <v>41.83</v>
      </c>
      <c r="O1039" s="3">
        <v>51</v>
      </c>
      <c r="P1039" s="1">
        <v>0</v>
      </c>
      <c r="Q1039" s="1" t="s">
        <v>22</v>
      </c>
      <c r="R1039" s="1" t="s">
        <v>22</v>
      </c>
      <c r="S1039" s="1">
        <v>50</v>
      </c>
      <c r="T1039" s="1">
        <v>1</v>
      </c>
      <c r="U1039" s="1">
        <v>1</v>
      </c>
    </row>
    <row r="1040" spans="1:21" x14ac:dyDescent="0.25">
      <c r="A1040" s="4">
        <v>44777</v>
      </c>
      <c r="B1040" s="5">
        <v>0.53077546296296296</v>
      </c>
      <c r="C1040" s="1">
        <v>1706</v>
      </c>
      <c r="D1040" s="1">
        <v>13002606</v>
      </c>
      <c r="E1040" s="1">
        <v>13</v>
      </c>
      <c r="F1040" s="1">
        <v>22589</v>
      </c>
      <c r="G1040" s="1" t="s">
        <v>18</v>
      </c>
      <c r="H1040" s="1">
        <v>15</v>
      </c>
      <c r="I1040" s="1">
        <v>2302</v>
      </c>
      <c r="J1040" s="1" t="s">
        <v>78</v>
      </c>
      <c r="K1040" s="1" t="s">
        <v>20</v>
      </c>
      <c r="L1040" s="1" t="s">
        <v>79</v>
      </c>
      <c r="M1040" s="1">
        <v>1</v>
      </c>
      <c r="N1040" s="2">
        <v>149.12</v>
      </c>
      <c r="O1040" s="3">
        <v>179</v>
      </c>
      <c r="P1040" s="1">
        <v>8</v>
      </c>
      <c r="Q1040" s="1">
        <v>9</v>
      </c>
      <c r="R1040" s="1">
        <v>200010001054</v>
      </c>
      <c r="S1040" s="1">
        <v>50</v>
      </c>
      <c r="T1040" s="1">
        <v>1</v>
      </c>
      <c r="U1040" s="1">
        <v>2</v>
      </c>
    </row>
    <row r="1041" spans="1:21" x14ac:dyDescent="0.25">
      <c r="A1041" s="4">
        <v>44777</v>
      </c>
      <c r="B1041" s="5">
        <v>0.53077546296296296</v>
      </c>
      <c r="C1041" s="1">
        <v>1706</v>
      </c>
      <c r="D1041" s="1">
        <v>13002606</v>
      </c>
      <c r="E1041" s="1">
        <v>13</v>
      </c>
      <c r="F1041" s="1">
        <v>22589</v>
      </c>
      <c r="G1041" s="1" t="s">
        <v>18</v>
      </c>
      <c r="H1041" s="1">
        <v>15</v>
      </c>
      <c r="I1041" s="1">
        <v>434298</v>
      </c>
      <c r="J1041" s="1" t="s">
        <v>825</v>
      </c>
      <c r="K1041" s="1" t="s">
        <v>26</v>
      </c>
      <c r="L1041" s="1" t="s">
        <v>332</v>
      </c>
      <c r="M1041" s="1">
        <v>1</v>
      </c>
      <c r="N1041" s="2">
        <v>85.97</v>
      </c>
      <c r="O1041" s="3">
        <v>123</v>
      </c>
      <c r="P1041" s="1">
        <v>8</v>
      </c>
      <c r="Q1041" s="1">
        <v>9</v>
      </c>
      <c r="R1041" s="1">
        <v>200010001054</v>
      </c>
      <c r="S1041" s="1">
        <v>50</v>
      </c>
      <c r="T1041" s="1">
        <v>1</v>
      </c>
      <c r="U1041" s="1">
        <v>4</v>
      </c>
    </row>
    <row r="1042" spans="1:21" x14ac:dyDescent="0.25">
      <c r="A1042" s="4">
        <v>44777</v>
      </c>
      <c r="B1042" s="5">
        <v>0.53077546296296296</v>
      </c>
      <c r="C1042" s="1">
        <v>1706</v>
      </c>
      <c r="D1042" s="1">
        <v>13002606</v>
      </c>
      <c r="E1042" s="1">
        <v>13</v>
      </c>
      <c r="F1042" s="1">
        <v>22589</v>
      </c>
      <c r="G1042" s="1" t="s">
        <v>18</v>
      </c>
      <c r="H1042" s="1">
        <v>15</v>
      </c>
      <c r="I1042" s="1">
        <v>434298</v>
      </c>
      <c r="J1042" s="1" t="s">
        <v>825</v>
      </c>
      <c r="K1042" s="1" t="s">
        <v>26</v>
      </c>
      <c r="L1042" s="1" t="s">
        <v>332</v>
      </c>
      <c r="M1042" s="1">
        <v>1</v>
      </c>
      <c r="N1042" s="2">
        <v>85.97</v>
      </c>
      <c r="O1042" s="3">
        <v>123</v>
      </c>
      <c r="P1042" s="1">
        <v>8</v>
      </c>
      <c r="Q1042" s="1">
        <v>9</v>
      </c>
      <c r="R1042" s="1">
        <v>200010001054</v>
      </c>
      <c r="S1042" s="1">
        <v>50</v>
      </c>
      <c r="T1042" s="1">
        <v>1</v>
      </c>
      <c r="U1042" s="1">
        <v>5</v>
      </c>
    </row>
    <row r="1043" spans="1:21" x14ac:dyDescent="0.25">
      <c r="A1043" s="4">
        <v>44777</v>
      </c>
      <c r="B1043" s="5">
        <v>0.53077546296296296</v>
      </c>
      <c r="C1043" s="1">
        <v>1706</v>
      </c>
      <c r="D1043" s="1">
        <v>13002606</v>
      </c>
      <c r="E1043" s="1">
        <v>13</v>
      </c>
      <c r="F1043" s="1">
        <v>22589</v>
      </c>
      <c r="G1043" s="1" t="s">
        <v>18</v>
      </c>
      <c r="H1043" s="1">
        <v>15</v>
      </c>
      <c r="I1043" s="1">
        <v>292049</v>
      </c>
      <c r="J1043" s="1" t="s">
        <v>987</v>
      </c>
      <c r="K1043" s="1" t="s">
        <v>48</v>
      </c>
      <c r="L1043" s="1" t="s">
        <v>714</v>
      </c>
      <c r="M1043" s="1">
        <v>1</v>
      </c>
      <c r="N1043" s="2">
        <v>491.86</v>
      </c>
      <c r="O1043" s="3">
        <v>591</v>
      </c>
      <c r="P1043" s="1">
        <v>17</v>
      </c>
      <c r="Q1043" s="1">
        <v>9</v>
      </c>
      <c r="R1043" s="1">
        <v>200010001054</v>
      </c>
      <c r="S1043" s="1">
        <v>50</v>
      </c>
      <c r="T1043" s="1">
        <v>1</v>
      </c>
      <c r="U1043" s="1">
        <v>3</v>
      </c>
    </row>
    <row r="1044" spans="1:21" x14ac:dyDescent="0.25">
      <c r="A1044" s="4">
        <v>44777</v>
      </c>
      <c r="B1044" s="5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18</v>
      </c>
      <c r="H1044" s="1">
        <v>15</v>
      </c>
      <c r="I1044" s="1">
        <v>300536</v>
      </c>
      <c r="J1044" s="1" t="s">
        <v>988</v>
      </c>
      <c r="K1044" s="1" t="s">
        <v>42</v>
      </c>
      <c r="L1044" s="1" t="s">
        <v>989</v>
      </c>
      <c r="M1044" s="1">
        <v>1</v>
      </c>
      <c r="N1044" s="2">
        <v>307.68</v>
      </c>
      <c r="O1044" s="3">
        <v>375</v>
      </c>
      <c r="P1044" s="1">
        <v>18</v>
      </c>
      <c r="Q1044" s="1">
        <v>9</v>
      </c>
      <c r="R1044" s="1">
        <v>200010001054</v>
      </c>
      <c r="S1044" s="1">
        <v>50</v>
      </c>
      <c r="T1044" s="1">
        <v>1</v>
      </c>
      <c r="U1044" s="1">
        <v>1</v>
      </c>
    </row>
    <row r="1045" spans="1:21" x14ac:dyDescent="0.25">
      <c r="A1045" s="4">
        <v>44777</v>
      </c>
      <c r="B1045" s="5">
        <v>0.53268518518518515</v>
      </c>
      <c r="C1045" s="1">
        <v>1707</v>
      </c>
      <c r="D1045" s="1">
        <v>13002606</v>
      </c>
      <c r="E1045" s="1">
        <v>13</v>
      </c>
      <c r="F1045" s="1">
        <v>22589</v>
      </c>
      <c r="G1045" s="1" t="s">
        <v>18</v>
      </c>
      <c r="H1045" s="1">
        <v>15</v>
      </c>
      <c r="I1045" s="1">
        <v>493753</v>
      </c>
      <c r="J1045" s="1" t="s">
        <v>845</v>
      </c>
      <c r="K1045" s="1" t="s">
        <v>42</v>
      </c>
      <c r="L1045" s="1" t="s">
        <v>846</v>
      </c>
      <c r="M1045" s="1">
        <v>1</v>
      </c>
      <c r="N1045" s="2">
        <v>479.59</v>
      </c>
      <c r="O1045" s="3">
        <v>552</v>
      </c>
      <c r="P1045" s="1">
        <v>55</v>
      </c>
      <c r="Q1045" s="1">
        <v>9</v>
      </c>
      <c r="R1045" s="1">
        <v>200010001054</v>
      </c>
      <c r="S1045" s="1">
        <v>50</v>
      </c>
      <c r="T1045" s="1">
        <v>1</v>
      </c>
      <c r="U1045" s="1">
        <v>1</v>
      </c>
    </row>
    <row r="1046" spans="1:21" x14ac:dyDescent="0.25">
      <c r="A1046" s="4">
        <v>44777</v>
      </c>
      <c r="B1046" s="5">
        <v>0.53599537037037037</v>
      </c>
      <c r="C1046" s="1">
        <v>1708</v>
      </c>
      <c r="D1046" s="1">
        <v>13002606</v>
      </c>
      <c r="E1046" s="1">
        <v>13</v>
      </c>
      <c r="F1046" s="1">
        <v>22589</v>
      </c>
      <c r="G1046" s="1" t="s">
        <v>18</v>
      </c>
      <c r="H1046" s="1">
        <v>18</v>
      </c>
      <c r="I1046" s="1">
        <v>100563</v>
      </c>
      <c r="J1046" s="1" t="s">
        <v>990</v>
      </c>
      <c r="K1046" s="1" t="s">
        <v>31</v>
      </c>
      <c r="L1046" s="1" t="s">
        <v>720</v>
      </c>
      <c r="M1046" s="1">
        <v>1</v>
      </c>
      <c r="N1046" s="2">
        <v>337.01</v>
      </c>
      <c r="O1046" s="3">
        <v>399</v>
      </c>
      <c r="P1046" s="1">
        <v>19</v>
      </c>
      <c r="Q1046" s="1">
        <v>9</v>
      </c>
      <c r="R1046" s="1">
        <v>200010020285</v>
      </c>
      <c r="S1046" s="1">
        <v>50</v>
      </c>
      <c r="T1046" s="1">
        <v>1</v>
      </c>
      <c r="U1046" s="1">
        <v>1</v>
      </c>
    </row>
    <row r="1047" spans="1:21" x14ac:dyDescent="0.25">
      <c r="A1047" s="4">
        <v>44777</v>
      </c>
      <c r="B1047" s="5">
        <v>0.53599537037037037</v>
      </c>
      <c r="C1047" s="1">
        <v>1708</v>
      </c>
      <c r="D1047" s="1">
        <v>13002606</v>
      </c>
      <c r="E1047" s="1">
        <v>13</v>
      </c>
      <c r="F1047" s="1">
        <v>22589</v>
      </c>
      <c r="G1047" s="1" t="s">
        <v>18</v>
      </c>
      <c r="H1047" s="1">
        <v>18</v>
      </c>
      <c r="I1047" s="1">
        <v>100563</v>
      </c>
      <c r="J1047" s="1" t="s">
        <v>990</v>
      </c>
      <c r="K1047" s="1" t="s">
        <v>31</v>
      </c>
      <c r="L1047" s="1" t="s">
        <v>720</v>
      </c>
      <c r="M1047" s="1">
        <v>1</v>
      </c>
      <c r="N1047" s="2">
        <v>337.01</v>
      </c>
      <c r="O1047" s="3">
        <v>399</v>
      </c>
      <c r="P1047" s="1">
        <v>19</v>
      </c>
      <c r="Q1047" s="1">
        <v>9</v>
      </c>
      <c r="R1047" s="1">
        <v>200010020285</v>
      </c>
      <c r="S1047" s="1">
        <v>50</v>
      </c>
      <c r="T1047" s="1">
        <v>1</v>
      </c>
      <c r="U1047" s="1">
        <v>2</v>
      </c>
    </row>
    <row r="1048" spans="1:21" x14ac:dyDescent="0.25">
      <c r="A1048" s="4">
        <v>44777</v>
      </c>
      <c r="B1048" s="5">
        <v>0.5397453703703704</v>
      </c>
      <c r="C1048" s="1">
        <v>1709</v>
      </c>
      <c r="D1048" s="1">
        <v>13002606</v>
      </c>
      <c r="E1048" s="1">
        <v>13</v>
      </c>
      <c r="F1048" s="1">
        <v>22589</v>
      </c>
      <c r="G1048" s="1" t="s">
        <v>18</v>
      </c>
      <c r="H1048" s="1">
        <v>18</v>
      </c>
      <c r="I1048" s="1">
        <v>1504330</v>
      </c>
      <c r="J1048" s="1" t="s">
        <v>991</v>
      </c>
      <c r="K1048" s="1" t="s">
        <v>141</v>
      </c>
      <c r="L1048" s="1" t="s">
        <v>720</v>
      </c>
      <c r="M1048" s="1">
        <v>1</v>
      </c>
      <c r="N1048" s="2">
        <v>24.81</v>
      </c>
      <c r="O1048" s="3">
        <v>25</v>
      </c>
      <c r="P1048" s="1">
        <v>0</v>
      </c>
      <c r="Q1048" s="1" t="s">
        <v>22</v>
      </c>
      <c r="R1048" s="1" t="s">
        <v>22</v>
      </c>
      <c r="S1048" s="1">
        <v>50</v>
      </c>
      <c r="T1048" s="1">
        <v>1</v>
      </c>
      <c r="U1048" s="1">
        <v>2</v>
      </c>
    </row>
    <row r="1049" spans="1:21" x14ac:dyDescent="0.25">
      <c r="A1049" s="4">
        <v>44777</v>
      </c>
      <c r="B1049" s="5">
        <v>0.54041666666666666</v>
      </c>
      <c r="C1049" s="1">
        <v>1710</v>
      </c>
      <c r="D1049" s="1">
        <v>13002606</v>
      </c>
      <c r="E1049" s="1">
        <v>13</v>
      </c>
      <c r="F1049" s="1">
        <v>22589</v>
      </c>
      <c r="G1049" s="1" t="s">
        <v>18</v>
      </c>
      <c r="H1049" s="1">
        <v>18</v>
      </c>
      <c r="I1049" s="1">
        <v>15543</v>
      </c>
      <c r="J1049" s="1" t="s">
        <v>992</v>
      </c>
      <c r="K1049" s="1" t="s">
        <v>26</v>
      </c>
      <c r="L1049" s="1" t="s">
        <v>993</v>
      </c>
      <c r="M1049" s="1">
        <v>1</v>
      </c>
      <c r="N1049" s="2">
        <v>187.42</v>
      </c>
      <c r="O1049" s="3">
        <v>222</v>
      </c>
      <c r="P1049" s="1">
        <v>50</v>
      </c>
      <c r="Q1049" s="1">
        <v>925</v>
      </c>
      <c r="R1049" s="1">
        <v>200000000492</v>
      </c>
      <c r="S1049" s="1">
        <v>50</v>
      </c>
      <c r="T1049" s="1">
        <v>1</v>
      </c>
      <c r="U1049" s="1">
        <v>1</v>
      </c>
    </row>
    <row r="1050" spans="1:21" x14ac:dyDescent="0.25">
      <c r="A1050" s="4">
        <v>44777</v>
      </c>
      <c r="B1050" s="5">
        <v>0.54090277777777773</v>
      </c>
      <c r="C1050" s="1">
        <v>1711</v>
      </c>
      <c r="D1050" s="1">
        <v>13002606</v>
      </c>
      <c r="E1050" s="1">
        <v>13</v>
      </c>
      <c r="F1050" s="1">
        <v>22589</v>
      </c>
      <c r="G1050" s="1" t="s">
        <v>18</v>
      </c>
      <c r="H1050" s="1">
        <v>15</v>
      </c>
      <c r="I1050" s="1">
        <v>378577</v>
      </c>
      <c r="J1050" s="1" t="s">
        <v>994</v>
      </c>
      <c r="K1050" s="1" t="s">
        <v>48</v>
      </c>
      <c r="L1050" s="1" t="s">
        <v>263</v>
      </c>
      <c r="M1050" s="1">
        <v>2</v>
      </c>
      <c r="N1050" s="2">
        <v>26.19</v>
      </c>
      <c r="O1050" s="3">
        <v>43</v>
      </c>
      <c r="P1050" s="1">
        <v>8</v>
      </c>
      <c r="Q1050" s="1">
        <v>9</v>
      </c>
      <c r="R1050" s="1">
        <v>200010021933</v>
      </c>
      <c r="S1050" s="1">
        <v>50</v>
      </c>
      <c r="T1050" s="1">
        <v>1</v>
      </c>
      <c r="U1050" s="1">
        <v>1</v>
      </c>
    </row>
    <row r="1051" spans="1:21" x14ac:dyDescent="0.25">
      <c r="A1051" s="4">
        <v>44777</v>
      </c>
      <c r="B1051" s="5">
        <v>0.54312499999999997</v>
      </c>
      <c r="C1051" s="1">
        <v>1713</v>
      </c>
      <c r="D1051" s="1">
        <v>13002606</v>
      </c>
      <c r="E1051" s="1">
        <v>13</v>
      </c>
      <c r="F1051" s="1">
        <v>22589</v>
      </c>
      <c r="G1051" s="1" t="s">
        <v>18</v>
      </c>
      <c r="H1051" s="1">
        <v>15</v>
      </c>
      <c r="I1051" s="1">
        <v>1799</v>
      </c>
      <c r="J1051" s="1" t="s">
        <v>995</v>
      </c>
      <c r="K1051" s="1" t="s">
        <v>31</v>
      </c>
      <c r="L1051" s="1" t="s">
        <v>996</v>
      </c>
      <c r="M1051" s="1">
        <v>1</v>
      </c>
      <c r="N1051" s="2">
        <v>407.45</v>
      </c>
      <c r="O1051" s="3">
        <v>489</v>
      </c>
      <c r="P1051" s="1">
        <v>34</v>
      </c>
      <c r="Q1051" s="1">
        <v>9</v>
      </c>
      <c r="R1051" s="1">
        <v>200010014179</v>
      </c>
      <c r="S1051" s="1">
        <v>50</v>
      </c>
      <c r="T1051" s="1">
        <v>1</v>
      </c>
      <c r="U1051" s="1">
        <v>1</v>
      </c>
    </row>
    <row r="1052" spans="1:21" x14ac:dyDescent="0.25">
      <c r="A1052" s="4">
        <v>44777</v>
      </c>
      <c r="B1052" s="5">
        <v>0.54312499999999997</v>
      </c>
      <c r="C1052" s="1">
        <v>1713</v>
      </c>
      <c r="D1052" s="1">
        <v>13002606</v>
      </c>
      <c r="E1052" s="1">
        <v>13</v>
      </c>
      <c r="F1052" s="1">
        <v>22589</v>
      </c>
      <c r="G1052" s="1" t="s">
        <v>18</v>
      </c>
      <c r="H1052" s="1">
        <v>15</v>
      </c>
      <c r="I1052" s="1">
        <v>40051</v>
      </c>
      <c r="J1052" s="1" t="s">
        <v>997</v>
      </c>
      <c r="K1052" s="1" t="s">
        <v>48</v>
      </c>
      <c r="L1052" s="1" t="s">
        <v>998</v>
      </c>
      <c r="M1052" s="1">
        <v>1</v>
      </c>
      <c r="N1052" s="2">
        <v>89.96</v>
      </c>
      <c r="O1052" s="3">
        <v>142</v>
      </c>
      <c r="P1052" s="1">
        <v>14</v>
      </c>
      <c r="Q1052" s="1">
        <v>9</v>
      </c>
      <c r="R1052" s="1">
        <v>200010014179</v>
      </c>
      <c r="S1052" s="1">
        <v>50</v>
      </c>
      <c r="T1052" s="1">
        <v>1</v>
      </c>
      <c r="U1052" s="1">
        <v>2</v>
      </c>
    </row>
    <row r="1053" spans="1:21" x14ac:dyDescent="0.25">
      <c r="A1053" s="4">
        <v>44777</v>
      </c>
      <c r="B1053" s="5">
        <v>0.54795138888888884</v>
      </c>
      <c r="C1053" s="1">
        <v>1714</v>
      </c>
      <c r="D1053" s="1">
        <v>13002606</v>
      </c>
      <c r="E1053" s="1">
        <v>13</v>
      </c>
      <c r="F1053" s="1">
        <v>22589</v>
      </c>
      <c r="G1053" s="1" t="s">
        <v>18</v>
      </c>
      <c r="H1053" s="1">
        <v>18</v>
      </c>
      <c r="I1053" s="1">
        <v>266253</v>
      </c>
      <c r="J1053" s="1" t="s">
        <v>999</v>
      </c>
      <c r="K1053" s="1" t="s">
        <v>61</v>
      </c>
      <c r="L1053" s="1" t="s">
        <v>1000</v>
      </c>
      <c r="M1053" s="1">
        <v>1</v>
      </c>
      <c r="N1053" s="2">
        <v>398.77</v>
      </c>
      <c r="O1053" s="3">
        <v>587</v>
      </c>
      <c r="P1053" s="1">
        <v>58</v>
      </c>
      <c r="Q1053" s="1">
        <v>9</v>
      </c>
      <c r="R1053" s="1">
        <v>200010018671</v>
      </c>
      <c r="S1053" s="1">
        <v>50</v>
      </c>
      <c r="T1053" s="1">
        <v>1</v>
      </c>
      <c r="U1053" s="1">
        <v>1</v>
      </c>
    </row>
    <row r="1054" spans="1:21" x14ac:dyDescent="0.25">
      <c r="A1054" s="4">
        <v>44777</v>
      </c>
      <c r="B1054" s="5">
        <v>0.54795138888888884</v>
      </c>
      <c r="C1054" s="1">
        <v>1714</v>
      </c>
      <c r="D1054" s="1">
        <v>13002606</v>
      </c>
      <c r="E1054" s="1">
        <v>13</v>
      </c>
      <c r="F1054" s="1">
        <v>22589</v>
      </c>
      <c r="G1054" s="1" t="s">
        <v>18</v>
      </c>
      <c r="H1054" s="1">
        <v>18</v>
      </c>
      <c r="I1054" s="1">
        <v>564766</v>
      </c>
      <c r="J1054" s="1" t="s">
        <v>831</v>
      </c>
      <c r="K1054" s="1" t="s">
        <v>61</v>
      </c>
      <c r="L1054" s="1" t="s">
        <v>506</v>
      </c>
      <c r="M1054" s="1">
        <v>1</v>
      </c>
      <c r="N1054" s="2">
        <v>6.44</v>
      </c>
      <c r="O1054" s="3">
        <v>11</v>
      </c>
      <c r="P1054" s="1">
        <v>1</v>
      </c>
      <c r="Q1054" s="1">
        <v>9</v>
      </c>
      <c r="R1054" s="1">
        <v>200010018671</v>
      </c>
      <c r="S1054" s="1">
        <v>50</v>
      </c>
      <c r="T1054" s="1">
        <v>1</v>
      </c>
      <c r="U1054" s="1">
        <v>3</v>
      </c>
    </row>
    <row r="1055" spans="1:21" x14ac:dyDescent="0.25">
      <c r="A1055" s="4">
        <v>44777</v>
      </c>
      <c r="B1055" s="5">
        <v>0.77209490740740738</v>
      </c>
      <c r="C1055" s="1">
        <v>1768</v>
      </c>
      <c r="D1055" s="1">
        <v>13002606</v>
      </c>
      <c r="E1055" s="1">
        <v>13</v>
      </c>
      <c r="F1055" s="1">
        <v>22589</v>
      </c>
      <c r="G1055" s="1" t="s">
        <v>18</v>
      </c>
      <c r="H1055" s="1">
        <v>15</v>
      </c>
      <c r="I1055" s="1">
        <v>564766</v>
      </c>
      <c r="J1055" s="1" t="s">
        <v>831</v>
      </c>
      <c r="K1055" s="1" t="s">
        <v>61</v>
      </c>
      <c r="L1055" s="1" t="s">
        <v>506</v>
      </c>
      <c r="M1055" s="1">
        <v>1</v>
      </c>
      <c r="N1055" s="2">
        <v>6.44</v>
      </c>
      <c r="O1055" s="3">
        <v>11</v>
      </c>
      <c r="P1055" s="1">
        <v>1</v>
      </c>
      <c r="Q1055" s="1">
        <v>9</v>
      </c>
      <c r="R1055" s="1">
        <v>200010001749</v>
      </c>
      <c r="S1055" s="1">
        <v>50</v>
      </c>
      <c r="T1055" s="1">
        <v>1</v>
      </c>
      <c r="U1055" s="1">
        <v>1</v>
      </c>
    </row>
    <row r="1056" spans="1:21" x14ac:dyDescent="0.25">
      <c r="A1056" s="4">
        <v>44777</v>
      </c>
      <c r="B1056" s="5">
        <v>0.54795138888888884</v>
      </c>
      <c r="C1056" s="1">
        <v>1714</v>
      </c>
      <c r="D1056" s="1">
        <v>13002606</v>
      </c>
      <c r="E1056" s="1">
        <v>13</v>
      </c>
      <c r="F1056" s="1">
        <v>22589</v>
      </c>
      <c r="G1056" s="1" t="s">
        <v>18</v>
      </c>
      <c r="H1056" s="1">
        <v>18</v>
      </c>
      <c r="I1056" s="1">
        <v>148617</v>
      </c>
      <c r="J1056" s="1" t="s">
        <v>1001</v>
      </c>
      <c r="K1056" s="1" t="s">
        <v>48</v>
      </c>
      <c r="L1056" s="1" t="s">
        <v>77</v>
      </c>
      <c r="M1056" s="1">
        <v>2</v>
      </c>
      <c r="N1056" s="2">
        <v>36.22</v>
      </c>
      <c r="O1056" s="3">
        <v>59</v>
      </c>
      <c r="P1056" s="1">
        <v>11</v>
      </c>
      <c r="Q1056" s="1">
        <v>9</v>
      </c>
      <c r="R1056" s="1">
        <v>200010018671</v>
      </c>
      <c r="S1056" s="1">
        <v>50</v>
      </c>
      <c r="T1056" s="1">
        <v>1</v>
      </c>
      <c r="U1056" s="1">
        <v>4</v>
      </c>
    </row>
    <row r="1057" spans="1:21" x14ac:dyDescent="0.25">
      <c r="A1057" s="4">
        <v>44777</v>
      </c>
      <c r="B1057" s="5">
        <v>0.54883101851851857</v>
      </c>
      <c r="C1057" s="1">
        <v>1715</v>
      </c>
      <c r="D1057" s="1">
        <v>13002606</v>
      </c>
      <c r="E1057" s="1">
        <v>13</v>
      </c>
      <c r="F1057" s="1">
        <v>22589</v>
      </c>
      <c r="G1057" s="1" t="s">
        <v>18</v>
      </c>
      <c r="H1057" s="1">
        <v>18</v>
      </c>
      <c r="I1057" s="1">
        <v>45763</v>
      </c>
      <c r="J1057" s="1" t="s">
        <v>1002</v>
      </c>
      <c r="K1057" s="1" t="s">
        <v>20</v>
      </c>
      <c r="L1057" s="1" t="s">
        <v>134</v>
      </c>
      <c r="M1057" s="1">
        <v>1</v>
      </c>
      <c r="N1057" s="2">
        <v>566.89</v>
      </c>
      <c r="O1057" s="3">
        <v>633</v>
      </c>
      <c r="P1057" s="1">
        <v>18</v>
      </c>
      <c r="Q1057" s="1">
        <v>9</v>
      </c>
      <c r="R1057" s="1">
        <v>200010001580</v>
      </c>
      <c r="S1057" s="1">
        <v>50</v>
      </c>
      <c r="T1057" s="1">
        <v>1</v>
      </c>
      <c r="U1057" s="1">
        <v>1</v>
      </c>
    </row>
    <row r="1058" spans="1:21" x14ac:dyDescent="0.25">
      <c r="A1058" s="4">
        <v>44777</v>
      </c>
      <c r="B1058" s="5">
        <v>0.5534027777777778</v>
      </c>
      <c r="C1058" s="1">
        <v>1716</v>
      </c>
      <c r="D1058" s="1">
        <v>13002606</v>
      </c>
      <c r="E1058" s="1">
        <v>13</v>
      </c>
      <c r="F1058" s="1">
        <v>22589</v>
      </c>
      <c r="G1058" s="1" t="s">
        <v>18</v>
      </c>
      <c r="H1058" s="1">
        <v>15</v>
      </c>
      <c r="I1058" s="1">
        <v>21850</v>
      </c>
      <c r="J1058" s="1" t="s">
        <v>1003</v>
      </c>
      <c r="K1058" s="1" t="s">
        <v>45</v>
      </c>
      <c r="L1058" s="1" t="s">
        <v>1004</v>
      </c>
      <c r="M1058" s="1">
        <v>1</v>
      </c>
      <c r="N1058" s="2">
        <v>143.47</v>
      </c>
      <c r="O1058" s="3">
        <v>175.5</v>
      </c>
      <c r="P1058" s="1">
        <v>0</v>
      </c>
      <c r="Q1058" s="1" t="s">
        <v>22</v>
      </c>
      <c r="R1058" s="1" t="s">
        <v>22</v>
      </c>
      <c r="S1058" s="1">
        <v>50</v>
      </c>
      <c r="T1058" s="1">
        <v>1</v>
      </c>
      <c r="U1058" s="1">
        <v>1</v>
      </c>
    </row>
    <row r="1059" spans="1:21" x14ac:dyDescent="0.25">
      <c r="A1059" s="4">
        <v>44777</v>
      </c>
      <c r="B1059" s="5">
        <v>0.56057870370370366</v>
      </c>
      <c r="C1059" s="1">
        <v>1717</v>
      </c>
      <c r="D1059" s="1">
        <v>13002606</v>
      </c>
      <c r="E1059" s="1">
        <v>13</v>
      </c>
      <c r="F1059" s="1">
        <v>22589</v>
      </c>
      <c r="G1059" s="1" t="s">
        <v>18</v>
      </c>
      <c r="H1059" s="1">
        <v>18</v>
      </c>
      <c r="I1059" s="1">
        <v>342088</v>
      </c>
      <c r="J1059" s="1" t="s">
        <v>1005</v>
      </c>
      <c r="K1059" s="1" t="s">
        <v>138</v>
      </c>
      <c r="L1059" s="1" t="s">
        <v>1006</v>
      </c>
      <c r="M1059" s="1">
        <v>2</v>
      </c>
      <c r="N1059" s="2">
        <v>114.9</v>
      </c>
      <c r="O1059" s="3">
        <v>179</v>
      </c>
      <c r="P1059" s="1">
        <v>53</v>
      </c>
      <c r="Q1059" s="1">
        <v>27</v>
      </c>
      <c r="R1059" s="1">
        <v>200010000015</v>
      </c>
      <c r="S1059" s="1">
        <v>50</v>
      </c>
      <c r="T1059" s="1">
        <v>1</v>
      </c>
      <c r="U1059" s="1">
        <v>1</v>
      </c>
    </row>
    <row r="1060" spans="1:21" x14ac:dyDescent="0.25">
      <c r="A1060" s="4">
        <v>44777</v>
      </c>
      <c r="B1060" s="5">
        <v>0.56679398148148152</v>
      </c>
      <c r="C1060" s="1">
        <v>1718</v>
      </c>
      <c r="D1060" s="1">
        <v>13002606</v>
      </c>
      <c r="E1060" s="1">
        <v>13</v>
      </c>
      <c r="F1060" s="1">
        <v>22589</v>
      </c>
      <c r="G1060" s="1" t="s">
        <v>18</v>
      </c>
      <c r="H1060" s="1">
        <v>15</v>
      </c>
      <c r="I1060" s="1">
        <v>33001</v>
      </c>
      <c r="J1060" s="1" t="s">
        <v>375</v>
      </c>
      <c r="K1060" s="1" t="s">
        <v>26</v>
      </c>
      <c r="L1060" s="1" t="s">
        <v>266</v>
      </c>
      <c r="M1060" s="1">
        <v>4</v>
      </c>
      <c r="N1060" s="2">
        <v>2.08</v>
      </c>
      <c r="O1060" s="3">
        <v>4</v>
      </c>
      <c r="P1060" s="1">
        <v>13</v>
      </c>
      <c r="Q1060" s="1">
        <v>925</v>
      </c>
      <c r="R1060" s="1">
        <v>200000000492</v>
      </c>
      <c r="S1060" s="1">
        <v>50</v>
      </c>
      <c r="T1060" s="1">
        <v>1</v>
      </c>
      <c r="U1060" s="1">
        <v>1</v>
      </c>
    </row>
    <row r="1061" spans="1:21" x14ac:dyDescent="0.25">
      <c r="A1061" s="4">
        <v>44777</v>
      </c>
      <c r="B1061" s="5">
        <v>0.60799768518518515</v>
      </c>
      <c r="C1061" s="1">
        <v>1732</v>
      </c>
      <c r="D1061" s="1">
        <v>13002606</v>
      </c>
      <c r="E1061" s="1">
        <v>13</v>
      </c>
      <c r="F1061" s="1">
        <v>22589</v>
      </c>
      <c r="G1061" s="1" t="s">
        <v>18</v>
      </c>
      <c r="H1061" s="1">
        <v>15</v>
      </c>
      <c r="I1061" s="1">
        <v>33001</v>
      </c>
      <c r="J1061" s="1" t="s">
        <v>375</v>
      </c>
      <c r="K1061" s="1" t="s">
        <v>26</v>
      </c>
      <c r="L1061" s="1" t="s">
        <v>266</v>
      </c>
      <c r="M1061" s="1">
        <v>4</v>
      </c>
      <c r="N1061" s="2">
        <v>2.08</v>
      </c>
      <c r="O1061" s="3">
        <v>4</v>
      </c>
      <c r="P1061" s="1">
        <v>1</v>
      </c>
      <c r="Q1061" s="1">
        <v>9</v>
      </c>
      <c r="R1061" s="1">
        <v>200010004094</v>
      </c>
      <c r="S1061" s="1">
        <v>50</v>
      </c>
      <c r="T1061" s="1">
        <v>1</v>
      </c>
      <c r="U1061" s="1">
        <v>2</v>
      </c>
    </row>
    <row r="1062" spans="1:21" x14ac:dyDescent="0.25">
      <c r="A1062" s="4">
        <v>44777</v>
      </c>
      <c r="B1062" s="5">
        <v>0.61011574074074071</v>
      </c>
      <c r="C1062" s="1">
        <v>1733</v>
      </c>
      <c r="D1062" s="1">
        <v>13002606</v>
      </c>
      <c r="E1062" s="1">
        <v>13</v>
      </c>
      <c r="F1062" s="1">
        <v>22589</v>
      </c>
      <c r="G1062" s="1" t="s">
        <v>18</v>
      </c>
      <c r="H1062" s="1">
        <v>15</v>
      </c>
      <c r="I1062" s="1">
        <v>33001</v>
      </c>
      <c r="J1062" s="1" t="s">
        <v>375</v>
      </c>
      <c r="K1062" s="1" t="s">
        <v>26</v>
      </c>
      <c r="L1062" s="1" t="s">
        <v>266</v>
      </c>
      <c r="M1062" s="1">
        <v>4</v>
      </c>
      <c r="N1062" s="2">
        <v>2.08</v>
      </c>
      <c r="O1062" s="3">
        <v>4</v>
      </c>
      <c r="P1062" s="1">
        <v>1</v>
      </c>
      <c r="Q1062" s="1">
        <v>9</v>
      </c>
      <c r="R1062" s="1">
        <v>200010004764</v>
      </c>
      <c r="S1062" s="1">
        <v>50</v>
      </c>
      <c r="T1062" s="1">
        <v>1</v>
      </c>
      <c r="U1062" s="1">
        <v>3</v>
      </c>
    </row>
    <row r="1063" spans="1:21" x14ac:dyDescent="0.25">
      <c r="A1063" s="4">
        <v>44777</v>
      </c>
      <c r="B1063" s="5">
        <v>0.56767361111111114</v>
      </c>
      <c r="C1063" s="1">
        <v>1719</v>
      </c>
      <c r="D1063" s="1">
        <v>13002606</v>
      </c>
      <c r="E1063" s="1">
        <v>13</v>
      </c>
      <c r="F1063" s="1">
        <v>22589</v>
      </c>
      <c r="G1063" s="1" t="s">
        <v>18</v>
      </c>
      <c r="H1063" s="1">
        <v>18</v>
      </c>
      <c r="I1063" s="1">
        <v>39416</v>
      </c>
      <c r="J1063" s="1" t="s">
        <v>392</v>
      </c>
      <c r="K1063" s="1" t="s">
        <v>20</v>
      </c>
      <c r="L1063" s="1" t="s">
        <v>172</v>
      </c>
      <c r="M1063" s="1">
        <v>1</v>
      </c>
      <c r="N1063" s="2">
        <v>150.94</v>
      </c>
      <c r="O1063" s="3">
        <v>207</v>
      </c>
      <c r="P1063" s="1">
        <v>14</v>
      </c>
      <c r="Q1063" s="1">
        <v>9</v>
      </c>
      <c r="R1063" s="1">
        <v>200010009626</v>
      </c>
      <c r="S1063" s="1">
        <v>50</v>
      </c>
      <c r="T1063" s="1">
        <v>1</v>
      </c>
      <c r="U1063" s="1">
        <v>1</v>
      </c>
    </row>
    <row r="1064" spans="1:21" x14ac:dyDescent="0.25">
      <c r="A1064" s="4">
        <v>44777</v>
      </c>
      <c r="B1064" s="5">
        <v>0.5683449074074074</v>
      </c>
      <c r="C1064" s="1">
        <v>1720</v>
      </c>
      <c r="D1064" s="1">
        <v>13002606</v>
      </c>
      <c r="E1064" s="1">
        <v>13</v>
      </c>
      <c r="F1064" s="1">
        <v>22589</v>
      </c>
      <c r="G1064" s="1" t="s">
        <v>18</v>
      </c>
      <c r="H1064" s="1">
        <v>18</v>
      </c>
      <c r="I1064" s="1">
        <v>435891</v>
      </c>
      <c r="J1064" s="1" t="s">
        <v>1007</v>
      </c>
      <c r="K1064" s="1" t="s">
        <v>20</v>
      </c>
      <c r="L1064" s="1" t="s">
        <v>799</v>
      </c>
      <c r="M1064" s="1">
        <v>1</v>
      </c>
      <c r="N1064" s="2">
        <v>52.8</v>
      </c>
      <c r="O1064" s="3">
        <v>81</v>
      </c>
      <c r="P1064" s="1">
        <v>5</v>
      </c>
      <c r="Q1064" s="1">
        <v>9</v>
      </c>
      <c r="R1064" s="1">
        <v>200010013117</v>
      </c>
      <c r="S1064" s="1">
        <v>50</v>
      </c>
      <c r="T1064" s="1">
        <v>1</v>
      </c>
      <c r="U1064" s="1">
        <v>1</v>
      </c>
    </row>
    <row r="1065" spans="1:21" x14ac:dyDescent="0.25">
      <c r="A1065" s="4">
        <v>44777</v>
      </c>
      <c r="B1065" s="5">
        <v>0.5683449074074074</v>
      </c>
      <c r="C1065" s="1">
        <v>1720</v>
      </c>
      <c r="D1065" s="1">
        <v>13002606</v>
      </c>
      <c r="E1065" s="1">
        <v>13</v>
      </c>
      <c r="F1065" s="1">
        <v>22589</v>
      </c>
      <c r="G1065" s="1" t="s">
        <v>18</v>
      </c>
      <c r="H1065" s="1">
        <v>18</v>
      </c>
      <c r="I1065" s="1">
        <v>18836</v>
      </c>
      <c r="J1065" s="1" t="s">
        <v>514</v>
      </c>
      <c r="K1065" s="1" t="s">
        <v>31</v>
      </c>
      <c r="L1065" s="1" t="s">
        <v>194</v>
      </c>
      <c r="M1065" s="1">
        <v>1</v>
      </c>
      <c r="N1065" s="2">
        <v>124.82</v>
      </c>
      <c r="O1065" s="3">
        <v>139</v>
      </c>
      <c r="P1065" s="1">
        <v>0</v>
      </c>
      <c r="Q1065" s="1" t="s">
        <v>22</v>
      </c>
      <c r="R1065" s="1" t="s">
        <v>22</v>
      </c>
      <c r="S1065" s="1">
        <v>50</v>
      </c>
      <c r="T1065" s="1">
        <v>2</v>
      </c>
      <c r="U1065" s="1">
        <v>3</v>
      </c>
    </row>
    <row r="1066" spans="1:21" x14ac:dyDescent="0.25">
      <c r="A1066" s="4">
        <v>44777</v>
      </c>
      <c r="B1066" s="5">
        <v>0.5683449074074074</v>
      </c>
      <c r="C1066" s="1">
        <v>1720</v>
      </c>
      <c r="D1066" s="1">
        <v>13002606</v>
      </c>
      <c r="E1066" s="1">
        <v>13</v>
      </c>
      <c r="F1066" s="1">
        <v>22589</v>
      </c>
      <c r="G1066" s="1" t="s">
        <v>18</v>
      </c>
      <c r="H1066" s="1">
        <v>18</v>
      </c>
      <c r="I1066" s="1">
        <v>1106</v>
      </c>
      <c r="J1066" s="1" t="s">
        <v>957</v>
      </c>
      <c r="K1066" s="1" t="s">
        <v>31</v>
      </c>
      <c r="L1066" s="1" t="s">
        <v>958</v>
      </c>
      <c r="M1066" s="1">
        <v>0.16</v>
      </c>
      <c r="N1066" s="2">
        <v>492.1</v>
      </c>
      <c r="O1066" s="3">
        <v>593</v>
      </c>
      <c r="P1066" s="1">
        <v>1.88</v>
      </c>
      <c r="Q1066" s="1">
        <v>9</v>
      </c>
      <c r="R1066" s="1">
        <v>200010013117</v>
      </c>
      <c r="S1066" s="1">
        <v>50</v>
      </c>
      <c r="T1066" s="1">
        <v>1</v>
      </c>
      <c r="U1066" s="1">
        <v>2</v>
      </c>
    </row>
    <row r="1067" spans="1:21" x14ac:dyDescent="0.25">
      <c r="A1067" s="4">
        <v>44777</v>
      </c>
      <c r="B1067" s="5">
        <v>0.57207175925925924</v>
      </c>
      <c r="C1067" s="1">
        <v>1721</v>
      </c>
      <c r="D1067" s="1">
        <v>13002606</v>
      </c>
      <c r="E1067" s="1">
        <v>13</v>
      </c>
      <c r="F1067" s="1">
        <v>22589</v>
      </c>
      <c r="G1067" s="1" t="s">
        <v>18</v>
      </c>
      <c r="H1067" s="1">
        <v>15</v>
      </c>
      <c r="I1067" s="1">
        <v>99349</v>
      </c>
      <c r="J1067" s="1" t="s">
        <v>1008</v>
      </c>
      <c r="K1067" s="1" t="s">
        <v>31</v>
      </c>
      <c r="L1067" s="1" t="s">
        <v>807</v>
      </c>
      <c r="M1067" s="1">
        <v>0.04</v>
      </c>
      <c r="N1067" s="2">
        <v>438.6</v>
      </c>
      <c r="O1067" s="3">
        <v>645</v>
      </c>
      <c r="P1067" s="1">
        <v>0</v>
      </c>
      <c r="Q1067" s="1" t="s">
        <v>22</v>
      </c>
      <c r="R1067" s="1" t="s">
        <v>22</v>
      </c>
      <c r="S1067" s="1">
        <v>50</v>
      </c>
      <c r="T1067" s="1">
        <v>1</v>
      </c>
      <c r="U1067" s="1">
        <v>1</v>
      </c>
    </row>
    <row r="1068" spans="1:21" x14ac:dyDescent="0.25">
      <c r="A1068" s="4">
        <v>44777</v>
      </c>
      <c r="B1068" s="5">
        <v>0.57535879629629627</v>
      </c>
      <c r="C1068" s="1">
        <v>1722</v>
      </c>
      <c r="D1068" s="1">
        <v>13002606</v>
      </c>
      <c r="E1068" s="1">
        <v>13</v>
      </c>
      <c r="F1068" s="1">
        <v>22589</v>
      </c>
      <c r="G1068" s="1" t="s">
        <v>18</v>
      </c>
      <c r="H1068" s="1">
        <v>15</v>
      </c>
      <c r="I1068" s="1">
        <v>897</v>
      </c>
      <c r="J1068" s="1" t="s">
        <v>1009</v>
      </c>
      <c r="K1068" s="1" t="s">
        <v>48</v>
      </c>
      <c r="L1068" s="1" t="s">
        <v>192</v>
      </c>
      <c r="M1068" s="1">
        <v>1</v>
      </c>
      <c r="N1068" s="2">
        <v>139.34</v>
      </c>
      <c r="O1068" s="3">
        <v>169</v>
      </c>
      <c r="P1068" s="1">
        <v>8</v>
      </c>
      <c r="Q1068" s="1">
        <v>9</v>
      </c>
      <c r="R1068" s="1">
        <v>200010022591</v>
      </c>
      <c r="S1068" s="1">
        <v>50</v>
      </c>
      <c r="T1068" s="1">
        <v>1</v>
      </c>
      <c r="U1068" s="1">
        <v>3</v>
      </c>
    </row>
    <row r="1069" spans="1:21" x14ac:dyDescent="0.25">
      <c r="A1069" s="4">
        <v>44777</v>
      </c>
      <c r="B1069" s="5">
        <v>0.57535879629629627</v>
      </c>
      <c r="C1069" s="1">
        <v>1722</v>
      </c>
      <c r="D1069" s="1">
        <v>13002606</v>
      </c>
      <c r="E1069" s="1">
        <v>13</v>
      </c>
      <c r="F1069" s="1">
        <v>22589</v>
      </c>
      <c r="G1069" s="1" t="s">
        <v>18</v>
      </c>
      <c r="H1069" s="1">
        <v>15</v>
      </c>
      <c r="I1069" s="1">
        <v>21997</v>
      </c>
      <c r="J1069" s="1" t="s">
        <v>1010</v>
      </c>
      <c r="K1069" s="1" t="s">
        <v>48</v>
      </c>
      <c r="L1069" s="1" t="s">
        <v>391</v>
      </c>
      <c r="M1069" s="1">
        <v>1</v>
      </c>
      <c r="N1069" s="2">
        <v>123.64</v>
      </c>
      <c r="O1069" s="3">
        <v>148</v>
      </c>
      <c r="P1069" s="1">
        <v>7</v>
      </c>
      <c r="Q1069" s="1">
        <v>9</v>
      </c>
      <c r="R1069" s="1">
        <v>200010022591</v>
      </c>
      <c r="S1069" s="1">
        <v>50</v>
      </c>
      <c r="T1069" s="1">
        <v>1</v>
      </c>
      <c r="U1069" s="1">
        <v>1</v>
      </c>
    </row>
    <row r="1070" spans="1:21" x14ac:dyDescent="0.25">
      <c r="A1070" s="4">
        <v>44777</v>
      </c>
      <c r="B1070" s="5">
        <v>0.57535879629629627</v>
      </c>
      <c r="C1070" s="1">
        <v>1722</v>
      </c>
      <c r="D1070" s="1">
        <v>13002606</v>
      </c>
      <c r="E1070" s="1">
        <v>13</v>
      </c>
      <c r="F1070" s="1">
        <v>22589</v>
      </c>
      <c r="G1070" s="1" t="s">
        <v>18</v>
      </c>
      <c r="H1070" s="1">
        <v>15</v>
      </c>
      <c r="I1070" s="1">
        <v>39393</v>
      </c>
      <c r="J1070" s="1" t="s">
        <v>1011</v>
      </c>
      <c r="K1070" s="1" t="s">
        <v>31</v>
      </c>
      <c r="L1070" s="1" t="s">
        <v>714</v>
      </c>
      <c r="M1070" s="1">
        <v>1</v>
      </c>
      <c r="N1070" s="2">
        <v>42.2</v>
      </c>
      <c r="O1070" s="3">
        <v>53</v>
      </c>
      <c r="P1070" s="1">
        <v>2</v>
      </c>
      <c r="Q1070" s="1">
        <v>9</v>
      </c>
      <c r="R1070" s="1">
        <v>200010022591</v>
      </c>
      <c r="S1070" s="1">
        <v>50</v>
      </c>
      <c r="T1070" s="1">
        <v>1</v>
      </c>
      <c r="U1070" s="1">
        <v>2</v>
      </c>
    </row>
    <row r="1071" spans="1:21" x14ac:dyDescent="0.25">
      <c r="A1071" s="4">
        <v>44777</v>
      </c>
      <c r="B1071" s="5">
        <v>0.58322916666666669</v>
      </c>
      <c r="C1071" s="1">
        <v>1724</v>
      </c>
      <c r="D1071" s="1">
        <v>13002606</v>
      </c>
      <c r="E1071" s="1">
        <v>13</v>
      </c>
      <c r="F1071" s="1">
        <v>22589</v>
      </c>
      <c r="G1071" s="1" t="s">
        <v>18</v>
      </c>
      <c r="H1071" s="1">
        <v>18</v>
      </c>
      <c r="I1071" s="1">
        <v>46300</v>
      </c>
      <c r="J1071" s="1" t="s">
        <v>1012</v>
      </c>
      <c r="K1071" s="1" t="s">
        <v>114</v>
      </c>
      <c r="L1071" s="1" t="s">
        <v>115</v>
      </c>
      <c r="M1071" s="1">
        <v>1</v>
      </c>
      <c r="N1071" s="2">
        <v>70.22</v>
      </c>
      <c r="O1071" s="3">
        <v>100</v>
      </c>
      <c r="P1071" s="1">
        <v>0</v>
      </c>
      <c r="Q1071" s="1" t="s">
        <v>22</v>
      </c>
      <c r="R1071" s="1" t="s">
        <v>22</v>
      </c>
      <c r="S1071" s="1">
        <v>50</v>
      </c>
      <c r="T1071" s="1">
        <v>1</v>
      </c>
      <c r="U1071" s="1">
        <v>1</v>
      </c>
    </row>
    <row r="1072" spans="1:21" x14ac:dyDescent="0.25">
      <c r="A1072" s="4">
        <v>44777</v>
      </c>
      <c r="B1072" s="5">
        <v>0.58322916666666669</v>
      </c>
      <c r="C1072" s="1">
        <v>1724</v>
      </c>
      <c r="D1072" s="1">
        <v>13002606</v>
      </c>
      <c r="E1072" s="1">
        <v>13</v>
      </c>
      <c r="F1072" s="1">
        <v>22589</v>
      </c>
      <c r="G1072" s="1" t="s">
        <v>18</v>
      </c>
      <c r="H1072" s="1">
        <v>18</v>
      </c>
      <c r="I1072" s="1">
        <v>46300</v>
      </c>
      <c r="J1072" s="1" t="s">
        <v>1012</v>
      </c>
      <c r="K1072" s="1" t="s">
        <v>114</v>
      </c>
      <c r="L1072" s="1" t="s">
        <v>115</v>
      </c>
      <c r="M1072" s="1">
        <v>1</v>
      </c>
      <c r="N1072" s="2">
        <v>70.22</v>
      </c>
      <c r="O1072" s="3">
        <v>100</v>
      </c>
      <c r="P1072" s="1">
        <v>0</v>
      </c>
      <c r="Q1072" s="1" t="s">
        <v>22</v>
      </c>
      <c r="R1072" s="1" t="s">
        <v>22</v>
      </c>
      <c r="S1072" s="1">
        <v>50</v>
      </c>
      <c r="T1072" s="1">
        <v>1</v>
      </c>
      <c r="U1072" s="1">
        <v>2</v>
      </c>
    </row>
    <row r="1073" spans="1:21" x14ac:dyDescent="0.25">
      <c r="A1073" s="4">
        <v>44777</v>
      </c>
      <c r="B1073" s="5">
        <v>0.58459490740740738</v>
      </c>
      <c r="C1073" s="1">
        <v>1725</v>
      </c>
      <c r="D1073" s="1">
        <v>13002606</v>
      </c>
      <c r="E1073" s="1">
        <v>13</v>
      </c>
      <c r="F1073" s="1">
        <v>22589</v>
      </c>
      <c r="G1073" s="1" t="s">
        <v>18</v>
      </c>
      <c r="H1073" s="1">
        <v>15</v>
      </c>
      <c r="I1073" s="1">
        <v>374684</v>
      </c>
      <c r="J1073" s="1" t="s">
        <v>1013</v>
      </c>
      <c r="K1073" s="1" t="s">
        <v>20</v>
      </c>
      <c r="L1073" s="1" t="s">
        <v>34</v>
      </c>
      <c r="M1073" s="1">
        <v>1</v>
      </c>
      <c r="N1073" s="2">
        <v>339.85</v>
      </c>
      <c r="O1073" s="3">
        <v>449</v>
      </c>
      <c r="P1073" s="1">
        <v>0</v>
      </c>
      <c r="Q1073" s="1" t="s">
        <v>22</v>
      </c>
      <c r="R1073" s="1" t="s">
        <v>22</v>
      </c>
      <c r="S1073" s="1">
        <v>50</v>
      </c>
      <c r="T1073" s="1">
        <v>1</v>
      </c>
      <c r="U1073" s="1">
        <v>2</v>
      </c>
    </row>
    <row r="1074" spans="1:21" x14ac:dyDescent="0.25">
      <c r="A1074" s="4">
        <v>44777</v>
      </c>
      <c r="B1074" s="5">
        <v>0.58812500000000001</v>
      </c>
      <c r="C1074" s="1">
        <v>1726</v>
      </c>
      <c r="D1074" s="1">
        <v>13002606</v>
      </c>
      <c r="E1074" s="1">
        <v>13</v>
      </c>
      <c r="F1074" s="1">
        <v>22589</v>
      </c>
      <c r="G1074" s="1" t="s">
        <v>18</v>
      </c>
      <c r="H1074" s="1">
        <v>15</v>
      </c>
      <c r="I1074" s="1">
        <v>338620</v>
      </c>
      <c r="J1074" s="1" t="s">
        <v>1014</v>
      </c>
      <c r="K1074" s="1" t="s">
        <v>20</v>
      </c>
      <c r="L1074" s="1" t="s">
        <v>34</v>
      </c>
      <c r="M1074" s="1">
        <v>1</v>
      </c>
      <c r="N1074" s="2">
        <v>215.56</v>
      </c>
      <c r="O1074" s="3">
        <v>271</v>
      </c>
      <c r="P1074" s="1">
        <v>0</v>
      </c>
      <c r="Q1074" s="1" t="s">
        <v>22</v>
      </c>
      <c r="R1074" s="1" t="s">
        <v>22</v>
      </c>
      <c r="S1074" s="1">
        <v>50</v>
      </c>
      <c r="T1074" s="1">
        <v>1</v>
      </c>
      <c r="U1074" s="1">
        <v>1</v>
      </c>
    </row>
    <row r="1075" spans="1:21" x14ac:dyDescent="0.25">
      <c r="A1075" s="4">
        <v>44777</v>
      </c>
      <c r="B1075" s="5">
        <v>0.58840277777777783</v>
      </c>
      <c r="C1075" s="1">
        <v>1727</v>
      </c>
      <c r="D1075" s="1">
        <v>13002606</v>
      </c>
      <c r="E1075" s="1">
        <v>13</v>
      </c>
      <c r="F1075" s="1">
        <v>22589</v>
      </c>
      <c r="G1075" s="1" t="s">
        <v>18</v>
      </c>
      <c r="H1075" s="1">
        <v>15</v>
      </c>
      <c r="I1075" s="1">
        <v>21561</v>
      </c>
      <c r="J1075" s="1" t="s">
        <v>1015</v>
      </c>
      <c r="K1075" s="1" t="s">
        <v>42</v>
      </c>
      <c r="L1075" s="1" t="s">
        <v>1016</v>
      </c>
      <c r="M1075" s="1">
        <v>1</v>
      </c>
      <c r="N1075" s="2">
        <v>1792.34</v>
      </c>
      <c r="O1075" s="3">
        <v>2456</v>
      </c>
      <c r="P1075" s="1">
        <v>0</v>
      </c>
      <c r="Q1075" s="1" t="s">
        <v>22</v>
      </c>
      <c r="R1075" s="1" t="s">
        <v>22</v>
      </c>
      <c r="S1075" s="1">
        <v>50</v>
      </c>
      <c r="T1075" s="1">
        <v>1</v>
      </c>
      <c r="U1075" s="1">
        <v>1</v>
      </c>
    </row>
    <row r="1076" spans="1:21" x14ac:dyDescent="0.25">
      <c r="A1076" s="4">
        <v>44777</v>
      </c>
      <c r="B1076" s="5">
        <v>0.60069444444444442</v>
      </c>
      <c r="C1076" s="1">
        <v>1728</v>
      </c>
      <c r="D1076" s="1">
        <v>13002606</v>
      </c>
      <c r="E1076" s="1">
        <v>13</v>
      </c>
      <c r="F1076" s="1">
        <v>22589</v>
      </c>
      <c r="G1076" s="1" t="s">
        <v>18</v>
      </c>
      <c r="H1076" s="1">
        <v>18</v>
      </c>
      <c r="I1076" s="1">
        <v>308835</v>
      </c>
      <c r="J1076" s="1" t="s">
        <v>1017</v>
      </c>
      <c r="K1076" s="1" t="s">
        <v>114</v>
      </c>
      <c r="L1076" s="1" t="s">
        <v>303</v>
      </c>
      <c r="M1076" s="1">
        <v>1</v>
      </c>
      <c r="N1076" s="2">
        <v>67.510000000000005</v>
      </c>
      <c r="O1076" s="3">
        <v>96</v>
      </c>
      <c r="P1076" s="1">
        <v>6</v>
      </c>
      <c r="Q1076" s="1">
        <v>9</v>
      </c>
      <c r="R1076" s="1">
        <v>200010022567</v>
      </c>
      <c r="S1076" s="1">
        <v>50</v>
      </c>
      <c r="T1076" s="1">
        <v>1</v>
      </c>
      <c r="U1076" s="1">
        <v>3</v>
      </c>
    </row>
    <row r="1077" spans="1:21" x14ac:dyDescent="0.25">
      <c r="A1077" s="4">
        <v>44777</v>
      </c>
      <c r="B1077" s="5">
        <v>0.60799768518518515</v>
      </c>
      <c r="C1077" s="1">
        <v>1732</v>
      </c>
      <c r="D1077" s="1">
        <v>13002606</v>
      </c>
      <c r="E1077" s="1">
        <v>13</v>
      </c>
      <c r="F1077" s="1">
        <v>22589</v>
      </c>
      <c r="G1077" s="1" t="s">
        <v>18</v>
      </c>
      <c r="H1077" s="1">
        <v>15</v>
      </c>
      <c r="I1077" s="1">
        <v>308835</v>
      </c>
      <c r="J1077" s="1" t="s">
        <v>1017</v>
      </c>
      <c r="K1077" s="1" t="s">
        <v>114</v>
      </c>
      <c r="L1077" s="1" t="s">
        <v>303</v>
      </c>
      <c r="M1077" s="1">
        <v>1</v>
      </c>
      <c r="N1077" s="2">
        <v>67.510000000000005</v>
      </c>
      <c r="O1077" s="3">
        <v>96</v>
      </c>
      <c r="P1077" s="1">
        <v>6</v>
      </c>
      <c r="Q1077" s="1">
        <v>9</v>
      </c>
      <c r="R1077" s="1">
        <v>200010004094</v>
      </c>
      <c r="S1077" s="1">
        <v>50</v>
      </c>
      <c r="T1077" s="1">
        <v>1</v>
      </c>
      <c r="U1077" s="1">
        <v>3</v>
      </c>
    </row>
    <row r="1078" spans="1:21" x14ac:dyDescent="0.25">
      <c r="A1078" s="4">
        <v>44777</v>
      </c>
      <c r="B1078" s="5">
        <v>0.60069444444444442</v>
      </c>
      <c r="C1078" s="1">
        <v>1728</v>
      </c>
      <c r="D1078" s="1">
        <v>13002606</v>
      </c>
      <c r="E1078" s="1">
        <v>13</v>
      </c>
      <c r="F1078" s="1">
        <v>22589</v>
      </c>
      <c r="G1078" s="1" t="s">
        <v>18</v>
      </c>
      <c r="H1078" s="1">
        <v>18</v>
      </c>
      <c r="I1078" s="1">
        <v>269</v>
      </c>
      <c r="J1078" s="1" t="s">
        <v>104</v>
      </c>
      <c r="K1078" s="1" t="s">
        <v>26</v>
      </c>
      <c r="L1078" s="1" t="s">
        <v>105</v>
      </c>
      <c r="M1078" s="1">
        <v>1</v>
      </c>
      <c r="N1078" s="2">
        <v>155.68</v>
      </c>
      <c r="O1078" s="3">
        <v>195</v>
      </c>
      <c r="P1078" s="1">
        <v>13</v>
      </c>
      <c r="Q1078" s="1">
        <v>9</v>
      </c>
      <c r="R1078" s="1">
        <v>200010022567</v>
      </c>
      <c r="S1078" s="1">
        <v>50</v>
      </c>
      <c r="T1078" s="1">
        <v>1</v>
      </c>
      <c r="U1078" s="1">
        <v>1</v>
      </c>
    </row>
    <row r="1079" spans="1:21" x14ac:dyDescent="0.25">
      <c r="A1079" s="4">
        <v>44777</v>
      </c>
      <c r="B1079" s="5">
        <v>0.60069444444444442</v>
      </c>
      <c r="C1079" s="1">
        <v>1728</v>
      </c>
      <c r="D1079" s="1">
        <v>13002606</v>
      </c>
      <c r="E1079" s="1">
        <v>13</v>
      </c>
      <c r="F1079" s="1">
        <v>22589</v>
      </c>
      <c r="G1079" s="1" t="s">
        <v>18</v>
      </c>
      <c r="H1079" s="1">
        <v>18</v>
      </c>
      <c r="I1079" s="1">
        <v>269</v>
      </c>
      <c r="J1079" s="1" t="s">
        <v>104</v>
      </c>
      <c r="K1079" s="1" t="s">
        <v>26</v>
      </c>
      <c r="L1079" s="1" t="s">
        <v>105</v>
      </c>
      <c r="M1079" s="1">
        <v>1</v>
      </c>
      <c r="N1079" s="2">
        <v>155.68</v>
      </c>
      <c r="O1079" s="3">
        <v>195</v>
      </c>
      <c r="P1079" s="1">
        <v>13</v>
      </c>
      <c r="Q1079" s="1">
        <v>9</v>
      </c>
      <c r="R1079" s="1">
        <v>200010022567</v>
      </c>
      <c r="S1079" s="1">
        <v>50</v>
      </c>
      <c r="T1079" s="1">
        <v>1</v>
      </c>
      <c r="U1079" s="1">
        <v>2</v>
      </c>
    </row>
    <row r="1080" spans="1:21" x14ac:dyDescent="0.25">
      <c r="A1080" s="4">
        <v>44777</v>
      </c>
      <c r="B1080" s="5">
        <v>0.60195601851851854</v>
      </c>
      <c r="C1080" s="1">
        <v>1729</v>
      </c>
      <c r="D1080" s="1">
        <v>13002606</v>
      </c>
      <c r="E1080" s="1">
        <v>13</v>
      </c>
      <c r="F1080" s="1">
        <v>22589</v>
      </c>
      <c r="G1080" s="1" t="s">
        <v>18</v>
      </c>
      <c r="H1080" s="1">
        <v>15</v>
      </c>
      <c r="I1080" s="1">
        <v>314695</v>
      </c>
      <c r="J1080" s="1" t="s">
        <v>1018</v>
      </c>
      <c r="K1080" s="1" t="s">
        <v>31</v>
      </c>
      <c r="L1080" s="1" t="s">
        <v>1019</v>
      </c>
      <c r="M1080" s="1">
        <v>0.33333332999999998</v>
      </c>
      <c r="N1080" s="2">
        <v>9306.5300000000007</v>
      </c>
      <c r="O1080" s="3">
        <v>10375</v>
      </c>
      <c r="P1080" s="1">
        <v>103.33</v>
      </c>
      <c r="Q1080" s="1">
        <v>9</v>
      </c>
      <c r="R1080" s="1">
        <v>200010021982</v>
      </c>
      <c r="S1080" s="1">
        <v>50</v>
      </c>
      <c r="T1080" s="1">
        <v>1</v>
      </c>
      <c r="U1080" s="1">
        <v>2</v>
      </c>
    </row>
    <row r="1081" spans="1:21" x14ac:dyDescent="0.25">
      <c r="A1081" s="4">
        <v>44777</v>
      </c>
      <c r="B1081" s="5">
        <v>0.60195601851851854</v>
      </c>
      <c r="C1081" s="1">
        <v>1729</v>
      </c>
      <c r="D1081" s="1">
        <v>13002606</v>
      </c>
      <c r="E1081" s="1">
        <v>13</v>
      </c>
      <c r="F1081" s="1">
        <v>22589</v>
      </c>
      <c r="G1081" s="1" t="s">
        <v>18</v>
      </c>
      <c r="H1081" s="1">
        <v>15</v>
      </c>
      <c r="I1081" s="1">
        <v>1799</v>
      </c>
      <c r="J1081" s="1" t="s">
        <v>995</v>
      </c>
      <c r="K1081" s="1" t="s">
        <v>42</v>
      </c>
      <c r="L1081" s="1" t="s">
        <v>996</v>
      </c>
      <c r="M1081" s="1">
        <v>1</v>
      </c>
      <c r="N1081" s="2">
        <v>400.06</v>
      </c>
      <c r="O1081" s="3">
        <v>481</v>
      </c>
      <c r="P1081" s="1">
        <v>33</v>
      </c>
      <c r="Q1081" s="1">
        <v>9</v>
      </c>
      <c r="R1081" s="1">
        <v>200010021982</v>
      </c>
      <c r="S1081" s="1">
        <v>50</v>
      </c>
      <c r="T1081" s="1">
        <v>1</v>
      </c>
      <c r="U1081" s="1">
        <v>1</v>
      </c>
    </row>
    <row r="1082" spans="1:21" x14ac:dyDescent="0.25">
      <c r="A1082" s="4">
        <v>44777</v>
      </c>
      <c r="B1082" s="5">
        <v>0.60266203703703702</v>
      </c>
      <c r="C1082" s="1">
        <v>1730</v>
      </c>
      <c r="D1082" s="1">
        <v>13002606</v>
      </c>
      <c r="E1082" s="1">
        <v>13</v>
      </c>
      <c r="F1082" s="1">
        <v>22589</v>
      </c>
      <c r="G1082" s="1" t="s">
        <v>18</v>
      </c>
      <c r="H1082" s="1">
        <v>18</v>
      </c>
      <c r="I1082" s="1">
        <v>339713</v>
      </c>
      <c r="J1082" s="1" t="s">
        <v>1020</v>
      </c>
      <c r="K1082" s="1" t="s">
        <v>48</v>
      </c>
      <c r="L1082" s="1" t="s">
        <v>544</v>
      </c>
      <c r="M1082" s="1">
        <v>1</v>
      </c>
      <c r="N1082" s="2">
        <v>279.86</v>
      </c>
      <c r="O1082" s="3">
        <v>426</v>
      </c>
      <c r="P1082" s="1">
        <v>42</v>
      </c>
      <c r="Q1082" s="1">
        <v>9</v>
      </c>
      <c r="R1082" s="1">
        <v>200010023898</v>
      </c>
      <c r="S1082" s="1">
        <v>50</v>
      </c>
      <c r="T1082" s="1">
        <v>1</v>
      </c>
      <c r="U1082" s="1">
        <v>1</v>
      </c>
    </row>
    <row r="1083" spans="1:21" x14ac:dyDescent="0.25">
      <c r="A1083" s="4">
        <v>44777</v>
      </c>
      <c r="B1083" s="5">
        <v>0.60395833333333337</v>
      </c>
      <c r="C1083" s="1">
        <v>1731</v>
      </c>
      <c r="D1083" s="1">
        <v>13002606</v>
      </c>
      <c r="E1083" s="1">
        <v>13</v>
      </c>
      <c r="F1083" s="1">
        <v>22589</v>
      </c>
      <c r="G1083" s="1" t="s">
        <v>18</v>
      </c>
      <c r="H1083" s="1">
        <v>15</v>
      </c>
      <c r="I1083" s="1">
        <v>444657</v>
      </c>
      <c r="J1083" s="1" t="s">
        <v>1021</v>
      </c>
      <c r="K1083" s="1" t="s">
        <v>20</v>
      </c>
      <c r="L1083" s="1" t="s">
        <v>799</v>
      </c>
      <c r="M1083" s="1">
        <v>1</v>
      </c>
      <c r="N1083" s="2">
        <v>44.5</v>
      </c>
      <c r="O1083" s="3">
        <v>68</v>
      </c>
      <c r="P1083" s="1">
        <v>4</v>
      </c>
      <c r="Q1083" s="1">
        <v>9</v>
      </c>
      <c r="R1083" s="1">
        <v>200010023898</v>
      </c>
      <c r="S1083" s="1">
        <v>50</v>
      </c>
      <c r="T1083" s="1">
        <v>1</v>
      </c>
      <c r="U1083" s="1">
        <v>4</v>
      </c>
    </row>
    <row r="1084" spans="1:21" x14ac:dyDescent="0.25">
      <c r="A1084" s="4">
        <v>44777</v>
      </c>
      <c r="B1084" s="5">
        <v>0.60395833333333337</v>
      </c>
      <c r="C1084" s="1">
        <v>1731</v>
      </c>
      <c r="D1084" s="1">
        <v>13002606</v>
      </c>
      <c r="E1084" s="1">
        <v>13</v>
      </c>
      <c r="F1084" s="1">
        <v>22589</v>
      </c>
      <c r="G1084" s="1" t="s">
        <v>18</v>
      </c>
      <c r="H1084" s="1">
        <v>15</v>
      </c>
      <c r="I1084" s="1">
        <v>117949</v>
      </c>
      <c r="J1084" s="1" t="s">
        <v>591</v>
      </c>
      <c r="K1084" s="1" t="s">
        <v>138</v>
      </c>
      <c r="L1084" s="1" t="s">
        <v>94</v>
      </c>
      <c r="M1084" s="1">
        <v>1</v>
      </c>
      <c r="N1084" s="2">
        <v>10.02</v>
      </c>
      <c r="O1084" s="3">
        <v>17</v>
      </c>
      <c r="P1084" s="1">
        <v>1</v>
      </c>
      <c r="Q1084" s="1">
        <v>9</v>
      </c>
      <c r="R1084" s="1">
        <v>200010023898</v>
      </c>
      <c r="S1084" s="1">
        <v>50</v>
      </c>
      <c r="T1084" s="1">
        <v>1</v>
      </c>
      <c r="U1084" s="1">
        <v>3</v>
      </c>
    </row>
    <row r="1085" spans="1:21" x14ac:dyDescent="0.25">
      <c r="A1085" s="4">
        <v>44777</v>
      </c>
      <c r="B1085" s="5">
        <v>0.60395833333333337</v>
      </c>
      <c r="C1085" s="1">
        <v>1731</v>
      </c>
      <c r="D1085" s="1">
        <v>13002606</v>
      </c>
      <c r="E1085" s="1">
        <v>13</v>
      </c>
      <c r="F1085" s="1">
        <v>22589</v>
      </c>
      <c r="G1085" s="1" t="s">
        <v>18</v>
      </c>
      <c r="H1085" s="1">
        <v>15</v>
      </c>
      <c r="I1085" s="1">
        <v>4919</v>
      </c>
      <c r="J1085" s="1" t="s">
        <v>1022</v>
      </c>
      <c r="K1085" s="1" t="s">
        <v>20</v>
      </c>
      <c r="L1085" s="1" t="s">
        <v>883</v>
      </c>
      <c r="M1085" s="1">
        <v>1</v>
      </c>
      <c r="N1085" s="2">
        <v>99.8</v>
      </c>
      <c r="O1085" s="3">
        <v>142</v>
      </c>
      <c r="P1085" s="1">
        <v>9</v>
      </c>
      <c r="Q1085" s="1">
        <v>9</v>
      </c>
      <c r="R1085" s="1">
        <v>200010023898</v>
      </c>
      <c r="S1085" s="1">
        <v>50</v>
      </c>
      <c r="T1085" s="1">
        <v>1</v>
      </c>
      <c r="U1085" s="1">
        <v>1</v>
      </c>
    </row>
    <row r="1086" spans="1:21" x14ac:dyDescent="0.25">
      <c r="A1086" s="4">
        <v>44777</v>
      </c>
      <c r="B1086" s="5">
        <v>0.60395833333333337</v>
      </c>
      <c r="C1086" s="1">
        <v>1731</v>
      </c>
      <c r="D1086" s="1">
        <v>13002606</v>
      </c>
      <c r="E1086" s="1">
        <v>13</v>
      </c>
      <c r="F1086" s="1">
        <v>22589</v>
      </c>
      <c r="G1086" s="1" t="s">
        <v>18</v>
      </c>
      <c r="H1086" s="1">
        <v>15</v>
      </c>
      <c r="I1086" s="1">
        <v>348186</v>
      </c>
      <c r="J1086" s="1" t="s">
        <v>416</v>
      </c>
      <c r="K1086" s="1" t="s">
        <v>138</v>
      </c>
      <c r="L1086" s="1" t="s">
        <v>170</v>
      </c>
      <c r="M1086" s="1">
        <v>1</v>
      </c>
      <c r="N1086" s="2">
        <v>5.83</v>
      </c>
      <c r="O1086" s="3">
        <v>8</v>
      </c>
      <c r="P1086" s="1">
        <v>0</v>
      </c>
      <c r="Q1086" s="1" t="s">
        <v>22</v>
      </c>
      <c r="R1086" s="1" t="s">
        <v>22</v>
      </c>
      <c r="S1086" s="1">
        <v>50</v>
      </c>
      <c r="T1086" s="1">
        <v>1</v>
      </c>
      <c r="U1086" s="1">
        <v>2</v>
      </c>
    </row>
    <row r="1087" spans="1:21" x14ac:dyDescent="0.25">
      <c r="A1087" s="4">
        <v>44777</v>
      </c>
      <c r="B1087" s="5">
        <v>0.77209490740740738</v>
      </c>
      <c r="C1087" s="1">
        <v>1768</v>
      </c>
      <c r="D1087" s="1">
        <v>13002606</v>
      </c>
      <c r="E1087" s="1">
        <v>13</v>
      </c>
      <c r="F1087" s="1">
        <v>22589</v>
      </c>
      <c r="G1087" s="1" t="s">
        <v>18</v>
      </c>
      <c r="H1087" s="1">
        <v>15</v>
      </c>
      <c r="I1087" s="1">
        <v>348186</v>
      </c>
      <c r="J1087" s="1" t="s">
        <v>416</v>
      </c>
      <c r="K1087" s="1" t="s">
        <v>138</v>
      </c>
      <c r="L1087" s="1" t="s">
        <v>170</v>
      </c>
      <c r="M1087" s="1">
        <v>1</v>
      </c>
      <c r="N1087" s="2">
        <v>5.83</v>
      </c>
      <c r="O1087" s="3">
        <v>8</v>
      </c>
      <c r="P1087" s="1">
        <v>0.34</v>
      </c>
      <c r="Q1087" s="1">
        <v>9</v>
      </c>
      <c r="R1087" s="1">
        <v>200010001749</v>
      </c>
      <c r="S1087" s="1">
        <v>50</v>
      </c>
      <c r="T1087" s="1">
        <v>1</v>
      </c>
      <c r="U1087" s="1">
        <v>4</v>
      </c>
    </row>
    <row r="1088" spans="1:21" x14ac:dyDescent="0.25">
      <c r="A1088" s="4">
        <v>44777</v>
      </c>
      <c r="B1088" s="5">
        <v>0.77209490740740738</v>
      </c>
      <c r="C1088" s="1">
        <v>1768</v>
      </c>
      <c r="D1088" s="1">
        <v>13002606</v>
      </c>
      <c r="E1088" s="1">
        <v>13</v>
      </c>
      <c r="F1088" s="1">
        <v>22589</v>
      </c>
      <c r="G1088" s="1" t="s">
        <v>18</v>
      </c>
      <c r="H1088" s="1">
        <v>15</v>
      </c>
      <c r="I1088" s="1">
        <v>348186</v>
      </c>
      <c r="J1088" s="1" t="s">
        <v>416</v>
      </c>
      <c r="K1088" s="1" t="s">
        <v>138</v>
      </c>
      <c r="L1088" s="1" t="s">
        <v>170</v>
      </c>
      <c r="M1088" s="1">
        <v>2</v>
      </c>
      <c r="N1088" s="2">
        <v>5.83</v>
      </c>
      <c r="O1088" s="3">
        <v>8</v>
      </c>
      <c r="P1088" s="1">
        <v>0.66</v>
      </c>
      <c r="Q1088" s="1">
        <v>9</v>
      </c>
      <c r="R1088" s="1">
        <v>200010001749</v>
      </c>
      <c r="S1088" s="1">
        <v>50</v>
      </c>
      <c r="T1088" s="1">
        <v>1</v>
      </c>
      <c r="U1088" s="1">
        <v>5</v>
      </c>
    </row>
    <row r="1089" spans="1:21" x14ac:dyDescent="0.25">
      <c r="A1089" s="4">
        <v>44777</v>
      </c>
      <c r="B1089" s="5">
        <v>0.61011574074074071</v>
      </c>
      <c r="C1089" s="1">
        <v>1733</v>
      </c>
      <c r="D1089" s="1">
        <v>13002606</v>
      </c>
      <c r="E1089" s="1">
        <v>13</v>
      </c>
      <c r="F1089" s="1">
        <v>22589</v>
      </c>
      <c r="G1089" s="1" t="s">
        <v>18</v>
      </c>
      <c r="H1089" s="1">
        <v>15</v>
      </c>
      <c r="I1089" s="1">
        <v>339868</v>
      </c>
      <c r="J1089" s="1" t="s">
        <v>214</v>
      </c>
      <c r="K1089" s="1" t="s">
        <v>31</v>
      </c>
      <c r="L1089" s="1" t="s">
        <v>215</v>
      </c>
      <c r="M1089" s="1">
        <v>1</v>
      </c>
      <c r="N1089" s="2">
        <v>40.369999999999997</v>
      </c>
      <c r="O1089" s="3">
        <v>50</v>
      </c>
      <c r="P1089" s="1">
        <v>2</v>
      </c>
      <c r="Q1089" s="1">
        <v>9</v>
      </c>
      <c r="R1089" s="1">
        <v>200010004764</v>
      </c>
      <c r="S1089" s="1">
        <v>50</v>
      </c>
      <c r="T1089" s="1">
        <v>1</v>
      </c>
      <c r="U1089" s="1">
        <v>4</v>
      </c>
    </row>
    <row r="1090" spans="1:21" x14ac:dyDescent="0.25">
      <c r="A1090" s="4">
        <v>44777</v>
      </c>
      <c r="B1090" s="5">
        <v>0.61011574074074071</v>
      </c>
      <c r="C1090" s="1">
        <v>1733</v>
      </c>
      <c r="D1090" s="1">
        <v>13002606</v>
      </c>
      <c r="E1090" s="1">
        <v>13</v>
      </c>
      <c r="F1090" s="1">
        <v>22589</v>
      </c>
      <c r="G1090" s="1" t="s">
        <v>18</v>
      </c>
      <c r="H1090" s="1">
        <v>15</v>
      </c>
      <c r="I1090" s="1">
        <v>18431</v>
      </c>
      <c r="J1090" s="1" t="s">
        <v>1023</v>
      </c>
      <c r="K1090" s="1" t="s">
        <v>114</v>
      </c>
      <c r="L1090" s="1" t="s">
        <v>1024</v>
      </c>
      <c r="M1090" s="1">
        <v>1</v>
      </c>
      <c r="N1090" s="2">
        <v>137.84</v>
      </c>
      <c r="O1090" s="3">
        <v>189</v>
      </c>
      <c r="P1090" s="1">
        <v>13</v>
      </c>
      <c r="Q1090" s="1">
        <v>9</v>
      </c>
      <c r="R1090" s="1">
        <v>200010004764</v>
      </c>
      <c r="S1090" s="1">
        <v>50</v>
      </c>
      <c r="T1090" s="1">
        <v>1</v>
      </c>
      <c r="U1090" s="1">
        <v>5</v>
      </c>
    </row>
    <row r="1091" spans="1:21" x14ac:dyDescent="0.25">
      <c r="A1091" s="4">
        <v>44777</v>
      </c>
      <c r="B1091" s="5">
        <v>0.61011574074074071</v>
      </c>
      <c r="C1091" s="1">
        <v>1733</v>
      </c>
      <c r="D1091" s="1">
        <v>13002606</v>
      </c>
      <c r="E1091" s="1">
        <v>13</v>
      </c>
      <c r="F1091" s="1">
        <v>22589</v>
      </c>
      <c r="G1091" s="1" t="s">
        <v>18</v>
      </c>
      <c r="H1091" s="1">
        <v>15</v>
      </c>
      <c r="I1091" s="1">
        <v>74749</v>
      </c>
      <c r="J1091" s="1" t="s">
        <v>804</v>
      </c>
      <c r="K1091" s="1" t="s">
        <v>58</v>
      </c>
      <c r="L1091" s="1" t="s">
        <v>258</v>
      </c>
      <c r="M1091" s="1">
        <v>1</v>
      </c>
      <c r="N1091" s="2">
        <v>29.48</v>
      </c>
      <c r="O1091" s="3">
        <v>33</v>
      </c>
      <c r="P1091" s="1">
        <v>1</v>
      </c>
      <c r="Q1091" s="1">
        <v>9</v>
      </c>
      <c r="R1091" s="1">
        <v>200010004764</v>
      </c>
      <c r="S1091" s="1">
        <v>50</v>
      </c>
      <c r="T1091" s="1">
        <v>1</v>
      </c>
      <c r="U1091" s="1">
        <v>2</v>
      </c>
    </row>
    <row r="1092" spans="1:21" x14ac:dyDescent="0.25">
      <c r="A1092" s="4">
        <v>44777</v>
      </c>
      <c r="B1092" s="5">
        <v>0.61011574074074071</v>
      </c>
      <c r="C1092" s="1">
        <v>1733</v>
      </c>
      <c r="D1092" s="1">
        <v>13002606</v>
      </c>
      <c r="E1092" s="1">
        <v>13</v>
      </c>
      <c r="F1092" s="1">
        <v>22589</v>
      </c>
      <c r="G1092" s="1" t="s">
        <v>18</v>
      </c>
      <c r="H1092" s="1">
        <v>15</v>
      </c>
      <c r="I1092" s="1">
        <v>18836</v>
      </c>
      <c r="J1092" s="1" t="s">
        <v>514</v>
      </c>
      <c r="K1092" s="1" t="s">
        <v>48</v>
      </c>
      <c r="L1092" s="1" t="s">
        <v>64</v>
      </c>
      <c r="M1092" s="1">
        <v>1</v>
      </c>
      <c r="N1092" s="2">
        <v>109.1</v>
      </c>
      <c r="O1092" s="3">
        <v>123</v>
      </c>
      <c r="P1092" s="1">
        <v>8</v>
      </c>
      <c r="Q1092" s="1">
        <v>9</v>
      </c>
      <c r="R1092" s="1">
        <v>200010004764</v>
      </c>
      <c r="S1092" s="1">
        <v>50</v>
      </c>
      <c r="T1092" s="1">
        <v>1</v>
      </c>
      <c r="U1092" s="1">
        <v>6</v>
      </c>
    </row>
    <row r="1093" spans="1:21" x14ac:dyDescent="0.25">
      <c r="A1093" s="4">
        <v>44777</v>
      </c>
      <c r="B1093" s="5">
        <v>0.61355324074074069</v>
      </c>
      <c r="C1093" s="1">
        <v>1734</v>
      </c>
      <c r="D1093" s="1">
        <v>13002606</v>
      </c>
      <c r="E1093" s="1">
        <v>13</v>
      </c>
      <c r="F1093" s="1">
        <v>22589</v>
      </c>
      <c r="G1093" s="1" t="s">
        <v>18</v>
      </c>
      <c r="H1093" s="1">
        <v>15</v>
      </c>
      <c r="I1093" s="1">
        <v>251468</v>
      </c>
      <c r="J1093" s="1" t="s">
        <v>1025</v>
      </c>
      <c r="K1093" s="1" t="s">
        <v>26</v>
      </c>
      <c r="L1093" s="1" t="s">
        <v>1026</v>
      </c>
      <c r="M1093" s="1">
        <v>1</v>
      </c>
      <c r="N1093" s="2">
        <v>1698.28</v>
      </c>
      <c r="O1093" s="3">
        <v>2123</v>
      </c>
      <c r="P1093" s="1">
        <v>148</v>
      </c>
      <c r="Q1093" s="1">
        <v>9</v>
      </c>
      <c r="R1093" s="1">
        <v>200010020913</v>
      </c>
      <c r="S1093" s="1">
        <v>50</v>
      </c>
      <c r="T1093" s="1">
        <v>1</v>
      </c>
      <c r="U1093" s="1">
        <v>1</v>
      </c>
    </row>
    <row r="1094" spans="1:21" x14ac:dyDescent="0.25">
      <c r="A1094" s="4">
        <v>44777</v>
      </c>
      <c r="B1094" s="5">
        <v>0.61534722222222227</v>
      </c>
      <c r="C1094" s="1">
        <v>1735</v>
      </c>
      <c r="D1094" s="1">
        <v>13002606</v>
      </c>
      <c r="E1094" s="1">
        <v>13</v>
      </c>
      <c r="F1094" s="1">
        <v>22589</v>
      </c>
      <c r="G1094" s="1" t="s">
        <v>18</v>
      </c>
      <c r="H1094" s="1">
        <v>18</v>
      </c>
      <c r="I1094" s="1">
        <v>11353</v>
      </c>
      <c r="J1094" s="1" t="s">
        <v>1027</v>
      </c>
      <c r="K1094" s="1" t="s">
        <v>45</v>
      </c>
      <c r="L1094" s="1" t="s">
        <v>1028</v>
      </c>
      <c r="M1094" s="1">
        <v>1</v>
      </c>
      <c r="N1094" s="2">
        <v>367.8</v>
      </c>
      <c r="O1094" s="3">
        <v>486</v>
      </c>
      <c r="P1094" s="1">
        <v>34</v>
      </c>
      <c r="Q1094" s="1">
        <v>9</v>
      </c>
      <c r="R1094" s="1">
        <v>200010023896</v>
      </c>
      <c r="S1094" s="1">
        <v>50</v>
      </c>
      <c r="T1094" s="1">
        <v>1</v>
      </c>
      <c r="U1094" s="1">
        <v>1</v>
      </c>
    </row>
    <row r="1095" spans="1:21" x14ac:dyDescent="0.25">
      <c r="A1095" s="4">
        <v>44777</v>
      </c>
      <c r="B1095" s="5">
        <v>0.62900462962962966</v>
      </c>
      <c r="C1095" s="1">
        <v>1736</v>
      </c>
      <c r="D1095" s="1">
        <v>13002606</v>
      </c>
      <c r="E1095" s="1">
        <v>13</v>
      </c>
      <c r="F1095" s="1">
        <v>22589</v>
      </c>
      <c r="G1095" s="1" t="s">
        <v>18</v>
      </c>
      <c r="H1095" s="1">
        <v>15</v>
      </c>
      <c r="I1095" s="1">
        <v>440425</v>
      </c>
      <c r="J1095" s="1" t="s">
        <v>624</v>
      </c>
      <c r="K1095" s="1" t="s">
        <v>48</v>
      </c>
      <c r="L1095" s="1" t="s">
        <v>46</v>
      </c>
      <c r="M1095" s="1">
        <v>1</v>
      </c>
      <c r="N1095" s="2">
        <v>28.73</v>
      </c>
      <c r="O1095" s="3">
        <v>36</v>
      </c>
      <c r="P1095" s="1">
        <v>2</v>
      </c>
      <c r="Q1095" s="1">
        <v>9</v>
      </c>
      <c r="R1095" s="1">
        <v>200010013015</v>
      </c>
      <c r="S1095" s="1">
        <v>50</v>
      </c>
      <c r="T1095" s="1">
        <v>1</v>
      </c>
      <c r="U1095" s="1">
        <v>1</v>
      </c>
    </row>
    <row r="1096" spans="1:21" x14ac:dyDescent="0.25">
      <c r="A1096" s="4">
        <v>44777</v>
      </c>
      <c r="B1096" s="5">
        <v>0.62900462962962966</v>
      </c>
      <c r="C1096" s="1">
        <v>1736</v>
      </c>
      <c r="D1096" s="1">
        <v>13002606</v>
      </c>
      <c r="E1096" s="1">
        <v>13</v>
      </c>
      <c r="F1096" s="1">
        <v>22589</v>
      </c>
      <c r="G1096" s="1" t="s">
        <v>18</v>
      </c>
      <c r="H1096" s="1">
        <v>15</v>
      </c>
      <c r="I1096" s="1">
        <v>440425</v>
      </c>
      <c r="J1096" s="1" t="s">
        <v>624</v>
      </c>
      <c r="K1096" s="1" t="s">
        <v>48</v>
      </c>
      <c r="L1096" s="1" t="s">
        <v>46</v>
      </c>
      <c r="M1096" s="1">
        <v>1</v>
      </c>
      <c r="N1096" s="2">
        <v>28.81</v>
      </c>
      <c r="O1096" s="3">
        <v>37</v>
      </c>
      <c r="P1096" s="1">
        <v>2</v>
      </c>
      <c r="Q1096" s="1">
        <v>9</v>
      </c>
      <c r="R1096" s="1">
        <v>200010013015</v>
      </c>
      <c r="S1096" s="1">
        <v>50</v>
      </c>
      <c r="T1096" s="1">
        <v>1</v>
      </c>
      <c r="U1096" s="1">
        <v>2</v>
      </c>
    </row>
    <row r="1097" spans="1:21" x14ac:dyDescent="0.25">
      <c r="A1097" s="4">
        <v>44777</v>
      </c>
      <c r="B1097" s="5">
        <v>0.62900462962962966</v>
      </c>
      <c r="C1097" s="1">
        <v>1736</v>
      </c>
      <c r="D1097" s="1">
        <v>13002606</v>
      </c>
      <c r="E1097" s="1">
        <v>13</v>
      </c>
      <c r="F1097" s="1">
        <v>22589</v>
      </c>
      <c r="G1097" s="1" t="s">
        <v>18</v>
      </c>
      <c r="H1097" s="1">
        <v>15</v>
      </c>
      <c r="I1097" s="1">
        <v>444920</v>
      </c>
      <c r="J1097" s="1" t="s">
        <v>247</v>
      </c>
      <c r="K1097" s="1" t="s">
        <v>48</v>
      </c>
      <c r="L1097" s="1" t="s">
        <v>46</v>
      </c>
      <c r="M1097" s="1">
        <v>1</v>
      </c>
      <c r="N1097" s="2">
        <v>19.47</v>
      </c>
      <c r="O1097" s="3">
        <v>25</v>
      </c>
      <c r="P1097" s="1">
        <v>1</v>
      </c>
      <c r="Q1097" s="1">
        <v>9</v>
      </c>
      <c r="R1097" s="1">
        <v>200010013015</v>
      </c>
      <c r="S1097" s="1">
        <v>50</v>
      </c>
      <c r="T1097" s="1">
        <v>1</v>
      </c>
      <c r="U1097" s="1">
        <v>6</v>
      </c>
    </row>
    <row r="1098" spans="1:21" x14ac:dyDescent="0.25">
      <c r="A1098" s="4">
        <v>44777</v>
      </c>
      <c r="B1098" s="5">
        <v>0.62900462962962966</v>
      </c>
      <c r="C1098" s="1">
        <v>1736</v>
      </c>
      <c r="D1098" s="1">
        <v>13002606</v>
      </c>
      <c r="E1098" s="1">
        <v>13</v>
      </c>
      <c r="F1098" s="1">
        <v>22589</v>
      </c>
      <c r="G1098" s="1" t="s">
        <v>18</v>
      </c>
      <c r="H1098" s="1">
        <v>15</v>
      </c>
      <c r="I1098" s="1">
        <v>444920</v>
      </c>
      <c r="J1098" s="1" t="s">
        <v>247</v>
      </c>
      <c r="K1098" s="1" t="s">
        <v>48</v>
      </c>
      <c r="L1098" s="1" t="s">
        <v>46</v>
      </c>
      <c r="M1098" s="1">
        <v>1</v>
      </c>
      <c r="N1098" s="2">
        <v>19.47</v>
      </c>
      <c r="O1098" s="3">
        <v>25</v>
      </c>
      <c r="P1098" s="1">
        <v>1</v>
      </c>
      <c r="Q1098" s="1">
        <v>9</v>
      </c>
      <c r="R1098" s="1">
        <v>200010013015</v>
      </c>
      <c r="S1098" s="1">
        <v>50</v>
      </c>
      <c r="T1098" s="1">
        <v>1</v>
      </c>
      <c r="U1098" s="1">
        <v>7</v>
      </c>
    </row>
    <row r="1099" spans="1:21" x14ac:dyDescent="0.25">
      <c r="A1099" s="4">
        <v>44777</v>
      </c>
      <c r="B1099" s="5">
        <v>0.62900462962962966</v>
      </c>
      <c r="C1099" s="1">
        <v>1736</v>
      </c>
      <c r="D1099" s="1">
        <v>13002606</v>
      </c>
      <c r="E1099" s="1">
        <v>13</v>
      </c>
      <c r="F1099" s="1">
        <v>22589</v>
      </c>
      <c r="G1099" s="1" t="s">
        <v>18</v>
      </c>
      <c r="H1099" s="1">
        <v>15</v>
      </c>
      <c r="I1099" s="1">
        <v>393397</v>
      </c>
      <c r="J1099" s="1" t="s">
        <v>331</v>
      </c>
      <c r="K1099" s="1" t="s">
        <v>26</v>
      </c>
      <c r="L1099" s="1" t="s">
        <v>332</v>
      </c>
      <c r="M1099" s="1">
        <v>1</v>
      </c>
      <c r="N1099" s="2">
        <v>20.079999999999998</v>
      </c>
      <c r="O1099" s="3">
        <v>26</v>
      </c>
      <c r="P1099" s="1">
        <v>1</v>
      </c>
      <c r="Q1099" s="1">
        <v>9</v>
      </c>
      <c r="R1099" s="1">
        <v>200010013015</v>
      </c>
      <c r="S1099" s="1">
        <v>50</v>
      </c>
      <c r="T1099" s="1">
        <v>1</v>
      </c>
      <c r="U1099" s="1">
        <v>3</v>
      </c>
    </row>
    <row r="1100" spans="1:21" x14ac:dyDescent="0.25">
      <c r="A1100" s="4">
        <v>44777</v>
      </c>
      <c r="B1100" s="5">
        <v>0.62900462962962966</v>
      </c>
      <c r="C1100" s="1">
        <v>1736</v>
      </c>
      <c r="D1100" s="1">
        <v>13002606</v>
      </c>
      <c r="E1100" s="1">
        <v>13</v>
      </c>
      <c r="F1100" s="1">
        <v>22589</v>
      </c>
      <c r="G1100" s="1" t="s">
        <v>18</v>
      </c>
      <c r="H1100" s="1">
        <v>15</v>
      </c>
      <c r="I1100" s="1">
        <v>393397</v>
      </c>
      <c r="J1100" s="1" t="s">
        <v>331</v>
      </c>
      <c r="K1100" s="1" t="s">
        <v>26</v>
      </c>
      <c r="L1100" s="1" t="s">
        <v>332</v>
      </c>
      <c r="M1100" s="1">
        <v>1</v>
      </c>
      <c r="N1100" s="2">
        <v>20.079999999999998</v>
      </c>
      <c r="O1100" s="3">
        <v>26</v>
      </c>
      <c r="P1100" s="1">
        <v>1</v>
      </c>
      <c r="Q1100" s="1">
        <v>9</v>
      </c>
      <c r="R1100" s="1">
        <v>200010013015</v>
      </c>
      <c r="S1100" s="1">
        <v>50</v>
      </c>
      <c r="T1100" s="1">
        <v>1</v>
      </c>
      <c r="U1100" s="1">
        <v>4</v>
      </c>
    </row>
    <row r="1101" spans="1:21" x14ac:dyDescent="0.25">
      <c r="A1101" s="4">
        <v>44777</v>
      </c>
      <c r="B1101" s="5">
        <v>0.62900462962962966</v>
      </c>
      <c r="C1101" s="1">
        <v>1736</v>
      </c>
      <c r="D1101" s="1">
        <v>13002606</v>
      </c>
      <c r="E1101" s="1">
        <v>13</v>
      </c>
      <c r="F1101" s="1">
        <v>22589</v>
      </c>
      <c r="G1101" s="1" t="s">
        <v>18</v>
      </c>
      <c r="H1101" s="1">
        <v>15</v>
      </c>
      <c r="I1101" s="1">
        <v>393397</v>
      </c>
      <c r="J1101" s="1" t="s">
        <v>331</v>
      </c>
      <c r="K1101" s="1" t="s">
        <v>26</v>
      </c>
      <c r="L1101" s="1" t="s">
        <v>332</v>
      </c>
      <c r="M1101" s="1">
        <v>1</v>
      </c>
      <c r="N1101" s="2">
        <v>20.079999999999998</v>
      </c>
      <c r="O1101" s="3">
        <v>26</v>
      </c>
      <c r="P1101" s="1">
        <v>1</v>
      </c>
      <c r="Q1101" s="1">
        <v>9</v>
      </c>
      <c r="R1101" s="1">
        <v>200010013015</v>
      </c>
      <c r="S1101" s="1">
        <v>50</v>
      </c>
      <c r="T1101" s="1">
        <v>1</v>
      </c>
      <c r="U1101" s="1">
        <v>5</v>
      </c>
    </row>
    <row r="1102" spans="1:21" x14ac:dyDescent="0.25">
      <c r="A1102" s="4">
        <v>44777</v>
      </c>
      <c r="B1102" s="5">
        <v>0.63406249999999997</v>
      </c>
      <c r="C1102" s="1">
        <v>1737</v>
      </c>
      <c r="D1102" s="1">
        <v>13002606</v>
      </c>
      <c r="E1102" s="1">
        <v>13</v>
      </c>
      <c r="F1102" s="1">
        <v>22589</v>
      </c>
      <c r="G1102" s="1" t="s">
        <v>18</v>
      </c>
      <c r="H1102" s="1">
        <v>18</v>
      </c>
      <c r="I1102" s="1">
        <v>163657</v>
      </c>
      <c r="J1102" s="1" t="s">
        <v>1029</v>
      </c>
      <c r="K1102" s="1" t="s">
        <v>55</v>
      </c>
      <c r="L1102" s="1" t="s">
        <v>1030</v>
      </c>
      <c r="M1102" s="1">
        <v>1</v>
      </c>
      <c r="N1102" s="2">
        <v>157.53</v>
      </c>
      <c r="O1102" s="3">
        <v>245</v>
      </c>
      <c r="P1102" s="1">
        <v>0</v>
      </c>
      <c r="Q1102" s="1" t="s">
        <v>22</v>
      </c>
      <c r="R1102" s="1" t="s">
        <v>22</v>
      </c>
      <c r="S1102" s="1">
        <v>50</v>
      </c>
      <c r="T1102" s="1">
        <v>1</v>
      </c>
      <c r="U1102" s="1">
        <v>1</v>
      </c>
    </row>
    <row r="1103" spans="1:21" x14ac:dyDescent="0.25">
      <c r="A1103" s="4">
        <v>44777</v>
      </c>
      <c r="B1103" s="5">
        <v>0.63724537037037032</v>
      </c>
      <c r="C1103" s="1">
        <v>1738</v>
      </c>
      <c r="D1103" s="1">
        <v>13002606</v>
      </c>
      <c r="E1103" s="1">
        <v>13</v>
      </c>
      <c r="F1103" s="1">
        <v>22589</v>
      </c>
      <c r="G1103" s="1" t="s">
        <v>18</v>
      </c>
      <c r="H1103" s="1">
        <v>15</v>
      </c>
      <c r="I1103" s="1">
        <v>443170</v>
      </c>
      <c r="J1103" s="1" t="s">
        <v>112</v>
      </c>
      <c r="K1103" s="1" t="s">
        <v>48</v>
      </c>
      <c r="L1103" s="1" t="s">
        <v>49</v>
      </c>
      <c r="M1103" s="1">
        <v>1</v>
      </c>
      <c r="N1103" s="2">
        <v>57.11</v>
      </c>
      <c r="O1103" s="3">
        <v>90</v>
      </c>
      <c r="P1103" s="1">
        <v>1.33</v>
      </c>
      <c r="Q1103" s="1">
        <v>925</v>
      </c>
      <c r="R1103" s="1">
        <v>200000000492</v>
      </c>
      <c r="S1103" s="1">
        <v>50</v>
      </c>
      <c r="T1103" s="1">
        <v>1</v>
      </c>
      <c r="U1103" s="1">
        <v>1</v>
      </c>
    </row>
    <row r="1104" spans="1:21" x14ac:dyDescent="0.25">
      <c r="A1104" s="4">
        <v>44777</v>
      </c>
      <c r="B1104" s="5">
        <v>0.63724537037037032</v>
      </c>
      <c r="C1104" s="1">
        <v>1738</v>
      </c>
      <c r="D1104" s="1">
        <v>13002606</v>
      </c>
      <c r="E1104" s="1">
        <v>13</v>
      </c>
      <c r="F1104" s="1">
        <v>22589</v>
      </c>
      <c r="G1104" s="1" t="s">
        <v>18</v>
      </c>
      <c r="H1104" s="1">
        <v>15</v>
      </c>
      <c r="I1104" s="1">
        <v>1178</v>
      </c>
      <c r="J1104" s="1" t="s">
        <v>1031</v>
      </c>
      <c r="K1104" s="1" t="s">
        <v>55</v>
      </c>
      <c r="L1104" s="1" t="s">
        <v>753</v>
      </c>
      <c r="M1104" s="1">
        <v>1</v>
      </c>
      <c r="N1104" s="2">
        <v>133.5</v>
      </c>
      <c r="O1104" s="3">
        <v>158</v>
      </c>
      <c r="P1104" s="1">
        <v>2.33</v>
      </c>
      <c r="Q1104" s="1">
        <v>925</v>
      </c>
      <c r="R1104" s="1">
        <v>200000000492</v>
      </c>
      <c r="S1104" s="1">
        <v>50</v>
      </c>
      <c r="T1104" s="1">
        <v>1</v>
      </c>
      <c r="U1104" s="1">
        <v>2</v>
      </c>
    </row>
    <row r="1105" spans="1:21" x14ac:dyDescent="0.25">
      <c r="A1105" s="4">
        <v>44777</v>
      </c>
      <c r="B1105" s="5">
        <v>0.63724537037037032</v>
      </c>
      <c r="C1105" s="1">
        <v>1738</v>
      </c>
      <c r="D1105" s="1">
        <v>13002606</v>
      </c>
      <c r="E1105" s="1">
        <v>13</v>
      </c>
      <c r="F1105" s="1">
        <v>22589</v>
      </c>
      <c r="G1105" s="1" t="s">
        <v>18</v>
      </c>
      <c r="H1105" s="1">
        <v>15</v>
      </c>
      <c r="I1105" s="1">
        <v>1178</v>
      </c>
      <c r="J1105" s="1" t="s">
        <v>1031</v>
      </c>
      <c r="K1105" s="1" t="s">
        <v>55</v>
      </c>
      <c r="L1105" s="1" t="s">
        <v>753</v>
      </c>
      <c r="M1105" s="1">
        <v>1</v>
      </c>
      <c r="N1105" s="2">
        <v>133.5</v>
      </c>
      <c r="O1105" s="3">
        <v>158</v>
      </c>
      <c r="P1105" s="1">
        <v>2.34</v>
      </c>
      <c r="Q1105" s="1">
        <v>925</v>
      </c>
      <c r="R1105" s="1">
        <v>200000000492</v>
      </c>
      <c r="S1105" s="1">
        <v>50</v>
      </c>
      <c r="T1105" s="1">
        <v>1</v>
      </c>
      <c r="U1105" s="1">
        <v>3</v>
      </c>
    </row>
    <row r="1106" spans="1:21" x14ac:dyDescent="0.25">
      <c r="A1106" s="4">
        <v>44777</v>
      </c>
      <c r="B1106" s="5">
        <v>0.6431944444444444</v>
      </c>
      <c r="C1106" s="1">
        <v>1739</v>
      </c>
      <c r="D1106" s="1">
        <v>13002606</v>
      </c>
      <c r="E1106" s="1">
        <v>13</v>
      </c>
      <c r="F1106" s="1">
        <v>22589</v>
      </c>
      <c r="G1106" s="1" t="s">
        <v>18</v>
      </c>
      <c r="H1106" s="1">
        <v>18</v>
      </c>
      <c r="I1106" s="1">
        <v>162483</v>
      </c>
      <c r="J1106" s="1" t="s">
        <v>222</v>
      </c>
      <c r="K1106" s="1" t="s">
        <v>48</v>
      </c>
      <c r="L1106" s="1" t="s">
        <v>223</v>
      </c>
      <c r="M1106" s="1">
        <v>1</v>
      </c>
      <c r="N1106" s="2">
        <v>8.08</v>
      </c>
      <c r="O1106" s="3">
        <v>14</v>
      </c>
      <c r="P1106" s="1">
        <v>0</v>
      </c>
      <c r="Q1106" s="1" t="s">
        <v>22</v>
      </c>
      <c r="R1106" s="1" t="s">
        <v>22</v>
      </c>
      <c r="S1106" s="1">
        <v>50</v>
      </c>
      <c r="T1106" s="1">
        <v>1</v>
      </c>
      <c r="U1106" s="1">
        <v>1</v>
      </c>
    </row>
    <row r="1107" spans="1:21" x14ac:dyDescent="0.25">
      <c r="A1107" s="4">
        <v>44777</v>
      </c>
      <c r="B1107" s="5">
        <v>0.65030092592592592</v>
      </c>
      <c r="C1107" s="1">
        <v>1740</v>
      </c>
      <c r="D1107" s="1">
        <v>13002606</v>
      </c>
      <c r="E1107" s="1">
        <v>13</v>
      </c>
      <c r="F1107" s="1">
        <v>22589</v>
      </c>
      <c r="G1107" s="1" t="s">
        <v>18</v>
      </c>
      <c r="H1107" s="1">
        <v>15</v>
      </c>
      <c r="I1107" s="1">
        <v>385754</v>
      </c>
      <c r="J1107" s="1" t="s">
        <v>1032</v>
      </c>
      <c r="K1107" s="1" t="s">
        <v>31</v>
      </c>
      <c r="L1107" s="1" t="s">
        <v>34</v>
      </c>
      <c r="M1107" s="1">
        <v>1</v>
      </c>
      <c r="N1107" s="2">
        <v>261.88</v>
      </c>
      <c r="O1107" s="3">
        <v>354</v>
      </c>
      <c r="P1107" s="1">
        <v>24</v>
      </c>
      <c r="Q1107" s="1">
        <v>9</v>
      </c>
      <c r="R1107" s="1">
        <v>200010026890</v>
      </c>
      <c r="S1107" s="1">
        <v>50</v>
      </c>
      <c r="T1107" s="1">
        <v>1</v>
      </c>
      <c r="U1107" s="1">
        <v>1</v>
      </c>
    </row>
    <row r="1108" spans="1:21" x14ac:dyDescent="0.25">
      <c r="A1108" s="4">
        <v>44777</v>
      </c>
      <c r="B1108" s="5">
        <v>0.66061342592592598</v>
      </c>
      <c r="C1108" s="1">
        <v>1742</v>
      </c>
      <c r="D1108" s="1">
        <v>13002606</v>
      </c>
      <c r="E1108" s="1">
        <v>13</v>
      </c>
      <c r="F1108" s="1">
        <v>22589</v>
      </c>
      <c r="G1108" s="1" t="s">
        <v>18</v>
      </c>
      <c r="H1108" s="1">
        <v>18</v>
      </c>
      <c r="I1108" s="1">
        <v>187304</v>
      </c>
      <c r="J1108" s="1" t="s">
        <v>442</v>
      </c>
      <c r="K1108" s="1" t="s">
        <v>107</v>
      </c>
      <c r="L1108" s="1" t="s">
        <v>156</v>
      </c>
      <c r="M1108" s="1">
        <v>1</v>
      </c>
      <c r="N1108" s="2">
        <v>152.46</v>
      </c>
      <c r="O1108" s="3">
        <v>181</v>
      </c>
      <c r="P1108" s="1">
        <v>0</v>
      </c>
      <c r="Q1108" s="1" t="s">
        <v>22</v>
      </c>
      <c r="R1108" s="1" t="s">
        <v>22</v>
      </c>
      <c r="S1108" s="1">
        <v>50</v>
      </c>
      <c r="T1108" s="1">
        <v>1</v>
      </c>
      <c r="U1108" s="1">
        <v>1</v>
      </c>
    </row>
    <row r="1109" spans="1:21" x14ac:dyDescent="0.25">
      <c r="A1109" s="4">
        <v>44777</v>
      </c>
      <c r="B1109" s="5">
        <v>0.66061342592592598</v>
      </c>
      <c r="C1109" s="1">
        <v>1742</v>
      </c>
      <c r="D1109" s="1">
        <v>13002606</v>
      </c>
      <c r="E1109" s="1">
        <v>13</v>
      </c>
      <c r="F1109" s="1">
        <v>22589</v>
      </c>
      <c r="G1109" s="1" t="s">
        <v>18</v>
      </c>
      <c r="H1109" s="1">
        <v>18</v>
      </c>
      <c r="I1109" s="1">
        <v>340962</v>
      </c>
      <c r="J1109" s="1" t="s">
        <v>1033</v>
      </c>
      <c r="K1109" s="1" t="s">
        <v>20</v>
      </c>
      <c r="L1109" s="1" t="s">
        <v>273</v>
      </c>
      <c r="M1109" s="1">
        <v>1</v>
      </c>
      <c r="N1109" s="2">
        <v>884</v>
      </c>
      <c r="O1109" s="3">
        <v>1141</v>
      </c>
      <c r="P1109" s="1">
        <v>0</v>
      </c>
      <c r="Q1109" s="1" t="s">
        <v>22</v>
      </c>
      <c r="R1109" s="1" t="s">
        <v>22</v>
      </c>
      <c r="S1109" s="1">
        <v>50</v>
      </c>
      <c r="T1109" s="1">
        <v>1</v>
      </c>
      <c r="U1109" s="1">
        <v>2</v>
      </c>
    </row>
    <row r="1110" spans="1:21" x14ac:dyDescent="0.25">
      <c r="A1110" s="4">
        <v>44777</v>
      </c>
      <c r="B1110" s="5">
        <v>0.67237268518518523</v>
      </c>
      <c r="C1110" s="1">
        <v>1743</v>
      </c>
      <c r="D1110" s="1">
        <v>13002606</v>
      </c>
      <c r="E1110" s="1">
        <v>13</v>
      </c>
      <c r="F1110" s="1">
        <v>22589</v>
      </c>
      <c r="G1110" s="1" t="s">
        <v>18</v>
      </c>
      <c r="H1110" s="1">
        <v>18</v>
      </c>
      <c r="I1110" s="1">
        <v>298762</v>
      </c>
      <c r="J1110" s="1" t="s">
        <v>232</v>
      </c>
      <c r="K1110" s="1" t="s">
        <v>42</v>
      </c>
      <c r="L1110" s="1" t="s">
        <v>233</v>
      </c>
      <c r="M1110" s="1">
        <v>1</v>
      </c>
      <c r="N1110" s="2">
        <v>105.68</v>
      </c>
      <c r="O1110" s="3">
        <v>145</v>
      </c>
      <c r="P1110" s="1">
        <v>10</v>
      </c>
      <c r="Q1110" s="1">
        <v>9</v>
      </c>
      <c r="R1110" s="1">
        <v>200010021345</v>
      </c>
      <c r="S1110" s="1">
        <v>50</v>
      </c>
      <c r="T1110" s="1">
        <v>1</v>
      </c>
      <c r="U1110" s="1">
        <v>5</v>
      </c>
    </row>
    <row r="1111" spans="1:21" x14ac:dyDescent="0.25">
      <c r="A1111" s="4">
        <v>44777</v>
      </c>
      <c r="B1111" s="5">
        <v>0.67237268518518523</v>
      </c>
      <c r="C1111" s="1">
        <v>1743</v>
      </c>
      <c r="D1111" s="1">
        <v>13002606</v>
      </c>
      <c r="E1111" s="1">
        <v>13</v>
      </c>
      <c r="F1111" s="1">
        <v>22589</v>
      </c>
      <c r="G1111" s="1" t="s">
        <v>18</v>
      </c>
      <c r="H1111" s="1">
        <v>18</v>
      </c>
      <c r="I1111" s="1">
        <v>46046</v>
      </c>
      <c r="J1111" s="1" t="s">
        <v>146</v>
      </c>
      <c r="K1111" s="1" t="s">
        <v>45</v>
      </c>
      <c r="L1111" s="1" t="s">
        <v>115</v>
      </c>
      <c r="M1111" s="1">
        <v>1</v>
      </c>
      <c r="N1111" s="2">
        <v>71.849999999999994</v>
      </c>
      <c r="O1111" s="3">
        <v>103</v>
      </c>
      <c r="P1111" s="1">
        <v>7</v>
      </c>
      <c r="Q1111" s="1">
        <v>9</v>
      </c>
      <c r="R1111" s="1">
        <v>200010021345</v>
      </c>
      <c r="S1111" s="1">
        <v>50</v>
      </c>
      <c r="T1111" s="1">
        <v>1</v>
      </c>
      <c r="U1111" s="1">
        <v>4</v>
      </c>
    </row>
    <row r="1112" spans="1:21" x14ac:dyDescent="0.25">
      <c r="A1112" s="4">
        <v>44777</v>
      </c>
      <c r="B1112" s="5">
        <v>0.67237268518518523</v>
      </c>
      <c r="C1112" s="1">
        <v>1743</v>
      </c>
      <c r="D1112" s="1">
        <v>13002606</v>
      </c>
      <c r="E1112" s="1">
        <v>13</v>
      </c>
      <c r="F1112" s="1">
        <v>22589</v>
      </c>
      <c r="G1112" s="1" t="s">
        <v>18</v>
      </c>
      <c r="H1112" s="1">
        <v>18</v>
      </c>
      <c r="I1112" s="1">
        <v>1504331</v>
      </c>
      <c r="J1112" s="1" t="s">
        <v>140</v>
      </c>
      <c r="K1112" s="1" t="s">
        <v>141</v>
      </c>
      <c r="L1112" s="1" t="s">
        <v>115</v>
      </c>
      <c r="M1112" s="1">
        <v>1</v>
      </c>
      <c r="N1112" s="2">
        <v>0.01</v>
      </c>
      <c r="O1112" s="3">
        <v>0.01</v>
      </c>
      <c r="P1112" s="1">
        <v>0</v>
      </c>
      <c r="Q1112" s="1" t="s">
        <v>22</v>
      </c>
      <c r="R1112" s="1" t="s">
        <v>22</v>
      </c>
      <c r="S1112" s="1">
        <v>50</v>
      </c>
      <c r="T1112" s="1">
        <v>1</v>
      </c>
      <c r="U1112" s="1">
        <v>3</v>
      </c>
    </row>
    <row r="1113" spans="1:21" x14ac:dyDescent="0.25">
      <c r="A1113" s="4">
        <v>44777</v>
      </c>
      <c r="B1113" s="5">
        <v>0.72550925925925924</v>
      </c>
      <c r="C1113" s="1">
        <v>1756</v>
      </c>
      <c r="D1113" s="1">
        <v>13002606</v>
      </c>
      <c r="E1113" s="1">
        <v>13</v>
      </c>
      <c r="F1113" s="1">
        <v>22589</v>
      </c>
      <c r="G1113" s="1" t="s">
        <v>18</v>
      </c>
      <c r="H1113" s="1">
        <v>18</v>
      </c>
      <c r="I1113" s="1">
        <v>1504331</v>
      </c>
      <c r="J1113" s="1" t="s">
        <v>140</v>
      </c>
      <c r="K1113" s="1" t="s">
        <v>141</v>
      </c>
      <c r="L1113" s="1" t="s">
        <v>115</v>
      </c>
      <c r="M1113" s="1">
        <v>1</v>
      </c>
      <c r="N1113" s="2">
        <v>0.01</v>
      </c>
      <c r="O1113" s="3">
        <v>0.01</v>
      </c>
      <c r="P1113" s="1">
        <v>0</v>
      </c>
      <c r="Q1113" s="1" t="s">
        <v>22</v>
      </c>
      <c r="R1113" s="1" t="s">
        <v>22</v>
      </c>
      <c r="S1113" s="1">
        <v>50</v>
      </c>
      <c r="T1113" s="1">
        <v>1</v>
      </c>
      <c r="U1113" s="1">
        <v>1</v>
      </c>
    </row>
    <row r="1114" spans="1:21" x14ac:dyDescent="0.25">
      <c r="A1114" s="4">
        <v>44777</v>
      </c>
      <c r="B1114" s="5">
        <v>0.6758912037037037</v>
      </c>
      <c r="C1114" s="1">
        <v>1744</v>
      </c>
      <c r="D1114" s="1">
        <v>13002606</v>
      </c>
      <c r="E1114" s="1">
        <v>13</v>
      </c>
      <c r="F1114" s="1">
        <v>22589</v>
      </c>
      <c r="G1114" s="1" t="s">
        <v>18</v>
      </c>
      <c r="H1114" s="1">
        <v>15</v>
      </c>
      <c r="I1114" s="1">
        <v>106412</v>
      </c>
      <c r="J1114" s="1" t="s">
        <v>568</v>
      </c>
      <c r="K1114" s="1" t="s">
        <v>42</v>
      </c>
      <c r="L1114" s="1" t="s">
        <v>569</v>
      </c>
      <c r="M1114" s="1">
        <v>1</v>
      </c>
      <c r="N1114" s="2">
        <v>401.19</v>
      </c>
      <c r="O1114" s="3">
        <v>530</v>
      </c>
      <c r="P1114" s="1">
        <v>0</v>
      </c>
      <c r="Q1114" s="1" t="s">
        <v>22</v>
      </c>
      <c r="R1114" s="1" t="s">
        <v>22</v>
      </c>
      <c r="S1114" s="1">
        <v>50</v>
      </c>
      <c r="T1114" s="1">
        <v>1</v>
      </c>
      <c r="U1114" s="1">
        <v>1</v>
      </c>
    </row>
    <row r="1115" spans="1:21" x14ac:dyDescent="0.25">
      <c r="A1115" s="4">
        <v>44777</v>
      </c>
      <c r="B1115" s="5">
        <v>0.6758912037037037</v>
      </c>
      <c r="C1115" s="1">
        <v>1744</v>
      </c>
      <c r="D1115" s="1">
        <v>13002606</v>
      </c>
      <c r="E1115" s="1">
        <v>13</v>
      </c>
      <c r="F1115" s="1">
        <v>22589</v>
      </c>
      <c r="G1115" s="1" t="s">
        <v>18</v>
      </c>
      <c r="H1115" s="1">
        <v>15</v>
      </c>
      <c r="I1115" s="1">
        <v>94783</v>
      </c>
      <c r="J1115" s="1" t="s">
        <v>1034</v>
      </c>
      <c r="K1115" s="1" t="s">
        <v>31</v>
      </c>
      <c r="L1115" s="1" t="s">
        <v>807</v>
      </c>
      <c r="M1115" s="1">
        <v>6.6666669999999997E-2</v>
      </c>
      <c r="N1115" s="2">
        <v>2988.82</v>
      </c>
      <c r="O1115" s="3">
        <v>4095</v>
      </c>
      <c r="P1115" s="1">
        <v>0</v>
      </c>
      <c r="Q1115" s="1" t="s">
        <v>22</v>
      </c>
      <c r="R1115" s="1" t="s">
        <v>22</v>
      </c>
      <c r="S1115" s="1">
        <v>50</v>
      </c>
      <c r="T1115" s="1">
        <v>1</v>
      </c>
      <c r="U1115" s="1">
        <v>2</v>
      </c>
    </row>
    <row r="1116" spans="1:21" x14ac:dyDescent="0.25">
      <c r="A1116" s="4">
        <v>44777</v>
      </c>
      <c r="B1116" s="5">
        <v>0.67782407407407408</v>
      </c>
      <c r="C1116" s="1">
        <v>1745</v>
      </c>
      <c r="D1116" s="1">
        <v>13002606</v>
      </c>
      <c r="E1116" s="1">
        <v>13</v>
      </c>
      <c r="F1116" s="1">
        <v>22589</v>
      </c>
      <c r="G1116" s="1" t="s">
        <v>18</v>
      </c>
      <c r="H1116" s="1">
        <v>18</v>
      </c>
      <c r="I1116" s="1">
        <v>344242</v>
      </c>
      <c r="J1116" s="1" t="s">
        <v>259</v>
      </c>
      <c r="K1116" s="1" t="s">
        <v>48</v>
      </c>
      <c r="L1116" s="1" t="s">
        <v>219</v>
      </c>
      <c r="M1116" s="1">
        <v>1</v>
      </c>
      <c r="N1116" s="2">
        <v>46.8</v>
      </c>
      <c r="O1116" s="3">
        <v>58</v>
      </c>
      <c r="P1116" s="1">
        <v>2</v>
      </c>
      <c r="Q1116" s="1">
        <v>9</v>
      </c>
      <c r="R1116" s="1">
        <v>200010026839</v>
      </c>
      <c r="S1116" s="1">
        <v>50</v>
      </c>
      <c r="T1116" s="1">
        <v>1</v>
      </c>
      <c r="U1116" s="1">
        <v>1</v>
      </c>
    </row>
    <row r="1117" spans="1:21" x14ac:dyDescent="0.25">
      <c r="A1117" s="4">
        <v>44777</v>
      </c>
      <c r="B1117" s="5">
        <v>0.67782407407407408</v>
      </c>
      <c r="C1117" s="1">
        <v>1745</v>
      </c>
      <c r="D1117" s="1">
        <v>13002606</v>
      </c>
      <c r="E1117" s="1">
        <v>13</v>
      </c>
      <c r="F1117" s="1">
        <v>22589</v>
      </c>
      <c r="G1117" s="1" t="s">
        <v>18</v>
      </c>
      <c r="H1117" s="1">
        <v>18</v>
      </c>
      <c r="I1117" s="1">
        <v>344242</v>
      </c>
      <c r="J1117" s="1" t="s">
        <v>259</v>
      </c>
      <c r="K1117" s="1" t="s">
        <v>48</v>
      </c>
      <c r="L1117" s="1" t="s">
        <v>219</v>
      </c>
      <c r="M1117" s="1">
        <v>1</v>
      </c>
      <c r="N1117" s="2">
        <v>44.59</v>
      </c>
      <c r="O1117" s="3">
        <v>55</v>
      </c>
      <c r="P1117" s="1">
        <v>2</v>
      </c>
      <c r="Q1117" s="1">
        <v>9</v>
      </c>
      <c r="R1117" s="1">
        <v>200010026839</v>
      </c>
      <c r="S1117" s="1">
        <v>50</v>
      </c>
      <c r="T1117" s="1">
        <v>1</v>
      </c>
      <c r="U1117" s="1">
        <v>2</v>
      </c>
    </row>
    <row r="1118" spans="1:21" x14ac:dyDescent="0.25">
      <c r="A1118" s="4">
        <v>44777</v>
      </c>
      <c r="B1118" s="5">
        <v>0.67782407407407408</v>
      </c>
      <c r="C1118" s="1">
        <v>1745</v>
      </c>
      <c r="D1118" s="1">
        <v>13002606</v>
      </c>
      <c r="E1118" s="1">
        <v>13</v>
      </c>
      <c r="F1118" s="1">
        <v>22589</v>
      </c>
      <c r="G1118" s="1" t="s">
        <v>18</v>
      </c>
      <c r="H1118" s="1">
        <v>18</v>
      </c>
      <c r="I1118" s="1">
        <v>4800</v>
      </c>
      <c r="J1118" s="1" t="s">
        <v>251</v>
      </c>
      <c r="K1118" s="1" t="s">
        <v>48</v>
      </c>
      <c r="L1118" s="1" t="s">
        <v>252</v>
      </c>
      <c r="M1118" s="1">
        <v>1</v>
      </c>
      <c r="N1118" s="2">
        <v>42.05</v>
      </c>
      <c r="O1118" s="3">
        <v>53</v>
      </c>
      <c r="P1118" s="1">
        <v>2</v>
      </c>
      <c r="Q1118" s="1">
        <v>9</v>
      </c>
      <c r="R1118" s="1">
        <v>200010026839</v>
      </c>
      <c r="S1118" s="1">
        <v>50</v>
      </c>
      <c r="T1118" s="1">
        <v>1</v>
      </c>
      <c r="U1118" s="1">
        <v>3</v>
      </c>
    </row>
    <row r="1119" spans="1:21" x14ac:dyDescent="0.25">
      <c r="A1119" s="4">
        <v>44777</v>
      </c>
      <c r="B1119" s="5">
        <v>0.67782407407407408</v>
      </c>
      <c r="C1119" s="1">
        <v>1745</v>
      </c>
      <c r="D1119" s="1">
        <v>13002606</v>
      </c>
      <c r="E1119" s="1">
        <v>13</v>
      </c>
      <c r="F1119" s="1">
        <v>22589</v>
      </c>
      <c r="G1119" s="1" t="s">
        <v>18</v>
      </c>
      <c r="H1119" s="1">
        <v>18</v>
      </c>
      <c r="I1119" s="1">
        <v>4800</v>
      </c>
      <c r="J1119" s="1" t="s">
        <v>251</v>
      </c>
      <c r="K1119" s="1" t="s">
        <v>48</v>
      </c>
      <c r="L1119" s="1" t="s">
        <v>252</v>
      </c>
      <c r="M1119" s="1">
        <v>1</v>
      </c>
      <c r="N1119" s="2">
        <v>42.05</v>
      </c>
      <c r="O1119" s="3">
        <v>53</v>
      </c>
      <c r="P1119" s="1">
        <v>2</v>
      </c>
      <c r="Q1119" s="1">
        <v>9</v>
      </c>
      <c r="R1119" s="1">
        <v>200010026839</v>
      </c>
      <c r="S1119" s="1">
        <v>50</v>
      </c>
      <c r="T1119" s="1">
        <v>1</v>
      </c>
      <c r="U1119" s="1">
        <v>4</v>
      </c>
    </row>
    <row r="1120" spans="1:21" x14ac:dyDescent="0.25">
      <c r="A1120" s="4">
        <v>44777</v>
      </c>
      <c r="B1120" s="5">
        <v>0.67782407407407408</v>
      </c>
      <c r="C1120" s="1">
        <v>1745</v>
      </c>
      <c r="D1120" s="1">
        <v>13002606</v>
      </c>
      <c r="E1120" s="1">
        <v>13</v>
      </c>
      <c r="F1120" s="1">
        <v>22589</v>
      </c>
      <c r="G1120" s="1" t="s">
        <v>18</v>
      </c>
      <c r="H1120" s="1">
        <v>18</v>
      </c>
      <c r="I1120" s="1">
        <v>4800</v>
      </c>
      <c r="J1120" s="1" t="s">
        <v>251</v>
      </c>
      <c r="K1120" s="1" t="s">
        <v>48</v>
      </c>
      <c r="L1120" s="1" t="s">
        <v>252</v>
      </c>
      <c r="M1120" s="1">
        <v>1</v>
      </c>
      <c r="N1120" s="2">
        <v>42.05</v>
      </c>
      <c r="O1120" s="3">
        <v>53</v>
      </c>
      <c r="P1120" s="1">
        <v>2</v>
      </c>
      <c r="Q1120" s="1">
        <v>9</v>
      </c>
      <c r="R1120" s="1">
        <v>200010026839</v>
      </c>
      <c r="S1120" s="1">
        <v>50</v>
      </c>
      <c r="T1120" s="1">
        <v>1</v>
      </c>
      <c r="U1120" s="1">
        <v>5</v>
      </c>
    </row>
    <row r="1121" spans="1:21" x14ac:dyDescent="0.25">
      <c r="A1121" s="4">
        <v>44777</v>
      </c>
      <c r="B1121" s="5">
        <v>0.67782407407407408</v>
      </c>
      <c r="C1121" s="1">
        <v>1745</v>
      </c>
      <c r="D1121" s="1">
        <v>13002606</v>
      </c>
      <c r="E1121" s="1">
        <v>13</v>
      </c>
      <c r="F1121" s="1">
        <v>22589</v>
      </c>
      <c r="G1121" s="1" t="s">
        <v>18</v>
      </c>
      <c r="H1121" s="1">
        <v>18</v>
      </c>
      <c r="I1121" s="1">
        <v>320482</v>
      </c>
      <c r="J1121" s="1" t="s">
        <v>1035</v>
      </c>
      <c r="K1121" s="1" t="s">
        <v>31</v>
      </c>
      <c r="L1121" s="1" t="s">
        <v>1036</v>
      </c>
      <c r="M1121" s="1">
        <v>1</v>
      </c>
      <c r="N1121" s="2">
        <v>42.1</v>
      </c>
      <c r="O1121" s="3">
        <v>51</v>
      </c>
      <c r="P1121" s="1">
        <v>2</v>
      </c>
      <c r="Q1121" s="1">
        <v>9</v>
      </c>
      <c r="R1121" s="1">
        <v>200010026839</v>
      </c>
      <c r="S1121" s="1">
        <v>50</v>
      </c>
      <c r="T1121" s="1">
        <v>1</v>
      </c>
      <c r="U1121" s="1">
        <v>6</v>
      </c>
    </row>
    <row r="1122" spans="1:21" x14ac:dyDescent="0.25">
      <c r="A1122" s="4">
        <v>44777</v>
      </c>
      <c r="B1122" s="5">
        <v>0.67782407407407408</v>
      </c>
      <c r="C1122" s="1">
        <v>1745</v>
      </c>
      <c r="D1122" s="1">
        <v>13002606</v>
      </c>
      <c r="E1122" s="1">
        <v>13</v>
      </c>
      <c r="F1122" s="1">
        <v>22589</v>
      </c>
      <c r="G1122" s="1" t="s">
        <v>18</v>
      </c>
      <c r="H1122" s="1">
        <v>18</v>
      </c>
      <c r="I1122" s="1">
        <v>10015</v>
      </c>
      <c r="J1122" s="1" t="s">
        <v>1037</v>
      </c>
      <c r="K1122" s="1" t="s">
        <v>48</v>
      </c>
      <c r="L1122" s="1" t="s">
        <v>29</v>
      </c>
      <c r="M1122" s="1">
        <v>1</v>
      </c>
      <c r="N1122" s="2">
        <v>117.4</v>
      </c>
      <c r="O1122" s="3">
        <v>142</v>
      </c>
      <c r="P1122" s="1">
        <v>7</v>
      </c>
      <c r="Q1122" s="1">
        <v>9</v>
      </c>
      <c r="R1122" s="1">
        <v>200010026839</v>
      </c>
      <c r="S1122" s="1">
        <v>50</v>
      </c>
      <c r="T1122" s="1">
        <v>1</v>
      </c>
      <c r="U1122" s="1">
        <v>7</v>
      </c>
    </row>
    <row r="1123" spans="1:21" x14ac:dyDescent="0.25">
      <c r="A1123" s="4">
        <v>44777</v>
      </c>
      <c r="B1123" s="5">
        <v>0.68287037037037035</v>
      </c>
      <c r="C1123" s="1">
        <v>1746</v>
      </c>
      <c r="D1123" s="1">
        <v>13002606</v>
      </c>
      <c r="E1123" s="1">
        <v>13</v>
      </c>
      <c r="F1123" s="1">
        <v>22589</v>
      </c>
      <c r="G1123" s="1" t="s">
        <v>18</v>
      </c>
      <c r="H1123" s="1">
        <v>18</v>
      </c>
      <c r="I1123" s="1">
        <v>195563</v>
      </c>
      <c r="J1123" s="1" t="s">
        <v>1038</v>
      </c>
      <c r="K1123" s="1" t="s">
        <v>55</v>
      </c>
      <c r="L1123" s="1" t="s">
        <v>919</v>
      </c>
      <c r="M1123" s="1">
        <v>1</v>
      </c>
      <c r="N1123" s="2">
        <v>807.75</v>
      </c>
      <c r="O1123" s="3">
        <v>1147</v>
      </c>
      <c r="P1123" s="1">
        <v>114</v>
      </c>
      <c r="Q1123" s="1">
        <v>9</v>
      </c>
      <c r="R1123" s="1">
        <v>200010016107</v>
      </c>
      <c r="S1123" s="1">
        <v>50</v>
      </c>
      <c r="T1123" s="1">
        <v>1</v>
      </c>
      <c r="U1123" s="1">
        <v>1</v>
      </c>
    </row>
    <row r="1124" spans="1:21" x14ac:dyDescent="0.25">
      <c r="A1124" s="4">
        <v>44777</v>
      </c>
      <c r="B1124" s="5">
        <v>0.68548611111111113</v>
      </c>
      <c r="C1124" s="1">
        <v>1748</v>
      </c>
      <c r="D1124" s="1">
        <v>13002606</v>
      </c>
      <c r="E1124" s="1">
        <v>13</v>
      </c>
      <c r="F1124" s="1">
        <v>22589</v>
      </c>
      <c r="G1124" s="1" t="s">
        <v>18</v>
      </c>
      <c r="H1124" s="1">
        <v>18</v>
      </c>
      <c r="I1124" s="1">
        <v>20046</v>
      </c>
      <c r="J1124" s="1" t="s">
        <v>1039</v>
      </c>
      <c r="K1124" s="1" t="s">
        <v>31</v>
      </c>
      <c r="L1124" s="1" t="s">
        <v>1040</v>
      </c>
      <c r="M1124" s="1">
        <v>1</v>
      </c>
      <c r="N1124" s="2">
        <v>396.52</v>
      </c>
      <c r="O1124" s="3">
        <v>524</v>
      </c>
      <c r="P1124" s="1">
        <v>0</v>
      </c>
      <c r="Q1124" s="1" t="s">
        <v>22</v>
      </c>
      <c r="R1124" s="1" t="s">
        <v>22</v>
      </c>
      <c r="S1124" s="1">
        <v>50</v>
      </c>
      <c r="T1124" s="1">
        <v>1</v>
      </c>
      <c r="U1124" s="1">
        <v>1</v>
      </c>
    </row>
    <row r="1125" spans="1:21" x14ac:dyDescent="0.25">
      <c r="A1125" s="4">
        <v>44777</v>
      </c>
      <c r="B1125" s="5">
        <v>0.6865162037037037</v>
      </c>
      <c r="C1125" s="1">
        <v>1749</v>
      </c>
      <c r="D1125" s="1">
        <v>13002606</v>
      </c>
      <c r="E1125" s="1">
        <v>13</v>
      </c>
      <c r="F1125" s="1">
        <v>22589</v>
      </c>
      <c r="G1125" s="1" t="s">
        <v>18</v>
      </c>
      <c r="H1125" s="1">
        <v>18</v>
      </c>
      <c r="I1125" s="1">
        <v>310794</v>
      </c>
      <c r="J1125" s="1" t="s">
        <v>1041</v>
      </c>
      <c r="K1125" s="1" t="s">
        <v>20</v>
      </c>
      <c r="L1125" s="1" t="s">
        <v>62</v>
      </c>
      <c r="M1125" s="1">
        <v>1</v>
      </c>
      <c r="N1125" s="2">
        <v>108.99</v>
      </c>
      <c r="O1125" s="3">
        <v>150</v>
      </c>
      <c r="P1125" s="1">
        <v>0</v>
      </c>
      <c r="Q1125" s="1" t="s">
        <v>22</v>
      </c>
      <c r="R1125" s="1" t="s">
        <v>22</v>
      </c>
      <c r="S1125" s="1">
        <v>50</v>
      </c>
      <c r="T1125" s="1">
        <v>1</v>
      </c>
      <c r="U1125" s="1">
        <v>1</v>
      </c>
    </row>
    <row r="1126" spans="1:21" x14ac:dyDescent="0.25">
      <c r="A1126" s="4">
        <v>44777</v>
      </c>
      <c r="B1126" s="5">
        <v>0.68923611111111116</v>
      </c>
      <c r="C1126" s="1">
        <v>1750</v>
      </c>
      <c r="D1126" s="1">
        <v>13002606</v>
      </c>
      <c r="E1126" s="1">
        <v>13</v>
      </c>
      <c r="F1126" s="1">
        <v>22589</v>
      </c>
      <c r="G1126" s="1" t="s">
        <v>18</v>
      </c>
      <c r="H1126" s="1">
        <v>18</v>
      </c>
      <c r="I1126" s="1">
        <v>106413</v>
      </c>
      <c r="J1126" s="1" t="s">
        <v>1042</v>
      </c>
      <c r="K1126" s="1" t="s">
        <v>114</v>
      </c>
      <c r="L1126" s="1" t="s">
        <v>569</v>
      </c>
      <c r="M1126" s="1">
        <v>1</v>
      </c>
      <c r="N1126" s="2">
        <v>478.26</v>
      </c>
      <c r="O1126" s="3">
        <v>632</v>
      </c>
      <c r="P1126" s="1">
        <v>0</v>
      </c>
      <c r="Q1126" s="1" t="s">
        <v>22</v>
      </c>
      <c r="R1126" s="1" t="s">
        <v>22</v>
      </c>
      <c r="S1126" s="1">
        <v>50</v>
      </c>
      <c r="T1126" s="1">
        <v>1</v>
      </c>
      <c r="U1126" s="1">
        <v>3</v>
      </c>
    </row>
    <row r="1127" spans="1:21" x14ac:dyDescent="0.25">
      <c r="A1127" s="4">
        <v>44777</v>
      </c>
      <c r="B1127" s="5">
        <v>0.68923611111111116</v>
      </c>
      <c r="C1127" s="1">
        <v>1750</v>
      </c>
      <c r="D1127" s="1">
        <v>13002606</v>
      </c>
      <c r="E1127" s="1">
        <v>13</v>
      </c>
      <c r="F1127" s="1">
        <v>22589</v>
      </c>
      <c r="G1127" s="1" t="s">
        <v>18</v>
      </c>
      <c r="H1127" s="1">
        <v>18</v>
      </c>
      <c r="I1127" s="1">
        <v>81990</v>
      </c>
      <c r="J1127" s="1" t="s">
        <v>1043</v>
      </c>
      <c r="K1127" s="1" t="s">
        <v>20</v>
      </c>
      <c r="L1127" s="1" t="s">
        <v>266</v>
      </c>
      <c r="M1127" s="1">
        <v>10</v>
      </c>
      <c r="N1127" s="2">
        <v>5.27</v>
      </c>
      <c r="O1127" s="3">
        <v>9</v>
      </c>
      <c r="P1127" s="1">
        <v>0</v>
      </c>
      <c r="Q1127" s="1" t="s">
        <v>22</v>
      </c>
      <c r="R1127" s="1" t="s">
        <v>22</v>
      </c>
      <c r="S1127" s="1">
        <v>50</v>
      </c>
      <c r="T1127" s="1">
        <v>1</v>
      </c>
      <c r="U1127" s="1">
        <v>1</v>
      </c>
    </row>
    <row r="1128" spans="1:21" x14ac:dyDescent="0.25">
      <c r="A1128" s="4">
        <v>44777</v>
      </c>
      <c r="B1128" s="5">
        <v>0.68923611111111116</v>
      </c>
      <c r="C1128" s="1">
        <v>1750</v>
      </c>
      <c r="D1128" s="1">
        <v>13002606</v>
      </c>
      <c r="E1128" s="1">
        <v>13</v>
      </c>
      <c r="F1128" s="1">
        <v>22589</v>
      </c>
      <c r="G1128" s="1" t="s">
        <v>18</v>
      </c>
      <c r="H1128" s="1">
        <v>18</v>
      </c>
      <c r="I1128" s="1">
        <v>1504015</v>
      </c>
      <c r="J1128" s="1" t="s">
        <v>91</v>
      </c>
      <c r="K1128" s="1" t="s">
        <v>92</v>
      </c>
      <c r="L1128" s="1" t="s">
        <v>266</v>
      </c>
      <c r="M1128" s="1">
        <v>1</v>
      </c>
      <c r="N1128" s="2">
        <v>1.1499999999999999</v>
      </c>
      <c r="O1128" s="3">
        <v>2</v>
      </c>
      <c r="P1128" s="1">
        <v>0</v>
      </c>
      <c r="Q1128" s="1" t="s">
        <v>22</v>
      </c>
      <c r="R1128" s="1" t="s">
        <v>22</v>
      </c>
      <c r="S1128" s="1">
        <v>50</v>
      </c>
      <c r="T1128" s="1">
        <v>1</v>
      </c>
      <c r="U1128" s="1">
        <v>2</v>
      </c>
    </row>
    <row r="1129" spans="1:21" x14ac:dyDescent="0.25">
      <c r="A1129" s="4">
        <v>44777</v>
      </c>
      <c r="B1129" s="5">
        <v>0.78432870370370367</v>
      </c>
      <c r="C1129" s="1">
        <v>1770</v>
      </c>
      <c r="D1129" s="1">
        <v>13002606</v>
      </c>
      <c r="E1129" s="1">
        <v>13</v>
      </c>
      <c r="F1129" s="1">
        <v>22589</v>
      </c>
      <c r="G1129" s="1" t="s">
        <v>18</v>
      </c>
      <c r="H1129" s="1">
        <v>15</v>
      </c>
      <c r="I1129" s="1">
        <v>1504015</v>
      </c>
      <c r="J1129" s="1" t="s">
        <v>91</v>
      </c>
      <c r="K1129" s="1" t="s">
        <v>92</v>
      </c>
      <c r="L1129" s="1" t="s">
        <v>266</v>
      </c>
      <c r="M1129" s="1">
        <v>1</v>
      </c>
      <c r="N1129" s="2">
        <v>1.1499999999999999</v>
      </c>
      <c r="O1129" s="3">
        <v>2</v>
      </c>
      <c r="P1129" s="1">
        <v>0</v>
      </c>
      <c r="Q1129" s="1" t="s">
        <v>22</v>
      </c>
      <c r="R1129" s="1" t="s">
        <v>22</v>
      </c>
      <c r="S1129" s="1">
        <v>50</v>
      </c>
      <c r="T1129" s="1">
        <v>1</v>
      </c>
      <c r="U1129" s="1">
        <v>2</v>
      </c>
    </row>
    <row r="1130" spans="1:21" x14ac:dyDescent="0.25">
      <c r="A1130" s="4">
        <v>44777</v>
      </c>
      <c r="B1130" s="5">
        <v>0.79959490740740746</v>
      </c>
      <c r="C1130" s="1">
        <v>1774</v>
      </c>
      <c r="D1130" s="1">
        <v>13002606</v>
      </c>
      <c r="E1130" s="1">
        <v>13</v>
      </c>
      <c r="F1130" s="1">
        <v>22589</v>
      </c>
      <c r="G1130" s="1" t="s">
        <v>18</v>
      </c>
      <c r="H1130" s="1">
        <v>18</v>
      </c>
      <c r="I1130" s="1">
        <v>1504015</v>
      </c>
      <c r="J1130" s="1" t="s">
        <v>91</v>
      </c>
      <c r="K1130" s="1" t="s">
        <v>92</v>
      </c>
      <c r="L1130" s="1" t="s">
        <v>266</v>
      </c>
      <c r="M1130" s="1">
        <v>1</v>
      </c>
      <c r="N1130" s="2">
        <v>1.1499999999999999</v>
      </c>
      <c r="O1130" s="3">
        <v>2</v>
      </c>
      <c r="P1130" s="1">
        <v>0</v>
      </c>
      <c r="Q1130" s="1" t="s">
        <v>22</v>
      </c>
      <c r="R1130" s="1" t="s">
        <v>22</v>
      </c>
      <c r="S1130" s="1">
        <v>50</v>
      </c>
      <c r="T1130" s="1">
        <v>1</v>
      </c>
      <c r="U1130" s="1">
        <v>4</v>
      </c>
    </row>
    <row r="1131" spans="1:21" x14ac:dyDescent="0.25">
      <c r="A1131" s="4">
        <v>44777</v>
      </c>
      <c r="B1131" s="5">
        <v>0.69369212962962967</v>
      </c>
      <c r="C1131" s="1">
        <v>1751</v>
      </c>
      <c r="D1131" s="1">
        <v>13002606</v>
      </c>
      <c r="E1131" s="1">
        <v>13</v>
      </c>
      <c r="F1131" s="1">
        <v>22589</v>
      </c>
      <c r="G1131" s="1" t="s">
        <v>18</v>
      </c>
      <c r="H1131" s="1">
        <v>15</v>
      </c>
      <c r="I1131" s="1">
        <v>63037</v>
      </c>
      <c r="J1131" s="1" t="s">
        <v>1044</v>
      </c>
      <c r="K1131" s="1" t="s">
        <v>42</v>
      </c>
      <c r="L1131" s="1" t="s">
        <v>36</v>
      </c>
      <c r="M1131" s="1">
        <v>1</v>
      </c>
      <c r="N1131" s="2">
        <v>80.03</v>
      </c>
      <c r="O1131" s="3">
        <v>103</v>
      </c>
      <c r="P1131" s="1">
        <v>5</v>
      </c>
      <c r="Q1131" s="1">
        <v>9</v>
      </c>
      <c r="R1131" s="1">
        <v>200010017973</v>
      </c>
      <c r="S1131" s="1">
        <v>50</v>
      </c>
      <c r="T1131" s="1">
        <v>1</v>
      </c>
      <c r="U1131" s="1">
        <v>3</v>
      </c>
    </row>
    <row r="1132" spans="1:21" x14ac:dyDescent="0.25">
      <c r="A1132" s="4">
        <v>44777</v>
      </c>
      <c r="B1132" s="5">
        <v>0.69369212962962967</v>
      </c>
      <c r="C1132" s="1">
        <v>1751</v>
      </c>
      <c r="D1132" s="1">
        <v>13002606</v>
      </c>
      <c r="E1132" s="1">
        <v>13</v>
      </c>
      <c r="F1132" s="1">
        <v>22589</v>
      </c>
      <c r="G1132" s="1" t="s">
        <v>18</v>
      </c>
      <c r="H1132" s="1">
        <v>15</v>
      </c>
      <c r="I1132" s="1">
        <v>170308</v>
      </c>
      <c r="J1132" s="1" t="s">
        <v>941</v>
      </c>
      <c r="K1132" s="1" t="s">
        <v>20</v>
      </c>
      <c r="L1132" s="1" t="s">
        <v>156</v>
      </c>
      <c r="M1132" s="1">
        <v>1</v>
      </c>
      <c r="N1132" s="2">
        <v>79.2</v>
      </c>
      <c r="O1132" s="3">
        <v>97</v>
      </c>
      <c r="P1132" s="1">
        <v>4</v>
      </c>
      <c r="Q1132" s="1">
        <v>9</v>
      </c>
      <c r="R1132" s="1">
        <v>200010017973</v>
      </c>
      <c r="S1132" s="1">
        <v>50</v>
      </c>
      <c r="T1132" s="1">
        <v>1</v>
      </c>
      <c r="U1132" s="1">
        <v>2</v>
      </c>
    </row>
    <row r="1133" spans="1:21" x14ac:dyDescent="0.25">
      <c r="A1133" s="4">
        <v>44777</v>
      </c>
      <c r="B1133" s="5">
        <v>0.69369212962962967</v>
      </c>
      <c r="C1133" s="1">
        <v>1751</v>
      </c>
      <c r="D1133" s="1">
        <v>13002606</v>
      </c>
      <c r="E1133" s="1">
        <v>13</v>
      </c>
      <c r="F1133" s="1">
        <v>22589</v>
      </c>
      <c r="G1133" s="1" t="s">
        <v>18</v>
      </c>
      <c r="H1133" s="1">
        <v>15</v>
      </c>
      <c r="I1133" s="1">
        <v>36734</v>
      </c>
      <c r="J1133" s="1" t="s">
        <v>1045</v>
      </c>
      <c r="K1133" s="1" t="s">
        <v>48</v>
      </c>
      <c r="L1133" s="1" t="s">
        <v>412</v>
      </c>
      <c r="M1133" s="1">
        <v>1</v>
      </c>
      <c r="N1133" s="2">
        <v>18.39</v>
      </c>
      <c r="O1133" s="3">
        <v>23</v>
      </c>
      <c r="P1133" s="1">
        <v>1</v>
      </c>
      <c r="Q1133" s="1">
        <v>9</v>
      </c>
      <c r="R1133" s="1">
        <v>200010017973</v>
      </c>
      <c r="S1133" s="1">
        <v>50</v>
      </c>
      <c r="T1133" s="1">
        <v>1</v>
      </c>
      <c r="U1133" s="1">
        <v>1</v>
      </c>
    </row>
    <row r="1134" spans="1:21" x14ac:dyDescent="0.25">
      <c r="A1134" s="4">
        <v>44777</v>
      </c>
      <c r="B1134" s="5">
        <v>0.69369212962962967</v>
      </c>
      <c r="C1134" s="1">
        <v>1751</v>
      </c>
      <c r="D1134" s="1">
        <v>13002606</v>
      </c>
      <c r="E1134" s="1">
        <v>13</v>
      </c>
      <c r="F1134" s="1">
        <v>22589</v>
      </c>
      <c r="G1134" s="1" t="s">
        <v>18</v>
      </c>
      <c r="H1134" s="1">
        <v>15</v>
      </c>
      <c r="I1134" s="1">
        <v>9591</v>
      </c>
      <c r="J1134" s="1" t="s">
        <v>1046</v>
      </c>
      <c r="K1134" s="1" t="s">
        <v>45</v>
      </c>
      <c r="L1134" s="1" t="s">
        <v>892</v>
      </c>
      <c r="M1134" s="1">
        <v>1</v>
      </c>
      <c r="N1134" s="2">
        <v>168.92</v>
      </c>
      <c r="O1134" s="3">
        <v>200</v>
      </c>
      <c r="P1134" s="1">
        <v>10</v>
      </c>
      <c r="Q1134" s="1">
        <v>9</v>
      </c>
      <c r="R1134" s="1">
        <v>200010017973</v>
      </c>
      <c r="S1134" s="1">
        <v>50</v>
      </c>
      <c r="T1134" s="1">
        <v>1</v>
      </c>
      <c r="U1134" s="1">
        <v>4</v>
      </c>
    </row>
    <row r="1135" spans="1:21" x14ac:dyDescent="0.25">
      <c r="A1135" s="4">
        <v>44777</v>
      </c>
      <c r="B1135" s="5">
        <v>0.69369212962962967</v>
      </c>
      <c r="C1135" s="1">
        <v>1751</v>
      </c>
      <c r="D1135" s="1">
        <v>13002606</v>
      </c>
      <c r="E1135" s="1">
        <v>13</v>
      </c>
      <c r="F1135" s="1">
        <v>22589</v>
      </c>
      <c r="G1135" s="1" t="s">
        <v>18</v>
      </c>
      <c r="H1135" s="1">
        <v>15</v>
      </c>
      <c r="I1135" s="1">
        <v>9422</v>
      </c>
      <c r="J1135" s="1" t="s">
        <v>1047</v>
      </c>
      <c r="K1135" s="1" t="s">
        <v>20</v>
      </c>
      <c r="L1135" s="1" t="s">
        <v>211</v>
      </c>
      <c r="M1135" s="1">
        <v>1</v>
      </c>
      <c r="N1135" s="2">
        <v>332.03</v>
      </c>
      <c r="O1135" s="3">
        <v>439</v>
      </c>
      <c r="P1135" s="1">
        <v>30</v>
      </c>
      <c r="Q1135" s="1">
        <v>9</v>
      </c>
      <c r="R1135" s="1">
        <v>200010017973</v>
      </c>
      <c r="S1135" s="1">
        <v>50</v>
      </c>
      <c r="T1135" s="1">
        <v>1</v>
      </c>
      <c r="U1135" s="1">
        <v>5</v>
      </c>
    </row>
    <row r="1136" spans="1:21" x14ac:dyDescent="0.25">
      <c r="A1136" s="4">
        <v>44777</v>
      </c>
      <c r="B1136" s="5">
        <v>0.69444444444444442</v>
      </c>
      <c r="C1136" s="1">
        <v>1752</v>
      </c>
      <c r="D1136" s="1">
        <v>13002606</v>
      </c>
      <c r="E1136" s="1">
        <v>13</v>
      </c>
      <c r="F1136" s="1">
        <v>22589</v>
      </c>
      <c r="G1136" s="1" t="s">
        <v>18</v>
      </c>
      <c r="H1136" s="1">
        <v>18</v>
      </c>
      <c r="I1136" s="1">
        <v>100510</v>
      </c>
      <c r="J1136" s="1" t="s">
        <v>1048</v>
      </c>
      <c r="K1136" s="1" t="s">
        <v>48</v>
      </c>
      <c r="L1136" s="1" t="s">
        <v>126</v>
      </c>
      <c r="M1136" s="1">
        <v>1</v>
      </c>
      <c r="N1136" s="2">
        <v>350.97</v>
      </c>
      <c r="O1136" s="3">
        <v>404</v>
      </c>
      <c r="P1136" s="1">
        <v>0</v>
      </c>
      <c r="Q1136" s="1" t="s">
        <v>22</v>
      </c>
      <c r="R1136" s="1" t="s">
        <v>22</v>
      </c>
      <c r="S1136" s="1">
        <v>50</v>
      </c>
      <c r="T1136" s="1">
        <v>1</v>
      </c>
      <c r="U1136" s="1">
        <v>1</v>
      </c>
    </row>
    <row r="1137" spans="1:21" x14ac:dyDescent="0.25">
      <c r="A1137" s="4">
        <v>44777</v>
      </c>
      <c r="B1137" s="5">
        <v>0.69791666666666663</v>
      </c>
      <c r="C1137" s="1">
        <v>1753</v>
      </c>
      <c r="D1137" s="1">
        <v>13002606</v>
      </c>
      <c r="E1137" s="1">
        <v>13</v>
      </c>
      <c r="F1137" s="1">
        <v>22589</v>
      </c>
      <c r="G1137" s="1" t="s">
        <v>18</v>
      </c>
      <c r="H1137" s="1">
        <v>15</v>
      </c>
      <c r="I1137" s="1">
        <v>276810</v>
      </c>
      <c r="J1137" s="1" t="s">
        <v>228</v>
      </c>
      <c r="K1137" s="1" t="s">
        <v>58</v>
      </c>
      <c r="L1137" s="1" t="s">
        <v>189</v>
      </c>
      <c r="M1137" s="1">
        <v>1</v>
      </c>
      <c r="N1137" s="2">
        <v>316.36</v>
      </c>
      <c r="O1137" s="3">
        <v>380</v>
      </c>
      <c r="P1137" s="1">
        <v>38</v>
      </c>
      <c r="Q1137" s="1">
        <v>30</v>
      </c>
      <c r="R1137" s="1">
        <v>200000000024</v>
      </c>
      <c r="S1137" s="1">
        <v>50</v>
      </c>
      <c r="T1137" s="1">
        <v>1</v>
      </c>
      <c r="U1137" s="1">
        <v>1</v>
      </c>
    </row>
    <row r="1138" spans="1:21" x14ac:dyDescent="0.25">
      <c r="A1138" s="4">
        <v>44777</v>
      </c>
      <c r="B1138" s="5">
        <v>0.69791666666666663</v>
      </c>
      <c r="C1138" s="1">
        <v>1753</v>
      </c>
      <c r="D1138" s="1">
        <v>13002606</v>
      </c>
      <c r="E1138" s="1">
        <v>13</v>
      </c>
      <c r="F1138" s="1">
        <v>22589</v>
      </c>
      <c r="G1138" s="1" t="s">
        <v>18</v>
      </c>
      <c r="H1138" s="1">
        <v>15</v>
      </c>
      <c r="I1138" s="1">
        <v>48879</v>
      </c>
      <c r="J1138" s="1" t="s">
        <v>1049</v>
      </c>
      <c r="K1138" s="1" t="s">
        <v>31</v>
      </c>
      <c r="L1138" s="1" t="s">
        <v>807</v>
      </c>
      <c r="M1138" s="1">
        <v>1</v>
      </c>
      <c r="N1138" s="2">
        <v>137.82</v>
      </c>
      <c r="O1138" s="3">
        <v>214</v>
      </c>
      <c r="P1138" s="1">
        <v>0</v>
      </c>
      <c r="Q1138" s="1" t="s">
        <v>22</v>
      </c>
      <c r="R1138" s="1" t="s">
        <v>22</v>
      </c>
      <c r="S1138" s="1">
        <v>50</v>
      </c>
      <c r="T1138" s="1">
        <v>1</v>
      </c>
      <c r="U1138" s="1">
        <v>2</v>
      </c>
    </row>
    <row r="1139" spans="1:21" x14ac:dyDescent="0.25">
      <c r="A1139" s="4">
        <v>44777</v>
      </c>
      <c r="B1139" s="5">
        <v>0.71232638888888888</v>
      </c>
      <c r="C1139" s="1">
        <v>1754</v>
      </c>
      <c r="D1139" s="1">
        <v>13002606</v>
      </c>
      <c r="E1139" s="1">
        <v>13</v>
      </c>
      <c r="F1139" s="1">
        <v>22589</v>
      </c>
      <c r="G1139" s="1" t="s">
        <v>18</v>
      </c>
      <c r="H1139" s="1">
        <v>15</v>
      </c>
      <c r="I1139" s="1">
        <v>435596</v>
      </c>
      <c r="J1139" s="1" t="s">
        <v>1050</v>
      </c>
      <c r="K1139" s="1" t="s">
        <v>20</v>
      </c>
      <c r="L1139" s="1" t="s">
        <v>450</v>
      </c>
      <c r="M1139" s="1">
        <v>1</v>
      </c>
      <c r="N1139" s="2">
        <v>11.59</v>
      </c>
      <c r="O1139" s="3">
        <v>18</v>
      </c>
      <c r="P1139" s="1">
        <v>0</v>
      </c>
      <c r="Q1139" s="1" t="s">
        <v>22</v>
      </c>
      <c r="R1139" s="1" t="s">
        <v>22</v>
      </c>
      <c r="S1139" s="1">
        <v>50</v>
      </c>
      <c r="T1139" s="1">
        <v>1</v>
      </c>
      <c r="U1139" s="1">
        <v>1</v>
      </c>
    </row>
    <row r="1140" spans="1:21" x14ac:dyDescent="0.25">
      <c r="A1140" s="4">
        <v>44777</v>
      </c>
      <c r="B1140" s="5">
        <v>0.71296296296296291</v>
      </c>
      <c r="C1140" s="1">
        <v>1755</v>
      </c>
      <c r="D1140" s="1">
        <v>13002606</v>
      </c>
      <c r="E1140" s="1">
        <v>13</v>
      </c>
      <c r="F1140" s="1">
        <v>22589</v>
      </c>
      <c r="G1140" s="1" t="s">
        <v>18</v>
      </c>
      <c r="H1140" s="1">
        <v>15</v>
      </c>
      <c r="I1140" s="1">
        <v>298510</v>
      </c>
      <c r="J1140" s="1" t="s">
        <v>226</v>
      </c>
      <c r="K1140" s="1" t="s">
        <v>26</v>
      </c>
      <c r="L1140" s="1" t="s">
        <v>227</v>
      </c>
      <c r="M1140" s="1">
        <v>1</v>
      </c>
      <c r="N1140" s="2">
        <v>55.31</v>
      </c>
      <c r="O1140" s="3">
        <v>69</v>
      </c>
      <c r="P1140" s="1">
        <v>0</v>
      </c>
      <c r="Q1140" s="1" t="s">
        <v>22</v>
      </c>
      <c r="R1140" s="1" t="s">
        <v>22</v>
      </c>
      <c r="S1140" s="1">
        <v>50</v>
      </c>
      <c r="T1140" s="1">
        <v>1</v>
      </c>
      <c r="U1140" s="1">
        <v>1</v>
      </c>
    </row>
    <row r="1141" spans="1:21" x14ac:dyDescent="0.25">
      <c r="A1141" s="4">
        <v>44777</v>
      </c>
      <c r="B1141" s="5">
        <v>0.72550925925925924</v>
      </c>
      <c r="C1141" s="1">
        <v>1756</v>
      </c>
      <c r="D1141" s="1">
        <v>13002606</v>
      </c>
      <c r="E1141" s="1">
        <v>13</v>
      </c>
      <c r="F1141" s="1">
        <v>22589</v>
      </c>
      <c r="G1141" s="1" t="s">
        <v>18</v>
      </c>
      <c r="H1141" s="1">
        <v>18</v>
      </c>
      <c r="I1141" s="1">
        <v>570016</v>
      </c>
      <c r="J1141" s="1" t="s">
        <v>1051</v>
      </c>
      <c r="K1141" s="1" t="s">
        <v>20</v>
      </c>
      <c r="L1141" s="1" t="s">
        <v>245</v>
      </c>
      <c r="M1141" s="1">
        <v>1</v>
      </c>
      <c r="N1141" s="2">
        <v>378.35</v>
      </c>
      <c r="O1141" s="3">
        <v>500</v>
      </c>
      <c r="P1141" s="1">
        <v>0</v>
      </c>
      <c r="Q1141" s="1" t="s">
        <v>22</v>
      </c>
      <c r="R1141" s="1" t="s">
        <v>22</v>
      </c>
      <c r="S1141" s="1">
        <v>50</v>
      </c>
      <c r="T1141" s="1">
        <v>1</v>
      </c>
      <c r="U1141" s="1">
        <v>2</v>
      </c>
    </row>
    <row r="1142" spans="1:21" x14ac:dyDescent="0.25">
      <c r="A1142" s="4">
        <v>44777</v>
      </c>
      <c r="B1142" s="5">
        <v>0.72906249999999995</v>
      </c>
      <c r="C1142" s="1">
        <v>1757</v>
      </c>
      <c r="D1142" s="1">
        <v>13002606</v>
      </c>
      <c r="E1142" s="1">
        <v>13</v>
      </c>
      <c r="F1142" s="1">
        <v>22589</v>
      </c>
      <c r="G1142" s="1" t="s">
        <v>18</v>
      </c>
      <c r="H1142" s="1">
        <v>15</v>
      </c>
      <c r="I1142" s="1">
        <v>75429</v>
      </c>
      <c r="J1142" s="1" t="s">
        <v>177</v>
      </c>
      <c r="K1142" s="1" t="s">
        <v>26</v>
      </c>
      <c r="L1142" s="1" t="s">
        <v>66</v>
      </c>
      <c r="M1142" s="1">
        <v>1</v>
      </c>
      <c r="N1142" s="2">
        <v>122.18</v>
      </c>
      <c r="O1142" s="3">
        <v>144</v>
      </c>
      <c r="P1142" s="1">
        <v>7</v>
      </c>
      <c r="Q1142" s="1">
        <v>9</v>
      </c>
      <c r="R1142" s="1">
        <v>200010015162</v>
      </c>
      <c r="S1142" s="1">
        <v>50</v>
      </c>
      <c r="T1142" s="1">
        <v>1</v>
      </c>
      <c r="U1142" s="1">
        <v>2</v>
      </c>
    </row>
    <row r="1143" spans="1:21" x14ac:dyDescent="0.25">
      <c r="A1143" s="4">
        <v>44777</v>
      </c>
      <c r="B1143" s="5">
        <v>0.72906249999999995</v>
      </c>
      <c r="C1143" s="1">
        <v>1757</v>
      </c>
      <c r="D1143" s="1">
        <v>13002606</v>
      </c>
      <c r="E1143" s="1">
        <v>13</v>
      </c>
      <c r="F1143" s="1">
        <v>22589</v>
      </c>
      <c r="G1143" s="1" t="s">
        <v>18</v>
      </c>
      <c r="H1143" s="1">
        <v>15</v>
      </c>
      <c r="I1143" s="1">
        <v>2039</v>
      </c>
      <c r="J1143" s="1" t="s">
        <v>210</v>
      </c>
      <c r="K1143" s="1" t="s">
        <v>20</v>
      </c>
      <c r="L1143" s="1" t="s">
        <v>211</v>
      </c>
      <c r="M1143" s="1">
        <v>1</v>
      </c>
      <c r="N1143" s="2">
        <v>81.540000000000006</v>
      </c>
      <c r="O1143" s="3">
        <v>100</v>
      </c>
      <c r="P1143" s="1">
        <v>5</v>
      </c>
      <c r="Q1143" s="1">
        <v>9</v>
      </c>
      <c r="R1143" s="1">
        <v>200010015162</v>
      </c>
      <c r="S1143" s="1">
        <v>50</v>
      </c>
      <c r="T1143" s="1">
        <v>1</v>
      </c>
      <c r="U1143" s="1">
        <v>1</v>
      </c>
    </row>
    <row r="1144" spans="1:21" x14ac:dyDescent="0.25">
      <c r="A1144" s="4">
        <v>44777</v>
      </c>
      <c r="B1144" s="5">
        <v>0.72998842592592594</v>
      </c>
      <c r="C1144" s="1">
        <v>1758</v>
      </c>
      <c r="D1144" s="1">
        <v>13002606</v>
      </c>
      <c r="E1144" s="1">
        <v>13</v>
      </c>
      <c r="F1144" s="1">
        <v>22589</v>
      </c>
      <c r="G1144" s="1" t="s">
        <v>18</v>
      </c>
      <c r="H1144" s="1">
        <v>15</v>
      </c>
      <c r="I1144" s="1">
        <v>45674</v>
      </c>
      <c r="J1144" s="1" t="s">
        <v>1052</v>
      </c>
      <c r="K1144" s="1" t="s">
        <v>20</v>
      </c>
      <c r="L1144" s="1" t="s">
        <v>653</v>
      </c>
      <c r="M1144" s="1">
        <v>1</v>
      </c>
      <c r="N1144" s="2">
        <v>871.84</v>
      </c>
      <c r="O1144" s="3">
        <v>1047</v>
      </c>
      <c r="P1144" s="1">
        <v>14.09</v>
      </c>
      <c r="Q1144" s="1">
        <v>925</v>
      </c>
      <c r="R1144" s="1">
        <v>200000000492</v>
      </c>
      <c r="S1144" s="1">
        <v>50</v>
      </c>
      <c r="T1144" s="1">
        <v>1</v>
      </c>
      <c r="U1144" s="1">
        <v>1</v>
      </c>
    </row>
    <row r="1145" spans="1:21" x14ac:dyDescent="0.25">
      <c r="A1145" s="4">
        <v>44777</v>
      </c>
      <c r="B1145" s="5">
        <v>0.72998842592592594</v>
      </c>
      <c r="C1145" s="1">
        <v>1758</v>
      </c>
      <c r="D1145" s="1">
        <v>13002606</v>
      </c>
      <c r="E1145" s="1">
        <v>13</v>
      </c>
      <c r="F1145" s="1">
        <v>22589</v>
      </c>
      <c r="G1145" s="1" t="s">
        <v>18</v>
      </c>
      <c r="H1145" s="1">
        <v>15</v>
      </c>
      <c r="I1145" s="1">
        <v>298510</v>
      </c>
      <c r="J1145" s="1" t="s">
        <v>226</v>
      </c>
      <c r="K1145" s="1" t="s">
        <v>48</v>
      </c>
      <c r="L1145" s="1" t="s">
        <v>227</v>
      </c>
      <c r="M1145" s="1">
        <v>1</v>
      </c>
      <c r="N1145" s="2">
        <v>54.29</v>
      </c>
      <c r="O1145" s="3">
        <v>68</v>
      </c>
      <c r="P1145" s="1">
        <v>0.91</v>
      </c>
      <c r="Q1145" s="1">
        <v>925</v>
      </c>
      <c r="R1145" s="1">
        <v>200000000492</v>
      </c>
      <c r="S1145" s="1">
        <v>50</v>
      </c>
      <c r="T1145" s="1">
        <v>1</v>
      </c>
      <c r="U1145" s="1">
        <v>2</v>
      </c>
    </row>
    <row r="1146" spans="1:21" x14ac:dyDescent="0.25">
      <c r="A1146" s="4">
        <v>44777</v>
      </c>
      <c r="B1146" s="5">
        <v>0.73825231481481479</v>
      </c>
      <c r="C1146" s="1">
        <v>1759</v>
      </c>
      <c r="D1146" s="1">
        <v>13002606</v>
      </c>
      <c r="E1146" s="1">
        <v>13</v>
      </c>
      <c r="F1146" s="1">
        <v>22589</v>
      </c>
      <c r="G1146" s="1" t="s">
        <v>18</v>
      </c>
      <c r="H1146" s="1">
        <v>15</v>
      </c>
      <c r="I1146" s="1">
        <v>2583</v>
      </c>
      <c r="J1146" s="1" t="s">
        <v>1053</v>
      </c>
      <c r="K1146" s="1" t="s">
        <v>20</v>
      </c>
      <c r="L1146" s="1" t="s">
        <v>56</v>
      </c>
      <c r="M1146" s="1">
        <v>1</v>
      </c>
      <c r="N1146" s="2">
        <v>276.83</v>
      </c>
      <c r="O1146" s="3">
        <v>319</v>
      </c>
      <c r="P1146" s="1">
        <v>15</v>
      </c>
      <c r="Q1146" s="1">
        <v>941</v>
      </c>
      <c r="R1146" s="1">
        <v>200000000044</v>
      </c>
      <c r="S1146" s="1">
        <v>50</v>
      </c>
      <c r="T1146" s="1">
        <v>1</v>
      </c>
      <c r="U1146" s="1">
        <v>1</v>
      </c>
    </row>
    <row r="1147" spans="1:21" x14ac:dyDescent="0.25">
      <c r="A1147" s="4">
        <v>44777</v>
      </c>
      <c r="B1147" s="5">
        <v>0.73989583333333331</v>
      </c>
      <c r="C1147" s="1">
        <v>1760</v>
      </c>
      <c r="D1147" s="1">
        <v>13002606</v>
      </c>
      <c r="E1147" s="1">
        <v>13</v>
      </c>
      <c r="F1147" s="1">
        <v>22589</v>
      </c>
      <c r="G1147" s="1" t="s">
        <v>18</v>
      </c>
      <c r="H1147" s="1">
        <v>18</v>
      </c>
      <c r="I1147" s="1">
        <v>338588</v>
      </c>
      <c r="J1147" s="1" t="s">
        <v>33</v>
      </c>
      <c r="K1147" s="1" t="s">
        <v>20</v>
      </c>
      <c r="L1147" s="1" t="s">
        <v>34</v>
      </c>
      <c r="M1147" s="1">
        <v>1</v>
      </c>
      <c r="N1147" s="2">
        <v>358.64</v>
      </c>
      <c r="O1147" s="3">
        <v>450</v>
      </c>
      <c r="P1147" s="1">
        <v>22</v>
      </c>
      <c r="Q1147" s="1">
        <v>9</v>
      </c>
      <c r="R1147" s="1">
        <v>200010010154</v>
      </c>
      <c r="S1147" s="1">
        <v>50</v>
      </c>
      <c r="T1147" s="1">
        <v>1</v>
      </c>
      <c r="U1147" s="1">
        <v>2</v>
      </c>
    </row>
    <row r="1148" spans="1:21" x14ac:dyDescent="0.25">
      <c r="A1148" s="4">
        <v>44777</v>
      </c>
      <c r="B1148" s="5">
        <v>0.73989583333333331</v>
      </c>
      <c r="C1148" s="1">
        <v>1760</v>
      </c>
      <c r="D1148" s="1">
        <v>13002606</v>
      </c>
      <c r="E1148" s="1">
        <v>13</v>
      </c>
      <c r="F1148" s="1">
        <v>22589</v>
      </c>
      <c r="G1148" s="1" t="s">
        <v>18</v>
      </c>
      <c r="H1148" s="1">
        <v>18</v>
      </c>
      <c r="I1148" s="1">
        <v>28847</v>
      </c>
      <c r="J1148" s="1" t="s">
        <v>1054</v>
      </c>
      <c r="K1148" s="1" t="s">
        <v>114</v>
      </c>
      <c r="L1148" s="1" t="s">
        <v>929</v>
      </c>
      <c r="M1148" s="1">
        <v>1</v>
      </c>
      <c r="N1148" s="2">
        <v>363.48</v>
      </c>
      <c r="O1148" s="3">
        <v>432</v>
      </c>
      <c r="P1148" s="1">
        <v>21</v>
      </c>
      <c r="Q1148" s="1">
        <v>9</v>
      </c>
      <c r="R1148" s="1">
        <v>200010010154</v>
      </c>
      <c r="S1148" s="1">
        <v>50</v>
      </c>
      <c r="T1148" s="1">
        <v>1</v>
      </c>
      <c r="U1148" s="1">
        <v>3</v>
      </c>
    </row>
    <row r="1149" spans="1:21" x14ac:dyDescent="0.25">
      <c r="A1149" s="4">
        <v>44777</v>
      </c>
      <c r="B1149" s="5">
        <v>0.73989583333333331</v>
      </c>
      <c r="C1149" s="1">
        <v>1760</v>
      </c>
      <c r="D1149" s="1">
        <v>13002606</v>
      </c>
      <c r="E1149" s="1">
        <v>13</v>
      </c>
      <c r="F1149" s="1">
        <v>22589</v>
      </c>
      <c r="G1149" s="1" t="s">
        <v>18</v>
      </c>
      <c r="H1149" s="1">
        <v>18</v>
      </c>
      <c r="I1149" s="1">
        <v>82079</v>
      </c>
      <c r="J1149" s="1" t="s">
        <v>286</v>
      </c>
      <c r="K1149" s="1" t="s">
        <v>48</v>
      </c>
      <c r="L1149" s="1" t="s">
        <v>172</v>
      </c>
      <c r="M1149" s="1">
        <v>1</v>
      </c>
      <c r="N1149" s="2">
        <v>55.76</v>
      </c>
      <c r="O1149" s="3">
        <v>70</v>
      </c>
      <c r="P1149" s="1">
        <v>3</v>
      </c>
      <c r="Q1149" s="1">
        <v>9</v>
      </c>
      <c r="R1149" s="1">
        <v>200010010154</v>
      </c>
      <c r="S1149" s="1">
        <v>50</v>
      </c>
      <c r="T1149" s="1">
        <v>1</v>
      </c>
      <c r="U1149" s="1">
        <v>1</v>
      </c>
    </row>
    <row r="1150" spans="1:21" x14ac:dyDescent="0.25">
      <c r="A1150" s="4">
        <v>44777</v>
      </c>
      <c r="B1150" s="5">
        <v>0.74494212962962958</v>
      </c>
      <c r="C1150" s="1">
        <v>1762</v>
      </c>
      <c r="D1150" s="1">
        <v>13002606</v>
      </c>
      <c r="E1150" s="1">
        <v>13</v>
      </c>
      <c r="F1150" s="1">
        <v>22589</v>
      </c>
      <c r="G1150" s="1" t="s">
        <v>18</v>
      </c>
      <c r="H1150" s="1">
        <v>18</v>
      </c>
      <c r="I1150" s="1">
        <v>110605</v>
      </c>
      <c r="J1150" s="1" t="s">
        <v>472</v>
      </c>
      <c r="K1150" s="1" t="s">
        <v>42</v>
      </c>
      <c r="L1150" s="1" t="s">
        <v>211</v>
      </c>
      <c r="M1150" s="1">
        <v>1</v>
      </c>
      <c r="N1150" s="2">
        <v>119.22</v>
      </c>
      <c r="O1150" s="3">
        <v>143</v>
      </c>
      <c r="P1150" s="1">
        <v>7</v>
      </c>
      <c r="Q1150" s="1">
        <v>9</v>
      </c>
      <c r="R1150" s="1">
        <v>200010001162</v>
      </c>
      <c r="S1150" s="1">
        <v>50</v>
      </c>
      <c r="T1150" s="1">
        <v>1</v>
      </c>
      <c r="U1150" s="1">
        <v>2</v>
      </c>
    </row>
    <row r="1151" spans="1:21" x14ac:dyDescent="0.25">
      <c r="A1151" s="4">
        <v>44777</v>
      </c>
      <c r="B1151" s="5">
        <v>0.74494212962962958</v>
      </c>
      <c r="C1151" s="1">
        <v>1762</v>
      </c>
      <c r="D1151" s="1">
        <v>13002606</v>
      </c>
      <c r="E1151" s="1">
        <v>13</v>
      </c>
      <c r="F1151" s="1">
        <v>22589</v>
      </c>
      <c r="G1151" s="1" t="s">
        <v>18</v>
      </c>
      <c r="H1151" s="1">
        <v>18</v>
      </c>
      <c r="I1151" s="1">
        <v>297336</v>
      </c>
      <c r="J1151" s="1" t="s">
        <v>76</v>
      </c>
      <c r="K1151" s="1" t="s">
        <v>31</v>
      </c>
      <c r="L1151" s="1" t="s">
        <v>77</v>
      </c>
      <c r="M1151" s="1">
        <v>1</v>
      </c>
      <c r="N1151" s="2">
        <v>44.6</v>
      </c>
      <c r="O1151" s="3">
        <v>73</v>
      </c>
      <c r="P1151" s="1">
        <v>7</v>
      </c>
      <c r="Q1151" s="1">
        <v>9</v>
      </c>
      <c r="R1151" s="1">
        <v>200010001162</v>
      </c>
      <c r="S1151" s="1">
        <v>50</v>
      </c>
      <c r="T1151" s="1">
        <v>1</v>
      </c>
      <c r="U1151" s="1">
        <v>1</v>
      </c>
    </row>
    <row r="1152" spans="1:21" x14ac:dyDescent="0.25">
      <c r="A1152" s="4">
        <v>44777</v>
      </c>
      <c r="B1152" s="5">
        <v>0.74630787037037039</v>
      </c>
      <c r="C1152" s="1">
        <v>1763</v>
      </c>
      <c r="D1152" s="1">
        <v>13002606</v>
      </c>
      <c r="E1152" s="1">
        <v>13</v>
      </c>
      <c r="F1152" s="1">
        <v>22589</v>
      </c>
      <c r="G1152" s="1" t="s">
        <v>18</v>
      </c>
      <c r="H1152" s="1">
        <v>18</v>
      </c>
      <c r="I1152" s="1">
        <v>54092</v>
      </c>
      <c r="J1152" s="1" t="s">
        <v>1055</v>
      </c>
      <c r="K1152" s="1" t="s">
        <v>48</v>
      </c>
      <c r="L1152" s="1" t="s">
        <v>1056</v>
      </c>
      <c r="M1152" s="1">
        <v>1</v>
      </c>
      <c r="N1152" s="2">
        <v>178.78</v>
      </c>
      <c r="O1152" s="3">
        <v>278</v>
      </c>
      <c r="P1152" s="1">
        <v>27</v>
      </c>
      <c r="Q1152" s="1">
        <v>9</v>
      </c>
      <c r="R1152" s="1">
        <v>200010001162</v>
      </c>
      <c r="S1152" s="1">
        <v>50</v>
      </c>
      <c r="T1152" s="1">
        <v>1</v>
      </c>
      <c r="U1152" s="1">
        <v>1</v>
      </c>
    </row>
    <row r="1153" spans="1:21" x14ac:dyDescent="0.25">
      <c r="A1153" s="4">
        <v>44777</v>
      </c>
      <c r="B1153" s="5">
        <v>0.75312500000000004</v>
      </c>
      <c r="C1153" s="1">
        <v>1764</v>
      </c>
      <c r="D1153" s="1">
        <v>13002606</v>
      </c>
      <c r="E1153" s="1">
        <v>13</v>
      </c>
      <c r="F1153" s="1">
        <v>22589</v>
      </c>
      <c r="G1153" s="1" t="s">
        <v>18</v>
      </c>
      <c r="H1153" s="1">
        <v>15</v>
      </c>
      <c r="I1153" s="1">
        <v>493177</v>
      </c>
      <c r="J1153" s="1" t="s">
        <v>1057</v>
      </c>
      <c r="K1153" s="1" t="s">
        <v>26</v>
      </c>
      <c r="L1153" s="1" t="s">
        <v>338</v>
      </c>
      <c r="M1153" s="1">
        <v>1</v>
      </c>
      <c r="N1153" s="2">
        <v>593.22</v>
      </c>
      <c r="O1153" s="3">
        <v>766</v>
      </c>
      <c r="P1153" s="1">
        <v>53</v>
      </c>
      <c r="Q1153" s="1">
        <v>9</v>
      </c>
      <c r="R1153" s="1">
        <v>200010026840</v>
      </c>
      <c r="S1153" s="1">
        <v>50</v>
      </c>
      <c r="T1153" s="1">
        <v>1</v>
      </c>
      <c r="U1153" s="1">
        <v>1</v>
      </c>
    </row>
    <row r="1154" spans="1:21" x14ac:dyDescent="0.25">
      <c r="A1154" s="4">
        <v>44777</v>
      </c>
      <c r="B1154" s="5">
        <v>0.75555555555555554</v>
      </c>
      <c r="C1154" s="1">
        <v>1765</v>
      </c>
      <c r="D1154" s="1">
        <v>13002606</v>
      </c>
      <c r="E1154" s="1">
        <v>13</v>
      </c>
      <c r="F1154" s="1">
        <v>22589</v>
      </c>
      <c r="G1154" s="1" t="s">
        <v>18</v>
      </c>
      <c r="H1154" s="1">
        <v>18</v>
      </c>
      <c r="I1154" s="1">
        <v>26331</v>
      </c>
      <c r="J1154" s="1" t="s">
        <v>1058</v>
      </c>
      <c r="K1154" s="1" t="s">
        <v>26</v>
      </c>
      <c r="L1154" s="1" t="s">
        <v>352</v>
      </c>
      <c r="M1154" s="1">
        <v>1</v>
      </c>
      <c r="N1154" s="2">
        <v>787.59</v>
      </c>
      <c r="O1154" s="3">
        <v>869</v>
      </c>
      <c r="P1154" s="1">
        <v>26</v>
      </c>
      <c r="Q1154" s="1">
        <v>9</v>
      </c>
      <c r="R1154" s="1">
        <v>200010012137</v>
      </c>
      <c r="S1154" s="1">
        <v>50</v>
      </c>
      <c r="T1154" s="1">
        <v>1</v>
      </c>
      <c r="U1154" s="1">
        <v>1</v>
      </c>
    </row>
    <row r="1155" spans="1:21" x14ac:dyDescent="0.25">
      <c r="A1155" s="4">
        <v>44777</v>
      </c>
      <c r="B1155" s="5">
        <v>0.75688657407407411</v>
      </c>
      <c r="C1155" s="1">
        <v>1766</v>
      </c>
      <c r="D1155" s="1">
        <v>13002606</v>
      </c>
      <c r="E1155" s="1">
        <v>13</v>
      </c>
      <c r="F1155" s="1">
        <v>22589</v>
      </c>
      <c r="G1155" s="1" t="s">
        <v>18</v>
      </c>
      <c r="H1155" s="1">
        <v>18</v>
      </c>
      <c r="I1155" s="1">
        <v>265097</v>
      </c>
      <c r="J1155" s="1" t="s">
        <v>1059</v>
      </c>
      <c r="K1155" s="1" t="s">
        <v>58</v>
      </c>
      <c r="L1155" s="1" t="s">
        <v>365</v>
      </c>
      <c r="M1155" s="1">
        <v>1</v>
      </c>
      <c r="N1155" s="2">
        <v>258.66000000000003</v>
      </c>
      <c r="O1155" s="3">
        <v>394</v>
      </c>
      <c r="P1155" s="1">
        <v>39</v>
      </c>
      <c r="Q1155" s="1">
        <v>9</v>
      </c>
      <c r="R1155" s="1">
        <v>200010012137</v>
      </c>
      <c r="S1155" s="1">
        <v>50</v>
      </c>
      <c r="T1155" s="1">
        <v>1</v>
      </c>
      <c r="U1155" s="1">
        <v>1</v>
      </c>
    </row>
    <row r="1156" spans="1:21" x14ac:dyDescent="0.25">
      <c r="A1156" s="4">
        <v>44777</v>
      </c>
      <c r="B1156" s="5">
        <v>0.77083333333333337</v>
      </c>
      <c r="C1156" s="1">
        <v>1767</v>
      </c>
      <c r="D1156" s="1">
        <v>13002606</v>
      </c>
      <c r="E1156" s="1">
        <v>13</v>
      </c>
      <c r="F1156" s="1">
        <v>22589</v>
      </c>
      <c r="G1156" s="1" t="s">
        <v>18</v>
      </c>
      <c r="H1156" s="1">
        <v>15</v>
      </c>
      <c r="I1156" s="1">
        <v>132492</v>
      </c>
      <c r="J1156" s="1" t="s">
        <v>466</v>
      </c>
      <c r="K1156" s="1" t="s">
        <v>61</v>
      </c>
      <c r="L1156" s="1" t="s">
        <v>467</v>
      </c>
      <c r="M1156" s="1">
        <v>3</v>
      </c>
      <c r="N1156" s="2">
        <v>18</v>
      </c>
      <c r="O1156" s="3">
        <v>30</v>
      </c>
      <c r="P1156" s="1">
        <v>9</v>
      </c>
      <c r="Q1156" s="1">
        <v>9</v>
      </c>
      <c r="R1156" s="1">
        <v>200010001749</v>
      </c>
      <c r="S1156" s="1">
        <v>50</v>
      </c>
      <c r="T1156" s="1">
        <v>1</v>
      </c>
      <c r="U1156" s="1">
        <v>3</v>
      </c>
    </row>
    <row r="1157" spans="1:21" x14ac:dyDescent="0.25">
      <c r="A1157" s="4">
        <v>44777</v>
      </c>
      <c r="B1157" s="5">
        <v>0.77209490740740738</v>
      </c>
      <c r="C1157" s="1">
        <v>1768</v>
      </c>
      <c r="D1157" s="1">
        <v>13002606</v>
      </c>
      <c r="E1157" s="1">
        <v>13</v>
      </c>
      <c r="F1157" s="1">
        <v>22589</v>
      </c>
      <c r="G1157" s="1" t="s">
        <v>18</v>
      </c>
      <c r="H1157" s="1">
        <v>15</v>
      </c>
      <c r="I1157" s="1">
        <v>132492</v>
      </c>
      <c r="J1157" s="1" t="s">
        <v>466</v>
      </c>
      <c r="K1157" s="1" t="s">
        <v>61</v>
      </c>
      <c r="L1157" s="1" t="s">
        <v>467</v>
      </c>
      <c r="M1157" s="1">
        <v>3</v>
      </c>
      <c r="N1157" s="2">
        <v>18</v>
      </c>
      <c r="O1157" s="3">
        <v>30</v>
      </c>
      <c r="P1157" s="1">
        <v>9</v>
      </c>
      <c r="Q1157" s="1">
        <v>9</v>
      </c>
      <c r="R1157" s="1">
        <v>200010001749</v>
      </c>
      <c r="S1157" s="1">
        <v>50</v>
      </c>
      <c r="T1157" s="1">
        <v>1</v>
      </c>
      <c r="U1157" s="1">
        <v>3</v>
      </c>
    </row>
    <row r="1158" spans="1:21" x14ac:dyDescent="0.25">
      <c r="A1158" s="4">
        <v>44777</v>
      </c>
      <c r="B1158" s="5">
        <v>0.77083333333333337</v>
      </c>
      <c r="C1158" s="1">
        <v>1767</v>
      </c>
      <c r="D1158" s="1">
        <v>13002606</v>
      </c>
      <c r="E1158" s="1">
        <v>13</v>
      </c>
      <c r="F1158" s="1">
        <v>22589</v>
      </c>
      <c r="G1158" s="1" t="s">
        <v>18</v>
      </c>
      <c r="H1158" s="1">
        <v>15</v>
      </c>
      <c r="I1158" s="1">
        <v>30028</v>
      </c>
      <c r="J1158" s="1" t="s">
        <v>163</v>
      </c>
      <c r="K1158" s="1" t="s">
        <v>48</v>
      </c>
      <c r="L1158" s="1" t="s">
        <v>164</v>
      </c>
      <c r="M1158" s="1">
        <v>2</v>
      </c>
      <c r="N1158" s="2">
        <v>10.01</v>
      </c>
      <c r="O1158" s="3">
        <v>17</v>
      </c>
      <c r="P1158" s="1">
        <v>3.34</v>
      </c>
      <c r="Q1158" s="1">
        <v>9</v>
      </c>
      <c r="R1158" s="1">
        <v>200010001749</v>
      </c>
      <c r="S1158" s="1">
        <v>50</v>
      </c>
      <c r="T1158" s="1">
        <v>1</v>
      </c>
      <c r="U1158" s="1">
        <v>1</v>
      </c>
    </row>
    <row r="1159" spans="1:21" x14ac:dyDescent="0.25">
      <c r="A1159" s="4">
        <v>44777</v>
      </c>
      <c r="B1159" s="5">
        <v>0.77083333333333337</v>
      </c>
      <c r="C1159" s="1">
        <v>1767</v>
      </c>
      <c r="D1159" s="1">
        <v>13002606</v>
      </c>
      <c r="E1159" s="1">
        <v>13</v>
      </c>
      <c r="F1159" s="1">
        <v>22589</v>
      </c>
      <c r="G1159" s="1" t="s">
        <v>18</v>
      </c>
      <c r="H1159" s="1">
        <v>15</v>
      </c>
      <c r="I1159" s="1">
        <v>30028</v>
      </c>
      <c r="J1159" s="1" t="s">
        <v>163</v>
      </c>
      <c r="K1159" s="1" t="s">
        <v>48</v>
      </c>
      <c r="L1159" s="1" t="s">
        <v>164</v>
      </c>
      <c r="M1159" s="1">
        <v>1</v>
      </c>
      <c r="N1159" s="2">
        <v>10.01</v>
      </c>
      <c r="O1159" s="3">
        <v>17</v>
      </c>
      <c r="P1159" s="1">
        <v>1.66</v>
      </c>
      <c r="Q1159" s="1">
        <v>9</v>
      </c>
      <c r="R1159" s="1">
        <v>200010001749</v>
      </c>
      <c r="S1159" s="1">
        <v>50</v>
      </c>
      <c r="T1159" s="1">
        <v>1</v>
      </c>
      <c r="U1159" s="1">
        <v>2</v>
      </c>
    </row>
    <row r="1160" spans="1:21" x14ac:dyDescent="0.25">
      <c r="A1160" s="4">
        <v>44777</v>
      </c>
      <c r="B1160" s="5">
        <v>0.77209490740740738</v>
      </c>
      <c r="C1160" s="1">
        <v>1768</v>
      </c>
      <c r="D1160" s="1">
        <v>13002606</v>
      </c>
      <c r="E1160" s="1">
        <v>13</v>
      </c>
      <c r="F1160" s="1">
        <v>22589</v>
      </c>
      <c r="G1160" s="1" t="s">
        <v>18</v>
      </c>
      <c r="H1160" s="1">
        <v>15</v>
      </c>
      <c r="I1160" s="1">
        <v>45314</v>
      </c>
      <c r="J1160" s="1" t="s">
        <v>764</v>
      </c>
      <c r="K1160" s="1" t="s">
        <v>249</v>
      </c>
      <c r="L1160" s="1" t="s">
        <v>357</v>
      </c>
      <c r="M1160" s="1">
        <v>1</v>
      </c>
      <c r="N1160" s="2">
        <v>20.3</v>
      </c>
      <c r="O1160" s="3">
        <v>33</v>
      </c>
      <c r="P1160" s="1">
        <v>3</v>
      </c>
      <c r="Q1160" s="1">
        <v>9</v>
      </c>
      <c r="R1160" s="1">
        <v>200010001749</v>
      </c>
      <c r="S1160" s="1">
        <v>50</v>
      </c>
      <c r="T1160" s="1">
        <v>1</v>
      </c>
      <c r="U1160" s="1">
        <v>6</v>
      </c>
    </row>
    <row r="1161" spans="1:21" x14ac:dyDescent="0.25">
      <c r="A1161" s="4">
        <v>44777</v>
      </c>
      <c r="B1161" s="5">
        <v>0.77209490740740738</v>
      </c>
      <c r="C1161" s="1">
        <v>1768</v>
      </c>
      <c r="D1161" s="1">
        <v>13002606</v>
      </c>
      <c r="E1161" s="1">
        <v>13</v>
      </c>
      <c r="F1161" s="1">
        <v>22589</v>
      </c>
      <c r="G1161" s="1" t="s">
        <v>18</v>
      </c>
      <c r="H1161" s="1">
        <v>15</v>
      </c>
      <c r="I1161" s="1">
        <v>28980</v>
      </c>
      <c r="J1161" s="1" t="s">
        <v>1060</v>
      </c>
      <c r="K1161" s="1" t="s">
        <v>45</v>
      </c>
      <c r="L1161" s="1" t="s">
        <v>1061</v>
      </c>
      <c r="M1161" s="1">
        <v>1</v>
      </c>
      <c r="N1161" s="2">
        <v>79.930000000000007</v>
      </c>
      <c r="O1161" s="3">
        <v>126</v>
      </c>
      <c r="P1161" s="1">
        <v>12</v>
      </c>
      <c r="Q1161" s="1">
        <v>9</v>
      </c>
      <c r="R1161" s="1">
        <v>200010001749</v>
      </c>
      <c r="S1161" s="1">
        <v>50</v>
      </c>
      <c r="T1161" s="1">
        <v>1</v>
      </c>
      <c r="U1161" s="1">
        <v>2</v>
      </c>
    </row>
    <row r="1162" spans="1:21" x14ac:dyDescent="0.25">
      <c r="A1162" s="4">
        <v>44777</v>
      </c>
      <c r="B1162" s="5">
        <v>0.77649305555555559</v>
      </c>
      <c r="C1162" s="1">
        <v>1769</v>
      </c>
      <c r="D1162" s="1">
        <v>13002606</v>
      </c>
      <c r="E1162" s="1">
        <v>13</v>
      </c>
      <c r="F1162" s="1">
        <v>22589</v>
      </c>
      <c r="G1162" s="1" t="s">
        <v>18</v>
      </c>
      <c r="H1162" s="1">
        <v>18</v>
      </c>
      <c r="I1162" s="1">
        <v>468466</v>
      </c>
      <c r="J1162" s="1" t="s">
        <v>125</v>
      </c>
      <c r="K1162" s="1" t="s">
        <v>48</v>
      </c>
      <c r="L1162" s="1" t="s">
        <v>126</v>
      </c>
      <c r="M1162" s="1">
        <v>1</v>
      </c>
      <c r="N1162" s="2">
        <v>666.45</v>
      </c>
      <c r="O1162" s="3">
        <v>739</v>
      </c>
      <c r="P1162" s="1">
        <v>0</v>
      </c>
      <c r="Q1162" s="1" t="s">
        <v>22</v>
      </c>
      <c r="R1162" s="1" t="s">
        <v>22</v>
      </c>
      <c r="S1162" s="1">
        <v>50</v>
      </c>
      <c r="T1162" s="1">
        <v>1</v>
      </c>
      <c r="U1162" s="1">
        <v>1</v>
      </c>
    </row>
    <row r="1163" spans="1:21" x14ac:dyDescent="0.25">
      <c r="A1163" s="4">
        <v>44777</v>
      </c>
      <c r="B1163" s="5">
        <v>0.78432870370370367</v>
      </c>
      <c r="C1163" s="1">
        <v>1770</v>
      </c>
      <c r="D1163" s="1">
        <v>13002606</v>
      </c>
      <c r="E1163" s="1">
        <v>13</v>
      </c>
      <c r="F1163" s="1">
        <v>22589</v>
      </c>
      <c r="G1163" s="1" t="s">
        <v>18</v>
      </c>
      <c r="H1163" s="1">
        <v>15</v>
      </c>
      <c r="I1163" s="1">
        <v>74656</v>
      </c>
      <c r="J1163" s="1" t="s">
        <v>195</v>
      </c>
      <c r="K1163" s="1" t="s">
        <v>48</v>
      </c>
      <c r="L1163" s="1" t="s">
        <v>73</v>
      </c>
      <c r="M1163" s="1">
        <v>1</v>
      </c>
      <c r="N1163" s="2">
        <v>400.74</v>
      </c>
      <c r="O1163" s="3">
        <v>481</v>
      </c>
      <c r="P1163" s="1">
        <v>33</v>
      </c>
      <c r="Q1163" s="1">
        <v>9</v>
      </c>
      <c r="R1163" s="1">
        <v>200010016190</v>
      </c>
      <c r="S1163" s="1">
        <v>50</v>
      </c>
      <c r="T1163" s="1">
        <v>1</v>
      </c>
      <c r="U1163" s="1">
        <v>1</v>
      </c>
    </row>
    <row r="1164" spans="1:21" x14ac:dyDescent="0.25">
      <c r="A1164" s="4">
        <v>44777</v>
      </c>
      <c r="B1164" s="5">
        <v>0.78734953703703703</v>
      </c>
      <c r="C1164" s="1">
        <v>1771</v>
      </c>
      <c r="D1164" s="1">
        <v>13002606</v>
      </c>
      <c r="E1164" s="1">
        <v>13</v>
      </c>
      <c r="F1164" s="1">
        <v>22589</v>
      </c>
      <c r="G1164" s="1" t="s">
        <v>18</v>
      </c>
      <c r="H1164" s="1">
        <v>15</v>
      </c>
      <c r="I1164" s="1">
        <v>5312</v>
      </c>
      <c r="J1164" s="1" t="s">
        <v>639</v>
      </c>
      <c r="K1164" s="1" t="s">
        <v>58</v>
      </c>
      <c r="L1164" s="1" t="s">
        <v>1062</v>
      </c>
      <c r="M1164" s="1">
        <v>1</v>
      </c>
      <c r="N1164" s="2">
        <v>284.79000000000002</v>
      </c>
      <c r="O1164" s="3">
        <v>385</v>
      </c>
      <c r="P1164" s="1">
        <v>38</v>
      </c>
      <c r="Q1164" s="1">
        <v>30</v>
      </c>
      <c r="R1164" s="1">
        <v>200000000024</v>
      </c>
      <c r="S1164" s="1">
        <v>50</v>
      </c>
      <c r="T1164" s="1">
        <v>1</v>
      </c>
      <c r="U1164" s="1">
        <v>1</v>
      </c>
    </row>
    <row r="1165" spans="1:21" x14ac:dyDescent="0.25">
      <c r="A1165" s="4">
        <v>44777</v>
      </c>
      <c r="B1165" s="5">
        <v>0.79398148148148151</v>
      </c>
      <c r="C1165" s="1">
        <v>1772</v>
      </c>
      <c r="D1165" s="1">
        <v>13002606</v>
      </c>
      <c r="E1165" s="1">
        <v>13</v>
      </c>
      <c r="F1165" s="1">
        <v>22589</v>
      </c>
      <c r="G1165" s="1" t="s">
        <v>18</v>
      </c>
      <c r="H1165" s="1">
        <v>15</v>
      </c>
      <c r="I1165" s="1">
        <v>445311</v>
      </c>
      <c r="J1165" s="1" t="s">
        <v>1063</v>
      </c>
      <c r="K1165" s="1" t="s">
        <v>26</v>
      </c>
      <c r="L1165" s="1" t="s">
        <v>252</v>
      </c>
      <c r="M1165" s="1">
        <v>1</v>
      </c>
      <c r="N1165" s="2">
        <v>218.85</v>
      </c>
      <c r="O1165" s="3">
        <v>266</v>
      </c>
      <c r="P1165" s="1">
        <v>0</v>
      </c>
      <c r="Q1165" s="1" t="s">
        <v>22</v>
      </c>
      <c r="R1165" s="1" t="s">
        <v>22</v>
      </c>
      <c r="S1165" s="1">
        <v>50</v>
      </c>
      <c r="T1165" s="1">
        <v>1</v>
      </c>
      <c r="U1165" s="1">
        <v>2</v>
      </c>
    </row>
    <row r="1166" spans="1:21" x14ac:dyDescent="0.25">
      <c r="A1166" s="4">
        <v>44777</v>
      </c>
      <c r="B1166" s="5">
        <v>0.79398148148148151</v>
      </c>
      <c r="C1166" s="1">
        <v>1772</v>
      </c>
      <c r="D1166" s="1">
        <v>13002606</v>
      </c>
      <c r="E1166" s="1">
        <v>13</v>
      </c>
      <c r="F1166" s="1">
        <v>22589</v>
      </c>
      <c r="G1166" s="1" t="s">
        <v>18</v>
      </c>
      <c r="H1166" s="1">
        <v>15</v>
      </c>
      <c r="I1166" s="1">
        <v>338370</v>
      </c>
      <c r="J1166" s="1" t="s">
        <v>759</v>
      </c>
      <c r="K1166" s="1" t="s">
        <v>20</v>
      </c>
      <c r="L1166" s="1" t="s">
        <v>273</v>
      </c>
      <c r="M1166" s="1">
        <v>1</v>
      </c>
      <c r="N1166" s="2">
        <v>2564.6</v>
      </c>
      <c r="O1166" s="3">
        <v>3001</v>
      </c>
      <c r="P1166" s="1">
        <v>300</v>
      </c>
      <c r="Q1166" s="1">
        <v>30</v>
      </c>
      <c r="R1166" s="1">
        <v>200000000024</v>
      </c>
      <c r="S1166" s="1">
        <v>50</v>
      </c>
      <c r="T1166" s="1">
        <v>1</v>
      </c>
      <c r="U1166" s="1">
        <v>1</v>
      </c>
    </row>
    <row r="1167" spans="1:21" x14ac:dyDescent="0.25">
      <c r="A1167" s="4">
        <v>44777</v>
      </c>
      <c r="B1167" s="5">
        <v>0.79652777777777772</v>
      </c>
      <c r="C1167" s="1">
        <v>1773</v>
      </c>
      <c r="D1167" s="1">
        <v>13002606</v>
      </c>
      <c r="E1167" s="1">
        <v>13</v>
      </c>
      <c r="F1167" s="1">
        <v>22589</v>
      </c>
      <c r="G1167" s="1" t="s">
        <v>18</v>
      </c>
      <c r="H1167" s="1">
        <v>18</v>
      </c>
      <c r="I1167" s="1">
        <v>25780</v>
      </c>
      <c r="J1167" s="1" t="s">
        <v>1064</v>
      </c>
      <c r="K1167" s="1" t="s">
        <v>31</v>
      </c>
      <c r="L1167" s="1" t="s">
        <v>1065</v>
      </c>
      <c r="M1167" s="1">
        <v>1</v>
      </c>
      <c r="N1167" s="2">
        <v>264.64</v>
      </c>
      <c r="O1167" s="3">
        <v>403</v>
      </c>
      <c r="P1167" s="1">
        <v>0</v>
      </c>
      <c r="Q1167" s="1" t="s">
        <v>22</v>
      </c>
      <c r="R1167" s="1" t="s">
        <v>22</v>
      </c>
      <c r="S1167" s="1">
        <v>50</v>
      </c>
      <c r="T1167" s="1">
        <v>1</v>
      </c>
      <c r="U1167" s="1">
        <v>1</v>
      </c>
    </row>
    <row r="1168" spans="1:21" x14ac:dyDescent="0.25">
      <c r="A1168" s="4">
        <v>44777</v>
      </c>
      <c r="B1168" s="5">
        <v>0.79959490740740746</v>
      </c>
      <c r="C1168" s="1">
        <v>1774</v>
      </c>
      <c r="D1168" s="1">
        <v>13002606</v>
      </c>
      <c r="E1168" s="1">
        <v>13</v>
      </c>
      <c r="F1168" s="1">
        <v>22589</v>
      </c>
      <c r="G1168" s="1" t="s">
        <v>18</v>
      </c>
      <c r="H1168" s="1">
        <v>18</v>
      </c>
      <c r="I1168" s="1">
        <v>431</v>
      </c>
      <c r="J1168" s="1" t="s">
        <v>986</v>
      </c>
      <c r="K1168" s="1" t="s">
        <v>26</v>
      </c>
      <c r="L1168" s="1" t="s">
        <v>213</v>
      </c>
      <c r="M1168" s="1">
        <v>1</v>
      </c>
      <c r="N1168" s="2">
        <v>41.83</v>
      </c>
      <c r="O1168" s="3">
        <v>51</v>
      </c>
      <c r="P1168" s="1">
        <v>0</v>
      </c>
      <c r="Q1168" s="1" t="s">
        <v>22</v>
      </c>
      <c r="R1168" s="1" t="s">
        <v>22</v>
      </c>
      <c r="S1168" s="1">
        <v>50</v>
      </c>
      <c r="T1168" s="1">
        <v>1</v>
      </c>
      <c r="U1168" s="1">
        <v>1</v>
      </c>
    </row>
    <row r="1169" spans="1:21" x14ac:dyDescent="0.25">
      <c r="A1169" s="4">
        <v>44777</v>
      </c>
      <c r="B1169" s="5">
        <v>0.79959490740740746</v>
      </c>
      <c r="C1169" s="1">
        <v>1774</v>
      </c>
      <c r="D1169" s="1">
        <v>13002606</v>
      </c>
      <c r="E1169" s="1">
        <v>13</v>
      </c>
      <c r="F1169" s="1">
        <v>22589</v>
      </c>
      <c r="G1169" s="1" t="s">
        <v>18</v>
      </c>
      <c r="H1169" s="1">
        <v>18</v>
      </c>
      <c r="I1169" s="1">
        <v>364623</v>
      </c>
      <c r="J1169" s="1" t="s">
        <v>1066</v>
      </c>
      <c r="K1169" s="1" t="s">
        <v>48</v>
      </c>
      <c r="L1169" s="1" t="s">
        <v>665</v>
      </c>
      <c r="M1169" s="1">
        <v>0.05</v>
      </c>
      <c r="N1169" s="2">
        <v>789.39</v>
      </c>
      <c r="O1169" s="3">
        <v>1121</v>
      </c>
      <c r="P1169" s="1">
        <v>0</v>
      </c>
      <c r="Q1169" s="1" t="s">
        <v>22</v>
      </c>
      <c r="R1169" s="1" t="s">
        <v>22</v>
      </c>
      <c r="S1169" s="1">
        <v>50</v>
      </c>
      <c r="T1169" s="1">
        <v>1</v>
      </c>
      <c r="U1169" s="1">
        <v>5</v>
      </c>
    </row>
    <row r="1170" spans="1:21" x14ac:dyDescent="0.25">
      <c r="A1170" s="4">
        <v>44777</v>
      </c>
      <c r="B1170" s="5">
        <v>0.79959490740740746</v>
      </c>
      <c r="C1170" s="1">
        <v>1774</v>
      </c>
      <c r="D1170" s="1">
        <v>13002606</v>
      </c>
      <c r="E1170" s="1">
        <v>13</v>
      </c>
      <c r="F1170" s="1">
        <v>22589</v>
      </c>
      <c r="G1170" s="1" t="s">
        <v>18</v>
      </c>
      <c r="H1170" s="1">
        <v>18</v>
      </c>
      <c r="I1170" s="1">
        <v>186629</v>
      </c>
      <c r="J1170" s="1" t="s">
        <v>1067</v>
      </c>
      <c r="K1170" s="1" t="s">
        <v>20</v>
      </c>
      <c r="L1170" s="1" t="s">
        <v>203</v>
      </c>
      <c r="M1170" s="1">
        <v>1</v>
      </c>
      <c r="N1170" s="2">
        <v>70.31</v>
      </c>
      <c r="O1170" s="3">
        <v>87</v>
      </c>
      <c r="P1170" s="1">
        <v>0</v>
      </c>
      <c r="Q1170" s="1" t="s">
        <v>22</v>
      </c>
      <c r="R1170" s="1" t="s">
        <v>22</v>
      </c>
      <c r="S1170" s="1">
        <v>50</v>
      </c>
      <c r="T1170" s="1">
        <v>1</v>
      </c>
      <c r="U1170" s="1">
        <v>3</v>
      </c>
    </row>
    <row r="1171" spans="1:21" x14ac:dyDescent="0.25">
      <c r="A1171" s="4">
        <v>44777</v>
      </c>
      <c r="B1171" s="5">
        <v>0.79959490740740746</v>
      </c>
      <c r="C1171" s="1">
        <v>1774</v>
      </c>
      <c r="D1171" s="1">
        <v>13002606</v>
      </c>
      <c r="E1171" s="1">
        <v>13</v>
      </c>
      <c r="F1171" s="1">
        <v>22589</v>
      </c>
      <c r="G1171" s="1" t="s">
        <v>18</v>
      </c>
      <c r="H1171" s="1">
        <v>18</v>
      </c>
      <c r="I1171" s="1">
        <v>506822</v>
      </c>
      <c r="J1171" s="1" t="s">
        <v>1068</v>
      </c>
      <c r="K1171" s="1" t="s">
        <v>31</v>
      </c>
      <c r="L1171" s="1" t="s">
        <v>753</v>
      </c>
      <c r="M1171" s="1">
        <v>1</v>
      </c>
      <c r="N1171" s="2">
        <v>134.01</v>
      </c>
      <c r="O1171" s="3">
        <v>162</v>
      </c>
      <c r="P1171" s="1">
        <v>0</v>
      </c>
      <c r="Q1171" s="1" t="s">
        <v>22</v>
      </c>
      <c r="R1171" s="1" t="s">
        <v>22</v>
      </c>
      <c r="S1171" s="1">
        <v>50</v>
      </c>
      <c r="T1171" s="1">
        <v>1</v>
      </c>
      <c r="U1171" s="1">
        <v>2</v>
      </c>
    </row>
    <row r="1172" spans="1:21" x14ac:dyDescent="0.25">
      <c r="A1172" s="4">
        <v>44777</v>
      </c>
      <c r="B1172" s="5">
        <v>0.81480324074074073</v>
      </c>
      <c r="C1172" s="1">
        <v>1775</v>
      </c>
      <c r="D1172" s="1">
        <v>13002606</v>
      </c>
      <c r="E1172" s="1">
        <v>13</v>
      </c>
      <c r="F1172" s="1">
        <v>22589</v>
      </c>
      <c r="G1172" s="1" t="s">
        <v>18</v>
      </c>
      <c r="H1172" s="1">
        <v>15</v>
      </c>
      <c r="I1172" s="1">
        <v>1517</v>
      </c>
      <c r="J1172" s="1" t="s">
        <v>1069</v>
      </c>
      <c r="K1172" s="1" t="s">
        <v>26</v>
      </c>
      <c r="L1172" s="1" t="s">
        <v>609</v>
      </c>
      <c r="M1172" s="1">
        <v>1</v>
      </c>
      <c r="N1172" s="2">
        <v>21.27</v>
      </c>
      <c r="O1172" s="3">
        <v>26</v>
      </c>
      <c r="P1172" s="1">
        <v>0</v>
      </c>
      <c r="Q1172" s="1" t="s">
        <v>22</v>
      </c>
      <c r="R1172" s="1" t="s">
        <v>22</v>
      </c>
      <c r="S1172" s="1">
        <v>50</v>
      </c>
      <c r="T1172" s="1">
        <v>1</v>
      </c>
      <c r="U1172" s="1">
        <v>1</v>
      </c>
    </row>
    <row r="1173" spans="1:21" x14ac:dyDescent="0.25">
      <c r="A1173" s="4">
        <v>44777</v>
      </c>
      <c r="B1173" s="5">
        <v>0.81480324074074073</v>
      </c>
      <c r="C1173" s="1">
        <v>1775</v>
      </c>
      <c r="D1173" s="1">
        <v>13002606</v>
      </c>
      <c r="E1173" s="1">
        <v>13</v>
      </c>
      <c r="F1173" s="1">
        <v>22589</v>
      </c>
      <c r="G1173" s="1" t="s">
        <v>18</v>
      </c>
      <c r="H1173" s="1">
        <v>15</v>
      </c>
      <c r="I1173" s="1">
        <v>1517</v>
      </c>
      <c r="J1173" s="1" t="s">
        <v>1069</v>
      </c>
      <c r="K1173" s="1" t="s">
        <v>26</v>
      </c>
      <c r="L1173" s="1" t="s">
        <v>609</v>
      </c>
      <c r="M1173" s="1">
        <v>1</v>
      </c>
      <c r="N1173" s="2">
        <v>21.27</v>
      </c>
      <c r="O1173" s="3">
        <v>26</v>
      </c>
      <c r="P1173" s="1">
        <v>0</v>
      </c>
      <c r="Q1173" s="1" t="s">
        <v>22</v>
      </c>
      <c r="R1173" s="1" t="s">
        <v>22</v>
      </c>
      <c r="S1173" s="1">
        <v>50</v>
      </c>
      <c r="T1173" s="1">
        <v>1</v>
      </c>
      <c r="U1173" s="1">
        <v>2</v>
      </c>
    </row>
    <row r="1174" spans="1:21" x14ac:dyDescent="0.25">
      <c r="A1174" s="4">
        <v>44777</v>
      </c>
      <c r="B1174" s="5">
        <v>0.81480324074074073</v>
      </c>
      <c r="C1174" s="1">
        <v>1775</v>
      </c>
      <c r="D1174" s="1">
        <v>13002606</v>
      </c>
      <c r="E1174" s="1">
        <v>13</v>
      </c>
      <c r="F1174" s="1">
        <v>22589</v>
      </c>
      <c r="G1174" s="1" t="s">
        <v>18</v>
      </c>
      <c r="H1174" s="1">
        <v>15</v>
      </c>
      <c r="I1174" s="1">
        <v>1517</v>
      </c>
      <c r="J1174" s="1" t="s">
        <v>1069</v>
      </c>
      <c r="K1174" s="1" t="s">
        <v>26</v>
      </c>
      <c r="L1174" s="1" t="s">
        <v>609</v>
      </c>
      <c r="M1174" s="1">
        <v>1</v>
      </c>
      <c r="N1174" s="2">
        <v>21.27</v>
      </c>
      <c r="O1174" s="3">
        <v>26</v>
      </c>
      <c r="P1174" s="1">
        <v>0</v>
      </c>
      <c r="Q1174" s="1" t="s">
        <v>22</v>
      </c>
      <c r="R1174" s="1" t="s">
        <v>22</v>
      </c>
      <c r="S1174" s="1">
        <v>50</v>
      </c>
      <c r="T1174" s="1">
        <v>1</v>
      </c>
      <c r="U1174" s="1">
        <v>3</v>
      </c>
    </row>
    <row r="1175" spans="1:21" x14ac:dyDescent="0.25">
      <c r="A1175" s="4">
        <v>44777</v>
      </c>
      <c r="B1175" s="5">
        <v>0.81480324074074073</v>
      </c>
      <c r="C1175" s="1">
        <v>1775</v>
      </c>
      <c r="D1175" s="1">
        <v>13002606</v>
      </c>
      <c r="E1175" s="1">
        <v>13</v>
      </c>
      <c r="F1175" s="1">
        <v>22589</v>
      </c>
      <c r="G1175" s="1" t="s">
        <v>18</v>
      </c>
      <c r="H1175" s="1">
        <v>15</v>
      </c>
      <c r="I1175" s="1">
        <v>422260</v>
      </c>
      <c r="J1175" s="1" t="s">
        <v>664</v>
      </c>
      <c r="K1175" s="1" t="s">
        <v>48</v>
      </c>
      <c r="L1175" s="1" t="s">
        <v>665</v>
      </c>
      <c r="M1175" s="1">
        <v>3</v>
      </c>
      <c r="N1175" s="2">
        <v>28.82</v>
      </c>
      <c r="O1175" s="3">
        <v>47</v>
      </c>
      <c r="P1175" s="1">
        <v>0</v>
      </c>
      <c r="Q1175" s="1" t="s">
        <v>22</v>
      </c>
      <c r="R1175" s="1" t="s">
        <v>22</v>
      </c>
      <c r="S1175" s="1">
        <v>50</v>
      </c>
      <c r="T1175" s="1">
        <v>1</v>
      </c>
      <c r="U1175" s="1">
        <v>4</v>
      </c>
    </row>
    <row r="1176" spans="1:21" x14ac:dyDescent="0.25">
      <c r="A1176" s="4">
        <v>44777</v>
      </c>
      <c r="B1176" s="5">
        <v>0.8165162037037037</v>
      </c>
      <c r="C1176" s="1">
        <v>1776</v>
      </c>
      <c r="D1176" s="1">
        <v>13002606</v>
      </c>
      <c r="E1176" s="1">
        <v>13</v>
      </c>
      <c r="F1176" s="1">
        <v>22589</v>
      </c>
      <c r="G1176" s="1" t="s">
        <v>18</v>
      </c>
      <c r="H1176" s="1">
        <v>18</v>
      </c>
      <c r="I1176" s="1">
        <v>550192</v>
      </c>
      <c r="J1176" s="1" t="s">
        <v>1070</v>
      </c>
      <c r="K1176" s="1" t="s">
        <v>31</v>
      </c>
      <c r="L1176" s="1" t="s">
        <v>388</v>
      </c>
      <c r="M1176" s="1">
        <v>1</v>
      </c>
      <c r="N1176" s="2">
        <v>136.80000000000001</v>
      </c>
      <c r="O1176" s="3">
        <v>152.96</v>
      </c>
      <c r="P1176" s="1">
        <v>0</v>
      </c>
      <c r="Q1176" s="1" t="s">
        <v>22</v>
      </c>
      <c r="R1176" s="1" t="s">
        <v>22</v>
      </c>
      <c r="S1176" s="1">
        <v>50</v>
      </c>
      <c r="T1176" s="1">
        <v>2</v>
      </c>
      <c r="U1176" s="1">
        <v>1</v>
      </c>
    </row>
    <row r="1177" spans="1:21" x14ac:dyDescent="0.25">
      <c r="A1177" s="4">
        <v>44777</v>
      </c>
      <c r="B1177" s="5">
        <v>0.8165162037037037</v>
      </c>
      <c r="C1177" s="1">
        <v>1776</v>
      </c>
      <c r="D1177" s="1">
        <v>13002606</v>
      </c>
      <c r="E1177" s="1">
        <v>13</v>
      </c>
      <c r="F1177" s="1">
        <v>22589</v>
      </c>
      <c r="G1177" s="1" t="s">
        <v>18</v>
      </c>
      <c r="H1177" s="1">
        <v>18</v>
      </c>
      <c r="I1177" s="1">
        <v>5326</v>
      </c>
      <c r="J1177" s="1" t="s">
        <v>1071</v>
      </c>
      <c r="K1177" s="1" t="s">
        <v>31</v>
      </c>
      <c r="L1177" s="1" t="s">
        <v>936</v>
      </c>
      <c r="M1177" s="1">
        <v>1</v>
      </c>
      <c r="N1177" s="2">
        <v>83.38</v>
      </c>
      <c r="O1177" s="3">
        <v>98.41</v>
      </c>
      <c r="P1177" s="1">
        <v>0</v>
      </c>
      <c r="Q1177" s="1" t="s">
        <v>22</v>
      </c>
      <c r="R1177" s="1" t="s">
        <v>22</v>
      </c>
      <c r="S1177" s="1">
        <v>50</v>
      </c>
      <c r="T1177" s="1">
        <v>2</v>
      </c>
      <c r="U1177" s="1">
        <v>2</v>
      </c>
    </row>
    <row r="1178" spans="1:21" x14ac:dyDescent="0.25">
      <c r="A1178" s="4">
        <v>44777</v>
      </c>
      <c r="B1178" s="5">
        <v>0.8165162037037037</v>
      </c>
      <c r="C1178" s="1">
        <v>1776</v>
      </c>
      <c r="D1178" s="1">
        <v>13002606</v>
      </c>
      <c r="E1178" s="1">
        <v>13</v>
      </c>
      <c r="F1178" s="1">
        <v>22589</v>
      </c>
      <c r="G1178" s="1" t="s">
        <v>18</v>
      </c>
      <c r="H1178" s="1">
        <v>18</v>
      </c>
      <c r="I1178" s="1">
        <v>5326</v>
      </c>
      <c r="J1178" s="1" t="s">
        <v>1071</v>
      </c>
      <c r="K1178" s="1" t="s">
        <v>31</v>
      </c>
      <c r="L1178" s="1" t="s">
        <v>936</v>
      </c>
      <c r="M1178" s="1">
        <v>1</v>
      </c>
      <c r="N1178" s="2">
        <v>83.38</v>
      </c>
      <c r="O1178" s="3">
        <v>98.41</v>
      </c>
      <c r="P1178" s="1">
        <v>0</v>
      </c>
      <c r="Q1178" s="1" t="s">
        <v>22</v>
      </c>
      <c r="R1178" s="1" t="s">
        <v>22</v>
      </c>
      <c r="S1178" s="1">
        <v>50</v>
      </c>
      <c r="T1178" s="1">
        <v>2</v>
      </c>
      <c r="U1178" s="1">
        <v>3</v>
      </c>
    </row>
    <row r="1179" spans="1:21" x14ac:dyDescent="0.25">
      <c r="A1179" s="4">
        <v>44777</v>
      </c>
      <c r="B1179" s="5">
        <v>0.8165162037037037</v>
      </c>
      <c r="C1179" s="1">
        <v>1776</v>
      </c>
      <c r="D1179" s="1">
        <v>13002606</v>
      </c>
      <c r="E1179" s="1">
        <v>13</v>
      </c>
      <c r="F1179" s="1">
        <v>22589</v>
      </c>
      <c r="G1179" s="1" t="s">
        <v>18</v>
      </c>
      <c r="H1179" s="1">
        <v>18</v>
      </c>
      <c r="I1179" s="1">
        <v>5326</v>
      </c>
      <c r="J1179" s="1" t="s">
        <v>1071</v>
      </c>
      <c r="K1179" s="1" t="s">
        <v>31</v>
      </c>
      <c r="L1179" s="1" t="s">
        <v>936</v>
      </c>
      <c r="M1179" s="1">
        <v>1</v>
      </c>
      <c r="N1179" s="2">
        <v>83.38</v>
      </c>
      <c r="O1179" s="3">
        <v>98.41</v>
      </c>
      <c r="P1179" s="1">
        <v>0</v>
      </c>
      <c r="Q1179" s="1" t="s">
        <v>22</v>
      </c>
      <c r="R1179" s="1" t="s">
        <v>22</v>
      </c>
      <c r="S1179" s="1">
        <v>50</v>
      </c>
      <c r="T1179" s="1">
        <v>2</v>
      </c>
      <c r="U1179" s="1">
        <v>4</v>
      </c>
    </row>
    <row r="1180" spans="1:21" x14ac:dyDescent="0.25">
      <c r="A1180" s="4">
        <v>44777</v>
      </c>
      <c r="B1180" s="5">
        <v>0.82451388888888888</v>
      </c>
      <c r="C1180" s="1">
        <v>1777</v>
      </c>
      <c r="D1180" s="1">
        <v>13002606</v>
      </c>
      <c r="E1180" s="1">
        <v>13</v>
      </c>
      <c r="F1180" s="1">
        <v>22589</v>
      </c>
      <c r="G1180" s="1" t="s">
        <v>18</v>
      </c>
      <c r="H1180" s="1">
        <v>18</v>
      </c>
      <c r="I1180" s="1">
        <v>3534</v>
      </c>
      <c r="J1180" s="1" t="s">
        <v>878</v>
      </c>
      <c r="K1180" s="1" t="s">
        <v>45</v>
      </c>
      <c r="L1180" s="1" t="s">
        <v>879</v>
      </c>
      <c r="M1180" s="1">
        <v>1</v>
      </c>
      <c r="N1180" s="2">
        <v>314.12</v>
      </c>
      <c r="O1180" s="3">
        <v>383</v>
      </c>
      <c r="P1180" s="1">
        <v>0</v>
      </c>
      <c r="Q1180" s="1" t="s">
        <v>22</v>
      </c>
      <c r="R1180" s="1" t="s">
        <v>22</v>
      </c>
      <c r="S1180" s="1">
        <v>50</v>
      </c>
      <c r="T1180" s="1">
        <v>1</v>
      </c>
      <c r="U1180" s="1">
        <v>1</v>
      </c>
    </row>
    <row r="1181" spans="1:21" x14ac:dyDescent="0.25">
      <c r="A1181" s="4">
        <v>44777</v>
      </c>
      <c r="B1181" s="5">
        <v>0.82451388888888888</v>
      </c>
      <c r="C1181" s="1">
        <v>1777</v>
      </c>
      <c r="D1181" s="1">
        <v>13002606</v>
      </c>
      <c r="E1181" s="1">
        <v>13</v>
      </c>
      <c r="F1181" s="1">
        <v>22589</v>
      </c>
      <c r="G1181" s="1" t="s">
        <v>18</v>
      </c>
      <c r="H1181" s="1">
        <v>18</v>
      </c>
      <c r="I1181" s="1">
        <v>443168</v>
      </c>
      <c r="J1181" s="1" t="s">
        <v>492</v>
      </c>
      <c r="K1181" s="1" t="s">
        <v>48</v>
      </c>
      <c r="L1181" s="1" t="s">
        <v>49</v>
      </c>
      <c r="M1181" s="1">
        <v>1</v>
      </c>
      <c r="N1181" s="2">
        <v>61.5</v>
      </c>
      <c r="O1181" s="3">
        <v>97</v>
      </c>
      <c r="P1181" s="1">
        <v>0</v>
      </c>
      <c r="Q1181" s="1" t="s">
        <v>22</v>
      </c>
      <c r="R1181" s="1" t="s">
        <v>22</v>
      </c>
      <c r="S1181" s="1">
        <v>50</v>
      </c>
      <c r="T1181" s="1">
        <v>1</v>
      </c>
      <c r="U1181" s="1">
        <v>2</v>
      </c>
    </row>
    <row r="1182" spans="1:21" x14ac:dyDescent="0.25">
      <c r="A1182" s="4">
        <v>44778</v>
      </c>
      <c r="B1182" s="5">
        <v>0.33399305555555553</v>
      </c>
      <c r="C1182" s="1">
        <v>1781</v>
      </c>
      <c r="D1182" s="1">
        <v>13002616</v>
      </c>
      <c r="E1182" s="1">
        <v>13</v>
      </c>
      <c r="F1182" s="1">
        <v>22589</v>
      </c>
      <c r="G1182" s="1" t="s">
        <v>18</v>
      </c>
      <c r="H1182" s="1">
        <v>15</v>
      </c>
      <c r="I1182" s="1">
        <v>104602</v>
      </c>
      <c r="J1182" s="1" t="s">
        <v>704</v>
      </c>
      <c r="K1182" s="1" t="s">
        <v>705</v>
      </c>
      <c r="L1182" s="1" t="s">
        <v>706</v>
      </c>
      <c r="M1182" s="1">
        <v>2</v>
      </c>
      <c r="N1182" s="2">
        <v>26.4</v>
      </c>
      <c r="O1182" s="3">
        <v>43</v>
      </c>
      <c r="P1182" s="1">
        <v>0</v>
      </c>
      <c r="Q1182" s="1" t="s">
        <v>22</v>
      </c>
      <c r="R1182" s="1" t="s">
        <v>22</v>
      </c>
      <c r="S1182" s="1">
        <v>50</v>
      </c>
      <c r="T1182" s="1">
        <v>1</v>
      </c>
      <c r="U1182" s="1">
        <v>1</v>
      </c>
    </row>
    <row r="1183" spans="1:21" x14ac:dyDescent="0.25">
      <c r="A1183" s="4">
        <v>44778</v>
      </c>
      <c r="B1183" s="5">
        <v>0.33399305555555553</v>
      </c>
      <c r="C1183" s="1">
        <v>1781</v>
      </c>
      <c r="D1183" s="1">
        <v>13002616</v>
      </c>
      <c r="E1183" s="1">
        <v>13</v>
      </c>
      <c r="F1183" s="1">
        <v>22589</v>
      </c>
      <c r="G1183" s="1" t="s">
        <v>18</v>
      </c>
      <c r="H1183" s="1">
        <v>15</v>
      </c>
      <c r="I1183" s="1">
        <v>440425</v>
      </c>
      <c r="J1183" s="1" t="s">
        <v>624</v>
      </c>
      <c r="K1183" s="1" t="s">
        <v>48</v>
      </c>
      <c r="L1183" s="1" t="s">
        <v>46</v>
      </c>
      <c r="M1183" s="1">
        <v>1</v>
      </c>
      <c r="N1183" s="2">
        <v>28.81</v>
      </c>
      <c r="O1183" s="3">
        <v>37</v>
      </c>
      <c r="P1183" s="1">
        <v>0</v>
      </c>
      <c r="Q1183" s="1" t="s">
        <v>22</v>
      </c>
      <c r="R1183" s="1" t="s">
        <v>22</v>
      </c>
      <c r="S1183" s="1">
        <v>50</v>
      </c>
      <c r="T1183" s="1">
        <v>1</v>
      </c>
      <c r="U1183" s="1">
        <v>2</v>
      </c>
    </row>
    <row r="1184" spans="1:21" x14ac:dyDescent="0.25">
      <c r="A1184" s="4">
        <v>44778</v>
      </c>
      <c r="B1184" s="5">
        <v>0.33399305555555553</v>
      </c>
      <c r="C1184" s="1">
        <v>1781</v>
      </c>
      <c r="D1184" s="1">
        <v>13002616</v>
      </c>
      <c r="E1184" s="1">
        <v>13</v>
      </c>
      <c r="F1184" s="1">
        <v>22589</v>
      </c>
      <c r="G1184" s="1" t="s">
        <v>18</v>
      </c>
      <c r="H1184" s="1">
        <v>15</v>
      </c>
      <c r="I1184" s="1">
        <v>440425</v>
      </c>
      <c r="J1184" s="1" t="s">
        <v>624</v>
      </c>
      <c r="K1184" s="1" t="s">
        <v>48</v>
      </c>
      <c r="L1184" s="1" t="s">
        <v>46</v>
      </c>
      <c r="M1184" s="1">
        <v>1</v>
      </c>
      <c r="N1184" s="2">
        <v>28.81</v>
      </c>
      <c r="O1184" s="3">
        <v>37</v>
      </c>
      <c r="P1184" s="1">
        <v>0</v>
      </c>
      <c r="Q1184" s="1" t="s">
        <v>22</v>
      </c>
      <c r="R1184" s="1" t="s">
        <v>22</v>
      </c>
      <c r="S1184" s="1">
        <v>50</v>
      </c>
      <c r="T1184" s="1">
        <v>1</v>
      </c>
      <c r="U1184" s="1">
        <v>3</v>
      </c>
    </row>
    <row r="1185" spans="1:21" x14ac:dyDescent="0.25">
      <c r="A1185" s="4">
        <v>44778</v>
      </c>
      <c r="B1185" s="5">
        <v>0.82562500000000005</v>
      </c>
      <c r="C1185" s="1">
        <v>1901</v>
      </c>
      <c r="D1185" s="1">
        <v>13002616</v>
      </c>
      <c r="E1185" s="1">
        <v>13</v>
      </c>
      <c r="F1185" s="1">
        <v>22589</v>
      </c>
      <c r="G1185" s="1" t="s">
        <v>18</v>
      </c>
      <c r="H1185" s="1">
        <v>18</v>
      </c>
      <c r="I1185" s="1">
        <v>440425</v>
      </c>
      <c r="J1185" s="1" t="s">
        <v>624</v>
      </c>
      <c r="K1185" s="1" t="s">
        <v>48</v>
      </c>
      <c r="L1185" s="1" t="s">
        <v>46</v>
      </c>
      <c r="M1185" s="1">
        <v>1</v>
      </c>
      <c r="N1185" s="2">
        <v>28.81</v>
      </c>
      <c r="O1185" s="3">
        <v>37</v>
      </c>
      <c r="P1185" s="1">
        <v>0</v>
      </c>
      <c r="Q1185" s="1" t="s">
        <v>22</v>
      </c>
      <c r="R1185" s="1" t="s">
        <v>22</v>
      </c>
      <c r="S1185" s="1">
        <v>50</v>
      </c>
      <c r="T1185" s="1">
        <v>1</v>
      </c>
      <c r="U1185" s="1">
        <v>1</v>
      </c>
    </row>
    <row r="1186" spans="1:21" x14ac:dyDescent="0.25">
      <c r="A1186" s="4">
        <v>44778</v>
      </c>
      <c r="B1186" s="5">
        <v>0.33399305555555553</v>
      </c>
      <c r="C1186" s="1">
        <v>1781</v>
      </c>
      <c r="D1186" s="1">
        <v>13002616</v>
      </c>
      <c r="E1186" s="1">
        <v>13</v>
      </c>
      <c r="F1186" s="1">
        <v>22589</v>
      </c>
      <c r="G1186" s="1" t="s">
        <v>18</v>
      </c>
      <c r="H1186" s="1">
        <v>15</v>
      </c>
      <c r="I1186" s="1">
        <v>444920</v>
      </c>
      <c r="J1186" s="1" t="s">
        <v>247</v>
      </c>
      <c r="K1186" s="1" t="s">
        <v>48</v>
      </c>
      <c r="L1186" s="1" t="s">
        <v>46</v>
      </c>
      <c r="M1186" s="1">
        <v>1</v>
      </c>
      <c r="N1186" s="2">
        <v>19.47</v>
      </c>
      <c r="O1186" s="3">
        <v>25</v>
      </c>
      <c r="P1186" s="1">
        <v>0</v>
      </c>
      <c r="Q1186" s="1" t="s">
        <v>22</v>
      </c>
      <c r="R1186" s="1" t="s">
        <v>22</v>
      </c>
      <c r="S1186" s="1">
        <v>50</v>
      </c>
      <c r="T1186" s="1">
        <v>1</v>
      </c>
      <c r="U1186" s="1">
        <v>4</v>
      </c>
    </row>
    <row r="1187" spans="1:21" x14ac:dyDescent="0.25">
      <c r="A1187" s="4">
        <v>44778</v>
      </c>
      <c r="B1187" s="5">
        <v>0.33399305555555553</v>
      </c>
      <c r="C1187" s="1">
        <v>1781</v>
      </c>
      <c r="D1187" s="1">
        <v>13002616</v>
      </c>
      <c r="E1187" s="1">
        <v>13</v>
      </c>
      <c r="F1187" s="1">
        <v>22589</v>
      </c>
      <c r="G1187" s="1" t="s">
        <v>18</v>
      </c>
      <c r="H1187" s="1">
        <v>15</v>
      </c>
      <c r="I1187" s="1">
        <v>444920</v>
      </c>
      <c r="J1187" s="1" t="s">
        <v>247</v>
      </c>
      <c r="K1187" s="1" t="s">
        <v>48</v>
      </c>
      <c r="L1187" s="1" t="s">
        <v>46</v>
      </c>
      <c r="M1187" s="1">
        <v>1</v>
      </c>
      <c r="N1187" s="2">
        <v>19.47</v>
      </c>
      <c r="O1187" s="3">
        <v>25</v>
      </c>
      <c r="P1187" s="1">
        <v>0</v>
      </c>
      <c r="Q1187" s="1" t="s">
        <v>22</v>
      </c>
      <c r="R1187" s="1" t="s">
        <v>22</v>
      </c>
      <c r="S1187" s="1">
        <v>50</v>
      </c>
      <c r="T1187" s="1">
        <v>1</v>
      </c>
      <c r="U1187" s="1">
        <v>5</v>
      </c>
    </row>
    <row r="1188" spans="1:21" x14ac:dyDescent="0.25">
      <c r="A1188" s="4">
        <v>44778</v>
      </c>
      <c r="B1188" s="5">
        <v>0.33917824074074077</v>
      </c>
      <c r="C1188" s="1">
        <v>1782</v>
      </c>
      <c r="D1188" s="1">
        <v>13002616</v>
      </c>
      <c r="E1188" s="1">
        <v>13</v>
      </c>
      <c r="F1188" s="1">
        <v>22589</v>
      </c>
      <c r="G1188" s="1" t="s">
        <v>18</v>
      </c>
      <c r="H1188" s="1">
        <v>18</v>
      </c>
      <c r="I1188" s="1">
        <v>431</v>
      </c>
      <c r="J1188" s="1" t="s">
        <v>986</v>
      </c>
      <c r="K1188" s="1" t="s">
        <v>26</v>
      </c>
      <c r="L1188" s="1" t="s">
        <v>213</v>
      </c>
      <c r="M1188" s="1">
        <v>1</v>
      </c>
      <c r="N1188" s="2">
        <v>41.83</v>
      </c>
      <c r="O1188" s="3">
        <v>51</v>
      </c>
      <c r="P1188" s="1">
        <v>0</v>
      </c>
      <c r="Q1188" s="1" t="s">
        <v>22</v>
      </c>
      <c r="R1188" s="1" t="s">
        <v>22</v>
      </c>
      <c r="S1188" s="1">
        <v>50</v>
      </c>
      <c r="T1188" s="1">
        <v>1</v>
      </c>
      <c r="U1188" s="1">
        <v>1</v>
      </c>
    </row>
    <row r="1189" spans="1:21" x14ac:dyDescent="0.25">
      <c r="A1189" s="4">
        <v>44778</v>
      </c>
      <c r="B1189" s="5">
        <v>0.33917824074074077</v>
      </c>
      <c r="C1189" s="1">
        <v>1782</v>
      </c>
      <c r="D1189" s="1">
        <v>13002616</v>
      </c>
      <c r="E1189" s="1">
        <v>13</v>
      </c>
      <c r="F1189" s="1">
        <v>22589</v>
      </c>
      <c r="G1189" s="1" t="s">
        <v>18</v>
      </c>
      <c r="H1189" s="1">
        <v>18</v>
      </c>
      <c r="I1189" s="1">
        <v>346984</v>
      </c>
      <c r="J1189" s="1" t="s">
        <v>711</v>
      </c>
      <c r="K1189" s="1" t="s">
        <v>48</v>
      </c>
      <c r="L1189" s="1" t="s">
        <v>665</v>
      </c>
      <c r="M1189" s="1">
        <v>0.05</v>
      </c>
      <c r="N1189" s="2">
        <v>766.81</v>
      </c>
      <c r="O1189" s="3">
        <v>1089</v>
      </c>
      <c r="P1189" s="1">
        <v>0</v>
      </c>
      <c r="Q1189" s="1" t="s">
        <v>22</v>
      </c>
      <c r="R1189" s="1" t="s">
        <v>22</v>
      </c>
      <c r="S1189" s="1">
        <v>50</v>
      </c>
      <c r="T1189" s="1">
        <v>1</v>
      </c>
      <c r="U1189" s="1">
        <v>3</v>
      </c>
    </row>
    <row r="1190" spans="1:21" x14ac:dyDescent="0.25">
      <c r="A1190" s="4">
        <v>44778</v>
      </c>
      <c r="B1190" s="5">
        <v>0.33917824074074077</v>
      </c>
      <c r="C1190" s="1">
        <v>1782</v>
      </c>
      <c r="D1190" s="1">
        <v>13002616</v>
      </c>
      <c r="E1190" s="1">
        <v>13</v>
      </c>
      <c r="F1190" s="1">
        <v>22589</v>
      </c>
      <c r="G1190" s="1" t="s">
        <v>18</v>
      </c>
      <c r="H1190" s="1">
        <v>18</v>
      </c>
      <c r="I1190" s="1">
        <v>1504015</v>
      </c>
      <c r="J1190" s="1" t="s">
        <v>91</v>
      </c>
      <c r="K1190" s="1" t="s">
        <v>92</v>
      </c>
      <c r="L1190" s="1" t="s">
        <v>665</v>
      </c>
      <c r="M1190" s="1">
        <v>1</v>
      </c>
      <c r="N1190" s="2">
        <v>1.1499999999999999</v>
      </c>
      <c r="O1190" s="3">
        <v>2</v>
      </c>
      <c r="P1190" s="1">
        <v>0</v>
      </c>
      <c r="Q1190" s="1" t="s">
        <v>22</v>
      </c>
      <c r="R1190" s="1" t="s">
        <v>22</v>
      </c>
      <c r="S1190" s="1">
        <v>50</v>
      </c>
      <c r="T1190" s="1">
        <v>1</v>
      </c>
      <c r="U1190" s="1">
        <v>2</v>
      </c>
    </row>
    <row r="1191" spans="1:21" x14ac:dyDescent="0.25">
      <c r="A1191" s="4">
        <v>44778</v>
      </c>
      <c r="B1191" s="5">
        <v>0.35546296296296298</v>
      </c>
      <c r="C1191" s="1">
        <v>1787</v>
      </c>
      <c r="D1191" s="1">
        <v>13002616</v>
      </c>
      <c r="E1191" s="1">
        <v>13</v>
      </c>
      <c r="F1191" s="1">
        <v>22589</v>
      </c>
      <c r="G1191" s="1" t="s">
        <v>18</v>
      </c>
      <c r="H1191" s="1">
        <v>18</v>
      </c>
      <c r="I1191" s="1">
        <v>1504015</v>
      </c>
      <c r="J1191" s="1" t="s">
        <v>91</v>
      </c>
      <c r="K1191" s="1" t="s">
        <v>92</v>
      </c>
      <c r="L1191" s="1" t="s">
        <v>665</v>
      </c>
      <c r="M1191" s="1">
        <v>1</v>
      </c>
      <c r="N1191" s="2">
        <v>1.1499999999999999</v>
      </c>
      <c r="O1191" s="3">
        <v>2</v>
      </c>
      <c r="P1191" s="1">
        <v>0</v>
      </c>
      <c r="Q1191" s="1" t="s">
        <v>22</v>
      </c>
      <c r="R1191" s="1" t="s">
        <v>22</v>
      </c>
      <c r="S1191" s="1">
        <v>50</v>
      </c>
      <c r="T1191" s="1">
        <v>1</v>
      </c>
      <c r="U1191" s="1">
        <v>4</v>
      </c>
    </row>
    <row r="1192" spans="1:21" x14ac:dyDescent="0.25">
      <c r="A1192" s="4">
        <v>44778</v>
      </c>
      <c r="B1192" s="5">
        <v>0.58947916666666667</v>
      </c>
      <c r="C1192" s="1">
        <v>1851</v>
      </c>
      <c r="D1192" s="1">
        <v>13002616</v>
      </c>
      <c r="E1192" s="1">
        <v>13</v>
      </c>
      <c r="F1192" s="1">
        <v>22589</v>
      </c>
      <c r="G1192" s="1" t="s">
        <v>18</v>
      </c>
      <c r="H1192" s="1">
        <v>18</v>
      </c>
      <c r="I1192" s="1">
        <v>1504015</v>
      </c>
      <c r="J1192" s="1" t="s">
        <v>91</v>
      </c>
      <c r="K1192" s="1" t="s">
        <v>92</v>
      </c>
      <c r="L1192" s="1" t="s">
        <v>665</v>
      </c>
      <c r="M1192" s="1">
        <v>1</v>
      </c>
      <c r="N1192" s="2">
        <v>1.1499999999999999</v>
      </c>
      <c r="O1192" s="3">
        <v>2</v>
      </c>
      <c r="P1192" s="1">
        <v>0</v>
      </c>
      <c r="Q1192" s="1" t="s">
        <v>22</v>
      </c>
      <c r="R1192" s="1" t="s">
        <v>22</v>
      </c>
      <c r="S1192" s="1">
        <v>50</v>
      </c>
      <c r="T1192" s="1">
        <v>1</v>
      </c>
      <c r="U1192" s="1">
        <v>4</v>
      </c>
    </row>
    <row r="1193" spans="1:21" x14ac:dyDescent="0.25">
      <c r="A1193" s="4">
        <v>44778</v>
      </c>
      <c r="B1193" s="5">
        <v>0.61406249999999996</v>
      </c>
      <c r="C1193" s="1">
        <v>1859</v>
      </c>
      <c r="D1193" s="1">
        <v>13002616</v>
      </c>
      <c r="E1193" s="1">
        <v>13</v>
      </c>
      <c r="F1193" s="1">
        <v>22589</v>
      </c>
      <c r="G1193" s="1" t="s">
        <v>18</v>
      </c>
      <c r="H1193" s="1">
        <v>15</v>
      </c>
      <c r="I1193" s="1">
        <v>1504015</v>
      </c>
      <c r="J1193" s="1" t="s">
        <v>91</v>
      </c>
      <c r="K1193" s="1" t="s">
        <v>92</v>
      </c>
      <c r="L1193" s="1" t="s">
        <v>665</v>
      </c>
      <c r="M1193" s="1">
        <v>1</v>
      </c>
      <c r="N1193" s="2">
        <v>1.1499999999999999</v>
      </c>
      <c r="O1193" s="3">
        <v>2</v>
      </c>
      <c r="P1193" s="1">
        <v>0</v>
      </c>
      <c r="Q1193" s="1" t="s">
        <v>22</v>
      </c>
      <c r="R1193" s="1" t="s">
        <v>22</v>
      </c>
      <c r="S1193" s="1">
        <v>50</v>
      </c>
      <c r="T1193" s="1">
        <v>1</v>
      </c>
      <c r="U1193" s="1">
        <v>2</v>
      </c>
    </row>
    <row r="1194" spans="1:21" x14ac:dyDescent="0.25">
      <c r="A1194" s="4">
        <v>44778</v>
      </c>
      <c r="B1194" s="5">
        <v>0.65141203703703698</v>
      </c>
      <c r="C1194" s="1">
        <v>1867</v>
      </c>
      <c r="D1194" s="1">
        <v>13002616</v>
      </c>
      <c r="E1194" s="1">
        <v>13</v>
      </c>
      <c r="F1194" s="1">
        <v>22589</v>
      </c>
      <c r="G1194" s="1" t="s">
        <v>18</v>
      </c>
      <c r="H1194" s="1">
        <v>15</v>
      </c>
      <c r="I1194" s="1">
        <v>1504015</v>
      </c>
      <c r="J1194" s="1" t="s">
        <v>91</v>
      </c>
      <c r="K1194" s="1" t="s">
        <v>92</v>
      </c>
      <c r="L1194" s="1" t="s">
        <v>665</v>
      </c>
      <c r="M1194" s="1">
        <v>1</v>
      </c>
      <c r="N1194" s="2">
        <v>1.1499999999999999</v>
      </c>
      <c r="O1194" s="3">
        <v>2</v>
      </c>
      <c r="P1194" s="1">
        <v>0</v>
      </c>
      <c r="Q1194" s="1" t="s">
        <v>22</v>
      </c>
      <c r="R1194" s="1" t="s">
        <v>22</v>
      </c>
      <c r="S1194" s="1">
        <v>50</v>
      </c>
      <c r="T1194" s="1">
        <v>1</v>
      </c>
      <c r="U1194" s="1">
        <v>1</v>
      </c>
    </row>
    <row r="1195" spans="1:21" x14ac:dyDescent="0.25">
      <c r="A1195" s="4">
        <v>44778</v>
      </c>
      <c r="B1195" s="5">
        <v>0.71643518518518523</v>
      </c>
      <c r="C1195" s="1">
        <v>1878</v>
      </c>
      <c r="D1195" s="1">
        <v>13002616</v>
      </c>
      <c r="E1195" s="1">
        <v>13</v>
      </c>
      <c r="F1195" s="1">
        <v>22589</v>
      </c>
      <c r="G1195" s="1" t="s">
        <v>18</v>
      </c>
      <c r="H1195" s="1">
        <v>15</v>
      </c>
      <c r="I1195" s="1">
        <v>1504015</v>
      </c>
      <c r="J1195" s="1" t="s">
        <v>91</v>
      </c>
      <c r="K1195" s="1" t="s">
        <v>92</v>
      </c>
      <c r="L1195" s="1" t="s">
        <v>665</v>
      </c>
      <c r="M1195" s="1">
        <v>1</v>
      </c>
      <c r="N1195" s="2">
        <v>1.1499999999999999</v>
      </c>
      <c r="O1195" s="3">
        <v>2</v>
      </c>
      <c r="P1195" s="1">
        <v>0</v>
      </c>
      <c r="Q1195" s="1" t="s">
        <v>22</v>
      </c>
      <c r="R1195" s="1" t="s">
        <v>22</v>
      </c>
      <c r="S1195" s="1">
        <v>50</v>
      </c>
      <c r="T1195" s="1">
        <v>1</v>
      </c>
      <c r="U1195" s="1">
        <v>3</v>
      </c>
    </row>
    <row r="1196" spans="1:21" x14ac:dyDescent="0.25">
      <c r="A1196" s="4">
        <v>44778</v>
      </c>
      <c r="B1196" s="5">
        <v>0.73204861111111108</v>
      </c>
      <c r="C1196" s="1">
        <v>1883</v>
      </c>
      <c r="D1196" s="1">
        <v>13002616</v>
      </c>
      <c r="E1196" s="1">
        <v>13</v>
      </c>
      <c r="F1196" s="1">
        <v>22589</v>
      </c>
      <c r="G1196" s="1" t="s">
        <v>18</v>
      </c>
      <c r="H1196" s="1">
        <v>15</v>
      </c>
      <c r="I1196" s="1">
        <v>1504015</v>
      </c>
      <c r="J1196" s="1" t="s">
        <v>91</v>
      </c>
      <c r="K1196" s="1" t="s">
        <v>92</v>
      </c>
      <c r="L1196" s="1" t="s">
        <v>665</v>
      </c>
      <c r="M1196" s="1">
        <v>1</v>
      </c>
      <c r="N1196" s="2">
        <v>1.1499999999999999</v>
      </c>
      <c r="O1196" s="3">
        <v>2</v>
      </c>
      <c r="P1196" s="1">
        <v>0</v>
      </c>
      <c r="Q1196" s="1" t="s">
        <v>22</v>
      </c>
      <c r="R1196" s="1" t="s">
        <v>22</v>
      </c>
      <c r="S1196" s="1">
        <v>50</v>
      </c>
      <c r="T1196" s="1">
        <v>1</v>
      </c>
      <c r="U1196" s="1">
        <v>3</v>
      </c>
    </row>
    <row r="1197" spans="1:21" x14ac:dyDescent="0.25">
      <c r="A1197" s="4">
        <v>44778</v>
      </c>
      <c r="B1197" s="5">
        <v>0.34179398148148149</v>
      </c>
      <c r="C1197" s="1">
        <v>1783</v>
      </c>
      <c r="D1197" s="1">
        <v>13002616</v>
      </c>
      <c r="E1197" s="1">
        <v>13</v>
      </c>
      <c r="F1197" s="1">
        <v>22589</v>
      </c>
      <c r="G1197" s="1" t="s">
        <v>18</v>
      </c>
      <c r="H1197" s="1">
        <v>18</v>
      </c>
      <c r="I1197" s="1">
        <v>318215</v>
      </c>
      <c r="J1197" s="1" t="s">
        <v>1072</v>
      </c>
      <c r="K1197" s="1" t="s">
        <v>42</v>
      </c>
      <c r="L1197" s="1" t="s">
        <v>1073</v>
      </c>
      <c r="M1197" s="1">
        <v>1</v>
      </c>
      <c r="N1197" s="2">
        <v>446.06</v>
      </c>
      <c r="O1197" s="3">
        <v>589</v>
      </c>
      <c r="P1197" s="1">
        <v>36.39</v>
      </c>
      <c r="Q1197" s="1">
        <v>925</v>
      </c>
      <c r="R1197" s="1">
        <v>200000000492</v>
      </c>
      <c r="S1197" s="1">
        <v>50</v>
      </c>
      <c r="T1197" s="1">
        <v>1</v>
      </c>
      <c r="U1197" s="1">
        <v>3</v>
      </c>
    </row>
    <row r="1198" spans="1:21" x14ac:dyDescent="0.25">
      <c r="A1198" s="4">
        <v>44778</v>
      </c>
      <c r="B1198" s="5">
        <v>0.34179398148148149</v>
      </c>
      <c r="C1198" s="1">
        <v>1783</v>
      </c>
      <c r="D1198" s="1">
        <v>13002616</v>
      </c>
      <c r="E1198" s="1">
        <v>13</v>
      </c>
      <c r="F1198" s="1">
        <v>22589</v>
      </c>
      <c r="G1198" s="1" t="s">
        <v>18</v>
      </c>
      <c r="H1198" s="1">
        <v>18</v>
      </c>
      <c r="I1198" s="1">
        <v>48192</v>
      </c>
      <c r="J1198" s="1" t="s">
        <v>173</v>
      </c>
      <c r="K1198" s="1" t="s">
        <v>55</v>
      </c>
      <c r="L1198" s="1" t="s">
        <v>174</v>
      </c>
      <c r="M1198" s="1">
        <v>1</v>
      </c>
      <c r="N1198" s="2">
        <v>22.43</v>
      </c>
      <c r="O1198" s="3">
        <v>37</v>
      </c>
      <c r="P1198" s="1">
        <v>2.29</v>
      </c>
      <c r="Q1198" s="1">
        <v>925</v>
      </c>
      <c r="R1198" s="1">
        <v>200000000492</v>
      </c>
      <c r="S1198" s="1">
        <v>50</v>
      </c>
      <c r="T1198" s="1">
        <v>1</v>
      </c>
      <c r="U1198" s="1">
        <v>4</v>
      </c>
    </row>
    <row r="1199" spans="1:21" x14ac:dyDescent="0.25">
      <c r="A1199" s="4">
        <v>44778</v>
      </c>
      <c r="B1199" s="5">
        <v>0.52067129629629627</v>
      </c>
      <c r="C1199" s="1">
        <v>1835</v>
      </c>
      <c r="D1199" s="1">
        <v>13002616</v>
      </c>
      <c r="E1199" s="1">
        <v>13</v>
      </c>
      <c r="F1199" s="1">
        <v>22589</v>
      </c>
      <c r="G1199" s="1" t="s">
        <v>18</v>
      </c>
      <c r="H1199" s="1">
        <v>18</v>
      </c>
      <c r="I1199" s="1">
        <v>48192</v>
      </c>
      <c r="J1199" s="1" t="s">
        <v>173</v>
      </c>
      <c r="K1199" s="1" t="s">
        <v>55</v>
      </c>
      <c r="L1199" s="1" t="s">
        <v>174</v>
      </c>
      <c r="M1199" s="1">
        <v>1</v>
      </c>
      <c r="N1199" s="2">
        <v>22.43</v>
      </c>
      <c r="O1199" s="3">
        <v>37</v>
      </c>
      <c r="P1199" s="1">
        <v>0</v>
      </c>
      <c r="Q1199" s="1" t="s">
        <v>22</v>
      </c>
      <c r="R1199" s="1" t="s">
        <v>22</v>
      </c>
      <c r="S1199" s="1">
        <v>50</v>
      </c>
      <c r="T1199" s="1">
        <v>1</v>
      </c>
      <c r="U1199" s="1">
        <v>2</v>
      </c>
    </row>
    <row r="1200" spans="1:21" x14ac:dyDescent="0.25">
      <c r="A1200" s="4">
        <v>44778</v>
      </c>
      <c r="B1200" s="5">
        <v>0.34179398148148149</v>
      </c>
      <c r="C1200" s="1">
        <v>1783</v>
      </c>
      <c r="D1200" s="1">
        <v>13002616</v>
      </c>
      <c r="E1200" s="1">
        <v>13</v>
      </c>
      <c r="F1200" s="1">
        <v>22589</v>
      </c>
      <c r="G1200" s="1" t="s">
        <v>18</v>
      </c>
      <c r="H1200" s="1">
        <v>18</v>
      </c>
      <c r="I1200" s="1">
        <v>45314</v>
      </c>
      <c r="J1200" s="1" t="s">
        <v>764</v>
      </c>
      <c r="K1200" s="1" t="s">
        <v>249</v>
      </c>
      <c r="L1200" s="1" t="s">
        <v>357</v>
      </c>
      <c r="M1200" s="1">
        <v>1</v>
      </c>
      <c r="N1200" s="2">
        <v>20.3</v>
      </c>
      <c r="O1200" s="3">
        <v>33</v>
      </c>
      <c r="P1200" s="1">
        <v>2.04</v>
      </c>
      <c r="Q1200" s="1">
        <v>925</v>
      </c>
      <c r="R1200" s="1">
        <v>200000000492</v>
      </c>
      <c r="S1200" s="1">
        <v>50</v>
      </c>
      <c r="T1200" s="1">
        <v>1</v>
      </c>
      <c r="U1200" s="1">
        <v>5</v>
      </c>
    </row>
    <row r="1201" spans="1:21" x14ac:dyDescent="0.25">
      <c r="A1201" s="4">
        <v>44778</v>
      </c>
      <c r="B1201" s="5">
        <v>0.34179398148148149</v>
      </c>
      <c r="C1201" s="1">
        <v>1783</v>
      </c>
      <c r="D1201" s="1">
        <v>13002616</v>
      </c>
      <c r="E1201" s="1">
        <v>13</v>
      </c>
      <c r="F1201" s="1">
        <v>22589</v>
      </c>
      <c r="G1201" s="1" t="s">
        <v>18</v>
      </c>
      <c r="H1201" s="1">
        <v>18</v>
      </c>
      <c r="I1201" s="1">
        <v>6402</v>
      </c>
      <c r="J1201" s="1" t="s">
        <v>465</v>
      </c>
      <c r="K1201" s="1" t="s">
        <v>42</v>
      </c>
      <c r="L1201" s="1" t="s">
        <v>73</v>
      </c>
      <c r="M1201" s="1">
        <v>1</v>
      </c>
      <c r="N1201" s="2">
        <v>18.18</v>
      </c>
      <c r="O1201" s="3">
        <v>30</v>
      </c>
      <c r="P1201" s="1">
        <v>4.67</v>
      </c>
      <c r="Q1201" s="1">
        <v>939</v>
      </c>
      <c r="R1201" s="1">
        <v>200000000042</v>
      </c>
      <c r="S1201" s="1">
        <v>50</v>
      </c>
      <c r="T1201" s="1">
        <v>1</v>
      </c>
      <c r="U1201" s="1">
        <v>6</v>
      </c>
    </row>
    <row r="1202" spans="1:21" x14ac:dyDescent="0.25">
      <c r="A1202" s="4">
        <v>44778</v>
      </c>
      <c r="B1202" s="5">
        <v>0.34179398148148149</v>
      </c>
      <c r="C1202" s="1">
        <v>1783</v>
      </c>
      <c r="D1202" s="1">
        <v>13002616</v>
      </c>
      <c r="E1202" s="1">
        <v>13</v>
      </c>
      <c r="F1202" s="1">
        <v>22589</v>
      </c>
      <c r="G1202" s="1" t="s">
        <v>18</v>
      </c>
      <c r="H1202" s="1">
        <v>18</v>
      </c>
      <c r="I1202" s="1">
        <v>18274</v>
      </c>
      <c r="J1202" s="1" t="s">
        <v>1074</v>
      </c>
      <c r="K1202" s="1" t="s">
        <v>31</v>
      </c>
      <c r="L1202" s="1" t="s">
        <v>1075</v>
      </c>
      <c r="M1202" s="1">
        <v>1</v>
      </c>
      <c r="N1202" s="2">
        <v>57.53</v>
      </c>
      <c r="O1202" s="3">
        <v>91</v>
      </c>
      <c r="P1202" s="1">
        <v>5.62</v>
      </c>
      <c r="Q1202" s="1">
        <v>925</v>
      </c>
      <c r="R1202" s="1">
        <v>200000000492</v>
      </c>
      <c r="S1202" s="1">
        <v>50</v>
      </c>
      <c r="T1202" s="1">
        <v>1</v>
      </c>
      <c r="U1202" s="1">
        <v>2</v>
      </c>
    </row>
    <row r="1203" spans="1:21" x14ac:dyDescent="0.25">
      <c r="A1203" s="4">
        <v>44778</v>
      </c>
      <c r="B1203" s="5">
        <v>0.34179398148148149</v>
      </c>
      <c r="C1203" s="1">
        <v>1783</v>
      </c>
      <c r="D1203" s="1">
        <v>13002616</v>
      </c>
      <c r="E1203" s="1">
        <v>13</v>
      </c>
      <c r="F1203" s="1">
        <v>22589</v>
      </c>
      <c r="G1203" s="1" t="s">
        <v>18</v>
      </c>
      <c r="H1203" s="1">
        <v>18</v>
      </c>
      <c r="I1203" s="1">
        <v>260841</v>
      </c>
      <c r="J1203" s="1" t="s">
        <v>983</v>
      </c>
      <c r="K1203" s="1" t="s">
        <v>48</v>
      </c>
      <c r="L1203" s="1" t="s">
        <v>164</v>
      </c>
      <c r="M1203" s="1">
        <v>1</v>
      </c>
      <c r="N1203" s="2">
        <v>9.67</v>
      </c>
      <c r="O1203" s="3">
        <v>16</v>
      </c>
      <c r="P1203" s="1">
        <v>0.99</v>
      </c>
      <c r="Q1203" s="1">
        <v>925</v>
      </c>
      <c r="R1203" s="1">
        <v>200000000492</v>
      </c>
      <c r="S1203" s="1">
        <v>50</v>
      </c>
      <c r="T1203" s="1">
        <v>1</v>
      </c>
      <c r="U1203" s="1">
        <v>1</v>
      </c>
    </row>
    <row r="1204" spans="1:21" x14ac:dyDescent="0.25">
      <c r="A1204" s="4">
        <v>44778</v>
      </c>
      <c r="B1204" s="5">
        <v>0.3427546296296296</v>
      </c>
      <c r="C1204" s="1">
        <v>1784</v>
      </c>
      <c r="D1204" s="1">
        <v>13002616</v>
      </c>
      <c r="E1204" s="1">
        <v>13</v>
      </c>
      <c r="F1204" s="1">
        <v>22589</v>
      </c>
      <c r="G1204" s="1" t="s">
        <v>18</v>
      </c>
      <c r="H1204" s="1">
        <v>18</v>
      </c>
      <c r="I1204" s="1">
        <v>11811</v>
      </c>
      <c r="J1204" s="1" t="s">
        <v>555</v>
      </c>
      <c r="K1204" s="1" t="s">
        <v>26</v>
      </c>
      <c r="L1204" s="1" t="s">
        <v>75</v>
      </c>
      <c r="M1204" s="1">
        <v>1</v>
      </c>
      <c r="N1204" s="2">
        <v>360.53</v>
      </c>
      <c r="O1204" s="3">
        <v>476</v>
      </c>
      <c r="P1204" s="1">
        <v>0</v>
      </c>
      <c r="Q1204" s="1" t="s">
        <v>22</v>
      </c>
      <c r="R1204" s="1" t="s">
        <v>22</v>
      </c>
      <c r="S1204" s="1">
        <v>50</v>
      </c>
      <c r="T1204" s="1">
        <v>1</v>
      </c>
      <c r="U1204" s="1">
        <v>1</v>
      </c>
    </row>
    <row r="1205" spans="1:21" x14ac:dyDescent="0.25">
      <c r="A1205" s="4">
        <v>44778</v>
      </c>
      <c r="B1205" s="5">
        <v>0.34400462962962963</v>
      </c>
      <c r="C1205" s="1">
        <v>1785</v>
      </c>
      <c r="D1205" s="1">
        <v>13002616</v>
      </c>
      <c r="E1205" s="1">
        <v>13</v>
      </c>
      <c r="F1205" s="1">
        <v>22589</v>
      </c>
      <c r="G1205" s="1" t="s">
        <v>18</v>
      </c>
      <c r="H1205" s="1">
        <v>15</v>
      </c>
      <c r="I1205" s="1">
        <v>305271</v>
      </c>
      <c r="J1205" s="1" t="s">
        <v>1076</v>
      </c>
      <c r="K1205" s="1" t="s">
        <v>20</v>
      </c>
      <c r="L1205" s="1" t="s">
        <v>252</v>
      </c>
      <c r="M1205" s="1">
        <v>1</v>
      </c>
      <c r="N1205" s="2">
        <v>893.49</v>
      </c>
      <c r="O1205" s="3">
        <v>1153</v>
      </c>
      <c r="P1205" s="1">
        <v>172</v>
      </c>
      <c r="Q1205" s="1">
        <v>27</v>
      </c>
      <c r="R1205" s="1">
        <v>200010000015</v>
      </c>
      <c r="S1205" s="1">
        <v>50</v>
      </c>
      <c r="T1205" s="1">
        <v>1</v>
      </c>
      <c r="U1205" s="1">
        <v>1</v>
      </c>
    </row>
    <row r="1206" spans="1:21" x14ac:dyDescent="0.25">
      <c r="A1206" s="4">
        <v>44778</v>
      </c>
      <c r="B1206" s="5">
        <v>0.34400462962962963</v>
      </c>
      <c r="C1206" s="1">
        <v>1785</v>
      </c>
      <c r="D1206" s="1">
        <v>13002616</v>
      </c>
      <c r="E1206" s="1">
        <v>13</v>
      </c>
      <c r="F1206" s="1">
        <v>22589</v>
      </c>
      <c r="G1206" s="1" t="s">
        <v>18</v>
      </c>
      <c r="H1206" s="1">
        <v>15</v>
      </c>
      <c r="I1206" s="1">
        <v>1501</v>
      </c>
      <c r="J1206" s="1" t="s">
        <v>1077</v>
      </c>
      <c r="K1206" s="1" t="s">
        <v>48</v>
      </c>
      <c r="L1206" s="1" t="s">
        <v>172</v>
      </c>
      <c r="M1206" s="1">
        <v>1</v>
      </c>
      <c r="N1206" s="2">
        <v>22.23</v>
      </c>
      <c r="O1206" s="3">
        <v>28</v>
      </c>
      <c r="P1206" s="1">
        <v>2</v>
      </c>
      <c r="Q1206" s="1">
        <v>27</v>
      </c>
      <c r="R1206" s="1">
        <v>200010000015</v>
      </c>
      <c r="S1206" s="1">
        <v>50</v>
      </c>
      <c r="T1206" s="1">
        <v>1</v>
      </c>
      <c r="U1206" s="1">
        <v>2</v>
      </c>
    </row>
    <row r="1207" spans="1:21" x14ac:dyDescent="0.25">
      <c r="A1207" s="4">
        <v>44778</v>
      </c>
      <c r="B1207" s="5">
        <v>0.34400462962962963</v>
      </c>
      <c r="C1207" s="1">
        <v>1785</v>
      </c>
      <c r="D1207" s="1">
        <v>13002616</v>
      </c>
      <c r="E1207" s="1">
        <v>13</v>
      </c>
      <c r="F1207" s="1">
        <v>22589</v>
      </c>
      <c r="G1207" s="1" t="s">
        <v>18</v>
      </c>
      <c r="H1207" s="1">
        <v>15</v>
      </c>
      <c r="I1207" s="1">
        <v>1501</v>
      </c>
      <c r="J1207" s="1" t="s">
        <v>1077</v>
      </c>
      <c r="K1207" s="1" t="s">
        <v>48</v>
      </c>
      <c r="L1207" s="1" t="s">
        <v>172</v>
      </c>
      <c r="M1207" s="1">
        <v>1</v>
      </c>
      <c r="N1207" s="2">
        <v>22.23</v>
      </c>
      <c r="O1207" s="3">
        <v>28</v>
      </c>
      <c r="P1207" s="1">
        <v>2</v>
      </c>
      <c r="Q1207" s="1">
        <v>27</v>
      </c>
      <c r="R1207" s="1">
        <v>200010000015</v>
      </c>
      <c r="S1207" s="1">
        <v>50</v>
      </c>
      <c r="T1207" s="1">
        <v>1</v>
      </c>
      <c r="U1207" s="1">
        <v>3</v>
      </c>
    </row>
    <row r="1208" spans="1:21" x14ac:dyDescent="0.25">
      <c r="A1208" s="4">
        <v>44778</v>
      </c>
      <c r="B1208" s="5">
        <v>0.34738425925925925</v>
      </c>
      <c r="C1208" s="1">
        <v>1786</v>
      </c>
      <c r="D1208" s="1">
        <v>13002616</v>
      </c>
      <c r="E1208" s="1">
        <v>13</v>
      </c>
      <c r="F1208" s="1">
        <v>22589</v>
      </c>
      <c r="G1208" s="1" t="s">
        <v>18</v>
      </c>
      <c r="H1208" s="1">
        <v>15</v>
      </c>
      <c r="I1208" s="1">
        <v>57712</v>
      </c>
      <c r="J1208" s="1" t="s">
        <v>614</v>
      </c>
      <c r="K1208" s="1" t="s">
        <v>31</v>
      </c>
      <c r="L1208" s="1" t="s">
        <v>412</v>
      </c>
      <c r="M1208" s="1">
        <v>1</v>
      </c>
      <c r="N1208" s="2">
        <v>20.23</v>
      </c>
      <c r="O1208" s="3">
        <v>25</v>
      </c>
      <c r="P1208" s="1">
        <v>0</v>
      </c>
      <c r="Q1208" s="1" t="s">
        <v>22</v>
      </c>
      <c r="R1208" s="1" t="s">
        <v>22</v>
      </c>
      <c r="S1208" s="1">
        <v>50</v>
      </c>
      <c r="T1208" s="1">
        <v>1</v>
      </c>
      <c r="U1208" s="1">
        <v>1</v>
      </c>
    </row>
    <row r="1209" spans="1:21" x14ac:dyDescent="0.25">
      <c r="A1209" s="4">
        <v>44778</v>
      </c>
      <c r="B1209" s="5">
        <v>0.35546296296296298</v>
      </c>
      <c r="C1209" s="1">
        <v>1787</v>
      </c>
      <c r="D1209" s="1">
        <v>13002616</v>
      </c>
      <c r="E1209" s="1">
        <v>13</v>
      </c>
      <c r="F1209" s="1">
        <v>22589</v>
      </c>
      <c r="G1209" s="1" t="s">
        <v>18</v>
      </c>
      <c r="H1209" s="1">
        <v>18</v>
      </c>
      <c r="I1209" s="1">
        <v>825</v>
      </c>
      <c r="J1209" s="1" t="s">
        <v>1078</v>
      </c>
      <c r="K1209" s="1" t="s">
        <v>20</v>
      </c>
      <c r="L1209" s="1" t="s">
        <v>1079</v>
      </c>
      <c r="M1209" s="1">
        <v>0.2</v>
      </c>
      <c r="N1209" s="2">
        <v>454.16</v>
      </c>
      <c r="O1209" s="3">
        <v>539</v>
      </c>
      <c r="P1209" s="1">
        <v>0</v>
      </c>
      <c r="Q1209" s="1" t="s">
        <v>22</v>
      </c>
      <c r="R1209" s="1" t="s">
        <v>22</v>
      </c>
      <c r="S1209" s="1">
        <v>50</v>
      </c>
      <c r="T1209" s="1">
        <v>1</v>
      </c>
      <c r="U1209" s="1">
        <v>2</v>
      </c>
    </row>
    <row r="1210" spans="1:21" x14ac:dyDescent="0.25">
      <c r="A1210" s="4">
        <v>44778</v>
      </c>
      <c r="B1210" s="5">
        <v>0.35546296296296298</v>
      </c>
      <c r="C1210" s="1">
        <v>1787</v>
      </c>
      <c r="D1210" s="1">
        <v>13002616</v>
      </c>
      <c r="E1210" s="1">
        <v>13</v>
      </c>
      <c r="F1210" s="1">
        <v>22589</v>
      </c>
      <c r="G1210" s="1" t="s">
        <v>18</v>
      </c>
      <c r="H1210" s="1">
        <v>18</v>
      </c>
      <c r="I1210" s="1">
        <v>857</v>
      </c>
      <c r="J1210" s="1" t="s">
        <v>1080</v>
      </c>
      <c r="K1210" s="1" t="s">
        <v>48</v>
      </c>
      <c r="L1210" s="1" t="s">
        <v>241</v>
      </c>
      <c r="M1210" s="1">
        <v>1</v>
      </c>
      <c r="N1210" s="2">
        <v>53.81</v>
      </c>
      <c r="O1210" s="3">
        <v>66</v>
      </c>
      <c r="P1210" s="1">
        <v>0</v>
      </c>
      <c r="Q1210" s="1" t="s">
        <v>22</v>
      </c>
      <c r="R1210" s="1" t="s">
        <v>22</v>
      </c>
      <c r="S1210" s="1">
        <v>50</v>
      </c>
      <c r="T1210" s="1">
        <v>1</v>
      </c>
      <c r="U1210" s="1">
        <v>3</v>
      </c>
    </row>
    <row r="1211" spans="1:21" x14ac:dyDescent="0.25">
      <c r="A1211" s="4">
        <v>44778</v>
      </c>
      <c r="B1211" s="5">
        <v>0.35546296296296298</v>
      </c>
      <c r="C1211" s="1">
        <v>1787</v>
      </c>
      <c r="D1211" s="1">
        <v>13002616</v>
      </c>
      <c r="E1211" s="1">
        <v>13</v>
      </c>
      <c r="F1211" s="1">
        <v>22589</v>
      </c>
      <c r="G1211" s="1" t="s">
        <v>18</v>
      </c>
      <c r="H1211" s="1">
        <v>18</v>
      </c>
      <c r="I1211" s="1">
        <v>364619</v>
      </c>
      <c r="J1211" s="1" t="s">
        <v>800</v>
      </c>
      <c r="K1211" s="1" t="s">
        <v>48</v>
      </c>
      <c r="L1211" s="1" t="s">
        <v>665</v>
      </c>
      <c r="M1211" s="1">
        <v>0.12</v>
      </c>
      <c r="N1211" s="2">
        <v>645.79</v>
      </c>
      <c r="O1211" s="3">
        <v>918</v>
      </c>
      <c r="P1211" s="1">
        <v>0</v>
      </c>
      <c r="Q1211" s="1" t="s">
        <v>22</v>
      </c>
      <c r="R1211" s="1" t="s">
        <v>22</v>
      </c>
      <c r="S1211" s="1">
        <v>50</v>
      </c>
      <c r="T1211" s="1">
        <v>1</v>
      </c>
      <c r="U1211" s="1">
        <v>6</v>
      </c>
    </row>
    <row r="1212" spans="1:21" x14ac:dyDescent="0.25">
      <c r="A1212" s="4">
        <v>44778</v>
      </c>
      <c r="B1212" s="5">
        <v>0.35546296296296298</v>
      </c>
      <c r="C1212" s="1">
        <v>1787</v>
      </c>
      <c r="D1212" s="1">
        <v>13002616</v>
      </c>
      <c r="E1212" s="1">
        <v>13</v>
      </c>
      <c r="F1212" s="1">
        <v>22589</v>
      </c>
      <c r="G1212" s="1" t="s">
        <v>18</v>
      </c>
      <c r="H1212" s="1">
        <v>18</v>
      </c>
      <c r="I1212" s="1">
        <v>27806</v>
      </c>
      <c r="J1212" s="1" t="s">
        <v>1081</v>
      </c>
      <c r="K1212" s="1" t="s">
        <v>48</v>
      </c>
      <c r="L1212" s="1" t="s">
        <v>471</v>
      </c>
      <c r="M1212" s="1">
        <v>1</v>
      </c>
      <c r="N1212" s="2">
        <v>81.72</v>
      </c>
      <c r="O1212" s="3">
        <v>117</v>
      </c>
      <c r="P1212" s="1">
        <v>0</v>
      </c>
      <c r="Q1212" s="1" t="s">
        <v>22</v>
      </c>
      <c r="R1212" s="1" t="s">
        <v>22</v>
      </c>
      <c r="S1212" s="1">
        <v>50</v>
      </c>
      <c r="T1212" s="1">
        <v>1</v>
      </c>
      <c r="U1212" s="1">
        <v>1</v>
      </c>
    </row>
    <row r="1213" spans="1:21" x14ac:dyDescent="0.25">
      <c r="A1213" s="4">
        <v>44778</v>
      </c>
      <c r="B1213" s="5">
        <v>0.35546296296296298</v>
      </c>
      <c r="C1213" s="1">
        <v>1787</v>
      </c>
      <c r="D1213" s="1">
        <v>13002616</v>
      </c>
      <c r="E1213" s="1">
        <v>13</v>
      </c>
      <c r="F1213" s="1">
        <v>22589</v>
      </c>
      <c r="G1213" s="1" t="s">
        <v>18</v>
      </c>
      <c r="H1213" s="1">
        <v>18</v>
      </c>
      <c r="I1213" s="1">
        <v>6596</v>
      </c>
      <c r="J1213" s="1" t="s">
        <v>1082</v>
      </c>
      <c r="K1213" s="1" t="s">
        <v>20</v>
      </c>
      <c r="L1213" s="1" t="s">
        <v>892</v>
      </c>
      <c r="M1213" s="1">
        <v>0.33333332999999998</v>
      </c>
      <c r="N1213" s="2">
        <v>1622.46</v>
      </c>
      <c r="O1213" s="3">
        <v>2029</v>
      </c>
      <c r="P1213" s="1">
        <v>0</v>
      </c>
      <c r="Q1213" s="1" t="s">
        <v>22</v>
      </c>
      <c r="R1213" s="1" t="s">
        <v>22</v>
      </c>
      <c r="S1213" s="1">
        <v>50</v>
      </c>
      <c r="T1213" s="1">
        <v>1</v>
      </c>
      <c r="U1213" s="1">
        <v>5</v>
      </c>
    </row>
    <row r="1214" spans="1:21" x14ac:dyDescent="0.25">
      <c r="A1214" s="4">
        <v>44778</v>
      </c>
      <c r="B1214" s="5">
        <v>0.35689814814814813</v>
      </c>
      <c r="C1214" s="1">
        <v>1788</v>
      </c>
      <c r="D1214" s="1">
        <v>13002616</v>
      </c>
      <c r="E1214" s="1">
        <v>13</v>
      </c>
      <c r="F1214" s="1">
        <v>22589</v>
      </c>
      <c r="G1214" s="1" t="s">
        <v>18</v>
      </c>
      <c r="H1214" s="1">
        <v>15</v>
      </c>
      <c r="I1214" s="1">
        <v>475</v>
      </c>
      <c r="J1214" s="1" t="s">
        <v>238</v>
      </c>
      <c r="K1214" s="1" t="s">
        <v>61</v>
      </c>
      <c r="L1214" s="1" t="s">
        <v>32</v>
      </c>
      <c r="M1214" s="1">
        <v>1</v>
      </c>
      <c r="N1214" s="2">
        <v>133.49</v>
      </c>
      <c r="O1214" s="3">
        <v>183</v>
      </c>
      <c r="P1214" s="1">
        <v>12</v>
      </c>
      <c r="Q1214" s="1">
        <v>9</v>
      </c>
      <c r="R1214" s="1">
        <v>200010002508</v>
      </c>
      <c r="S1214" s="1">
        <v>50</v>
      </c>
      <c r="T1214" s="1">
        <v>1</v>
      </c>
      <c r="U1214" s="1">
        <v>1</v>
      </c>
    </row>
    <row r="1215" spans="1:21" x14ac:dyDescent="0.25">
      <c r="A1215" s="4">
        <v>44778</v>
      </c>
      <c r="B1215" s="5">
        <v>0.35789351851851853</v>
      </c>
      <c r="C1215" s="1">
        <v>1789</v>
      </c>
      <c r="D1215" s="1">
        <v>13002616</v>
      </c>
      <c r="E1215" s="1">
        <v>13</v>
      </c>
      <c r="F1215" s="1">
        <v>22589</v>
      </c>
      <c r="G1215" s="1" t="s">
        <v>18</v>
      </c>
      <c r="H1215" s="1">
        <v>15</v>
      </c>
      <c r="I1215" s="1">
        <v>338588</v>
      </c>
      <c r="J1215" s="1" t="s">
        <v>33</v>
      </c>
      <c r="K1215" s="1" t="s">
        <v>20</v>
      </c>
      <c r="L1215" s="1" t="s">
        <v>34</v>
      </c>
      <c r="M1215" s="1">
        <v>1</v>
      </c>
      <c r="N1215" s="2">
        <v>358.64</v>
      </c>
      <c r="O1215" s="3">
        <v>450</v>
      </c>
      <c r="P1215" s="1">
        <v>22</v>
      </c>
      <c r="Q1215" s="1">
        <v>9</v>
      </c>
      <c r="R1215" s="1">
        <v>200010002508</v>
      </c>
      <c r="S1215" s="1">
        <v>50</v>
      </c>
      <c r="T1215" s="1">
        <v>1</v>
      </c>
      <c r="U1215" s="1">
        <v>1</v>
      </c>
    </row>
    <row r="1216" spans="1:21" x14ac:dyDescent="0.25">
      <c r="A1216" s="4">
        <v>44778</v>
      </c>
      <c r="B1216" s="5">
        <v>0.37512731481481482</v>
      </c>
      <c r="C1216" s="1">
        <v>1790</v>
      </c>
      <c r="D1216" s="1">
        <v>13002616</v>
      </c>
      <c r="E1216" s="1">
        <v>13</v>
      </c>
      <c r="F1216" s="1">
        <v>22589</v>
      </c>
      <c r="G1216" s="1" t="s">
        <v>18</v>
      </c>
      <c r="H1216" s="1">
        <v>18</v>
      </c>
      <c r="I1216" s="1">
        <v>157882</v>
      </c>
      <c r="J1216" s="1" t="s">
        <v>1083</v>
      </c>
      <c r="K1216" s="1" t="s">
        <v>20</v>
      </c>
      <c r="L1216" s="1" t="s">
        <v>1084</v>
      </c>
      <c r="M1216" s="1">
        <v>1</v>
      </c>
      <c r="N1216" s="2">
        <v>203.54</v>
      </c>
      <c r="O1216" s="3">
        <v>275</v>
      </c>
      <c r="P1216" s="1">
        <v>0</v>
      </c>
      <c r="Q1216" s="1" t="s">
        <v>22</v>
      </c>
      <c r="R1216" s="1" t="s">
        <v>22</v>
      </c>
      <c r="S1216" s="1">
        <v>50</v>
      </c>
      <c r="T1216" s="1">
        <v>1</v>
      </c>
      <c r="U1216" s="1">
        <v>1</v>
      </c>
    </row>
    <row r="1217" spans="1:21" x14ac:dyDescent="0.25">
      <c r="A1217" s="4">
        <v>44778</v>
      </c>
      <c r="B1217" s="5">
        <v>0.38285879629629632</v>
      </c>
      <c r="C1217" s="1">
        <v>1791</v>
      </c>
      <c r="D1217" s="1">
        <v>13002616</v>
      </c>
      <c r="E1217" s="1">
        <v>13</v>
      </c>
      <c r="F1217" s="1">
        <v>22589</v>
      </c>
      <c r="G1217" s="1" t="s">
        <v>18</v>
      </c>
      <c r="H1217" s="1">
        <v>15</v>
      </c>
      <c r="I1217" s="1">
        <v>344527</v>
      </c>
      <c r="J1217" s="1" t="s">
        <v>1085</v>
      </c>
      <c r="K1217" s="1" t="s">
        <v>26</v>
      </c>
      <c r="L1217" s="1" t="s">
        <v>859</v>
      </c>
      <c r="M1217" s="1">
        <v>1</v>
      </c>
      <c r="N1217" s="2">
        <v>54.35</v>
      </c>
      <c r="O1217" s="3">
        <v>66</v>
      </c>
      <c r="P1217" s="1">
        <v>3</v>
      </c>
      <c r="Q1217" s="1">
        <v>9</v>
      </c>
      <c r="R1217" s="1">
        <v>200010016190</v>
      </c>
      <c r="S1217" s="1">
        <v>50</v>
      </c>
      <c r="T1217" s="1">
        <v>1</v>
      </c>
      <c r="U1217" s="1">
        <v>1</v>
      </c>
    </row>
    <row r="1218" spans="1:21" x14ac:dyDescent="0.25">
      <c r="A1218" s="4">
        <v>44778</v>
      </c>
      <c r="B1218" s="5">
        <v>0.38393518518518521</v>
      </c>
      <c r="C1218" s="1">
        <v>1792</v>
      </c>
      <c r="D1218" s="1">
        <v>13002616</v>
      </c>
      <c r="E1218" s="1">
        <v>13</v>
      </c>
      <c r="F1218" s="1">
        <v>22589</v>
      </c>
      <c r="G1218" s="1" t="s">
        <v>18</v>
      </c>
      <c r="H1218" s="1">
        <v>15</v>
      </c>
      <c r="I1218" s="1">
        <v>170308</v>
      </c>
      <c r="J1218" s="1" t="s">
        <v>941</v>
      </c>
      <c r="K1218" s="1" t="s">
        <v>20</v>
      </c>
      <c r="L1218" s="1" t="s">
        <v>156</v>
      </c>
      <c r="M1218" s="1">
        <v>1</v>
      </c>
      <c r="N1218" s="2">
        <v>79.2</v>
      </c>
      <c r="O1218" s="3">
        <v>97</v>
      </c>
      <c r="P1218" s="1">
        <v>4</v>
      </c>
      <c r="Q1218" s="1">
        <v>9</v>
      </c>
      <c r="R1218" s="1">
        <v>200010001617</v>
      </c>
      <c r="S1218" s="1">
        <v>50</v>
      </c>
      <c r="T1218" s="1">
        <v>1</v>
      </c>
      <c r="U1218" s="1">
        <v>2</v>
      </c>
    </row>
    <row r="1219" spans="1:21" x14ac:dyDescent="0.25">
      <c r="A1219" s="4">
        <v>44778</v>
      </c>
      <c r="B1219" s="5">
        <v>0.38393518518518521</v>
      </c>
      <c r="C1219" s="1">
        <v>1792</v>
      </c>
      <c r="D1219" s="1">
        <v>13002616</v>
      </c>
      <c r="E1219" s="1">
        <v>13</v>
      </c>
      <c r="F1219" s="1">
        <v>22589</v>
      </c>
      <c r="G1219" s="1" t="s">
        <v>18</v>
      </c>
      <c r="H1219" s="1">
        <v>15</v>
      </c>
      <c r="I1219" s="1">
        <v>74656</v>
      </c>
      <c r="J1219" s="1" t="s">
        <v>195</v>
      </c>
      <c r="K1219" s="1" t="s">
        <v>58</v>
      </c>
      <c r="L1219" s="1" t="s">
        <v>73</v>
      </c>
      <c r="M1219" s="1">
        <v>1</v>
      </c>
      <c r="N1219" s="2">
        <v>392.48</v>
      </c>
      <c r="O1219" s="3">
        <v>471</v>
      </c>
      <c r="P1219" s="1">
        <v>32</v>
      </c>
      <c r="Q1219" s="1">
        <v>9</v>
      </c>
      <c r="R1219" s="1">
        <v>200010001617</v>
      </c>
      <c r="S1219" s="1">
        <v>50</v>
      </c>
      <c r="T1219" s="1">
        <v>1</v>
      </c>
      <c r="U1219" s="1">
        <v>1</v>
      </c>
    </row>
    <row r="1220" spans="1:21" x14ac:dyDescent="0.25">
      <c r="A1220" s="4">
        <v>44778</v>
      </c>
      <c r="B1220" s="5">
        <v>0.38469907407407405</v>
      </c>
      <c r="C1220" s="1">
        <v>1793</v>
      </c>
      <c r="D1220" s="1">
        <v>13002616</v>
      </c>
      <c r="E1220" s="1">
        <v>13</v>
      </c>
      <c r="F1220" s="1">
        <v>22589</v>
      </c>
      <c r="G1220" s="1" t="s">
        <v>18</v>
      </c>
      <c r="H1220" s="1">
        <v>15</v>
      </c>
      <c r="I1220" s="1">
        <v>449563</v>
      </c>
      <c r="J1220" s="1" t="s">
        <v>1086</v>
      </c>
      <c r="K1220" s="1" t="s">
        <v>58</v>
      </c>
      <c r="L1220" s="1" t="s">
        <v>1087</v>
      </c>
      <c r="M1220" s="1">
        <v>1</v>
      </c>
      <c r="N1220" s="2">
        <v>22.22</v>
      </c>
      <c r="O1220" s="3">
        <v>36</v>
      </c>
      <c r="P1220" s="1">
        <v>0</v>
      </c>
      <c r="Q1220" s="1" t="s">
        <v>22</v>
      </c>
      <c r="R1220" s="1" t="s">
        <v>22</v>
      </c>
      <c r="S1220" s="1">
        <v>50</v>
      </c>
      <c r="T1220" s="1">
        <v>1</v>
      </c>
      <c r="U1220" s="1">
        <v>1</v>
      </c>
    </row>
    <row r="1221" spans="1:21" x14ac:dyDescent="0.25">
      <c r="A1221" s="4">
        <v>44778</v>
      </c>
      <c r="B1221" s="5">
        <v>0.5577199074074074</v>
      </c>
      <c r="C1221" s="1">
        <v>1844</v>
      </c>
      <c r="D1221" s="1">
        <v>13002616</v>
      </c>
      <c r="E1221" s="1">
        <v>13</v>
      </c>
      <c r="F1221" s="1">
        <v>22589</v>
      </c>
      <c r="G1221" s="1" t="s">
        <v>18</v>
      </c>
      <c r="H1221" s="1">
        <v>18</v>
      </c>
      <c r="I1221" s="1">
        <v>449563</v>
      </c>
      <c r="J1221" s="1" t="s">
        <v>1086</v>
      </c>
      <c r="K1221" s="1" t="s">
        <v>58</v>
      </c>
      <c r="L1221" s="1" t="s">
        <v>1087</v>
      </c>
      <c r="M1221" s="1">
        <v>1</v>
      </c>
      <c r="N1221" s="2">
        <v>22.22</v>
      </c>
      <c r="O1221" s="3">
        <v>36</v>
      </c>
      <c r="P1221" s="1">
        <v>0</v>
      </c>
      <c r="Q1221" s="1" t="s">
        <v>22</v>
      </c>
      <c r="R1221" s="1" t="s">
        <v>22</v>
      </c>
      <c r="S1221" s="1">
        <v>50</v>
      </c>
      <c r="T1221" s="1">
        <v>1</v>
      </c>
      <c r="U1221" s="1">
        <v>7</v>
      </c>
    </row>
    <row r="1222" spans="1:21" x14ac:dyDescent="0.25">
      <c r="A1222" s="4">
        <v>44778</v>
      </c>
      <c r="B1222" s="5">
        <v>0.38556712962962963</v>
      </c>
      <c r="C1222" s="1">
        <v>1794</v>
      </c>
      <c r="D1222" s="1">
        <v>13002616</v>
      </c>
      <c r="E1222" s="1">
        <v>13</v>
      </c>
      <c r="F1222" s="1">
        <v>22589</v>
      </c>
      <c r="G1222" s="1" t="s">
        <v>18</v>
      </c>
      <c r="H1222" s="1">
        <v>18</v>
      </c>
      <c r="I1222" s="1">
        <v>276810</v>
      </c>
      <c r="J1222" s="1" t="s">
        <v>228</v>
      </c>
      <c r="K1222" s="1" t="s">
        <v>58</v>
      </c>
      <c r="L1222" s="1" t="s">
        <v>189</v>
      </c>
      <c r="M1222" s="1">
        <v>1</v>
      </c>
      <c r="N1222" s="2">
        <v>316.36</v>
      </c>
      <c r="O1222" s="3">
        <v>380</v>
      </c>
      <c r="P1222" s="1">
        <v>38</v>
      </c>
      <c r="Q1222" s="1">
        <v>30</v>
      </c>
      <c r="R1222" s="1">
        <v>200000000024</v>
      </c>
      <c r="S1222" s="1">
        <v>50</v>
      </c>
      <c r="T1222" s="1">
        <v>1</v>
      </c>
      <c r="U1222" s="1">
        <v>1</v>
      </c>
    </row>
    <row r="1223" spans="1:21" x14ac:dyDescent="0.25">
      <c r="A1223" s="4">
        <v>44778</v>
      </c>
      <c r="B1223" s="5">
        <v>0.38695601851851852</v>
      </c>
      <c r="C1223" s="1">
        <v>1795</v>
      </c>
      <c r="D1223" s="1">
        <v>13002616</v>
      </c>
      <c r="E1223" s="1">
        <v>13</v>
      </c>
      <c r="F1223" s="1">
        <v>22589</v>
      </c>
      <c r="G1223" s="1" t="s">
        <v>18</v>
      </c>
      <c r="H1223" s="1">
        <v>18</v>
      </c>
      <c r="I1223" s="1">
        <v>141755</v>
      </c>
      <c r="J1223" s="1" t="s">
        <v>1088</v>
      </c>
      <c r="K1223" s="1" t="s">
        <v>26</v>
      </c>
      <c r="L1223" s="1" t="s">
        <v>345</v>
      </c>
      <c r="M1223" s="1">
        <v>1</v>
      </c>
      <c r="N1223" s="2">
        <v>45.35</v>
      </c>
      <c r="O1223" s="3">
        <v>74</v>
      </c>
      <c r="P1223" s="1">
        <v>0</v>
      </c>
      <c r="Q1223" s="1" t="s">
        <v>22</v>
      </c>
      <c r="R1223" s="1" t="s">
        <v>22</v>
      </c>
      <c r="S1223" s="1">
        <v>50</v>
      </c>
      <c r="T1223" s="1">
        <v>1</v>
      </c>
      <c r="U1223" s="1">
        <v>1</v>
      </c>
    </row>
    <row r="1224" spans="1:21" x14ac:dyDescent="0.25">
      <c r="A1224" s="4">
        <v>44778</v>
      </c>
      <c r="B1224" s="5">
        <v>0.39240740740740743</v>
      </c>
      <c r="C1224" s="1">
        <v>1796</v>
      </c>
      <c r="D1224" s="1">
        <v>13002616</v>
      </c>
      <c r="E1224" s="1">
        <v>13</v>
      </c>
      <c r="F1224" s="1">
        <v>22589</v>
      </c>
      <c r="G1224" s="1" t="s">
        <v>18</v>
      </c>
      <c r="H1224" s="1">
        <v>18</v>
      </c>
      <c r="I1224" s="1">
        <v>446309</v>
      </c>
      <c r="J1224" s="1" t="s">
        <v>671</v>
      </c>
      <c r="K1224" s="1" t="s">
        <v>48</v>
      </c>
      <c r="L1224" s="1" t="s">
        <v>94</v>
      </c>
      <c r="M1224" s="1">
        <v>1</v>
      </c>
      <c r="N1224" s="2">
        <v>16.3</v>
      </c>
      <c r="O1224" s="3">
        <v>25</v>
      </c>
      <c r="P1224" s="1">
        <v>1</v>
      </c>
      <c r="Q1224" s="1">
        <v>9</v>
      </c>
      <c r="R1224" s="1">
        <v>200010009884</v>
      </c>
      <c r="S1224" s="1">
        <v>50</v>
      </c>
      <c r="T1224" s="1">
        <v>1</v>
      </c>
      <c r="U1224" s="1">
        <v>1</v>
      </c>
    </row>
    <row r="1225" spans="1:21" x14ac:dyDescent="0.25">
      <c r="A1225" s="4">
        <v>44778</v>
      </c>
      <c r="B1225" s="5">
        <v>0.39240740740740743</v>
      </c>
      <c r="C1225" s="1">
        <v>1796</v>
      </c>
      <c r="D1225" s="1">
        <v>13002616</v>
      </c>
      <c r="E1225" s="1">
        <v>13</v>
      </c>
      <c r="F1225" s="1">
        <v>22589</v>
      </c>
      <c r="G1225" s="1" t="s">
        <v>18</v>
      </c>
      <c r="H1225" s="1">
        <v>18</v>
      </c>
      <c r="I1225" s="1">
        <v>446309</v>
      </c>
      <c r="J1225" s="1" t="s">
        <v>671</v>
      </c>
      <c r="K1225" s="1" t="s">
        <v>48</v>
      </c>
      <c r="L1225" s="1" t="s">
        <v>94</v>
      </c>
      <c r="M1225" s="1">
        <v>1</v>
      </c>
      <c r="N1225" s="2">
        <v>18.61</v>
      </c>
      <c r="O1225" s="3">
        <v>29</v>
      </c>
      <c r="P1225" s="1">
        <v>2</v>
      </c>
      <c r="Q1225" s="1">
        <v>9</v>
      </c>
      <c r="R1225" s="1">
        <v>200010009884</v>
      </c>
      <c r="S1225" s="1">
        <v>50</v>
      </c>
      <c r="T1225" s="1">
        <v>1</v>
      </c>
      <c r="U1225" s="1">
        <v>2</v>
      </c>
    </row>
    <row r="1226" spans="1:21" x14ac:dyDescent="0.25">
      <c r="A1226" s="4">
        <v>44778</v>
      </c>
      <c r="B1226" s="5">
        <v>0.39531250000000001</v>
      </c>
      <c r="C1226" s="1">
        <v>1797</v>
      </c>
      <c r="D1226" s="1">
        <v>13002616</v>
      </c>
      <c r="E1226" s="1">
        <v>13</v>
      </c>
      <c r="F1226" s="1">
        <v>22589</v>
      </c>
      <c r="G1226" s="1" t="s">
        <v>18</v>
      </c>
      <c r="H1226" s="1">
        <v>18</v>
      </c>
      <c r="I1226" s="1">
        <v>1799</v>
      </c>
      <c r="J1226" s="1" t="s">
        <v>995</v>
      </c>
      <c r="K1226" s="1" t="s">
        <v>42</v>
      </c>
      <c r="L1226" s="1" t="s">
        <v>996</v>
      </c>
      <c r="M1226" s="1">
        <v>1</v>
      </c>
      <c r="N1226" s="2">
        <v>400.06</v>
      </c>
      <c r="O1226" s="3">
        <v>481</v>
      </c>
      <c r="P1226" s="1">
        <v>0</v>
      </c>
      <c r="Q1226" s="1" t="s">
        <v>22</v>
      </c>
      <c r="R1226" s="1" t="s">
        <v>22</v>
      </c>
      <c r="S1226" s="1">
        <v>50</v>
      </c>
      <c r="T1226" s="1">
        <v>1</v>
      </c>
      <c r="U1226" s="1">
        <v>1</v>
      </c>
    </row>
    <row r="1227" spans="1:21" x14ac:dyDescent="0.25">
      <c r="A1227" s="4">
        <v>44778</v>
      </c>
      <c r="B1227" s="5">
        <v>0.39695601851851853</v>
      </c>
      <c r="C1227" s="1">
        <v>1798</v>
      </c>
      <c r="D1227" s="1">
        <v>13002616</v>
      </c>
      <c r="E1227" s="1">
        <v>13</v>
      </c>
      <c r="F1227" s="1">
        <v>22589</v>
      </c>
      <c r="G1227" s="1" t="s">
        <v>18</v>
      </c>
      <c r="H1227" s="1">
        <v>15</v>
      </c>
      <c r="I1227" s="1">
        <v>6678</v>
      </c>
      <c r="J1227" s="1" t="s">
        <v>424</v>
      </c>
      <c r="K1227" s="1" t="s">
        <v>20</v>
      </c>
      <c r="L1227" s="1" t="s">
        <v>892</v>
      </c>
      <c r="M1227" s="1">
        <v>1</v>
      </c>
      <c r="N1227" s="2">
        <v>458.22</v>
      </c>
      <c r="O1227" s="3">
        <v>587</v>
      </c>
      <c r="P1227" s="1">
        <v>41</v>
      </c>
      <c r="Q1227" s="1">
        <v>9</v>
      </c>
      <c r="R1227" s="1">
        <v>200010022565</v>
      </c>
      <c r="S1227" s="1">
        <v>50</v>
      </c>
      <c r="T1227" s="1">
        <v>1</v>
      </c>
      <c r="U1227" s="1">
        <v>1</v>
      </c>
    </row>
    <row r="1228" spans="1:21" x14ac:dyDescent="0.25">
      <c r="A1228" s="4">
        <v>44778</v>
      </c>
      <c r="B1228" s="5">
        <v>0.39695601851851853</v>
      </c>
      <c r="C1228" s="1">
        <v>1798</v>
      </c>
      <c r="D1228" s="1">
        <v>13002616</v>
      </c>
      <c r="E1228" s="1">
        <v>13</v>
      </c>
      <c r="F1228" s="1">
        <v>22589</v>
      </c>
      <c r="G1228" s="1" t="s">
        <v>18</v>
      </c>
      <c r="H1228" s="1">
        <v>15</v>
      </c>
      <c r="I1228" s="1">
        <v>142036</v>
      </c>
      <c r="J1228" s="1" t="s">
        <v>98</v>
      </c>
      <c r="K1228" s="1" t="s">
        <v>48</v>
      </c>
      <c r="L1228" s="1" t="s">
        <v>73</v>
      </c>
      <c r="M1228" s="1">
        <v>1</v>
      </c>
      <c r="N1228" s="2">
        <v>187.95</v>
      </c>
      <c r="O1228" s="3">
        <v>220</v>
      </c>
      <c r="P1228" s="1">
        <v>15</v>
      </c>
      <c r="Q1228" s="1">
        <v>9</v>
      </c>
      <c r="R1228" s="1">
        <v>200010022565</v>
      </c>
      <c r="S1228" s="1">
        <v>50</v>
      </c>
      <c r="T1228" s="1">
        <v>1</v>
      </c>
      <c r="U1228" s="1">
        <v>2</v>
      </c>
    </row>
    <row r="1229" spans="1:21" x14ac:dyDescent="0.25">
      <c r="A1229" s="4">
        <v>44778</v>
      </c>
      <c r="B1229" s="5">
        <v>0.39695601851851853</v>
      </c>
      <c r="C1229" s="1">
        <v>1798</v>
      </c>
      <c r="D1229" s="1">
        <v>13002616</v>
      </c>
      <c r="E1229" s="1">
        <v>13</v>
      </c>
      <c r="F1229" s="1">
        <v>22589</v>
      </c>
      <c r="G1229" s="1" t="s">
        <v>18</v>
      </c>
      <c r="H1229" s="1">
        <v>15</v>
      </c>
      <c r="I1229" s="1">
        <v>128772</v>
      </c>
      <c r="J1229" s="1" t="s">
        <v>1089</v>
      </c>
      <c r="K1229" s="1" t="s">
        <v>58</v>
      </c>
      <c r="L1229" s="1" t="s">
        <v>1090</v>
      </c>
      <c r="M1229" s="1">
        <v>1</v>
      </c>
      <c r="N1229" s="2">
        <v>176.46</v>
      </c>
      <c r="O1229" s="3">
        <v>274</v>
      </c>
      <c r="P1229" s="1">
        <v>27</v>
      </c>
      <c r="Q1229" s="1">
        <v>9</v>
      </c>
      <c r="R1229" s="1">
        <v>200010022565</v>
      </c>
      <c r="S1229" s="1">
        <v>50</v>
      </c>
      <c r="T1229" s="1">
        <v>1</v>
      </c>
      <c r="U1229" s="1">
        <v>3</v>
      </c>
    </row>
    <row r="1230" spans="1:21" x14ac:dyDescent="0.25">
      <c r="A1230" s="4">
        <v>44778</v>
      </c>
      <c r="B1230" s="5">
        <v>0.39747685185185183</v>
      </c>
      <c r="C1230" s="1">
        <v>1799</v>
      </c>
      <c r="D1230" s="1">
        <v>13002616</v>
      </c>
      <c r="E1230" s="1">
        <v>13</v>
      </c>
      <c r="F1230" s="1">
        <v>22589</v>
      </c>
      <c r="G1230" s="1" t="s">
        <v>18</v>
      </c>
      <c r="H1230" s="1">
        <v>15</v>
      </c>
      <c r="I1230" s="1">
        <v>9426</v>
      </c>
      <c r="J1230" s="1" t="s">
        <v>389</v>
      </c>
      <c r="K1230" s="1" t="s">
        <v>48</v>
      </c>
      <c r="L1230" s="1" t="s">
        <v>192</v>
      </c>
      <c r="M1230" s="1">
        <v>1</v>
      </c>
      <c r="N1230" s="2">
        <v>177.67</v>
      </c>
      <c r="O1230" s="3">
        <v>215</v>
      </c>
      <c r="P1230" s="1">
        <v>10</v>
      </c>
      <c r="Q1230" s="1">
        <v>9</v>
      </c>
      <c r="R1230" s="1">
        <v>200010022565</v>
      </c>
      <c r="S1230" s="1">
        <v>50</v>
      </c>
      <c r="T1230" s="1">
        <v>1</v>
      </c>
      <c r="U1230" s="1">
        <v>1</v>
      </c>
    </row>
    <row r="1231" spans="1:21" x14ac:dyDescent="0.25">
      <c r="A1231" s="4">
        <v>44778</v>
      </c>
      <c r="B1231" s="5">
        <v>0.39747685185185183</v>
      </c>
      <c r="C1231" s="1">
        <v>1799</v>
      </c>
      <c r="D1231" s="1">
        <v>13002616</v>
      </c>
      <c r="E1231" s="1">
        <v>13</v>
      </c>
      <c r="F1231" s="1">
        <v>22589</v>
      </c>
      <c r="G1231" s="1" t="s">
        <v>18</v>
      </c>
      <c r="H1231" s="1">
        <v>15</v>
      </c>
      <c r="I1231" s="1">
        <v>9426</v>
      </c>
      <c r="J1231" s="1" t="s">
        <v>389</v>
      </c>
      <c r="K1231" s="1" t="s">
        <v>48</v>
      </c>
      <c r="L1231" s="1" t="s">
        <v>192</v>
      </c>
      <c r="M1231" s="1">
        <v>1</v>
      </c>
      <c r="N1231" s="2">
        <v>177.67</v>
      </c>
      <c r="O1231" s="3">
        <v>215</v>
      </c>
      <c r="P1231" s="1">
        <v>10</v>
      </c>
      <c r="Q1231" s="1">
        <v>9</v>
      </c>
      <c r="R1231" s="1">
        <v>200010022565</v>
      </c>
      <c r="S1231" s="1">
        <v>50</v>
      </c>
      <c r="T1231" s="1">
        <v>1</v>
      </c>
      <c r="U1231" s="1">
        <v>2</v>
      </c>
    </row>
    <row r="1232" spans="1:21" x14ac:dyDescent="0.25">
      <c r="A1232" s="4">
        <v>44778</v>
      </c>
      <c r="B1232" s="5">
        <v>0.39881944444444445</v>
      </c>
      <c r="C1232" s="1">
        <v>1800</v>
      </c>
      <c r="D1232" s="1">
        <v>13002616</v>
      </c>
      <c r="E1232" s="1">
        <v>13</v>
      </c>
      <c r="F1232" s="1">
        <v>22589</v>
      </c>
      <c r="G1232" s="1" t="s">
        <v>18</v>
      </c>
      <c r="H1232" s="1">
        <v>15</v>
      </c>
      <c r="I1232" s="1">
        <v>33001</v>
      </c>
      <c r="J1232" s="1" t="s">
        <v>375</v>
      </c>
      <c r="K1232" s="1" t="s">
        <v>26</v>
      </c>
      <c r="L1232" s="1" t="s">
        <v>266</v>
      </c>
      <c r="M1232" s="1">
        <v>16</v>
      </c>
      <c r="N1232" s="2">
        <v>2.08</v>
      </c>
      <c r="O1232" s="3">
        <v>4</v>
      </c>
      <c r="P1232" s="1">
        <v>0</v>
      </c>
      <c r="Q1232" s="1" t="s">
        <v>22</v>
      </c>
      <c r="R1232" s="1" t="s">
        <v>22</v>
      </c>
      <c r="S1232" s="1">
        <v>50</v>
      </c>
      <c r="T1232" s="1">
        <v>1</v>
      </c>
      <c r="U1232" s="1">
        <v>1</v>
      </c>
    </row>
    <row r="1233" spans="1:21" x14ac:dyDescent="0.25">
      <c r="A1233" s="4">
        <v>44778</v>
      </c>
      <c r="B1233" s="5">
        <v>0.44091435185185185</v>
      </c>
      <c r="C1233" s="1">
        <v>1816</v>
      </c>
      <c r="D1233" s="1">
        <v>13002616</v>
      </c>
      <c r="E1233" s="1">
        <v>13</v>
      </c>
      <c r="F1233" s="1">
        <v>22589</v>
      </c>
      <c r="G1233" s="1" t="s">
        <v>18</v>
      </c>
      <c r="H1233" s="1">
        <v>15</v>
      </c>
      <c r="I1233" s="1">
        <v>33001</v>
      </c>
      <c r="J1233" s="1" t="s">
        <v>375</v>
      </c>
      <c r="K1233" s="1" t="s">
        <v>26</v>
      </c>
      <c r="L1233" s="1" t="s">
        <v>266</v>
      </c>
      <c r="M1233" s="1">
        <v>8</v>
      </c>
      <c r="N1233" s="2">
        <v>2.08</v>
      </c>
      <c r="O1233" s="3">
        <v>4</v>
      </c>
      <c r="P1233" s="1">
        <v>0</v>
      </c>
      <c r="Q1233" s="1" t="s">
        <v>22</v>
      </c>
      <c r="R1233" s="1" t="s">
        <v>22</v>
      </c>
      <c r="S1233" s="1">
        <v>50</v>
      </c>
      <c r="T1233" s="1">
        <v>1</v>
      </c>
      <c r="U1233" s="1">
        <v>1</v>
      </c>
    </row>
    <row r="1234" spans="1:21" x14ac:dyDescent="0.25">
      <c r="A1234" s="4">
        <v>44778</v>
      </c>
      <c r="B1234" s="5">
        <v>0.71643518518518523</v>
      </c>
      <c r="C1234" s="1">
        <v>1878</v>
      </c>
      <c r="D1234" s="1">
        <v>13002616</v>
      </c>
      <c r="E1234" s="1">
        <v>13</v>
      </c>
      <c r="F1234" s="1">
        <v>22589</v>
      </c>
      <c r="G1234" s="1" t="s">
        <v>18</v>
      </c>
      <c r="H1234" s="1">
        <v>15</v>
      </c>
      <c r="I1234" s="1">
        <v>33001</v>
      </c>
      <c r="J1234" s="1" t="s">
        <v>375</v>
      </c>
      <c r="K1234" s="1" t="s">
        <v>26</v>
      </c>
      <c r="L1234" s="1" t="s">
        <v>266</v>
      </c>
      <c r="M1234" s="1">
        <v>4</v>
      </c>
      <c r="N1234" s="2">
        <v>2.08</v>
      </c>
      <c r="O1234" s="3">
        <v>4</v>
      </c>
      <c r="P1234" s="1">
        <v>0</v>
      </c>
      <c r="Q1234" s="1" t="s">
        <v>22</v>
      </c>
      <c r="R1234" s="1" t="s">
        <v>22</v>
      </c>
      <c r="S1234" s="1">
        <v>50</v>
      </c>
      <c r="T1234" s="1">
        <v>1</v>
      </c>
      <c r="U1234" s="1">
        <v>2</v>
      </c>
    </row>
    <row r="1235" spans="1:21" x14ac:dyDescent="0.25">
      <c r="A1235" s="4">
        <v>44778</v>
      </c>
      <c r="B1235" s="5">
        <v>0.39881944444444445</v>
      </c>
      <c r="C1235" s="1">
        <v>1800</v>
      </c>
      <c r="D1235" s="1">
        <v>13002616</v>
      </c>
      <c r="E1235" s="1">
        <v>13</v>
      </c>
      <c r="F1235" s="1">
        <v>22589</v>
      </c>
      <c r="G1235" s="1" t="s">
        <v>18</v>
      </c>
      <c r="H1235" s="1">
        <v>15</v>
      </c>
      <c r="I1235" s="1">
        <v>81990</v>
      </c>
      <c r="J1235" s="1" t="s">
        <v>1043</v>
      </c>
      <c r="K1235" s="1" t="s">
        <v>20</v>
      </c>
      <c r="L1235" s="1" t="s">
        <v>266</v>
      </c>
      <c r="M1235" s="1">
        <v>4</v>
      </c>
      <c r="N1235" s="2">
        <v>5.27</v>
      </c>
      <c r="O1235" s="3">
        <v>9</v>
      </c>
      <c r="P1235" s="1">
        <v>0</v>
      </c>
      <c r="Q1235" s="1" t="s">
        <v>22</v>
      </c>
      <c r="R1235" s="1" t="s">
        <v>22</v>
      </c>
      <c r="S1235" s="1">
        <v>50</v>
      </c>
      <c r="T1235" s="1">
        <v>1</v>
      </c>
      <c r="U1235" s="1">
        <v>2</v>
      </c>
    </row>
    <row r="1236" spans="1:21" x14ac:dyDescent="0.25">
      <c r="A1236" s="4">
        <v>44778</v>
      </c>
      <c r="B1236" s="5">
        <v>0.3997222222222222</v>
      </c>
      <c r="C1236" s="1">
        <v>1801</v>
      </c>
      <c r="D1236" s="1">
        <v>13002616</v>
      </c>
      <c r="E1236" s="1">
        <v>13</v>
      </c>
      <c r="F1236" s="1">
        <v>22589</v>
      </c>
      <c r="G1236" s="1" t="s">
        <v>18</v>
      </c>
      <c r="H1236" s="1">
        <v>18</v>
      </c>
      <c r="I1236" s="1">
        <v>299026</v>
      </c>
      <c r="J1236" s="1" t="s">
        <v>802</v>
      </c>
      <c r="K1236" s="1" t="s">
        <v>31</v>
      </c>
      <c r="L1236" s="1" t="s">
        <v>77</v>
      </c>
      <c r="M1236" s="1">
        <v>1</v>
      </c>
      <c r="N1236" s="2">
        <v>166.99</v>
      </c>
      <c r="O1236" s="3">
        <v>259</v>
      </c>
      <c r="P1236" s="1">
        <v>0</v>
      </c>
      <c r="Q1236" s="1" t="s">
        <v>22</v>
      </c>
      <c r="R1236" s="1" t="s">
        <v>22</v>
      </c>
      <c r="S1236" s="1">
        <v>50</v>
      </c>
      <c r="T1236" s="1">
        <v>1</v>
      </c>
      <c r="U1236" s="1">
        <v>1</v>
      </c>
    </row>
    <row r="1237" spans="1:21" x14ac:dyDescent="0.25">
      <c r="A1237" s="4">
        <v>44778</v>
      </c>
      <c r="B1237" s="5">
        <v>0.40113425925925927</v>
      </c>
      <c r="C1237" s="1">
        <v>1802</v>
      </c>
      <c r="D1237" s="1">
        <v>13002616</v>
      </c>
      <c r="E1237" s="1">
        <v>13</v>
      </c>
      <c r="F1237" s="1">
        <v>22589</v>
      </c>
      <c r="G1237" s="1" t="s">
        <v>18</v>
      </c>
      <c r="H1237" s="1">
        <v>18</v>
      </c>
      <c r="I1237" s="1">
        <v>123849</v>
      </c>
      <c r="J1237" s="1" t="s">
        <v>703</v>
      </c>
      <c r="K1237" s="1" t="s">
        <v>20</v>
      </c>
      <c r="L1237" s="1" t="s">
        <v>73</v>
      </c>
      <c r="M1237" s="1">
        <v>1</v>
      </c>
      <c r="N1237" s="2">
        <v>1023.08</v>
      </c>
      <c r="O1237" s="3">
        <v>1133</v>
      </c>
      <c r="P1237" s="1">
        <v>33</v>
      </c>
      <c r="Q1237" s="1">
        <v>9</v>
      </c>
      <c r="R1237" s="1">
        <v>200010022555</v>
      </c>
      <c r="S1237" s="1">
        <v>50</v>
      </c>
      <c r="T1237" s="1">
        <v>1</v>
      </c>
      <c r="U1237" s="1">
        <v>2</v>
      </c>
    </row>
    <row r="1238" spans="1:21" x14ac:dyDescent="0.25">
      <c r="A1238" s="4">
        <v>44778</v>
      </c>
      <c r="B1238" s="5">
        <v>0.40113425925925927</v>
      </c>
      <c r="C1238" s="1">
        <v>1802</v>
      </c>
      <c r="D1238" s="1">
        <v>13002616</v>
      </c>
      <c r="E1238" s="1">
        <v>13</v>
      </c>
      <c r="F1238" s="1">
        <v>22589</v>
      </c>
      <c r="G1238" s="1" t="s">
        <v>18</v>
      </c>
      <c r="H1238" s="1">
        <v>18</v>
      </c>
      <c r="I1238" s="1">
        <v>354089</v>
      </c>
      <c r="J1238" s="1" t="s">
        <v>366</v>
      </c>
      <c r="K1238" s="1" t="s">
        <v>26</v>
      </c>
      <c r="L1238" s="1" t="s">
        <v>332</v>
      </c>
      <c r="M1238" s="1">
        <v>1</v>
      </c>
      <c r="N1238" s="2">
        <v>39.369999999999997</v>
      </c>
      <c r="O1238" s="3">
        <v>60</v>
      </c>
      <c r="P1238" s="1">
        <v>4</v>
      </c>
      <c r="Q1238" s="1">
        <v>9</v>
      </c>
      <c r="R1238" s="1">
        <v>200010022555</v>
      </c>
      <c r="S1238" s="1">
        <v>50</v>
      </c>
      <c r="T1238" s="1">
        <v>1</v>
      </c>
      <c r="U1238" s="1">
        <v>1</v>
      </c>
    </row>
    <row r="1239" spans="1:21" x14ac:dyDescent="0.25">
      <c r="A1239" s="4">
        <v>44778</v>
      </c>
      <c r="B1239" s="5">
        <v>0.40243055555555557</v>
      </c>
      <c r="C1239" s="1">
        <v>1803</v>
      </c>
      <c r="D1239" s="1">
        <v>13002616</v>
      </c>
      <c r="E1239" s="1">
        <v>13</v>
      </c>
      <c r="F1239" s="1">
        <v>22589</v>
      </c>
      <c r="G1239" s="1" t="s">
        <v>18</v>
      </c>
      <c r="H1239" s="1">
        <v>15</v>
      </c>
      <c r="I1239" s="1">
        <v>275527</v>
      </c>
      <c r="J1239" s="1" t="s">
        <v>1091</v>
      </c>
      <c r="K1239" s="1" t="s">
        <v>48</v>
      </c>
      <c r="L1239" s="1" t="s">
        <v>233</v>
      </c>
      <c r="M1239" s="1">
        <v>1</v>
      </c>
      <c r="N1239" s="2">
        <v>71.02</v>
      </c>
      <c r="O1239" s="3">
        <v>101</v>
      </c>
      <c r="P1239" s="1">
        <v>7</v>
      </c>
      <c r="Q1239" s="1">
        <v>9</v>
      </c>
      <c r="R1239" s="1">
        <v>200010000522</v>
      </c>
      <c r="S1239" s="1">
        <v>50</v>
      </c>
      <c r="T1239" s="1">
        <v>1</v>
      </c>
      <c r="U1239" s="1">
        <v>2</v>
      </c>
    </row>
    <row r="1240" spans="1:21" x14ac:dyDescent="0.25">
      <c r="A1240" s="4">
        <v>44778</v>
      </c>
      <c r="B1240" s="5">
        <v>0.40243055555555557</v>
      </c>
      <c r="C1240" s="1">
        <v>1803</v>
      </c>
      <c r="D1240" s="1">
        <v>13002616</v>
      </c>
      <c r="E1240" s="1">
        <v>13</v>
      </c>
      <c r="F1240" s="1">
        <v>22589</v>
      </c>
      <c r="G1240" s="1" t="s">
        <v>18</v>
      </c>
      <c r="H1240" s="1">
        <v>15</v>
      </c>
      <c r="I1240" s="1">
        <v>126130</v>
      </c>
      <c r="J1240" s="1" t="s">
        <v>1092</v>
      </c>
      <c r="K1240" s="1" t="s">
        <v>20</v>
      </c>
      <c r="L1240" s="1" t="s">
        <v>73</v>
      </c>
      <c r="M1240" s="1">
        <v>1</v>
      </c>
      <c r="N1240" s="2">
        <v>220.41</v>
      </c>
      <c r="O1240" s="3">
        <v>298</v>
      </c>
      <c r="P1240" s="1">
        <v>20</v>
      </c>
      <c r="Q1240" s="1">
        <v>9</v>
      </c>
      <c r="R1240" s="1">
        <v>200010000522</v>
      </c>
      <c r="S1240" s="1">
        <v>50</v>
      </c>
      <c r="T1240" s="1">
        <v>1</v>
      </c>
      <c r="U1240" s="1">
        <v>1</v>
      </c>
    </row>
    <row r="1241" spans="1:21" x14ac:dyDescent="0.25">
      <c r="A1241" s="4">
        <v>44778</v>
      </c>
      <c r="B1241" s="5">
        <v>0.40243055555555557</v>
      </c>
      <c r="C1241" s="1">
        <v>1803</v>
      </c>
      <c r="D1241" s="1">
        <v>13002616</v>
      </c>
      <c r="E1241" s="1">
        <v>13</v>
      </c>
      <c r="F1241" s="1">
        <v>22589</v>
      </c>
      <c r="G1241" s="1" t="s">
        <v>18</v>
      </c>
      <c r="H1241" s="1">
        <v>15</v>
      </c>
      <c r="I1241" s="1">
        <v>486887</v>
      </c>
      <c r="J1241" s="1" t="s">
        <v>1093</v>
      </c>
      <c r="K1241" s="1" t="s">
        <v>20</v>
      </c>
      <c r="L1241" s="1" t="s">
        <v>134</v>
      </c>
      <c r="M1241" s="1">
        <v>1</v>
      </c>
      <c r="N1241" s="2">
        <v>596.85</v>
      </c>
      <c r="O1241" s="3">
        <v>658</v>
      </c>
      <c r="P1241" s="1">
        <v>19</v>
      </c>
      <c r="Q1241" s="1">
        <v>9</v>
      </c>
      <c r="R1241" s="1">
        <v>200010000522</v>
      </c>
      <c r="S1241" s="1">
        <v>50</v>
      </c>
      <c r="T1241" s="1">
        <v>1</v>
      </c>
      <c r="U1241" s="1">
        <v>3</v>
      </c>
    </row>
    <row r="1242" spans="1:21" x14ac:dyDescent="0.25">
      <c r="A1242" s="4">
        <v>44778</v>
      </c>
      <c r="B1242" s="5">
        <v>0.40408564814814812</v>
      </c>
      <c r="C1242" s="1">
        <v>1804</v>
      </c>
      <c r="D1242" s="1">
        <v>13002616</v>
      </c>
      <c r="E1242" s="1">
        <v>13</v>
      </c>
      <c r="F1242" s="1">
        <v>22589</v>
      </c>
      <c r="G1242" s="1" t="s">
        <v>18</v>
      </c>
      <c r="H1242" s="1">
        <v>15</v>
      </c>
      <c r="I1242" s="1">
        <v>418134</v>
      </c>
      <c r="J1242" s="1" t="s">
        <v>415</v>
      </c>
      <c r="K1242" s="1" t="s">
        <v>26</v>
      </c>
      <c r="L1242" s="1" t="s">
        <v>332</v>
      </c>
      <c r="M1242" s="1">
        <v>1</v>
      </c>
      <c r="N1242" s="2">
        <v>30.54</v>
      </c>
      <c r="O1242" s="3">
        <v>36</v>
      </c>
      <c r="P1242" s="1">
        <v>2</v>
      </c>
      <c r="Q1242" s="1">
        <v>9</v>
      </c>
      <c r="R1242" s="1">
        <v>200010002967</v>
      </c>
      <c r="S1242" s="1">
        <v>50</v>
      </c>
      <c r="T1242" s="1">
        <v>1</v>
      </c>
      <c r="U1242" s="1">
        <v>1</v>
      </c>
    </row>
    <row r="1243" spans="1:21" x14ac:dyDescent="0.25">
      <c r="A1243" s="4">
        <v>44778</v>
      </c>
      <c r="B1243" s="5">
        <v>0.64531249999999996</v>
      </c>
      <c r="C1243" s="1">
        <v>1864</v>
      </c>
      <c r="D1243" s="1">
        <v>13002616</v>
      </c>
      <c r="E1243" s="1">
        <v>13</v>
      </c>
      <c r="F1243" s="1">
        <v>22589</v>
      </c>
      <c r="G1243" s="1" t="s">
        <v>18</v>
      </c>
      <c r="H1243" s="1">
        <v>18</v>
      </c>
      <c r="I1243" s="1">
        <v>418134</v>
      </c>
      <c r="J1243" s="1" t="s">
        <v>415</v>
      </c>
      <c r="K1243" s="1" t="s">
        <v>26</v>
      </c>
      <c r="L1243" s="1" t="s">
        <v>332</v>
      </c>
      <c r="M1243" s="1">
        <v>1</v>
      </c>
      <c r="N1243" s="2">
        <v>30.54</v>
      </c>
      <c r="O1243" s="3">
        <v>36</v>
      </c>
      <c r="P1243" s="1">
        <v>0</v>
      </c>
      <c r="Q1243" s="1" t="s">
        <v>22</v>
      </c>
      <c r="R1243" s="1" t="s">
        <v>22</v>
      </c>
      <c r="S1243" s="1">
        <v>50</v>
      </c>
      <c r="T1243" s="1">
        <v>1</v>
      </c>
      <c r="U1243" s="1">
        <v>1</v>
      </c>
    </row>
    <row r="1244" spans="1:21" x14ac:dyDescent="0.25">
      <c r="A1244" s="4">
        <v>44778</v>
      </c>
      <c r="B1244" s="5">
        <v>0.64531249999999996</v>
      </c>
      <c r="C1244" s="1">
        <v>1864</v>
      </c>
      <c r="D1244" s="1">
        <v>13002616</v>
      </c>
      <c r="E1244" s="1">
        <v>13</v>
      </c>
      <c r="F1244" s="1">
        <v>22589</v>
      </c>
      <c r="G1244" s="1" t="s">
        <v>18</v>
      </c>
      <c r="H1244" s="1">
        <v>18</v>
      </c>
      <c r="I1244" s="1">
        <v>418134</v>
      </c>
      <c r="J1244" s="1" t="s">
        <v>415</v>
      </c>
      <c r="K1244" s="1" t="s">
        <v>26</v>
      </c>
      <c r="L1244" s="1" t="s">
        <v>332</v>
      </c>
      <c r="M1244" s="1">
        <v>1</v>
      </c>
      <c r="N1244" s="2">
        <v>30.54</v>
      </c>
      <c r="O1244" s="3">
        <v>36</v>
      </c>
      <c r="P1244" s="1">
        <v>0</v>
      </c>
      <c r="Q1244" s="1" t="s">
        <v>22</v>
      </c>
      <c r="R1244" s="1" t="s">
        <v>22</v>
      </c>
      <c r="S1244" s="1">
        <v>50</v>
      </c>
      <c r="T1244" s="1">
        <v>1</v>
      </c>
      <c r="U1244" s="1">
        <v>2</v>
      </c>
    </row>
    <row r="1245" spans="1:21" x14ac:dyDescent="0.25">
      <c r="A1245" s="4">
        <v>44778</v>
      </c>
      <c r="B1245" s="5">
        <v>0.40408564814814812</v>
      </c>
      <c r="C1245" s="1">
        <v>1804</v>
      </c>
      <c r="D1245" s="1">
        <v>13002616</v>
      </c>
      <c r="E1245" s="1">
        <v>13</v>
      </c>
      <c r="F1245" s="1">
        <v>22589</v>
      </c>
      <c r="G1245" s="1" t="s">
        <v>18</v>
      </c>
      <c r="H1245" s="1">
        <v>15</v>
      </c>
      <c r="I1245" s="1">
        <v>259492</v>
      </c>
      <c r="J1245" s="1" t="s">
        <v>1094</v>
      </c>
      <c r="K1245" s="1" t="s">
        <v>61</v>
      </c>
      <c r="L1245" s="1" t="s">
        <v>1095</v>
      </c>
      <c r="M1245" s="1">
        <v>1</v>
      </c>
      <c r="N1245" s="2">
        <v>91.91</v>
      </c>
      <c r="O1245" s="3">
        <v>145</v>
      </c>
      <c r="P1245" s="1">
        <v>14</v>
      </c>
      <c r="Q1245" s="1">
        <v>9</v>
      </c>
      <c r="R1245" s="1">
        <v>200010002967</v>
      </c>
      <c r="S1245" s="1">
        <v>50</v>
      </c>
      <c r="T1245" s="1">
        <v>1</v>
      </c>
      <c r="U1245" s="1">
        <v>2</v>
      </c>
    </row>
    <row r="1246" spans="1:21" x14ac:dyDescent="0.25">
      <c r="A1246" s="4">
        <v>44778</v>
      </c>
      <c r="B1246" s="5">
        <v>0.46134259259259258</v>
      </c>
      <c r="C1246" s="1">
        <v>1818</v>
      </c>
      <c r="D1246" s="1">
        <v>13002616</v>
      </c>
      <c r="E1246" s="1">
        <v>13</v>
      </c>
      <c r="F1246" s="1">
        <v>22589</v>
      </c>
      <c r="G1246" s="1" t="s">
        <v>18</v>
      </c>
      <c r="H1246" s="1">
        <v>18</v>
      </c>
      <c r="I1246" s="1">
        <v>259492</v>
      </c>
      <c r="J1246" s="1" t="s">
        <v>1094</v>
      </c>
      <c r="K1246" s="1" t="s">
        <v>61</v>
      </c>
      <c r="L1246" s="1" t="s">
        <v>1095</v>
      </c>
      <c r="M1246" s="1">
        <v>1</v>
      </c>
      <c r="N1246" s="2">
        <v>91.91</v>
      </c>
      <c r="O1246" s="3">
        <v>145</v>
      </c>
      <c r="P1246" s="1">
        <v>0</v>
      </c>
      <c r="Q1246" s="1" t="s">
        <v>22</v>
      </c>
      <c r="R1246" s="1" t="s">
        <v>22</v>
      </c>
      <c r="S1246" s="1">
        <v>50</v>
      </c>
      <c r="T1246" s="1">
        <v>1</v>
      </c>
      <c r="U1246" s="1">
        <v>1</v>
      </c>
    </row>
    <row r="1247" spans="1:21" x14ac:dyDescent="0.25">
      <c r="A1247" s="4">
        <v>44778</v>
      </c>
      <c r="B1247" s="5">
        <v>0.40599537037037037</v>
      </c>
      <c r="C1247" s="1">
        <v>1805</v>
      </c>
      <c r="D1247" s="1">
        <v>13002616</v>
      </c>
      <c r="E1247" s="1">
        <v>13</v>
      </c>
      <c r="F1247" s="1">
        <v>22589</v>
      </c>
      <c r="G1247" s="1" t="s">
        <v>18</v>
      </c>
      <c r="H1247" s="1">
        <v>15</v>
      </c>
      <c r="I1247" s="1">
        <v>18836</v>
      </c>
      <c r="J1247" s="1" t="s">
        <v>514</v>
      </c>
      <c r="K1247" s="1" t="s">
        <v>48</v>
      </c>
      <c r="L1247" s="1" t="s">
        <v>64</v>
      </c>
      <c r="M1247" s="1">
        <v>1</v>
      </c>
      <c r="N1247" s="2">
        <v>109.1</v>
      </c>
      <c r="O1247" s="3">
        <v>123</v>
      </c>
      <c r="P1247" s="1">
        <v>8</v>
      </c>
      <c r="Q1247" s="1">
        <v>9</v>
      </c>
      <c r="R1247" s="1">
        <v>200010026859</v>
      </c>
      <c r="S1247" s="1">
        <v>50</v>
      </c>
      <c r="T1247" s="1">
        <v>1</v>
      </c>
      <c r="U1247" s="1">
        <v>2</v>
      </c>
    </row>
    <row r="1248" spans="1:21" x14ac:dyDescent="0.25">
      <c r="A1248" s="4">
        <v>44778</v>
      </c>
      <c r="B1248" s="5">
        <v>0.43986111111111109</v>
      </c>
      <c r="C1248" s="1">
        <v>1815</v>
      </c>
      <c r="D1248" s="1">
        <v>13002616</v>
      </c>
      <c r="E1248" s="1">
        <v>13</v>
      </c>
      <c r="F1248" s="1">
        <v>22589</v>
      </c>
      <c r="G1248" s="1" t="s">
        <v>18</v>
      </c>
      <c r="H1248" s="1">
        <v>18</v>
      </c>
      <c r="I1248" s="1">
        <v>18836</v>
      </c>
      <c r="J1248" s="1" t="s">
        <v>514</v>
      </c>
      <c r="K1248" s="1" t="s">
        <v>48</v>
      </c>
      <c r="L1248" s="1" t="s">
        <v>64</v>
      </c>
      <c r="M1248" s="1">
        <v>1</v>
      </c>
      <c r="N1248" s="2">
        <v>109.1</v>
      </c>
      <c r="O1248" s="3">
        <v>123</v>
      </c>
      <c r="P1248" s="1">
        <v>8</v>
      </c>
      <c r="Q1248" s="1">
        <v>9</v>
      </c>
      <c r="R1248" s="1">
        <v>200010023919</v>
      </c>
      <c r="S1248" s="1">
        <v>50</v>
      </c>
      <c r="T1248" s="1">
        <v>1</v>
      </c>
      <c r="U1248" s="1">
        <v>4</v>
      </c>
    </row>
    <row r="1249" spans="1:21" x14ac:dyDescent="0.25">
      <c r="A1249" s="4">
        <v>44778</v>
      </c>
      <c r="B1249" s="5">
        <v>0.66655092592592591</v>
      </c>
      <c r="C1249" s="1">
        <v>1871</v>
      </c>
      <c r="D1249" s="1">
        <v>13002616</v>
      </c>
      <c r="E1249" s="1">
        <v>13</v>
      </c>
      <c r="F1249" s="1">
        <v>22589</v>
      </c>
      <c r="G1249" s="1" t="s">
        <v>18</v>
      </c>
      <c r="H1249" s="1">
        <v>18</v>
      </c>
      <c r="I1249" s="1">
        <v>18836</v>
      </c>
      <c r="J1249" s="1" t="s">
        <v>514</v>
      </c>
      <c r="K1249" s="1" t="s">
        <v>48</v>
      </c>
      <c r="L1249" s="1" t="s">
        <v>64</v>
      </c>
      <c r="M1249" s="1">
        <v>1</v>
      </c>
      <c r="N1249" s="2">
        <v>109.1</v>
      </c>
      <c r="O1249" s="3">
        <v>123</v>
      </c>
      <c r="P1249" s="1">
        <v>0</v>
      </c>
      <c r="Q1249" s="1" t="s">
        <v>22</v>
      </c>
      <c r="R1249" s="1" t="s">
        <v>22</v>
      </c>
      <c r="S1249" s="1">
        <v>50</v>
      </c>
      <c r="T1249" s="1">
        <v>1</v>
      </c>
      <c r="U1249" s="1">
        <v>2</v>
      </c>
    </row>
    <row r="1250" spans="1:21" x14ac:dyDescent="0.25">
      <c r="A1250" s="4">
        <v>44778</v>
      </c>
      <c r="B1250" s="5">
        <v>0.40599537037037037</v>
      </c>
      <c r="C1250" s="1">
        <v>1805</v>
      </c>
      <c r="D1250" s="1">
        <v>13002616</v>
      </c>
      <c r="E1250" s="1">
        <v>13</v>
      </c>
      <c r="F1250" s="1">
        <v>22589</v>
      </c>
      <c r="G1250" s="1" t="s">
        <v>18</v>
      </c>
      <c r="H1250" s="1">
        <v>15</v>
      </c>
      <c r="I1250" s="1">
        <v>19568</v>
      </c>
      <c r="J1250" s="1" t="s">
        <v>818</v>
      </c>
      <c r="K1250" s="1" t="s">
        <v>48</v>
      </c>
      <c r="L1250" s="1" t="s">
        <v>819</v>
      </c>
      <c r="M1250" s="1">
        <v>1</v>
      </c>
      <c r="N1250" s="2">
        <v>213.83</v>
      </c>
      <c r="O1250" s="3">
        <v>289</v>
      </c>
      <c r="P1250" s="1">
        <v>20</v>
      </c>
      <c r="Q1250" s="1">
        <v>9</v>
      </c>
      <c r="R1250" s="1">
        <v>200010026859</v>
      </c>
      <c r="S1250" s="1">
        <v>50</v>
      </c>
      <c r="T1250" s="1">
        <v>1</v>
      </c>
      <c r="U1250" s="1">
        <v>3</v>
      </c>
    </row>
    <row r="1251" spans="1:21" x14ac:dyDescent="0.25">
      <c r="A1251" s="4">
        <v>44778</v>
      </c>
      <c r="B1251" s="5">
        <v>0.52201388888888889</v>
      </c>
      <c r="C1251" s="1">
        <v>1836</v>
      </c>
      <c r="D1251" s="1">
        <v>13002616</v>
      </c>
      <c r="E1251" s="1">
        <v>13</v>
      </c>
      <c r="F1251" s="1">
        <v>22589</v>
      </c>
      <c r="G1251" s="1" t="s">
        <v>18</v>
      </c>
      <c r="H1251" s="1">
        <v>15</v>
      </c>
      <c r="I1251" s="1">
        <v>19568</v>
      </c>
      <c r="J1251" s="1" t="s">
        <v>818</v>
      </c>
      <c r="K1251" s="1" t="s">
        <v>48</v>
      </c>
      <c r="L1251" s="1" t="s">
        <v>819</v>
      </c>
      <c r="M1251" s="1">
        <v>1</v>
      </c>
      <c r="N1251" s="2">
        <v>213.83</v>
      </c>
      <c r="O1251" s="3">
        <v>289</v>
      </c>
      <c r="P1251" s="1">
        <v>20</v>
      </c>
      <c r="Q1251" s="1">
        <v>9</v>
      </c>
      <c r="R1251" s="1">
        <v>200010001180</v>
      </c>
      <c r="S1251" s="1">
        <v>50</v>
      </c>
      <c r="T1251" s="1">
        <v>1</v>
      </c>
      <c r="U1251" s="1">
        <v>2</v>
      </c>
    </row>
    <row r="1252" spans="1:21" x14ac:dyDescent="0.25">
      <c r="A1252" s="4">
        <v>44778</v>
      </c>
      <c r="B1252" s="5">
        <v>0.40599537037037037</v>
      </c>
      <c r="C1252" s="1">
        <v>1805</v>
      </c>
      <c r="D1252" s="1">
        <v>13002616</v>
      </c>
      <c r="E1252" s="1">
        <v>13</v>
      </c>
      <c r="F1252" s="1">
        <v>22589</v>
      </c>
      <c r="G1252" s="1" t="s">
        <v>18</v>
      </c>
      <c r="H1252" s="1">
        <v>15</v>
      </c>
      <c r="I1252" s="1">
        <v>1504331</v>
      </c>
      <c r="J1252" s="1" t="s">
        <v>140</v>
      </c>
      <c r="K1252" s="1" t="s">
        <v>141</v>
      </c>
      <c r="L1252" s="1" t="s">
        <v>819</v>
      </c>
      <c r="M1252" s="1">
        <v>1</v>
      </c>
      <c r="N1252" s="2">
        <v>0.01</v>
      </c>
      <c r="O1252" s="3">
        <v>0.01</v>
      </c>
      <c r="P1252" s="1">
        <v>0</v>
      </c>
      <c r="Q1252" s="1" t="s">
        <v>22</v>
      </c>
      <c r="R1252" s="1" t="s">
        <v>22</v>
      </c>
      <c r="S1252" s="1">
        <v>50</v>
      </c>
      <c r="T1252" s="1">
        <v>1</v>
      </c>
      <c r="U1252" s="1">
        <v>1</v>
      </c>
    </row>
    <row r="1253" spans="1:21" x14ac:dyDescent="0.25">
      <c r="A1253" s="4">
        <v>44778</v>
      </c>
      <c r="B1253" s="5">
        <v>0.51466435185185189</v>
      </c>
      <c r="C1253" s="1">
        <v>1833</v>
      </c>
      <c r="D1253" s="1">
        <v>13002616</v>
      </c>
      <c r="E1253" s="1">
        <v>13</v>
      </c>
      <c r="F1253" s="1">
        <v>22589</v>
      </c>
      <c r="G1253" s="1" t="s">
        <v>18</v>
      </c>
      <c r="H1253" s="1">
        <v>18</v>
      </c>
      <c r="I1253" s="1">
        <v>1504331</v>
      </c>
      <c r="J1253" s="1" t="s">
        <v>140</v>
      </c>
      <c r="K1253" s="1" t="s">
        <v>141</v>
      </c>
      <c r="L1253" s="1" t="s">
        <v>819</v>
      </c>
      <c r="M1253" s="1">
        <v>1</v>
      </c>
      <c r="N1253" s="2">
        <v>0.01</v>
      </c>
      <c r="O1253" s="3">
        <v>0.01</v>
      </c>
      <c r="P1253" s="1">
        <v>0</v>
      </c>
      <c r="Q1253" s="1" t="s">
        <v>22</v>
      </c>
      <c r="R1253" s="1" t="s">
        <v>22</v>
      </c>
      <c r="S1253" s="1">
        <v>50</v>
      </c>
      <c r="T1253" s="1">
        <v>1</v>
      </c>
      <c r="U1253" s="1">
        <v>2</v>
      </c>
    </row>
    <row r="1254" spans="1:21" x14ac:dyDescent="0.25">
      <c r="A1254" s="4">
        <v>44778</v>
      </c>
      <c r="B1254" s="5">
        <v>0.59703703703703703</v>
      </c>
      <c r="C1254" s="1">
        <v>1853</v>
      </c>
      <c r="D1254" s="1">
        <v>13002616</v>
      </c>
      <c r="E1254" s="1">
        <v>13</v>
      </c>
      <c r="F1254" s="1">
        <v>22589</v>
      </c>
      <c r="G1254" s="1" t="s">
        <v>18</v>
      </c>
      <c r="H1254" s="1">
        <v>18</v>
      </c>
      <c r="I1254" s="1">
        <v>1504331</v>
      </c>
      <c r="J1254" s="1" t="s">
        <v>140</v>
      </c>
      <c r="K1254" s="1" t="s">
        <v>141</v>
      </c>
      <c r="L1254" s="1" t="s">
        <v>819</v>
      </c>
      <c r="M1254" s="1">
        <v>1</v>
      </c>
      <c r="N1254" s="2">
        <v>0.01</v>
      </c>
      <c r="O1254" s="3">
        <v>0.01</v>
      </c>
      <c r="P1254" s="1">
        <v>0</v>
      </c>
      <c r="Q1254" s="1" t="s">
        <v>22</v>
      </c>
      <c r="R1254" s="1" t="s">
        <v>22</v>
      </c>
      <c r="S1254" s="1">
        <v>50</v>
      </c>
      <c r="T1254" s="1">
        <v>1</v>
      </c>
      <c r="U1254" s="1">
        <v>1</v>
      </c>
    </row>
    <row r="1255" spans="1:21" x14ac:dyDescent="0.25">
      <c r="A1255" s="4">
        <v>44778</v>
      </c>
      <c r="B1255" s="5">
        <v>0.40689814814814818</v>
      </c>
      <c r="C1255" s="1">
        <v>1806</v>
      </c>
      <c r="D1255" s="1">
        <v>13002616</v>
      </c>
      <c r="E1255" s="1">
        <v>13</v>
      </c>
      <c r="F1255" s="1">
        <v>22589</v>
      </c>
      <c r="G1255" s="1" t="s">
        <v>18</v>
      </c>
      <c r="H1255" s="1">
        <v>18</v>
      </c>
      <c r="I1255" s="1">
        <v>14828</v>
      </c>
      <c r="J1255" s="1" t="s">
        <v>882</v>
      </c>
      <c r="K1255" s="1" t="s">
        <v>58</v>
      </c>
      <c r="L1255" s="1" t="s">
        <v>883</v>
      </c>
      <c r="M1255" s="1">
        <v>1</v>
      </c>
      <c r="N1255" s="2">
        <v>73.040000000000006</v>
      </c>
      <c r="O1255" s="3">
        <v>88</v>
      </c>
      <c r="P1255" s="1">
        <v>6</v>
      </c>
      <c r="Q1255" s="1">
        <v>9</v>
      </c>
      <c r="R1255" s="1">
        <v>200010026815</v>
      </c>
      <c r="S1255" s="1">
        <v>50</v>
      </c>
      <c r="T1255" s="1">
        <v>1</v>
      </c>
      <c r="U1255" s="1">
        <v>1</v>
      </c>
    </row>
    <row r="1256" spans="1:21" x14ac:dyDescent="0.25">
      <c r="A1256" s="4">
        <v>44778</v>
      </c>
      <c r="B1256" s="5">
        <v>0.40689814814814818</v>
      </c>
      <c r="C1256" s="1">
        <v>1806</v>
      </c>
      <c r="D1256" s="1">
        <v>13002616</v>
      </c>
      <c r="E1256" s="1">
        <v>13</v>
      </c>
      <c r="F1256" s="1">
        <v>22589</v>
      </c>
      <c r="G1256" s="1" t="s">
        <v>18</v>
      </c>
      <c r="H1256" s="1">
        <v>18</v>
      </c>
      <c r="I1256" s="1">
        <v>14828</v>
      </c>
      <c r="J1256" s="1" t="s">
        <v>882</v>
      </c>
      <c r="K1256" s="1" t="s">
        <v>58</v>
      </c>
      <c r="L1256" s="1" t="s">
        <v>883</v>
      </c>
      <c r="M1256" s="1">
        <v>1</v>
      </c>
      <c r="N1256" s="2">
        <v>73.040000000000006</v>
      </c>
      <c r="O1256" s="3">
        <v>88</v>
      </c>
      <c r="P1256" s="1">
        <v>6</v>
      </c>
      <c r="Q1256" s="1">
        <v>9</v>
      </c>
      <c r="R1256" s="1">
        <v>200010026815</v>
      </c>
      <c r="S1256" s="1">
        <v>50</v>
      </c>
      <c r="T1256" s="1">
        <v>1</v>
      </c>
      <c r="U1256" s="1">
        <v>2</v>
      </c>
    </row>
    <row r="1257" spans="1:21" x14ac:dyDescent="0.25">
      <c r="A1257" s="4">
        <v>44778</v>
      </c>
      <c r="B1257" s="5">
        <v>0.41304398148148147</v>
      </c>
      <c r="C1257" s="1">
        <v>1807</v>
      </c>
      <c r="D1257" s="1">
        <v>13002616</v>
      </c>
      <c r="E1257" s="1">
        <v>13</v>
      </c>
      <c r="F1257" s="1">
        <v>22589</v>
      </c>
      <c r="G1257" s="1" t="s">
        <v>18</v>
      </c>
      <c r="H1257" s="1">
        <v>15</v>
      </c>
      <c r="I1257" s="1">
        <v>18118</v>
      </c>
      <c r="J1257" s="1" t="s">
        <v>981</v>
      </c>
      <c r="K1257" s="1" t="s">
        <v>114</v>
      </c>
      <c r="L1257" s="1" t="s">
        <v>982</v>
      </c>
      <c r="M1257" s="1">
        <v>1</v>
      </c>
      <c r="N1257" s="2">
        <v>102.28</v>
      </c>
      <c r="O1257" s="3">
        <v>141</v>
      </c>
      <c r="P1257" s="1">
        <v>9</v>
      </c>
      <c r="Q1257" s="1">
        <v>9</v>
      </c>
      <c r="R1257" s="1">
        <v>200010001691</v>
      </c>
      <c r="S1257" s="1">
        <v>50</v>
      </c>
      <c r="T1257" s="1">
        <v>1</v>
      </c>
      <c r="U1257" s="1">
        <v>2</v>
      </c>
    </row>
    <row r="1258" spans="1:21" x14ac:dyDescent="0.25">
      <c r="A1258" s="4">
        <v>44778</v>
      </c>
      <c r="B1258" s="5">
        <v>0.41304398148148147</v>
      </c>
      <c r="C1258" s="1">
        <v>1807</v>
      </c>
      <c r="D1258" s="1">
        <v>13002616</v>
      </c>
      <c r="E1258" s="1">
        <v>13</v>
      </c>
      <c r="F1258" s="1">
        <v>22589</v>
      </c>
      <c r="G1258" s="1" t="s">
        <v>18</v>
      </c>
      <c r="H1258" s="1">
        <v>15</v>
      </c>
      <c r="I1258" s="1">
        <v>344597</v>
      </c>
      <c r="J1258" s="1" t="s">
        <v>643</v>
      </c>
      <c r="K1258" s="1" t="s">
        <v>48</v>
      </c>
      <c r="L1258" s="1" t="s">
        <v>644</v>
      </c>
      <c r="M1258" s="1">
        <v>1</v>
      </c>
      <c r="N1258" s="2">
        <v>75.73</v>
      </c>
      <c r="O1258" s="3">
        <v>95</v>
      </c>
      <c r="P1258" s="1">
        <v>4</v>
      </c>
      <c r="Q1258" s="1">
        <v>9</v>
      </c>
      <c r="R1258" s="1">
        <v>200010001691</v>
      </c>
      <c r="S1258" s="1">
        <v>50</v>
      </c>
      <c r="T1258" s="1">
        <v>1</v>
      </c>
      <c r="U1258" s="1">
        <v>1</v>
      </c>
    </row>
    <row r="1259" spans="1:21" x14ac:dyDescent="0.25">
      <c r="A1259" s="4">
        <v>44778</v>
      </c>
      <c r="B1259" s="5">
        <v>0.41304398148148147</v>
      </c>
      <c r="C1259" s="1">
        <v>1807</v>
      </c>
      <c r="D1259" s="1">
        <v>13002616</v>
      </c>
      <c r="E1259" s="1">
        <v>13</v>
      </c>
      <c r="F1259" s="1">
        <v>22589</v>
      </c>
      <c r="G1259" s="1" t="s">
        <v>18</v>
      </c>
      <c r="H1259" s="1">
        <v>15</v>
      </c>
      <c r="I1259" s="1">
        <v>4800</v>
      </c>
      <c r="J1259" s="1" t="s">
        <v>251</v>
      </c>
      <c r="K1259" s="1" t="s">
        <v>48</v>
      </c>
      <c r="L1259" s="1" t="s">
        <v>252</v>
      </c>
      <c r="M1259" s="1">
        <v>1</v>
      </c>
      <c r="N1259" s="2">
        <v>42.05</v>
      </c>
      <c r="O1259" s="3">
        <v>53</v>
      </c>
      <c r="P1259" s="1">
        <v>2</v>
      </c>
      <c r="Q1259" s="1">
        <v>9</v>
      </c>
      <c r="R1259" s="1">
        <v>200010001691</v>
      </c>
      <c r="S1259" s="1">
        <v>50</v>
      </c>
      <c r="T1259" s="1">
        <v>1</v>
      </c>
      <c r="U1259" s="1">
        <v>4</v>
      </c>
    </row>
    <row r="1260" spans="1:21" x14ac:dyDescent="0.25">
      <c r="A1260" s="4">
        <v>44778</v>
      </c>
      <c r="B1260" s="5">
        <v>0.41304398148148147</v>
      </c>
      <c r="C1260" s="1">
        <v>1807</v>
      </c>
      <c r="D1260" s="1">
        <v>13002616</v>
      </c>
      <c r="E1260" s="1">
        <v>13</v>
      </c>
      <c r="F1260" s="1">
        <v>22589</v>
      </c>
      <c r="G1260" s="1" t="s">
        <v>18</v>
      </c>
      <c r="H1260" s="1">
        <v>15</v>
      </c>
      <c r="I1260" s="1">
        <v>435596</v>
      </c>
      <c r="J1260" s="1" t="s">
        <v>1050</v>
      </c>
      <c r="K1260" s="1" t="s">
        <v>48</v>
      </c>
      <c r="L1260" s="1" t="s">
        <v>450</v>
      </c>
      <c r="M1260" s="1">
        <v>1</v>
      </c>
      <c r="N1260" s="2">
        <v>12.53</v>
      </c>
      <c r="O1260" s="3">
        <v>20</v>
      </c>
      <c r="P1260" s="1">
        <v>1</v>
      </c>
      <c r="Q1260" s="1">
        <v>9</v>
      </c>
      <c r="R1260" s="1">
        <v>200010001691</v>
      </c>
      <c r="S1260" s="1">
        <v>50</v>
      </c>
      <c r="T1260" s="1">
        <v>1</v>
      </c>
      <c r="U1260" s="1">
        <v>3</v>
      </c>
    </row>
    <row r="1261" spans="1:21" x14ac:dyDescent="0.25">
      <c r="A1261" s="4">
        <v>44778</v>
      </c>
      <c r="B1261" s="5">
        <v>0.41531249999999997</v>
      </c>
      <c r="C1261" s="1">
        <v>1808</v>
      </c>
      <c r="D1261" s="1">
        <v>13002616</v>
      </c>
      <c r="E1261" s="1">
        <v>13</v>
      </c>
      <c r="F1261" s="1">
        <v>22589</v>
      </c>
      <c r="G1261" s="1" t="s">
        <v>18</v>
      </c>
      <c r="H1261" s="1">
        <v>18</v>
      </c>
      <c r="I1261" s="1">
        <v>168881</v>
      </c>
      <c r="J1261" s="1" t="s">
        <v>1096</v>
      </c>
      <c r="K1261" s="1" t="s">
        <v>114</v>
      </c>
      <c r="L1261" s="1" t="s">
        <v>1097</v>
      </c>
      <c r="M1261" s="1">
        <v>1</v>
      </c>
      <c r="N1261" s="2">
        <v>466.26</v>
      </c>
      <c r="O1261" s="3">
        <v>653</v>
      </c>
      <c r="P1261" s="1">
        <v>91</v>
      </c>
      <c r="Q1261" s="1">
        <v>925</v>
      </c>
      <c r="R1261" s="1">
        <v>200000000492</v>
      </c>
      <c r="S1261" s="1">
        <v>50</v>
      </c>
      <c r="T1261" s="1">
        <v>1</v>
      </c>
      <c r="U1261" s="1">
        <v>1</v>
      </c>
    </row>
    <row r="1262" spans="1:21" x14ac:dyDescent="0.25">
      <c r="A1262" s="4">
        <v>44778</v>
      </c>
      <c r="B1262" s="5">
        <v>0.41627314814814814</v>
      </c>
      <c r="C1262" s="1">
        <v>1809</v>
      </c>
      <c r="D1262" s="1">
        <v>13002616</v>
      </c>
      <c r="E1262" s="1">
        <v>13</v>
      </c>
      <c r="F1262" s="1">
        <v>22589</v>
      </c>
      <c r="G1262" s="1" t="s">
        <v>18</v>
      </c>
      <c r="H1262" s="1">
        <v>15</v>
      </c>
      <c r="I1262" s="1">
        <v>348748</v>
      </c>
      <c r="J1262" s="1" t="s">
        <v>257</v>
      </c>
      <c r="K1262" s="1" t="s">
        <v>26</v>
      </c>
      <c r="L1262" s="1" t="s">
        <v>258</v>
      </c>
      <c r="M1262" s="1">
        <v>1</v>
      </c>
      <c r="N1262" s="2">
        <v>56.03</v>
      </c>
      <c r="O1262" s="3">
        <v>70</v>
      </c>
      <c r="P1262" s="1">
        <v>0</v>
      </c>
      <c r="Q1262" s="1" t="s">
        <v>22</v>
      </c>
      <c r="R1262" s="1" t="s">
        <v>22</v>
      </c>
      <c r="S1262" s="1">
        <v>50</v>
      </c>
      <c r="T1262" s="1">
        <v>1</v>
      </c>
      <c r="U1262" s="1">
        <v>1</v>
      </c>
    </row>
    <row r="1263" spans="1:21" x14ac:dyDescent="0.25">
      <c r="A1263" s="4">
        <v>44778</v>
      </c>
      <c r="B1263" s="5">
        <v>0.48697916666666669</v>
      </c>
      <c r="C1263" s="1">
        <v>1823</v>
      </c>
      <c r="D1263" s="1">
        <v>13002616</v>
      </c>
      <c r="E1263" s="1">
        <v>13</v>
      </c>
      <c r="F1263" s="1">
        <v>22589</v>
      </c>
      <c r="G1263" s="1" t="s">
        <v>18</v>
      </c>
      <c r="H1263" s="1">
        <v>15</v>
      </c>
      <c r="I1263" s="1">
        <v>348748</v>
      </c>
      <c r="J1263" s="1" t="s">
        <v>257</v>
      </c>
      <c r="K1263" s="1" t="s">
        <v>26</v>
      </c>
      <c r="L1263" s="1" t="s">
        <v>258</v>
      </c>
      <c r="M1263" s="1">
        <v>1</v>
      </c>
      <c r="N1263" s="2">
        <v>56.03</v>
      </c>
      <c r="O1263" s="3">
        <v>70</v>
      </c>
      <c r="P1263" s="1">
        <v>3</v>
      </c>
      <c r="Q1263" s="1">
        <v>9</v>
      </c>
      <c r="R1263" s="1">
        <v>200010009407</v>
      </c>
      <c r="S1263" s="1">
        <v>50</v>
      </c>
      <c r="T1263" s="1">
        <v>1</v>
      </c>
      <c r="U1263" s="1">
        <v>1</v>
      </c>
    </row>
    <row r="1264" spans="1:21" x14ac:dyDescent="0.25">
      <c r="A1264" s="4">
        <v>44778</v>
      </c>
      <c r="B1264" s="5">
        <v>0.41627314814814814</v>
      </c>
      <c r="C1264" s="1">
        <v>1809</v>
      </c>
      <c r="D1264" s="1">
        <v>13002616</v>
      </c>
      <c r="E1264" s="1">
        <v>13</v>
      </c>
      <c r="F1264" s="1">
        <v>22589</v>
      </c>
      <c r="G1264" s="1" t="s">
        <v>18</v>
      </c>
      <c r="H1264" s="1">
        <v>15</v>
      </c>
      <c r="I1264" s="1">
        <v>18199</v>
      </c>
      <c r="J1264" s="1" t="s">
        <v>1098</v>
      </c>
      <c r="K1264" s="1" t="s">
        <v>31</v>
      </c>
      <c r="L1264" s="1" t="s">
        <v>1099</v>
      </c>
      <c r="M1264" s="1">
        <v>1</v>
      </c>
      <c r="N1264" s="2">
        <v>118.71</v>
      </c>
      <c r="O1264" s="3">
        <v>173</v>
      </c>
      <c r="P1264" s="1">
        <v>0</v>
      </c>
      <c r="Q1264" s="1" t="s">
        <v>22</v>
      </c>
      <c r="R1264" s="1" t="s">
        <v>22</v>
      </c>
      <c r="S1264" s="1">
        <v>50</v>
      </c>
      <c r="T1264" s="1">
        <v>1</v>
      </c>
      <c r="U1264" s="1">
        <v>2</v>
      </c>
    </row>
    <row r="1265" spans="1:21" x14ac:dyDescent="0.25">
      <c r="A1265" s="4">
        <v>44778</v>
      </c>
      <c r="B1265" s="5">
        <v>0.41776620370370371</v>
      </c>
      <c r="C1265" s="1">
        <v>1810</v>
      </c>
      <c r="D1265" s="1">
        <v>13002616</v>
      </c>
      <c r="E1265" s="1">
        <v>13</v>
      </c>
      <c r="F1265" s="1">
        <v>22589</v>
      </c>
      <c r="G1265" s="1" t="s">
        <v>18</v>
      </c>
      <c r="H1265" s="1">
        <v>15</v>
      </c>
      <c r="I1265" s="1">
        <v>2982</v>
      </c>
      <c r="J1265" s="1" t="s">
        <v>1100</v>
      </c>
      <c r="K1265" s="1" t="s">
        <v>31</v>
      </c>
      <c r="L1265" s="1" t="s">
        <v>1101</v>
      </c>
      <c r="M1265" s="1">
        <v>1</v>
      </c>
      <c r="N1265" s="2">
        <v>107.68</v>
      </c>
      <c r="O1265" s="3">
        <v>129</v>
      </c>
      <c r="P1265" s="1">
        <v>6</v>
      </c>
      <c r="Q1265" s="1">
        <v>9</v>
      </c>
      <c r="R1265" s="1">
        <v>200010002070</v>
      </c>
      <c r="S1265" s="1">
        <v>50</v>
      </c>
      <c r="T1265" s="1">
        <v>1</v>
      </c>
      <c r="U1265" s="1">
        <v>1</v>
      </c>
    </row>
    <row r="1266" spans="1:21" x14ac:dyDescent="0.25">
      <c r="A1266" s="4">
        <v>44778</v>
      </c>
      <c r="B1266" s="5">
        <v>0.41776620370370371</v>
      </c>
      <c r="C1266" s="1">
        <v>1810</v>
      </c>
      <c r="D1266" s="1">
        <v>13002616</v>
      </c>
      <c r="E1266" s="1">
        <v>13</v>
      </c>
      <c r="F1266" s="1">
        <v>22589</v>
      </c>
      <c r="G1266" s="1" t="s">
        <v>18</v>
      </c>
      <c r="H1266" s="1">
        <v>15</v>
      </c>
      <c r="I1266" s="1">
        <v>354089</v>
      </c>
      <c r="J1266" s="1" t="s">
        <v>366</v>
      </c>
      <c r="K1266" s="1" t="s">
        <v>26</v>
      </c>
      <c r="L1266" s="1" t="s">
        <v>332</v>
      </c>
      <c r="M1266" s="1">
        <v>1</v>
      </c>
      <c r="N1266" s="2">
        <v>39.369999999999997</v>
      </c>
      <c r="O1266" s="3">
        <v>60</v>
      </c>
      <c r="P1266" s="1">
        <v>4</v>
      </c>
      <c r="Q1266" s="1">
        <v>9</v>
      </c>
      <c r="R1266" s="1">
        <v>200010002070</v>
      </c>
      <c r="S1266" s="1">
        <v>50</v>
      </c>
      <c r="T1266" s="1">
        <v>1</v>
      </c>
      <c r="U1266" s="1">
        <v>2</v>
      </c>
    </row>
    <row r="1267" spans="1:21" x14ac:dyDescent="0.25">
      <c r="A1267" s="4">
        <v>44778</v>
      </c>
      <c r="B1267" s="5">
        <v>0.41885416666666669</v>
      </c>
      <c r="C1267" s="1">
        <v>1811</v>
      </c>
      <c r="D1267" s="1">
        <v>13002616</v>
      </c>
      <c r="E1267" s="1">
        <v>13</v>
      </c>
      <c r="F1267" s="1">
        <v>22589</v>
      </c>
      <c r="G1267" s="1" t="s">
        <v>18</v>
      </c>
      <c r="H1267" s="1">
        <v>15</v>
      </c>
      <c r="I1267" s="1">
        <v>141007</v>
      </c>
      <c r="J1267" s="1" t="s">
        <v>1102</v>
      </c>
      <c r="K1267" s="1" t="s">
        <v>249</v>
      </c>
      <c r="L1267" s="1" t="s">
        <v>1103</v>
      </c>
      <c r="M1267" s="1">
        <v>1</v>
      </c>
      <c r="N1267" s="2">
        <v>61.92</v>
      </c>
      <c r="O1267" s="3">
        <v>98</v>
      </c>
      <c r="P1267" s="1">
        <v>0</v>
      </c>
      <c r="Q1267" s="1" t="s">
        <v>22</v>
      </c>
      <c r="R1267" s="1" t="s">
        <v>22</v>
      </c>
      <c r="S1267" s="1">
        <v>50</v>
      </c>
      <c r="T1267" s="1">
        <v>1</v>
      </c>
      <c r="U1267" s="1">
        <v>1</v>
      </c>
    </row>
    <row r="1268" spans="1:21" x14ac:dyDescent="0.25">
      <c r="A1268" s="4">
        <v>44778</v>
      </c>
      <c r="B1268" s="5">
        <v>0.43175925925925923</v>
      </c>
      <c r="C1268" s="1">
        <v>1812</v>
      </c>
      <c r="D1268" s="1">
        <v>13002616</v>
      </c>
      <c r="E1268" s="1">
        <v>13</v>
      </c>
      <c r="F1268" s="1">
        <v>22589</v>
      </c>
      <c r="G1268" s="1" t="s">
        <v>18</v>
      </c>
      <c r="H1268" s="1">
        <v>18</v>
      </c>
      <c r="I1268" s="1">
        <v>473</v>
      </c>
      <c r="J1268" s="1" t="s">
        <v>518</v>
      </c>
      <c r="K1268" s="1" t="s">
        <v>20</v>
      </c>
      <c r="L1268" s="1" t="s">
        <v>300</v>
      </c>
      <c r="M1268" s="1">
        <v>1</v>
      </c>
      <c r="N1268" s="2">
        <v>47.59</v>
      </c>
      <c r="O1268" s="3">
        <v>73</v>
      </c>
      <c r="P1268" s="1">
        <v>0</v>
      </c>
      <c r="Q1268" s="1" t="s">
        <v>22</v>
      </c>
      <c r="R1268" s="1" t="s">
        <v>22</v>
      </c>
      <c r="S1268" s="1">
        <v>50</v>
      </c>
      <c r="T1268" s="1">
        <v>1</v>
      </c>
      <c r="U1268" s="1">
        <v>1</v>
      </c>
    </row>
    <row r="1269" spans="1:21" x14ac:dyDescent="0.25">
      <c r="A1269" s="4">
        <v>44778</v>
      </c>
      <c r="B1269" s="5">
        <v>0.43732638888888886</v>
      </c>
      <c r="C1269" s="1">
        <v>1813</v>
      </c>
      <c r="D1269" s="1">
        <v>13002616</v>
      </c>
      <c r="E1269" s="1">
        <v>13</v>
      </c>
      <c r="F1269" s="1">
        <v>22589</v>
      </c>
      <c r="G1269" s="1" t="s">
        <v>18</v>
      </c>
      <c r="H1269" s="1">
        <v>15</v>
      </c>
      <c r="I1269" s="1">
        <v>157879</v>
      </c>
      <c r="J1269" s="1" t="s">
        <v>1104</v>
      </c>
      <c r="K1269" s="1" t="s">
        <v>48</v>
      </c>
      <c r="L1269" s="1" t="s">
        <v>32</v>
      </c>
      <c r="M1269" s="1">
        <v>1</v>
      </c>
      <c r="N1269" s="2">
        <v>213.39</v>
      </c>
      <c r="O1269" s="3">
        <v>254</v>
      </c>
      <c r="P1269" s="1">
        <v>12</v>
      </c>
      <c r="Q1269" s="1">
        <v>9</v>
      </c>
      <c r="R1269" s="1">
        <v>200010000853</v>
      </c>
      <c r="S1269" s="1">
        <v>50</v>
      </c>
      <c r="T1269" s="1">
        <v>1</v>
      </c>
      <c r="U1269" s="1">
        <v>1</v>
      </c>
    </row>
    <row r="1270" spans="1:21" x14ac:dyDescent="0.25">
      <c r="A1270" s="4">
        <v>44778</v>
      </c>
      <c r="B1270" s="5">
        <v>0.43861111111111112</v>
      </c>
      <c r="C1270" s="1">
        <v>1814</v>
      </c>
      <c r="D1270" s="1">
        <v>13002616</v>
      </c>
      <c r="E1270" s="1">
        <v>13</v>
      </c>
      <c r="F1270" s="1">
        <v>22589</v>
      </c>
      <c r="G1270" s="1" t="s">
        <v>18</v>
      </c>
      <c r="H1270" s="1">
        <v>15</v>
      </c>
      <c r="I1270" s="1">
        <v>2308</v>
      </c>
      <c r="J1270" s="1" t="s">
        <v>1105</v>
      </c>
      <c r="K1270" s="1" t="s">
        <v>42</v>
      </c>
      <c r="L1270" s="1" t="s">
        <v>1106</v>
      </c>
      <c r="M1270" s="1">
        <v>1</v>
      </c>
      <c r="N1270" s="2">
        <v>103.04</v>
      </c>
      <c r="O1270" s="3">
        <v>122</v>
      </c>
      <c r="P1270" s="1">
        <v>0</v>
      </c>
      <c r="Q1270" s="1" t="s">
        <v>22</v>
      </c>
      <c r="R1270" s="1" t="s">
        <v>22</v>
      </c>
      <c r="S1270" s="1">
        <v>50</v>
      </c>
      <c r="T1270" s="1">
        <v>1</v>
      </c>
      <c r="U1270" s="1">
        <v>1</v>
      </c>
    </row>
    <row r="1271" spans="1:21" x14ac:dyDescent="0.25">
      <c r="A1271" s="4">
        <v>44778</v>
      </c>
      <c r="B1271" s="5">
        <v>0.43986111111111109</v>
      </c>
      <c r="C1271" s="1">
        <v>1815</v>
      </c>
      <c r="D1271" s="1">
        <v>13002616</v>
      </c>
      <c r="E1271" s="1">
        <v>13</v>
      </c>
      <c r="F1271" s="1">
        <v>22589</v>
      </c>
      <c r="G1271" s="1" t="s">
        <v>18</v>
      </c>
      <c r="H1271" s="1">
        <v>18</v>
      </c>
      <c r="I1271" s="1">
        <v>564775</v>
      </c>
      <c r="J1271" s="1" t="s">
        <v>505</v>
      </c>
      <c r="K1271" s="1" t="s">
        <v>48</v>
      </c>
      <c r="L1271" s="1" t="s">
        <v>506</v>
      </c>
      <c r="M1271" s="1">
        <v>1</v>
      </c>
      <c r="N1271" s="2">
        <v>6.84</v>
      </c>
      <c r="O1271" s="3">
        <v>12</v>
      </c>
      <c r="P1271" s="1">
        <v>1</v>
      </c>
      <c r="Q1271" s="1">
        <v>9</v>
      </c>
      <c r="R1271" s="1">
        <v>200010023919</v>
      </c>
      <c r="S1271" s="1">
        <v>50</v>
      </c>
      <c r="T1271" s="1">
        <v>1</v>
      </c>
      <c r="U1271" s="1">
        <v>2</v>
      </c>
    </row>
    <row r="1272" spans="1:21" x14ac:dyDescent="0.25">
      <c r="A1272" s="4">
        <v>44778</v>
      </c>
      <c r="B1272" s="5">
        <v>0.43986111111111109</v>
      </c>
      <c r="C1272" s="1">
        <v>1815</v>
      </c>
      <c r="D1272" s="1">
        <v>13002616</v>
      </c>
      <c r="E1272" s="1">
        <v>13</v>
      </c>
      <c r="F1272" s="1">
        <v>22589</v>
      </c>
      <c r="G1272" s="1" t="s">
        <v>18</v>
      </c>
      <c r="H1272" s="1">
        <v>18</v>
      </c>
      <c r="I1272" s="1">
        <v>30028</v>
      </c>
      <c r="J1272" s="1" t="s">
        <v>163</v>
      </c>
      <c r="K1272" s="1" t="s">
        <v>48</v>
      </c>
      <c r="L1272" s="1" t="s">
        <v>164</v>
      </c>
      <c r="M1272" s="1">
        <v>2</v>
      </c>
      <c r="N1272" s="2">
        <v>10.01</v>
      </c>
      <c r="O1272" s="3">
        <v>17</v>
      </c>
      <c r="P1272" s="1">
        <v>3</v>
      </c>
      <c r="Q1272" s="1">
        <v>9</v>
      </c>
      <c r="R1272" s="1">
        <v>200010023919</v>
      </c>
      <c r="S1272" s="1">
        <v>50</v>
      </c>
      <c r="T1272" s="1">
        <v>1</v>
      </c>
      <c r="U1272" s="1">
        <v>3</v>
      </c>
    </row>
    <row r="1273" spans="1:21" x14ac:dyDescent="0.25">
      <c r="A1273" s="4">
        <v>44778</v>
      </c>
      <c r="B1273" s="5">
        <v>0.43986111111111109</v>
      </c>
      <c r="C1273" s="1">
        <v>1815</v>
      </c>
      <c r="D1273" s="1">
        <v>13002616</v>
      </c>
      <c r="E1273" s="1">
        <v>13</v>
      </c>
      <c r="F1273" s="1">
        <v>22589</v>
      </c>
      <c r="G1273" s="1" t="s">
        <v>18</v>
      </c>
      <c r="H1273" s="1">
        <v>18</v>
      </c>
      <c r="I1273" s="1">
        <v>564766</v>
      </c>
      <c r="J1273" s="1" t="s">
        <v>831</v>
      </c>
      <c r="K1273" s="1" t="s">
        <v>61</v>
      </c>
      <c r="L1273" s="1" t="s">
        <v>506</v>
      </c>
      <c r="M1273" s="1">
        <v>1</v>
      </c>
      <c r="N1273" s="2">
        <v>6.44</v>
      </c>
      <c r="O1273" s="3">
        <v>11</v>
      </c>
      <c r="P1273" s="1">
        <v>1</v>
      </c>
      <c r="Q1273" s="1">
        <v>9</v>
      </c>
      <c r="R1273" s="1">
        <v>200010023919</v>
      </c>
      <c r="S1273" s="1">
        <v>50</v>
      </c>
      <c r="T1273" s="1">
        <v>1</v>
      </c>
      <c r="U1273" s="1">
        <v>1</v>
      </c>
    </row>
    <row r="1274" spans="1:21" x14ac:dyDescent="0.25">
      <c r="A1274" s="4">
        <v>44778</v>
      </c>
      <c r="B1274" s="5">
        <v>0.44091435185185185</v>
      </c>
      <c r="C1274" s="1">
        <v>1816</v>
      </c>
      <c r="D1274" s="1">
        <v>13002616</v>
      </c>
      <c r="E1274" s="1">
        <v>13</v>
      </c>
      <c r="F1274" s="1">
        <v>22589</v>
      </c>
      <c r="G1274" s="1" t="s">
        <v>18</v>
      </c>
      <c r="H1274" s="1">
        <v>15</v>
      </c>
      <c r="I1274" s="1">
        <v>354089</v>
      </c>
      <c r="J1274" s="1" t="s">
        <v>366</v>
      </c>
      <c r="K1274" s="1" t="s">
        <v>26</v>
      </c>
      <c r="L1274" s="1" t="s">
        <v>332</v>
      </c>
      <c r="M1274" s="1">
        <v>1</v>
      </c>
      <c r="N1274" s="2">
        <v>39.369999999999997</v>
      </c>
      <c r="O1274" s="3">
        <v>60</v>
      </c>
      <c r="P1274" s="1">
        <v>0</v>
      </c>
      <c r="Q1274" s="1" t="s">
        <v>22</v>
      </c>
      <c r="R1274" s="1" t="s">
        <v>22</v>
      </c>
      <c r="S1274" s="1">
        <v>50</v>
      </c>
      <c r="T1274" s="1">
        <v>1</v>
      </c>
      <c r="U1274" s="1">
        <v>2</v>
      </c>
    </row>
    <row r="1275" spans="1:21" x14ac:dyDescent="0.25">
      <c r="A1275" s="4">
        <v>44778</v>
      </c>
      <c r="B1275" s="5">
        <v>0.45693287037037039</v>
      </c>
      <c r="C1275" s="1">
        <v>1817</v>
      </c>
      <c r="D1275" s="1">
        <v>13002616</v>
      </c>
      <c r="E1275" s="1">
        <v>13</v>
      </c>
      <c r="F1275" s="1">
        <v>22589</v>
      </c>
      <c r="G1275" s="1" t="s">
        <v>18</v>
      </c>
      <c r="H1275" s="1">
        <v>15</v>
      </c>
      <c r="I1275" s="1">
        <v>29153</v>
      </c>
      <c r="J1275" s="1" t="s">
        <v>1107</v>
      </c>
      <c r="K1275" s="1" t="s">
        <v>26</v>
      </c>
      <c r="L1275" s="1" t="s">
        <v>266</v>
      </c>
      <c r="M1275" s="1">
        <v>1</v>
      </c>
      <c r="N1275" s="2">
        <v>9.6</v>
      </c>
      <c r="O1275" s="3">
        <v>16</v>
      </c>
      <c r="P1275" s="1">
        <v>1.34</v>
      </c>
      <c r="Q1275" s="1">
        <v>9</v>
      </c>
      <c r="R1275" s="1">
        <v>200010006062</v>
      </c>
      <c r="S1275" s="1">
        <v>50</v>
      </c>
      <c r="T1275" s="1">
        <v>1</v>
      </c>
      <c r="U1275" s="1">
        <v>1</v>
      </c>
    </row>
    <row r="1276" spans="1:21" x14ac:dyDescent="0.25">
      <c r="A1276" s="4">
        <v>44778</v>
      </c>
      <c r="B1276" s="5">
        <v>0.45693287037037039</v>
      </c>
      <c r="C1276" s="1">
        <v>1817</v>
      </c>
      <c r="D1276" s="1">
        <v>13002616</v>
      </c>
      <c r="E1276" s="1">
        <v>13</v>
      </c>
      <c r="F1276" s="1">
        <v>22589</v>
      </c>
      <c r="G1276" s="1" t="s">
        <v>18</v>
      </c>
      <c r="H1276" s="1">
        <v>15</v>
      </c>
      <c r="I1276" s="1">
        <v>29153</v>
      </c>
      <c r="J1276" s="1" t="s">
        <v>1107</v>
      </c>
      <c r="K1276" s="1" t="s">
        <v>26</v>
      </c>
      <c r="L1276" s="1" t="s">
        <v>266</v>
      </c>
      <c r="M1276" s="1">
        <v>2</v>
      </c>
      <c r="N1276" s="2">
        <v>9.6</v>
      </c>
      <c r="O1276" s="3">
        <v>16</v>
      </c>
      <c r="P1276" s="1">
        <v>2.66</v>
      </c>
      <c r="Q1276" s="1">
        <v>9</v>
      </c>
      <c r="R1276" s="1">
        <v>200010006062</v>
      </c>
      <c r="S1276" s="1">
        <v>50</v>
      </c>
      <c r="T1276" s="1">
        <v>1</v>
      </c>
      <c r="U1276" s="1">
        <v>2</v>
      </c>
    </row>
    <row r="1277" spans="1:21" x14ac:dyDescent="0.25">
      <c r="A1277" s="4">
        <v>44778</v>
      </c>
      <c r="B1277" s="5">
        <v>0.45693287037037039</v>
      </c>
      <c r="C1277" s="1">
        <v>1817</v>
      </c>
      <c r="D1277" s="1">
        <v>13002616</v>
      </c>
      <c r="E1277" s="1">
        <v>13</v>
      </c>
      <c r="F1277" s="1">
        <v>22589</v>
      </c>
      <c r="G1277" s="1" t="s">
        <v>18</v>
      </c>
      <c r="H1277" s="1">
        <v>15</v>
      </c>
      <c r="I1277" s="1">
        <v>29153</v>
      </c>
      <c r="J1277" s="1" t="s">
        <v>1107</v>
      </c>
      <c r="K1277" s="1" t="s">
        <v>31</v>
      </c>
      <c r="L1277" s="1" t="s">
        <v>209</v>
      </c>
      <c r="M1277" s="1">
        <v>2</v>
      </c>
      <c r="N1277" s="2">
        <v>9.2200000000000006</v>
      </c>
      <c r="O1277" s="3">
        <v>15</v>
      </c>
      <c r="P1277" s="1">
        <v>3</v>
      </c>
      <c r="Q1277" s="1">
        <v>9</v>
      </c>
      <c r="R1277" s="1">
        <v>200010006062</v>
      </c>
      <c r="S1277" s="1">
        <v>50</v>
      </c>
      <c r="T1277" s="1">
        <v>1</v>
      </c>
      <c r="U1277" s="1">
        <v>3</v>
      </c>
    </row>
    <row r="1278" spans="1:21" x14ac:dyDescent="0.25">
      <c r="A1278" s="4">
        <v>44778</v>
      </c>
      <c r="B1278" s="5">
        <v>0.46280092592592592</v>
      </c>
      <c r="C1278" s="1">
        <v>1819</v>
      </c>
      <c r="D1278" s="1">
        <v>13002616</v>
      </c>
      <c r="E1278" s="1">
        <v>13</v>
      </c>
      <c r="F1278" s="1">
        <v>22589</v>
      </c>
      <c r="G1278" s="1" t="s">
        <v>18</v>
      </c>
      <c r="H1278" s="1">
        <v>15</v>
      </c>
      <c r="I1278" s="1">
        <v>435558</v>
      </c>
      <c r="J1278" s="1" t="s">
        <v>1108</v>
      </c>
      <c r="K1278" s="1" t="s">
        <v>20</v>
      </c>
      <c r="L1278" s="1" t="s">
        <v>799</v>
      </c>
      <c r="M1278" s="1">
        <v>1</v>
      </c>
      <c r="N1278" s="2">
        <v>248.76</v>
      </c>
      <c r="O1278" s="3">
        <v>336</v>
      </c>
      <c r="P1278" s="1">
        <v>36</v>
      </c>
      <c r="Q1278" s="1">
        <v>925</v>
      </c>
      <c r="R1278" s="1">
        <v>200000000492</v>
      </c>
      <c r="S1278" s="1">
        <v>50</v>
      </c>
      <c r="T1278" s="1">
        <v>1</v>
      </c>
      <c r="U1278" s="1">
        <v>1</v>
      </c>
    </row>
    <row r="1279" spans="1:21" x14ac:dyDescent="0.25">
      <c r="A1279" s="4">
        <v>44778</v>
      </c>
      <c r="B1279" s="5">
        <v>0.46418981481481481</v>
      </c>
      <c r="C1279" s="1">
        <v>1820</v>
      </c>
      <c r="D1279" s="1">
        <v>13002616</v>
      </c>
      <c r="E1279" s="1">
        <v>13</v>
      </c>
      <c r="F1279" s="1">
        <v>22589</v>
      </c>
      <c r="G1279" s="1" t="s">
        <v>18</v>
      </c>
      <c r="H1279" s="1">
        <v>15</v>
      </c>
      <c r="I1279" s="1">
        <v>6456</v>
      </c>
      <c r="J1279" s="1" t="s">
        <v>1109</v>
      </c>
      <c r="K1279" s="1" t="s">
        <v>31</v>
      </c>
      <c r="L1279" s="1" t="s">
        <v>1110</v>
      </c>
      <c r="M1279" s="1">
        <v>1</v>
      </c>
      <c r="N1279" s="2">
        <v>160.91</v>
      </c>
      <c r="O1279" s="3">
        <v>221</v>
      </c>
      <c r="P1279" s="1">
        <v>15</v>
      </c>
      <c r="Q1279" s="1">
        <v>9</v>
      </c>
      <c r="R1279" s="1">
        <v>200010020256</v>
      </c>
      <c r="S1279" s="1">
        <v>50</v>
      </c>
      <c r="T1279" s="1">
        <v>1</v>
      </c>
      <c r="U1279" s="1">
        <v>1</v>
      </c>
    </row>
    <row r="1280" spans="1:21" x14ac:dyDescent="0.25">
      <c r="A1280" s="4">
        <v>44778</v>
      </c>
      <c r="B1280" s="5">
        <v>0.46418981481481481</v>
      </c>
      <c r="C1280" s="1">
        <v>1820</v>
      </c>
      <c r="D1280" s="1">
        <v>13002616</v>
      </c>
      <c r="E1280" s="1">
        <v>13</v>
      </c>
      <c r="F1280" s="1">
        <v>22589</v>
      </c>
      <c r="G1280" s="1" t="s">
        <v>18</v>
      </c>
      <c r="H1280" s="1">
        <v>15</v>
      </c>
      <c r="I1280" s="1">
        <v>9329</v>
      </c>
      <c r="J1280" s="1" t="s">
        <v>309</v>
      </c>
      <c r="K1280" s="1" t="s">
        <v>61</v>
      </c>
      <c r="L1280" s="1" t="s">
        <v>310</v>
      </c>
      <c r="M1280" s="1">
        <v>1</v>
      </c>
      <c r="N1280" s="2">
        <v>201.71</v>
      </c>
      <c r="O1280" s="3">
        <v>239</v>
      </c>
      <c r="P1280" s="1">
        <v>11</v>
      </c>
      <c r="Q1280" s="1">
        <v>9</v>
      </c>
      <c r="R1280" s="1">
        <v>200010020256</v>
      </c>
      <c r="S1280" s="1">
        <v>50</v>
      </c>
      <c r="T1280" s="1">
        <v>1</v>
      </c>
      <c r="U1280" s="1">
        <v>2</v>
      </c>
    </row>
    <row r="1281" spans="1:21" x14ac:dyDescent="0.25">
      <c r="A1281" s="4">
        <v>44778</v>
      </c>
      <c r="B1281" s="5">
        <v>0.48305555555555557</v>
      </c>
      <c r="C1281" s="1">
        <v>1821</v>
      </c>
      <c r="D1281" s="1">
        <v>13002616</v>
      </c>
      <c r="E1281" s="1">
        <v>13</v>
      </c>
      <c r="F1281" s="1">
        <v>22589</v>
      </c>
      <c r="G1281" s="1" t="s">
        <v>18</v>
      </c>
      <c r="H1281" s="1">
        <v>15</v>
      </c>
      <c r="I1281" s="1">
        <v>338798</v>
      </c>
      <c r="J1281" s="1" t="s">
        <v>916</v>
      </c>
      <c r="K1281" s="1" t="s">
        <v>26</v>
      </c>
      <c r="L1281" s="1" t="s">
        <v>120</v>
      </c>
      <c r="M1281" s="1">
        <v>1</v>
      </c>
      <c r="N1281" s="2">
        <v>46.62</v>
      </c>
      <c r="O1281" s="3">
        <v>57</v>
      </c>
      <c r="P1281" s="1">
        <v>0</v>
      </c>
      <c r="Q1281" s="1" t="s">
        <v>22</v>
      </c>
      <c r="R1281" s="1" t="s">
        <v>22</v>
      </c>
      <c r="S1281" s="1">
        <v>50</v>
      </c>
      <c r="T1281" s="1">
        <v>1</v>
      </c>
      <c r="U1281" s="1">
        <v>1</v>
      </c>
    </row>
    <row r="1282" spans="1:21" x14ac:dyDescent="0.25">
      <c r="A1282" s="4">
        <v>44778</v>
      </c>
      <c r="B1282" s="5">
        <v>0.48305555555555557</v>
      </c>
      <c r="C1282" s="1">
        <v>1821</v>
      </c>
      <c r="D1282" s="1">
        <v>13002616</v>
      </c>
      <c r="E1282" s="1">
        <v>13</v>
      </c>
      <c r="F1282" s="1">
        <v>22589</v>
      </c>
      <c r="G1282" s="1" t="s">
        <v>18</v>
      </c>
      <c r="H1282" s="1">
        <v>15</v>
      </c>
      <c r="I1282" s="1">
        <v>364627</v>
      </c>
      <c r="J1282" s="1" t="s">
        <v>1111</v>
      </c>
      <c r="K1282" s="1" t="s">
        <v>31</v>
      </c>
      <c r="L1282" s="1" t="s">
        <v>665</v>
      </c>
      <c r="M1282" s="1">
        <v>0.05</v>
      </c>
      <c r="N1282" s="2">
        <v>1288.97</v>
      </c>
      <c r="O1282" s="3">
        <v>1766</v>
      </c>
      <c r="P1282" s="1">
        <v>0</v>
      </c>
      <c r="Q1282" s="1" t="s">
        <v>22</v>
      </c>
      <c r="R1282" s="1" t="s">
        <v>22</v>
      </c>
      <c r="S1282" s="1">
        <v>50</v>
      </c>
      <c r="T1282" s="1">
        <v>1</v>
      </c>
      <c r="U1282" s="1">
        <v>2</v>
      </c>
    </row>
    <row r="1283" spans="1:21" x14ac:dyDescent="0.25">
      <c r="A1283" s="4">
        <v>44778</v>
      </c>
      <c r="B1283" s="5">
        <v>0.48424768518518518</v>
      </c>
      <c r="C1283" s="1">
        <v>1822</v>
      </c>
      <c r="D1283" s="1">
        <v>13002616</v>
      </c>
      <c r="E1283" s="1">
        <v>13</v>
      </c>
      <c r="F1283" s="1">
        <v>22589</v>
      </c>
      <c r="G1283" s="1" t="s">
        <v>18</v>
      </c>
      <c r="H1283" s="1">
        <v>15</v>
      </c>
      <c r="I1283" s="1">
        <v>440757</v>
      </c>
      <c r="J1283" s="1" t="s">
        <v>976</v>
      </c>
      <c r="K1283" s="1" t="s">
        <v>58</v>
      </c>
      <c r="L1283" s="1" t="s">
        <v>46</v>
      </c>
      <c r="M1283" s="1">
        <v>1</v>
      </c>
      <c r="N1283" s="2">
        <v>15.84</v>
      </c>
      <c r="O1283" s="3">
        <v>25</v>
      </c>
      <c r="P1283" s="1">
        <v>1</v>
      </c>
      <c r="Q1283" s="1">
        <v>9</v>
      </c>
      <c r="R1283" s="1">
        <v>200010023007</v>
      </c>
      <c r="S1283" s="1">
        <v>50</v>
      </c>
      <c r="T1283" s="1">
        <v>1</v>
      </c>
      <c r="U1283" s="1">
        <v>1</v>
      </c>
    </row>
    <row r="1284" spans="1:21" x14ac:dyDescent="0.25">
      <c r="A1284" s="4">
        <v>44778</v>
      </c>
      <c r="B1284" s="5">
        <v>0.48424768518518518</v>
      </c>
      <c r="C1284" s="1">
        <v>1822</v>
      </c>
      <c r="D1284" s="1">
        <v>13002616</v>
      </c>
      <c r="E1284" s="1">
        <v>13</v>
      </c>
      <c r="F1284" s="1">
        <v>22589</v>
      </c>
      <c r="G1284" s="1" t="s">
        <v>18</v>
      </c>
      <c r="H1284" s="1">
        <v>15</v>
      </c>
      <c r="I1284" s="1">
        <v>440757</v>
      </c>
      <c r="J1284" s="1" t="s">
        <v>976</v>
      </c>
      <c r="K1284" s="1" t="s">
        <v>58</v>
      </c>
      <c r="L1284" s="1" t="s">
        <v>46</v>
      </c>
      <c r="M1284" s="1">
        <v>1</v>
      </c>
      <c r="N1284" s="2">
        <v>15.84</v>
      </c>
      <c r="O1284" s="3">
        <v>25</v>
      </c>
      <c r="P1284" s="1">
        <v>1</v>
      </c>
      <c r="Q1284" s="1">
        <v>9</v>
      </c>
      <c r="R1284" s="1">
        <v>200010023007</v>
      </c>
      <c r="S1284" s="1">
        <v>50</v>
      </c>
      <c r="T1284" s="1">
        <v>1</v>
      </c>
      <c r="U1284" s="1">
        <v>2</v>
      </c>
    </row>
    <row r="1285" spans="1:21" x14ac:dyDescent="0.25">
      <c r="A1285" s="4">
        <v>44778</v>
      </c>
      <c r="B1285" s="5">
        <v>0.48697916666666669</v>
      </c>
      <c r="C1285" s="1">
        <v>1823</v>
      </c>
      <c r="D1285" s="1">
        <v>13002616</v>
      </c>
      <c r="E1285" s="1">
        <v>13</v>
      </c>
      <c r="F1285" s="1">
        <v>22589</v>
      </c>
      <c r="G1285" s="1" t="s">
        <v>18</v>
      </c>
      <c r="H1285" s="1">
        <v>15</v>
      </c>
      <c r="I1285" s="1">
        <v>16027</v>
      </c>
      <c r="J1285" s="1" t="s">
        <v>1112</v>
      </c>
      <c r="K1285" s="1" t="s">
        <v>114</v>
      </c>
      <c r="L1285" s="1" t="s">
        <v>1113</v>
      </c>
      <c r="M1285" s="1">
        <v>1</v>
      </c>
      <c r="N1285" s="2">
        <v>68.069999999999993</v>
      </c>
      <c r="O1285" s="3">
        <v>107</v>
      </c>
      <c r="P1285" s="1">
        <v>10</v>
      </c>
      <c r="Q1285" s="1">
        <v>9</v>
      </c>
      <c r="R1285" s="1">
        <v>200010009407</v>
      </c>
      <c r="S1285" s="1">
        <v>50</v>
      </c>
      <c r="T1285" s="1">
        <v>1</v>
      </c>
      <c r="U1285" s="1">
        <v>2</v>
      </c>
    </row>
    <row r="1286" spans="1:21" x14ac:dyDescent="0.25">
      <c r="A1286" s="4">
        <v>44778</v>
      </c>
      <c r="B1286" s="5">
        <v>0.48697916666666669</v>
      </c>
      <c r="C1286" s="1">
        <v>1823</v>
      </c>
      <c r="D1286" s="1">
        <v>13002616</v>
      </c>
      <c r="E1286" s="1">
        <v>13</v>
      </c>
      <c r="F1286" s="1">
        <v>22589</v>
      </c>
      <c r="G1286" s="1" t="s">
        <v>18</v>
      </c>
      <c r="H1286" s="1">
        <v>15</v>
      </c>
      <c r="I1286" s="1">
        <v>724</v>
      </c>
      <c r="J1286" s="1" t="s">
        <v>526</v>
      </c>
      <c r="K1286" s="1" t="s">
        <v>20</v>
      </c>
      <c r="L1286" s="1" t="s">
        <v>211</v>
      </c>
      <c r="M1286" s="1">
        <v>1</v>
      </c>
      <c r="N1286" s="2">
        <v>66.09</v>
      </c>
      <c r="O1286" s="3">
        <v>78</v>
      </c>
      <c r="P1286" s="1">
        <v>3</v>
      </c>
      <c r="Q1286" s="1">
        <v>9</v>
      </c>
      <c r="R1286" s="1">
        <v>200010009407</v>
      </c>
      <c r="S1286" s="1">
        <v>50</v>
      </c>
      <c r="T1286" s="1">
        <v>1</v>
      </c>
      <c r="U1286" s="1">
        <v>3</v>
      </c>
    </row>
    <row r="1287" spans="1:21" x14ac:dyDescent="0.25">
      <c r="A1287" s="4">
        <v>44778</v>
      </c>
      <c r="B1287" s="5">
        <v>0.4886226851851852</v>
      </c>
      <c r="C1287" s="1">
        <v>1824</v>
      </c>
      <c r="D1287" s="1">
        <v>13002616</v>
      </c>
      <c r="E1287" s="1">
        <v>13</v>
      </c>
      <c r="F1287" s="1">
        <v>22589</v>
      </c>
      <c r="G1287" s="1" t="s">
        <v>18</v>
      </c>
      <c r="H1287" s="1">
        <v>18</v>
      </c>
      <c r="I1287" s="1">
        <v>5571</v>
      </c>
      <c r="J1287" s="1" t="s">
        <v>1114</v>
      </c>
      <c r="K1287" s="1" t="s">
        <v>20</v>
      </c>
      <c r="L1287" s="1" t="s">
        <v>1115</v>
      </c>
      <c r="M1287" s="1">
        <v>1</v>
      </c>
      <c r="N1287" s="2">
        <v>890.84</v>
      </c>
      <c r="O1287" s="3">
        <v>1150</v>
      </c>
      <c r="P1287" s="1">
        <v>80</v>
      </c>
      <c r="Q1287" s="1">
        <v>9</v>
      </c>
      <c r="R1287" s="1">
        <v>200010015871</v>
      </c>
      <c r="S1287" s="1">
        <v>50</v>
      </c>
      <c r="T1287" s="1">
        <v>1</v>
      </c>
      <c r="U1287" s="1">
        <v>1</v>
      </c>
    </row>
    <row r="1288" spans="1:21" x14ac:dyDescent="0.25">
      <c r="A1288" s="4">
        <v>44778</v>
      </c>
      <c r="B1288" s="5">
        <v>0.4886226851851852</v>
      </c>
      <c r="C1288" s="1">
        <v>1824</v>
      </c>
      <c r="D1288" s="1">
        <v>13002616</v>
      </c>
      <c r="E1288" s="1">
        <v>13</v>
      </c>
      <c r="F1288" s="1">
        <v>22589</v>
      </c>
      <c r="G1288" s="1" t="s">
        <v>18</v>
      </c>
      <c r="H1288" s="1">
        <v>18</v>
      </c>
      <c r="I1288" s="1">
        <v>66239</v>
      </c>
      <c r="J1288" s="1" t="s">
        <v>1116</v>
      </c>
      <c r="K1288" s="1" t="s">
        <v>26</v>
      </c>
      <c r="L1288" s="1" t="s">
        <v>126</v>
      </c>
      <c r="M1288" s="1">
        <v>1</v>
      </c>
      <c r="N1288" s="2">
        <v>624.39</v>
      </c>
      <c r="O1288" s="3">
        <v>719</v>
      </c>
      <c r="P1288" s="1">
        <v>50</v>
      </c>
      <c r="Q1288" s="1">
        <v>9</v>
      </c>
      <c r="R1288" s="1">
        <v>200010015871</v>
      </c>
      <c r="S1288" s="1">
        <v>50</v>
      </c>
      <c r="T1288" s="1">
        <v>1</v>
      </c>
      <c r="U1288" s="1">
        <v>2</v>
      </c>
    </row>
    <row r="1289" spans="1:21" x14ac:dyDescent="0.25">
      <c r="A1289" s="4">
        <v>44778</v>
      </c>
      <c r="B1289" s="5">
        <v>0.49047453703703703</v>
      </c>
      <c r="C1289" s="1">
        <v>1825</v>
      </c>
      <c r="D1289" s="1">
        <v>13002616</v>
      </c>
      <c r="E1289" s="1">
        <v>13</v>
      </c>
      <c r="F1289" s="1">
        <v>22589</v>
      </c>
      <c r="G1289" s="1" t="s">
        <v>18</v>
      </c>
      <c r="H1289" s="1">
        <v>18</v>
      </c>
      <c r="I1289" s="1">
        <v>196444</v>
      </c>
      <c r="J1289" s="1" t="s">
        <v>278</v>
      </c>
      <c r="K1289" s="1" t="s">
        <v>48</v>
      </c>
      <c r="L1289" s="1" t="s">
        <v>29</v>
      </c>
      <c r="M1289" s="1">
        <v>1</v>
      </c>
      <c r="N1289" s="2">
        <v>79.930000000000007</v>
      </c>
      <c r="O1289" s="3">
        <v>100</v>
      </c>
      <c r="P1289" s="1">
        <v>5</v>
      </c>
      <c r="Q1289" s="1">
        <v>9</v>
      </c>
      <c r="R1289" s="1">
        <v>200010001143</v>
      </c>
      <c r="S1289" s="1">
        <v>50</v>
      </c>
      <c r="T1289" s="1">
        <v>1</v>
      </c>
      <c r="U1289" s="1">
        <v>1</v>
      </c>
    </row>
    <row r="1290" spans="1:21" x14ac:dyDescent="0.25">
      <c r="A1290" s="4">
        <v>44778</v>
      </c>
      <c r="B1290" s="5">
        <v>0.49435185185185188</v>
      </c>
      <c r="C1290" s="1">
        <v>1826</v>
      </c>
      <c r="D1290" s="1">
        <v>13002616</v>
      </c>
      <c r="E1290" s="1">
        <v>13</v>
      </c>
      <c r="F1290" s="1">
        <v>22589</v>
      </c>
      <c r="G1290" s="1" t="s">
        <v>18</v>
      </c>
      <c r="H1290" s="1">
        <v>15</v>
      </c>
      <c r="I1290" s="1">
        <v>36976</v>
      </c>
      <c r="J1290" s="1" t="s">
        <v>1117</v>
      </c>
      <c r="K1290" s="1" t="s">
        <v>48</v>
      </c>
      <c r="L1290" s="1" t="s">
        <v>1118</v>
      </c>
      <c r="M1290" s="1">
        <v>1</v>
      </c>
      <c r="N1290" s="2">
        <v>695.74</v>
      </c>
      <c r="O1290" s="3">
        <v>773</v>
      </c>
      <c r="P1290" s="1">
        <v>23</v>
      </c>
      <c r="Q1290" s="1">
        <v>9</v>
      </c>
      <c r="R1290" s="1">
        <v>200010006302</v>
      </c>
      <c r="S1290" s="1">
        <v>50</v>
      </c>
      <c r="T1290" s="1">
        <v>1</v>
      </c>
      <c r="U1290" s="1">
        <v>1</v>
      </c>
    </row>
    <row r="1291" spans="1:21" x14ac:dyDescent="0.25">
      <c r="A1291" s="4">
        <v>44778</v>
      </c>
      <c r="B1291" s="5">
        <v>0.49533564814814812</v>
      </c>
      <c r="C1291" s="1">
        <v>1827</v>
      </c>
      <c r="D1291" s="1">
        <v>13002616</v>
      </c>
      <c r="E1291" s="1">
        <v>13</v>
      </c>
      <c r="F1291" s="1">
        <v>22589</v>
      </c>
      <c r="G1291" s="1" t="s">
        <v>18</v>
      </c>
      <c r="H1291" s="1">
        <v>15</v>
      </c>
      <c r="I1291" s="1">
        <v>16911</v>
      </c>
      <c r="J1291" s="1" t="s">
        <v>1119</v>
      </c>
      <c r="K1291" s="1" t="s">
        <v>26</v>
      </c>
      <c r="L1291" s="1" t="s">
        <v>40</v>
      </c>
      <c r="M1291" s="1">
        <v>1</v>
      </c>
      <c r="N1291" s="2">
        <v>246.14</v>
      </c>
      <c r="O1291" s="3">
        <v>288</v>
      </c>
      <c r="P1291" s="1">
        <v>20</v>
      </c>
      <c r="Q1291" s="1">
        <v>9</v>
      </c>
      <c r="R1291" s="1">
        <v>200010008406</v>
      </c>
      <c r="S1291" s="1">
        <v>50</v>
      </c>
      <c r="T1291" s="1">
        <v>1</v>
      </c>
      <c r="U1291" s="1">
        <v>1</v>
      </c>
    </row>
    <row r="1292" spans="1:21" x14ac:dyDescent="0.25">
      <c r="A1292" s="4">
        <v>44778</v>
      </c>
      <c r="B1292" s="5">
        <v>0.49533564814814812</v>
      </c>
      <c r="C1292" s="1">
        <v>1827</v>
      </c>
      <c r="D1292" s="1">
        <v>13002616</v>
      </c>
      <c r="E1292" s="1">
        <v>13</v>
      </c>
      <c r="F1292" s="1">
        <v>22589</v>
      </c>
      <c r="G1292" s="1" t="s">
        <v>18</v>
      </c>
      <c r="H1292" s="1">
        <v>15</v>
      </c>
      <c r="I1292" s="1">
        <v>117949</v>
      </c>
      <c r="J1292" s="1" t="s">
        <v>591</v>
      </c>
      <c r="K1292" s="1" t="s">
        <v>138</v>
      </c>
      <c r="L1292" s="1" t="s">
        <v>94</v>
      </c>
      <c r="M1292" s="1">
        <v>1</v>
      </c>
      <c r="N1292" s="2">
        <v>10.02</v>
      </c>
      <c r="O1292" s="3">
        <v>17</v>
      </c>
      <c r="P1292" s="1">
        <v>1</v>
      </c>
      <c r="Q1292" s="1">
        <v>9</v>
      </c>
      <c r="R1292" s="1">
        <v>200010008406</v>
      </c>
      <c r="S1292" s="1">
        <v>50</v>
      </c>
      <c r="T1292" s="1">
        <v>1</v>
      </c>
      <c r="U1292" s="1">
        <v>2</v>
      </c>
    </row>
    <row r="1293" spans="1:21" x14ac:dyDescent="0.25">
      <c r="A1293" s="4">
        <v>44778</v>
      </c>
      <c r="B1293" s="5">
        <v>0.53322916666666664</v>
      </c>
      <c r="C1293" s="1">
        <v>1840</v>
      </c>
      <c r="D1293" s="1">
        <v>13002616</v>
      </c>
      <c r="E1293" s="1">
        <v>13</v>
      </c>
      <c r="F1293" s="1">
        <v>22589</v>
      </c>
      <c r="G1293" s="1" t="s">
        <v>18</v>
      </c>
      <c r="H1293" s="1">
        <v>15</v>
      </c>
      <c r="I1293" s="1">
        <v>117949</v>
      </c>
      <c r="J1293" s="1" t="s">
        <v>591</v>
      </c>
      <c r="K1293" s="1" t="s">
        <v>138</v>
      </c>
      <c r="L1293" s="1" t="s">
        <v>94</v>
      </c>
      <c r="M1293" s="1">
        <v>2</v>
      </c>
      <c r="N1293" s="2">
        <v>10.02</v>
      </c>
      <c r="O1293" s="3">
        <v>17</v>
      </c>
      <c r="P1293" s="1">
        <v>3.34</v>
      </c>
      <c r="Q1293" s="1">
        <v>9</v>
      </c>
      <c r="R1293" s="1">
        <v>200010009864</v>
      </c>
      <c r="S1293" s="1">
        <v>50</v>
      </c>
      <c r="T1293" s="1">
        <v>1</v>
      </c>
      <c r="U1293" s="1">
        <v>2</v>
      </c>
    </row>
    <row r="1294" spans="1:21" x14ac:dyDescent="0.25">
      <c r="A1294" s="4">
        <v>44778</v>
      </c>
      <c r="B1294" s="5">
        <v>0.53322916666666664</v>
      </c>
      <c r="C1294" s="1">
        <v>1840</v>
      </c>
      <c r="D1294" s="1">
        <v>13002616</v>
      </c>
      <c r="E1294" s="1">
        <v>13</v>
      </c>
      <c r="F1294" s="1">
        <v>22589</v>
      </c>
      <c r="G1294" s="1" t="s">
        <v>18</v>
      </c>
      <c r="H1294" s="1">
        <v>15</v>
      </c>
      <c r="I1294" s="1">
        <v>117949</v>
      </c>
      <c r="J1294" s="1" t="s">
        <v>591</v>
      </c>
      <c r="K1294" s="1" t="s">
        <v>138</v>
      </c>
      <c r="L1294" s="1" t="s">
        <v>94</v>
      </c>
      <c r="M1294" s="1">
        <v>1</v>
      </c>
      <c r="N1294" s="2">
        <v>10.02</v>
      </c>
      <c r="O1294" s="3">
        <v>17</v>
      </c>
      <c r="P1294" s="1">
        <v>1.66</v>
      </c>
      <c r="Q1294" s="1">
        <v>9</v>
      </c>
      <c r="R1294" s="1">
        <v>200010009864</v>
      </c>
      <c r="S1294" s="1">
        <v>50</v>
      </c>
      <c r="T1294" s="1">
        <v>1</v>
      </c>
      <c r="U1294" s="1">
        <v>3</v>
      </c>
    </row>
    <row r="1295" spans="1:21" x14ac:dyDescent="0.25">
      <c r="A1295" s="4">
        <v>44778</v>
      </c>
      <c r="B1295" s="5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18</v>
      </c>
      <c r="H1295" s="1">
        <v>18</v>
      </c>
      <c r="I1295" s="1">
        <v>117949</v>
      </c>
      <c r="J1295" s="1" t="s">
        <v>591</v>
      </c>
      <c r="K1295" s="1" t="s">
        <v>138</v>
      </c>
      <c r="L1295" s="1" t="s">
        <v>94</v>
      </c>
      <c r="M1295" s="1">
        <v>1</v>
      </c>
      <c r="N1295" s="2">
        <v>10.02</v>
      </c>
      <c r="O1295" s="3">
        <v>17</v>
      </c>
      <c r="P1295" s="1">
        <v>0</v>
      </c>
      <c r="Q1295" s="1" t="s">
        <v>22</v>
      </c>
      <c r="R1295" s="1" t="s">
        <v>22</v>
      </c>
      <c r="S1295" s="1">
        <v>50</v>
      </c>
      <c r="T1295" s="1">
        <v>1</v>
      </c>
      <c r="U1295" s="1">
        <v>1</v>
      </c>
    </row>
    <row r="1296" spans="1:21" x14ac:dyDescent="0.25">
      <c r="A1296" s="4">
        <v>44778</v>
      </c>
      <c r="B1296" s="5">
        <v>0.49533564814814812</v>
      </c>
      <c r="C1296" s="1">
        <v>1827</v>
      </c>
      <c r="D1296" s="1">
        <v>13002616</v>
      </c>
      <c r="E1296" s="1">
        <v>13</v>
      </c>
      <c r="F1296" s="1">
        <v>22589</v>
      </c>
      <c r="G1296" s="1" t="s">
        <v>18</v>
      </c>
      <c r="H1296" s="1">
        <v>15</v>
      </c>
      <c r="I1296" s="1">
        <v>345540</v>
      </c>
      <c r="J1296" s="1" t="s">
        <v>234</v>
      </c>
      <c r="K1296" s="1" t="s">
        <v>48</v>
      </c>
      <c r="L1296" s="1" t="s">
        <v>235</v>
      </c>
      <c r="M1296" s="1">
        <v>1</v>
      </c>
      <c r="N1296" s="2">
        <v>17.72</v>
      </c>
      <c r="O1296" s="3">
        <v>22</v>
      </c>
      <c r="P1296" s="1">
        <v>1</v>
      </c>
      <c r="Q1296" s="1">
        <v>9</v>
      </c>
      <c r="R1296" s="1">
        <v>200010008406</v>
      </c>
      <c r="S1296" s="1">
        <v>50</v>
      </c>
      <c r="T1296" s="1">
        <v>1</v>
      </c>
      <c r="U1296" s="1">
        <v>3</v>
      </c>
    </row>
    <row r="1297" spans="1:21" x14ac:dyDescent="0.25">
      <c r="A1297" s="4">
        <v>44778</v>
      </c>
      <c r="B1297" s="5">
        <v>0.49717592592592591</v>
      </c>
      <c r="C1297" s="1">
        <v>1828</v>
      </c>
      <c r="D1297" s="1">
        <v>13002616</v>
      </c>
      <c r="E1297" s="1">
        <v>13</v>
      </c>
      <c r="F1297" s="1">
        <v>22589</v>
      </c>
      <c r="G1297" s="1" t="s">
        <v>18</v>
      </c>
      <c r="H1297" s="1">
        <v>18</v>
      </c>
      <c r="I1297" s="1">
        <v>142544</v>
      </c>
      <c r="J1297" s="1" t="s">
        <v>625</v>
      </c>
      <c r="K1297" s="1" t="s">
        <v>138</v>
      </c>
      <c r="L1297" s="1" t="s">
        <v>626</v>
      </c>
      <c r="M1297" s="1">
        <v>0.2</v>
      </c>
      <c r="N1297" s="2">
        <v>545.82000000000005</v>
      </c>
      <c r="O1297" s="3">
        <v>705</v>
      </c>
      <c r="P1297" s="1">
        <v>9</v>
      </c>
      <c r="Q1297" s="1">
        <v>9</v>
      </c>
      <c r="R1297" s="1">
        <v>200010013119</v>
      </c>
      <c r="S1297" s="1">
        <v>50</v>
      </c>
      <c r="T1297" s="1">
        <v>1</v>
      </c>
      <c r="U1297" s="1">
        <v>2</v>
      </c>
    </row>
    <row r="1298" spans="1:21" x14ac:dyDescent="0.25">
      <c r="A1298" s="4">
        <v>44778</v>
      </c>
      <c r="B1298" s="5">
        <v>0.49717592592592591</v>
      </c>
      <c r="C1298" s="1">
        <v>1828</v>
      </c>
      <c r="D1298" s="1">
        <v>13002616</v>
      </c>
      <c r="E1298" s="1">
        <v>13</v>
      </c>
      <c r="F1298" s="1">
        <v>22589</v>
      </c>
      <c r="G1298" s="1" t="s">
        <v>18</v>
      </c>
      <c r="H1298" s="1">
        <v>18</v>
      </c>
      <c r="I1298" s="1">
        <v>142544</v>
      </c>
      <c r="J1298" s="1" t="s">
        <v>625</v>
      </c>
      <c r="K1298" s="1" t="s">
        <v>138</v>
      </c>
      <c r="L1298" s="1" t="s">
        <v>626</v>
      </c>
      <c r="M1298" s="1">
        <v>0.2</v>
      </c>
      <c r="N1298" s="2">
        <v>545.82000000000005</v>
      </c>
      <c r="O1298" s="3">
        <v>705</v>
      </c>
      <c r="P1298" s="1">
        <v>9</v>
      </c>
      <c r="Q1298" s="1">
        <v>9</v>
      </c>
      <c r="R1298" s="1">
        <v>200010013119</v>
      </c>
      <c r="S1298" s="1">
        <v>50</v>
      </c>
      <c r="T1298" s="1">
        <v>1</v>
      </c>
      <c r="U1298" s="1">
        <v>3</v>
      </c>
    </row>
    <row r="1299" spans="1:21" x14ac:dyDescent="0.25">
      <c r="A1299" s="4">
        <v>44778</v>
      </c>
      <c r="B1299" s="5">
        <v>0.49717592592592591</v>
      </c>
      <c r="C1299" s="1">
        <v>1828</v>
      </c>
      <c r="D1299" s="1">
        <v>13002616</v>
      </c>
      <c r="E1299" s="1">
        <v>13</v>
      </c>
      <c r="F1299" s="1">
        <v>22589</v>
      </c>
      <c r="G1299" s="1" t="s">
        <v>18</v>
      </c>
      <c r="H1299" s="1">
        <v>18</v>
      </c>
      <c r="I1299" s="1">
        <v>4240</v>
      </c>
      <c r="J1299" s="1" t="s">
        <v>1120</v>
      </c>
      <c r="K1299" s="1" t="s">
        <v>31</v>
      </c>
      <c r="L1299" s="1" t="s">
        <v>1121</v>
      </c>
      <c r="M1299" s="1">
        <v>1</v>
      </c>
      <c r="N1299" s="2">
        <v>223.32</v>
      </c>
      <c r="O1299" s="3">
        <v>302</v>
      </c>
      <c r="P1299" s="1">
        <v>21</v>
      </c>
      <c r="Q1299" s="1">
        <v>9</v>
      </c>
      <c r="R1299" s="1">
        <v>200010013119</v>
      </c>
      <c r="S1299" s="1">
        <v>50</v>
      </c>
      <c r="T1299" s="1">
        <v>1</v>
      </c>
      <c r="U1299" s="1">
        <v>1</v>
      </c>
    </row>
    <row r="1300" spans="1:21" x14ac:dyDescent="0.25">
      <c r="A1300" s="4">
        <v>44778</v>
      </c>
      <c r="B1300" s="5">
        <v>0.50062499999999999</v>
      </c>
      <c r="C1300" s="1">
        <v>1829</v>
      </c>
      <c r="D1300" s="1">
        <v>13002616</v>
      </c>
      <c r="E1300" s="1">
        <v>13</v>
      </c>
      <c r="F1300" s="1">
        <v>22589</v>
      </c>
      <c r="G1300" s="1" t="s">
        <v>18</v>
      </c>
      <c r="H1300" s="1">
        <v>18</v>
      </c>
      <c r="I1300" s="1">
        <v>21997</v>
      </c>
      <c r="J1300" s="1" t="s">
        <v>1010</v>
      </c>
      <c r="K1300" s="1" t="s">
        <v>48</v>
      </c>
      <c r="L1300" s="1" t="s">
        <v>391</v>
      </c>
      <c r="M1300" s="1">
        <v>1</v>
      </c>
      <c r="N1300" s="2">
        <v>123.64</v>
      </c>
      <c r="O1300" s="3">
        <v>148</v>
      </c>
      <c r="P1300" s="1">
        <v>7</v>
      </c>
      <c r="Q1300" s="1">
        <v>9</v>
      </c>
      <c r="R1300" s="1">
        <v>200010002734</v>
      </c>
      <c r="S1300" s="1">
        <v>50</v>
      </c>
      <c r="T1300" s="1">
        <v>1</v>
      </c>
      <c r="U1300" s="1">
        <v>1</v>
      </c>
    </row>
    <row r="1301" spans="1:21" x14ac:dyDescent="0.25">
      <c r="A1301" s="4">
        <v>44778</v>
      </c>
      <c r="B1301" s="5">
        <v>0.50062499999999999</v>
      </c>
      <c r="C1301" s="1">
        <v>1829</v>
      </c>
      <c r="D1301" s="1">
        <v>13002616</v>
      </c>
      <c r="E1301" s="1">
        <v>13</v>
      </c>
      <c r="F1301" s="1">
        <v>22589</v>
      </c>
      <c r="G1301" s="1" t="s">
        <v>18</v>
      </c>
      <c r="H1301" s="1">
        <v>18</v>
      </c>
      <c r="I1301" s="1">
        <v>21997</v>
      </c>
      <c r="J1301" s="1" t="s">
        <v>1010</v>
      </c>
      <c r="K1301" s="1" t="s">
        <v>48</v>
      </c>
      <c r="L1301" s="1" t="s">
        <v>391</v>
      </c>
      <c r="M1301" s="1">
        <v>1</v>
      </c>
      <c r="N1301" s="2">
        <v>123.64</v>
      </c>
      <c r="O1301" s="3">
        <v>148</v>
      </c>
      <c r="P1301" s="1">
        <v>7</v>
      </c>
      <c r="Q1301" s="1">
        <v>9</v>
      </c>
      <c r="R1301" s="1">
        <v>200010002734</v>
      </c>
      <c r="S1301" s="1">
        <v>50</v>
      </c>
      <c r="T1301" s="1">
        <v>1</v>
      </c>
      <c r="U1301" s="1">
        <v>2</v>
      </c>
    </row>
    <row r="1302" spans="1:21" x14ac:dyDescent="0.25">
      <c r="A1302" s="4">
        <v>44778</v>
      </c>
      <c r="B1302" s="5">
        <v>0.50062499999999999</v>
      </c>
      <c r="C1302" s="1">
        <v>1829</v>
      </c>
      <c r="D1302" s="1">
        <v>13002616</v>
      </c>
      <c r="E1302" s="1">
        <v>13</v>
      </c>
      <c r="F1302" s="1">
        <v>22589</v>
      </c>
      <c r="G1302" s="1" t="s">
        <v>18</v>
      </c>
      <c r="H1302" s="1">
        <v>18</v>
      </c>
      <c r="I1302" s="1">
        <v>303829</v>
      </c>
      <c r="J1302" s="1" t="s">
        <v>803</v>
      </c>
      <c r="K1302" s="1" t="s">
        <v>20</v>
      </c>
      <c r="L1302" s="1" t="s">
        <v>34</v>
      </c>
      <c r="M1302" s="1">
        <v>1</v>
      </c>
      <c r="N1302" s="2">
        <v>226.01</v>
      </c>
      <c r="O1302" s="3">
        <v>281</v>
      </c>
      <c r="P1302" s="1">
        <v>14</v>
      </c>
      <c r="Q1302" s="1">
        <v>9</v>
      </c>
      <c r="R1302" s="1">
        <v>200010002734</v>
      </c>
      <c r="S1302" s="1">
        <v>50</v>
      </c>
      <c r="T1302" s="1">
        <v>1</v>
      </c>
      <c r="U1302" s="1">
        <v>3</v>
      </c>
    </row>
    <row r="1303" spans="1:21" x14ac:dyDescent="0.25">
      <c r="A1303" s="4">
        <v>44778</v>
      </c>
      <c r="B1303" s="5">
        <v>0.50062499999999999</v>
      </c>
      <c r="C1303" s="1">
        <v>1829</v>
      </c>
      <c r="D1303" s="1">
        <v>13002616</v>
      </c>
      <c r="E1303" s="1">
        <v>13</v>
      </c>
      <c r="F1303" s="1">
        <v>22589</v>
      </c>
      <c r="G1303" s="1" t="s">
        <v>18</v>
      </c>
      <c r="H1303" s="1">
        <v>18</v>
      </c>
      <c r="I1303" s="1">
        <v>319265</v>
      </c>
      <c r="J1303" s="1" t="s">
        <v>1122</v>
      </c>
      <c r="K1303" s="1" t="s">
        <v>31</v>
      </c>
      <c r="L1303" s="1" t="s">
        <v>728</v>
      </c>
      <c r="M1303" s="1">
        <v>1</v>
      </c>
      <c r="N1303" s="2">
        <v>605.54</v>
      </c>
      <c r="O1303" s="3">
        <v>782</v>
      </c>
      <c r="P1303" s="1">
        <v>54</v>
      </c>
      <c r="Q1303" s="1">
        <v>9</v>
      </c>
      <c r="R1303" s="1">
        <v>200010002734</v>
      </c>
      <c r="S1303" s="1">
        <v>50</v>
      </c>
      <c r="T1303" s="1">
        <v>1</v>
      </c>
      <c r="U1303" s="1">
        <v>4</v>
      </c>
    </row>
    <row r="1304" spans="1:21" x14ac:dyDescent="0.25">
      <c r="A1304" s="4">
        <v>44778</v>
      </c>
      <c r="B1304" s="5">
        <v>0.50503472222222223</v>
      </c>
      <c r="C1304" s="1">
        <v>1830</v>
      </c>
      <c r="D1304" s="1">
        <v>13002616</v>
      </c>
      <c r="E1304" s="1">
        <v>13</v>
      </c>
      <c r="F1304" s="1">
        <v>22589</v>
      </c>
      <c r="G1304" s="1" t="s">
        <v>18</v>
      </c>
      <c r="H1304" s="1">
        <v>15</v>
      </c>
      <c r="I1304" s="1">
        <v>156809</v>
      </c>
      <c r="J1304" s="1" t="s">
        <v>1123</v>
      </c>
      <c r="K1304" s="1" t="s">
        <v>48</v>
      </c>
      <c r="L1304" s="1" t="s">
        <v>32</v>
      </c>
      <c r="M1304" s="1">
        <v>1</v>
      </c>
      <c r="N1304" s="2">
        <v>304.42</v>
      </c>
      <c r="O1304" s="3">
        <v>402</v>
      </c>
      <c r="P1304" s="1">
        <v>28</v>
      </c>
      <c r="Q1304" s="1">
        <v>9</v>
      </c>
      <c r="R1304" s="1">
        <v>200010004073</v>
      </c>
      <c r="S1304" s="1">
        <v>50</v>
      </c>
      <c r="T1304" s="1">
        <v>1</v>
      </c>
      <c r="U1304" s="1">
        <v>1</v>
      </c>
    </row>
    <row r="1305" spans="1:21" x14ac:dyDescent="0.25">
      <c r="A1305" s="4">
        <v>44778</v>
      </c>
      <c r="B1305" s="5">
        <v>0.50699074074074069</v>
      </c>
      <c r="C1305" s="1">
        <v>1831</v>
      </c>
      <c r="D1305" s="1">
        <v>13002616</v>
      </c>
      <c r="E1305" s="1">
        <v>13</v>
      </c>
      <c r="F1305" s="1">
        <v>22589</v>
      </c>
      <c r="G1305" s="1" t="s">
        <v>18</v>
      </c>
      <c r="H1305" s="1">
        <v>18</v>
      </c>
      <c r="I1305" s="1">
        <v>298348</v>
      </c>
      <c r="J1305" s="1" t="s">
        <v>1124</v>
      </c>
      <c r="K1305" s="1" t="s">
        <v>42</v>
      </c>
      <c r="L1305" s="1" t="s">
        <v>94</v>
      </c>
      <c r="M1305" s="1">
        <v>1</v>
      </c>
      <c r="N1305" s="2">
        <v>56.25</v>
      </c>
      <c r="O1305" s="3">
        <v>89</v>
      </c>
      <c r="P1305" s="1">
        <v>8</v>
      </c>
      <c r="Q1305" s="1">
        <v>941</v>
      </c>
      <c r="R1305" s="1">
        <v>200000000044</v>
      </c>
      <c r="S1305" s="1">
        <v>50</v>
      </c>
      <c r="T1305" s="1">
        <v>1</v>
      </c>
      <c r="U1305" s="1">
        <v>1</v>
      </c>
    </row>
    <row r="1306" spans="1:21" x14ac:dyDescent="0.25">
      <c r="A1306" s="4">
        <v>44778</v>
      </c>
      <c r="B1306" s="5">
        <v>0.51026620370370368</v>
      </c>
      <c r="C1306" s="1">
        <v>1832</v>
      </c>
      <c r="D1306" s="1">
        <v>13002616</v>
      </c>
      <c r="E1306" s="1">
        <v>13</v>
      </c>
      <c r="F1306" s="1">
        <v>22589</v>
      </c>
      <c r="G1306" s="1" t="s">
        <v>18</v>
      </c>
      <c r="H1306" s="1">
        <v>15</v>
      </c>
      <c r="I1306" s="1">
        <v>282116</v>
      </c>
      <c r="J1306" s="1" t="s">
        <v>1125</v>
      </c>
      <c r="K1306" s="1" t="s">
        <v>20</v>
      </c>
      <c r="L1306" s="1" t="s">
        <v>36</v>
      </c>
      <c r="M1306" s="1">
        <v>1</v>
      </c>
      <c r="N1306" s="2">
        <v>320.02999999999997</v>
      </c>
      <c r="O1306" s="3">
        <v>423</v>
      </c>
      <c r="P1306" s="1">
        <v>29</v>
      </c>
      <c r="Q1306" s="1">
        <v>9</v>
      </c>
      <c r="R1306" s="1">
        <v>200010017048</v>
      </c>
      <c r="S1306" s="1">
        <v>50</v>
      </c>
      <c r="T1306" s="1">
        <v>1</v>
      </c>
      <c r="U1306" s="1">
        <v>1</v>
      </c>
    </row>
    <row r="1307" spans="1:21" x14ac:dyDescent="0.25">
      <c r="A1307" s="4">
        <v>44778</v>
      </c>
      <c r="B1307" s="5">
        <v>0.51466435185185189</v>
      </c>
      <c r="C1307" s="1">
        <v>1833</v>
      </c>
      <c r="D1307" s="1">
        <v>13002616</v>
      </c>
      <c r="E1307" s="1">
        <v>13</v>
      </c>
      <c r="F1307" s="1">
        <v>22589</v>
      </c>
      <c r="G1307" s="1" t="s">
        <v>18</v>
      </c>
      <c r="H1307" s="1">
        <v>18</v>
      </c>
      <c r="I1307" s="1">
        <v>504585</v>
      </c>
      <c r="J1307" s="1" t="s">
        <v>461</v>
      </c>
      <c r="K1307" s="1" t="s">
        <v>48</v>
      </c>
      <c r="L1307" s="1" t="s">
        <v>245</v>
      </c>
      <c r="M1307" s="1">
        <v>1</v>
      </c>
      <c r="N1307" s="2">
        <v>240.27</v>
      </c>
      <c r="O1307" s="3">
        <v>292</v>
      </c>
      <c r="P1307" s="1">
        <v>14</v>
      </c>
      <c r="Q1307" s="1">
        <v>9</v>
      </c>
      <c r="R1307" s="1">
        <v>200010026860</v>
      </c>
      <c r="S1307" s="1">
        <v>50</v>
      </c>
      <c r="T1307" s="1">
        <v>1</v>
      </c>
      <c r="U1307" s="1">
        <v>1</v>
      </c>
    </row>
    <row r="1308" spans="1:21" x14ac:dyDescent="0.25">
      <c r="A1308" s="4">
        <v>44778</v>
      </c>
      <c r="B1308" s="5">
        <v>0.51748842592592592</v>
      </c>
      <c r="C1308" s="1">
        <v>1834</v>
      </c>
      <c r="D1308" s="1">
        <v>13002616</v>
      </c>
      <c r="E1308" s="1">
        <v>13</v>
      </c>
      <c r="F1308" s="1">
        <v>22589</v>
      </c>
      <c r="G1308" s="1" t="s">
        <v>18</v>
      </c>
      <c r="H1308" s="1">
        <v>18</v>
      </c>
      <c r="I1308" s="1">
        <v>7145</v>
      </c>
      <c r="J1308" s="1" t="s">
        <v>1126</v>
      </c>
      <c r="K1308" s="1" t="s">
        <v>42</v>
      </c>
      <c r="L1308" s="1" t="s">
        <v>1127</v>
      </c>
      <c r="M1308" s="1">
        <v>1</v>
      </c>
      <c r="N1308" s="2">
        <v>522.09</v>
      </c>
      <c r="O1308" s="3">
        <v>653</v>
      </c>
      <c r="P1308" s="1">
        <v>45</v>
      </c>
      <c r="Q1308" s="1">
        <v>9</v>
      </c>
      <c r="R1308" s="1">
        <v>200010001071</v>
      </c>
      <c r="S1308" s="1">
        <v>50</v>
      </c>
      <c r="T1308" s="1">
        <v>1</v>
      </c>
      <c r="U1308" s="1">
        <v>1</v>
      </c>
    </row>
    <row r="1309" spans="1:21" x14ac:dyDescent="0.25">
      <c r="A1309" s="4">
        <v>44778</v>
      </c>
      <c r="B1309" s="5">
        <v>0.52067129629629627</v>
      </c>
      <c r="C1309" s="1">
        <v>1835</v>
      </c>
      <c r="D1309" s="1">
        <v>13002616</v>
      </c>
      <c r="E1309" s="1">
        <v>13</v>
      </c>
      <c r="F1309" s="1">
        <v>22589</v>
      </c>
      <c r="G1309" s="1" t="s">
        <v>18</v>
      </c>
      <c r="H1309" s="1">
        <v>18</v>
      </c>
      <c r="I1309" s="1">
        <v>83109</v>
      </c>
      <c r="J1309" s="1" t="s">
        <v>1128</v>
      </c>
      <c r="K1309" s="1" t="s">
        <v>48</v>
      </c>
      <c r="L1309" s="1" t="s">
        <v>347</v>
      </c>
      <c r="M1309" s="1">
        <v>1</v>
      </c>
      <c r="N1309" s="2">
        <v>16.79</v>
      </c>
      <c r="O1309" s="3">
        <v>28</v>
      </c>
      <c r="P1309" s="1">
        <v>0</v>
      </c>
      <c r="Q1309" s="1" t="s">
        <v>22</v>
      </c>
      <c r="R1309" s="1" t="s">
        <v>22</v>
      </c>
      <c r="S1309" s="1">
        <v>50</v>
      </c>
      <c r="T1309" s="1">
        <v>1</v>
      </c>
      <c r="U1309" s="1">
        <v>1</v>
      </c>
    </row>
    <row r="1310" spans="1:21" x14ac:dyDescent="0.25">
      <c r="A1310" s="4">
        <v>44778</v>
      </c>
      <c r="B1310" s="5">
        <v>0.52201388888888889</v>
      </c>
      <c r="C1310" s="1">
        <v>1836</v>
      </c>
      <c r="D1310" s="1">
        <v>13002616</v>
      </c>
      <c r="E1310" s="1">
        <v>13</v>
      </c>
      <c r="F1310" s="1">
        <v>22589</v>
      </c>
      <c r="G1310" s="1" t="s">
        <v>18</v>
      </c>
      <c r="H1310" s="1">
        <v>15</v>
      </c>
      <c r="I1310" s="1">
        <v>945</v>
      </c>
      <c r="J1310" s="1" t="s">
        <v>285</v>
      </c>
      <c r="K1310" s="1" t="s">
        <v>48</v>
      </c>
      <c r="L1310" s="1" t="s">
        <v>194</v>
      </c>
      <c r="M1310" s="1">
        <v>1</v>
      </c>
      <c r="N1310" s="2">
        <v>88.23</v>
      </c>
      <c r="O1310" s="3">
        <v>126</v>
      </c>
      <c r="P1310" s="1">
        <v>8</v>
      </c>
      <c r="Q1310" s="1">
        <v>9</v>
      </c>
      <c r="R1310" s="1">
        <v>200010001180</v>
      </c>
      <c r="S1310" s="1">
        <v>50</v>
      </c>
      <c r="T1310" s="1">
        <v>1</v>
      </c>
      <c r="U1310" s="1">
        <v>1</v>
      </c>
    </row>
    <row r="1311" spans="1:21" x14ac:dyDescent="0.25">
      <c r="A1311" s="4">
        <v>44778</v>
      </c>
      <c r="B1311" s="5">
        <v>0.5245023148148148</v>
      </c>
      <c r="C1311" s="1">
        <v>1837</v>
      </c>
      <c r="D1311" s="1">
        <v>13002616</v>
      </c>
      <c r="E1311" s="1">
        <v>13</v>
      </c>
      <c r="F1311" s="1">
        <v>22589</v>
      </c>
      <c r="G1311" s="1" t="s">
        <v>18</v>
      </c>
      <c r="H1311" s="1">
        <v>18</v>
      </c>
      <c r="I1311" s="1">
        <v>290510</v>
      </c>
      <c r="J1311" s="1" t="s">
        <v>1129</v>
      </c>
      <c r="K1311" s="1" t="s">
        <v>20</v>
      </c>
      <c r="L1311" s="1" t="s">
        <v>484</v>
      </c>
      <c r="M1311" s="1">
        <v>1</v>
      </c>
      <c r="N1311" s="2">
        <v>203.95</v>
      </c>
      <c r="O1311" s="3">
        <v>276</v>
      </c>
      <c r="P1311" s="1">
        <v>19</v>
      </c>
      <c r="Q1311" s="1">
        <v>9</v>
      </c>
      <c r="R1311" s="1">
        <v>200010015470</v>
      </c>
      <c r="S1311" s="1">
        <v>50</v>
      </c>
      <c r="T1311" s="1">
        <v>1</v>
      </c>
      <c r="U1311" s="1">
        <v>3</v>
      </c>
    </row>
    <row r="1312" spans="1:21" x14ac:dyDescent="0.25">
      <c r="A1312" s="4">
        <v>44778</v>
      </c>
      <c r="B1312" s="5">
        <v>0.5245023148148148</v>
      </c>
      <c r="C1312" s="1">
        <v>1837</v>
      </c>
      <c r="D1312" s="1">
        <v>13002616</v>
      </c>
      <c r="E1312" s="1">
        <v>13</v>
      </c>
      <c r="F1312" s="1">
        <v>22589</v>
      </c>
      <c r="G1312" s="1" t="s">
        <v>18</v>
      </c>
      <c r="H1312" s="1">
        <v>18</v>
      </c>
      <c r="I1312" s="1">
        <v>3108</v>
      </c>
      <c r="J1312" s="1" t="s">
        <v>1130</v>
      </c>
      <c r="K1312" s="1" t="s">
        <v>26</v>
      </c>
      <c r="L1312" s="1" t="s">
        <v>1131</v>
      </c>
      <c r="M1312" s="1">
        <v>1</v>
      </c>
      <c r="N1312" s="2">
        <v>214.01</v>
      </c>
      <c r="O1312" s="3">
        <v>255</v>
      </c>
      <c r="P1312" s="1">
        <v>12</v>
      </c>
      <c r="Q1312" s="1">
        <v>9</v>
      </c>
      <c r="R1312" s="1">
        <v>200010015470</v>
      </c>
      <c r="S1312" s="1">
        <v>50</v>
      </c>
      <c r="T1312" s="1">
        <v>1</v>
      </c>
      <c r="U1312" s="1">
        <v>2</v>
      </c>
    </row>
    <row r="1313" spans="1:21" x14ac:dyDescent="0.25">
      <c r="A1313" s="4">
        <v>44778</v>
      </c>
      <c r="B1313" s="5">
        <v>0.5245023148148148</v>
      </c>
      <c r="C1313" s="1">
        <v>1837</v>
      </c>
      <c r="D1313" s="1">
        <v>13002616</v>
      </c>
      <c r="E1313" s="1">
        <v>13</v>
      </c>
      <c r="F1313" s="1">
        <v>22589</v>
      </c>
      <c r="G1313" s="1" t="s">
        <v>18</v>
      </c>
      <c r="H1313" s="1">
        <v>18</v>
      </c>
      <c r="I1313" s="1">
        <v>322</v>
      </c>
      <c r="J1313" s="1" t="s">
        <v>899</v>
      </c>
      <c r="K1313" s="1" t="s">
        <v>114</v>
      </c>
      <c r="L1313" s="1" t="s">
        <v>1132</v>
      </c>
      <c r="M1313" s="1">
        <v>1</v>
      </c>
      <c r="N1313" s="2">
        <v>322.52999999999997</v>
      </c>
      <c r="O1313" s="3">
        <v>426</v>
      </c>
      <c r="P1313" s="1">
        <v>29</v>
      </c>
      <c r="Q1313" s="1">
        <v>9</v>
      </c>
      <c r="R1313" s="1">
        <v>200010015470</v>
      </c>
      <c r="S1313" s="1">
        <v>50</v>
      </c>
      <c r="T1313" s="1">
        <v>1</v>
      </c>
      <c r="U1313" s="1">
        <v>1</v>
      </c>
    </row>
    <row r="1314" spans="1:21" x14ac:dyDescent="0.25">
      <c r="A1314" s="4">
        <v>44778</v>
      </c>
      <c r="B1314" s="5">
        <v>0.52940972222222227</v>
      </c>
      <c r="C1314" s="1">
        <v>1838</v>
      </c>
      <c r="D1314" s="1">
        <v>13002616</v>
      </c>
      <c r="E1314" s="1">
        <v>13</v>
      </c>
      <c r="F1314" s="1">
        <v>22589</v>
      </c>
      <c r="G1314" s="1" t="s">
        <v>18</v>
      </c>
      <c r="H1314" s="1">
        <v>18</v>
      </c>
      <c r="I1314" s="1">
        <v>348186</v>
      </c>
      <c r="J1314" s="1" t="s">
        <v>416</v>
      </c>
      <c r="K1314" s="1" t="s">
        <v>138</v>
      </c>
      <c r="L1314" s="1" t="s">
        <v>170</v>
      </c>
      <c r="M1314" s="1">
        <v>2</v>
      </c>
      <c r="N1314" s="2">
        <v>5.83</v>
      </c>
      <c r="O1314" s="3">
        <v>8</v>
      </c>
      <c r="P1314" s="1">
        <v>0</v>
      </c>
      <c r="Q1314" s="1" t="s">
        <v>22</v>
      </c>
      <c r="R1314" s="1" t="s">
        <v>22</v>
      </c>
      <c r="S1314" s="1">
        <v>50</v>
      </c>
      <c r="T1314" s="1">
        <v>1</v>
      </c>
      <c r="U1314" s="1">
        <v>1</v>
      </c>
    </row>
    <row r="1315" spans="1:21" x14ac:dyDescent="0.25">
      <c r="A1315" s="4">
        <v>44778</v>
      </c>
      <c r="B1315" s="5">
        <v>0.61406249999999996</v>
      </c>
      <c r="C1315" s="1">
        <v>1859</v>
      </c>
      <c r="D1315" s="1">
        <v>13002616</v>
      </c>
      <c r="E1315" s="1">
        <v>13</v>
      </c>
      <c r="F1315" s="1">
        <v>22589</v>
      </c>
      <c r="G1315" s="1" t="s">
        <v>18</v>
      </c>
      <c r="H1315" s="1">
        <v>15</v>
      </c>
      <c r="I1315" s="1">
        <v>348186</v>
      </c>
      <c r="J1315" s="1" t="s">
        <v>416</v>
      </c>
      <c r="K1315" s="1" t="s">
        <v>138</v>
      </c>
      <c r="L1315" s="1" t="s">
        <v>170</v>
      </c>
      <c r="M1315" s="1">
        <v>12</v>
      </c>
      <c r="N1315" s="2">
        <v>5.83</v>
      </c>
      <c r="O1315" s="3">
        <v>8</v>
      </c>
      <c r="P1315" s="1">
        <v>0</v>
      </c>
      <c r="Q1315" s="1" t="s">
        <v>22</v>
      </c>
      <c r="R1315" s="1" t="s">
        <v>22</v>
      </c>
      <c r="S1315" s="1">
        <v>50</v>
      </c>
      <c r="T1315" s="1">
        <v>1</v>
      </c>
      <c r="U1315" s="1">
        <v>1</v>
      </c>
    </row>
    <row r="1316" spans="1:21" x14ac:dyDescent="0.25">
      <c r="A1316" s="4">
        <v>44778</v>
      </c>
      <c r="B1316" s="5">
        <v>0.53001157407407407</v>
      </c>
      <c r="C1316" s="1">
        <v>1839</v>
      </c>
      <c r="D1316" s="1">
        <v>13002616</v>
      </c>
      <c r="E1316" s="1">
        <v>13</v>
      </c>
      <c r="F1316" s="1">
        <v>22589</v>
      </c>
      <c r="G1316" s="1" t="s">
        <v>18</v>
      </c>
      <c r="H1316" s="1">
        <v>18</v>
      </c>
      <c r="I1316" s="1">
        <v>55807</v>
      </c>
      <c r="J1316" s="1" t="s">
        <v>1133</v>
      </c>
      <c r="K1316" s="1" t="s">
        <v>20</v>
      </c>
      <c r="L1316" s="1" t="s">
        <v>822</v>
      </c>
      <c r="M1316" s="1">
        <v>1</v>
      </c>
      <c r="N1316" s="2">
        <v>259.39999999999998</v>
      </c>
      <c r="O1316" s="3">
        <v>351</v>
      </c>
      <c r="P1316" s="1">
        <v>0</v>
      </c>
      <c r="Q1316" s="1" t="s">
        <v>22</v>
      </c>
      <c r="R1316" s="1" t="s">
        <v>22</v>
      </c>
      <c r="S1316" s="1">
        <v>50</v>
      </c>
      <c r="T1316" s="1">
        <v>1</v>
      </c>
      <c r="U1316" s="1">
        <v>1</v>
      </c>
    </row>
    <row r="1317" spans="1:21" x14ac:dyDescent="0.25">
      <c r="A1317" s="4">
        <v>44778</v>
      </c>
      <c r="B1317" s="5">
        <v>0.53322916666666664</v>
      </c>
      <c r="C1317" s="1">
        <v>1840</v>
      </c>
      <c r="D1317" s="1">
        <v>13002616</v>
      </c>
      <c r="E1317" s="1">
        <v>13</v>
      </c>
      <c r="F1317" s="1">
        <v>22589</v>
      </c>
      <c r="G1317" s="1" t="s">
        <v>18</v>
      </c>
      <c r="H1317" s="1">
        <v>15</v>
      </c>
      <c r="I1317" s="1">
        <v>401611</v>
      </c>
      <c r="J1317" s="1" t="s">
        <v>1134</v>
      </c>
      <c r="K1317" s="1" t="s">
        <v>20</v>
      </c>
      <c r="L1317" s="1" t="s">
        <v>1135</v>
      </c>
      <c r="M1317" s="1">
        <v>1</v>
      </c>
      <c r="N1317" s="2">
        <v>199.14</v>
      </c>
      <c r="O1317" s="3">
        <v>240</v>
      </c>
      <c r="P1317" s="1">
        <v>12</v>
      </c>
      <c r="Q1317" s="1">
        <v>9</v>
      </c>
      <c r="R1317" s="1">
        <v>200010009864</v>
      </c>
      <c r="S1317" s="1">
        <v>50</v>
      </c>
      <c r="T1317" s="1">
        <v>1</v>
      </c>
      <c r="U1317" s="1">
        <v>1</v>
      </c>
    </row>
    <row r="1318" spans="1:21" x14ac:dyDescent="0.25">
      <c r="A1318" s="4">
        <v>44778</v>
      </c>
      <c r="B1318" s="5">
        <v>0.53781250000000003</v>
      </c>
      <c r="C1318" s="1">
        <v>1841</v>
      </c>
      <c r="D1318" s="1">
        <v>13002616</v>
      </c>
      <c r="E1318" s="1">
        <v>13</v>
      </c>
      <c r="F1318" s="1">
        <v>22589</v>
      </c>
      <c r="G1318" s="1" t="s">
        <v>18</v>
      </c>
      <c r="H1318" s="1">
        <v>18</v>
      </c>
      <c r="I1318" s="1">
        <v>435523</v>
      </c>
      <c r="J1318" s="1" t="s">
        <v>169</v>
      </c>
      <c r="K1318" s="1" t="s">
        <v>138</v>
      </c>
      <c r="L1318" s="1" t="s">
        <v>170</v>
      </c>
      <c r="M1318" s="1">
        <v>1</v>
      </c>
      <c r="N1318" s="2">
        <v>27.94</v>
      </c>
      <c r="O1318" s="3">
        <v>43</v>
      </c>
      <c r="P1318" s="1">
        <v>0</v>
      </c>
      <c r="Q1318" s="1" t="s">
        <v>22</v>
      </c>
      <c r="R1318" s="1" t="s">
        <v>22</v>
      </c>
      <c r="S1318" s="1">
        <v>50</v>
      </c>
      <c r="T1318" s="1">
        <v>1</v>
      </c>
      <c r="U1318" s="1">
        <v>3</v>
      </c>
    </row>
    <row r="1319" spans="1:21" x14ac:dyDescent="0.25">
      <c r="A1319" s="4">
        <v>44778</v>
      </c>
      <c r="B1319" s="5">
        <v>0.65141203703703698</v>
      </c>
      <c r="C1319" s="1">
        <v>1867</v>
      </c>
      <c r="D1319" s="1">
        <v>13002616</v>
      </c>
      <c r="E1319" s="1">
        <v>13</v>
      </c>
      <c r="F1319" s="1">
        <v>22589</v>
      </c>
      <c r="G1319" s="1" t="s">
        <v>18</v>
      </c>
      <c r="H1319" s="1">
        <v>15</v>
      </c>
      <c r="I1319" s="1">
        <v>435523</v>
      </c>
      <c r="J1319" s="1" t="s">
        <v>169</v>
      </c>
      <c r="K1319" s="1" t="s">
        <v>138</v>
      </c>
      <c r="L1319" s="1" t="s">
        <v>170</v>
      </c>
      <c r="M1319" s="1">
        <v>1</v>
      </c>
      <c r="N1319" s="2">
        <v>27.94</v>
      </c>
      <c r="O1319" s="3">
        <v>43</v>
      </c>
      <c r="P1319" s="1">
        <v>3</v>
      </c>
      <c r="Q1319" s="1">
        <v>9</v>
      </c>
      <c r="R1319" s="1">
        <v>200010014429</v>
      </c>
      <c r="S1319" s="1">
        <v>50</v>
      </c>
      <c r="T1319" s="1">
        <v>1</v>
      </c>
      <c r="U1319" s="1">
        <v>2</v>
      </c>
    </row>
    <row r="1320" spans="1:21" x14ac:dyDescent="0.25">
      <c r="A1320" s="4">
        <v>44778</v>
      </c>
      <c r="B1320" s="5">
        <v>0.65141203703703698</v>
      </c>
      <c r="C1320" s="1">
        <v>1867</v>
      </c>
      <c r="D1320" s="1">
        <v>13002616</v>
      </c>
      <c r="E1320" s="1">
        <v>13</v>
      </c>
      <c r="F1320" s="1">
        <v>22589</v>
      </c>
      <c r="G1320" s="1" t="s">
        <v>18</v>
      </c>
      <c r="H1320" s="1">
        <v>15</v>
      </c>
      <c r="I1320" s="1">
        <v>435523</v>
      </c>
      <c r="J1320" s="1" t="s">
        <v>169</v>
      </c>
      <c r="K1320" s="1" t="s">
        <v>138</v>
      </c>
      <c r="L1320" s="1" t="s">
        <v>170</v>
      </c>
      <c r="M1320" s="1">
        <v>1</v>
      </c>
      <c r="N1320" s="2">
        <v>27.94</v>
      </c>
      <c r="O1320" s="3">
        <v>43</v>
      </c>
      <c r="P1320" s="1">
        <v>3</v>
      </c>
      <c r="Q1320" s="1">
        <v>9</v>
      </c>
      <c r="R1320" s="1">
        <v>200010014429</v>
      </c>
      <c r="S1320" s="1">
        <v>50</v>
      </c>
      <c r="T1320" s="1">
        <v>1</v>
      </c>
      <c r="U1320" s="1">
        <v>3</v>
      </c>
    </row>
    <row r="1321" spans="1:21" x14ac:dyDescent="0.25">
      <c r="A1321" s="4">
        <v>44778</v>
      </c>
      <c r="B1321" s="5">
        <v>0.53781250000000003</v>
      </c>
      <c r="C1321" s="1">
        <v>1841</v>
      </c>
      <c r="D1321" s="1">
        <v>13002616</v>
      </c>
      <c r="E1321" s="1">
        <v>13</v>
      </c>
      <c r="F1321" s="1">
        <v>22589</v>
      </c>
      <c r="G1321" s="1" t="s">
        <v>18</v>
      </c>
      <c r="H1321" s="1">
        <v>18</v>
      </c>
      <c r="I1321" s="1">
        <v>389093</v>
      </c>
      <c r="J1321" s="1" t="s">
        <v>1136</v>
      </c>
      <c r="K1321" s="1" t="s">
        <v>48</v>
      </c>
      <c r="L1321" s="1" t="s">
        <v>450</v>
      </c>
      <c r="M1321" s="1">
        <v>1</v>
      </c>
      <c r="N1321" s="2">
        <v>31.84</v>
      </c>
      <c r="O1321" s="3">
        <v>49</v>
      </c>
      <c r="P1321" s="1">
        <v>0</v>
      </c>
      <c r="Q1321" s="1" t="s">
        <v>22</v>
      </c>
      <c r="R1321" s="1" t="s">
        <v>22</v>
      </c>
      <c r="S1321" s="1">
        <v>50</v>
      </c>
      <c r="T1321" s="1">
        <v>1</v>
      </c>
      <c r="U1321" s="1">
        <v>2</v>
      </c>
    </row>
    <row r="1322" spans="1:21" x14ac:dyDescent="0.25">
      <c r="A1322" s="4">
        <v>44778</v>
      </c>
      <c r="B1322" s="5">
        <v>0.53781250000000003</v>
      </c>
      <c r="C1322" s="1">
        <v>1841</v>
      </c>
      <c r="D1322" s="1">
        <v>13002616</v>
      </c>
      <c r="E1322" s="1">
        <v>13</v>
      </c>
      <c r="F1322" s="1">
        <v>22589</v>
      </c>
      <c r="G1322" s="1" t="s">
        <v>18</v>
      </c>
      <c r="H1322" s="1">
        <v>18</v>
      </c>
      <c r="I1322" s="1">
        <v>15084</v>
      </c>
      <c r="J1322" s="1" t="s">
        <v>1137</v>
      </c>
      <c r="K1322" s="1" t="s">
        <v>20</v>
      </c>
      <c r="L1322" s="1" t="s">
        <v>300</v>
      </c>
      <c r="M1322" s="1">
        <v>1</v>
      </c>
      <c r="N1322" s="2">
        <v>113</v>
      </c>
      <c r="O1322" s="3">
        <v>155</v>
      </c>
      <c r="P1322" s="1">
        <v>0</v>
      </c>
      <c r="Q1322" s="1" t="s">
        <v>22</v>
      </c>
      <c r="R1322" s="1" t="s">
        <v>22</v>
      </c>
      <c r="S1322" s="1">
        <v>50</v>
      </c>
      <c r="T1322" s="1">
        <v>1</v>
      </c>
      <c r="U1322" s="1">
        <v>4</v>
      </c>
    </row>
    <row r="1323" spans="1:21" x14ac:dyDescent="0.25">
      <c r="A1323" s="4">
        <v>44778</v>
      </c>
      <c r="B1323" s="5">
        <v>0.53781250000000003</v>
      </c>
      <c r="C1323" s="1">
        <v>1841</v>
      </c>
      <c r="D1323" s="1">
        <v>13002616</v>
      </c>
      <c r="E1323" s="1">
        <v>13</v>
      </c>
      <c r="F1323" s="1">
        <v>22589</v>
      </c>
      <c r="G1323" s="1" t="s">
        <v>18</v>
      </c>
      <c r="H1323" s="1">
        <v>18</v>
      </c>
      <c r="I1323" s="1">
        <v>606425</v>
      </c>
      <c r="J1323" s="1" t="s">
        <v>1138</v>
      </c>
      <c r="K1323" s="1" t="s">
        <v>61</v>
      </c>
      <c r="L1323" s="1" t="s">
        <v>94</v>
      </c>
      <c r="M1323" s="1">
        <v>1</v>
      </c>
      <c r="N1323" s="2">
        <v>31.92</v>
      </c>
      <c r="O1323" s="3">
        <v>52</v>
      </c>
      <c r="P1323" s="1">
        <v>0</v>
      </c>
      <c r="Q1323" s="1" t="s">
        <v>22</v>
      </c>
      <c r="R1323" s="1" t="s">
        <v>22</v>
      </c>
      <c r="S1323" s="1">
        <v>50</v>
      </c>
      <c r="T1323" s="1">
        <v>1</v>
      </c>
      <c r="U1323" s="1">
        <v>1</v>
      </c>
    </row>
    <row r="1324" spans="1:21" x14ac:dyDescent="0.25">
      <c r="A1324" s="4">
        <v>44778</v>
      </c>
      <c r="B1324" s="5">
        <v>0.53781250000000003</v>
      </c>
      <c r="C1324" s="1">
        <v>1841</v>
      </c>
      <c r="D1324" s="1">
        <v>13002616</v>
      </c>
      <c r="E1324" s="1">
        <v>13</v>
      </c>
      <c r="F1324" s="1">
        <v>22589</v>
      </c>
      <c r="G1324" s="1" t="s">
        <v>18</v>
      </c>
      <c r="H1324" s="1">
        <v>18</v>
      </c>
      <c r="I1324" s="1">
        <v>190687</v>
      </c>
      <c r="J1324" s="1" t="s">
        <v>1139</v>
      </c>
      <c r="K1324" s="1" t="s">
        <v>48</v>
      </c>
      <c r="L1324" s="1" t="s">
        <v>245</v>
      </c>
      <c r="M1324" s="1">
        <v>1</v>
      </c>
      <c r="N1324" s="2">
        <v>82.51</v>
      </c>
      <c r="O1324" s="3">
        <v>103</v>
      </c>
      <c r="P1324" s="1">
        <v>0</v>
      </c>
      <c r="Q1324" s="1" t="s">
        <v>22</v>
      </c>
      <c r="R1324" s="1" t="s">
        <v>22</v>
      </c>
      <c r="S1324" s="1">
        <v>50</v>
      </c>
      <c r="T1324" s="1">
        <v>1</v>
      </c>
      <c r="U1324" s="1">
        <v>5</v>
      </c>
    </row>
    <row r="1325" spans="1:21" x14ac:dyDescent="0.25">
      <c r="A1325" s="4">
        <v>44778</v>
      </c>
      <c r="B1325" s="5">
        <v>0.53781250000000003</v>
      </c>
      <c r="C1325" s="1">
        <v>1841</v>
      </c>
      <c r="D1325" s="1">
        <v>13002616</v>
      </c>
      <c r="E1325" s="1">
        <v>13</v>
      </c>
      <c r="F1325" s="1">
        <v>22589</v>
      </c>
      <c r="G1325" s="1" t="s">
        <v>18</v>
      </c>
      <c r="H1325" s="1">
        <v>18</v>
      </c>
      <c r="I1325" s="1">
        <v>339843</v>
      </c>
      <c r="J1325" s="1" t="s">
        <v>248</v>
      </c>
      <c r="K1325" s="1" t="s">
        <v>249</v>
      </c>
      <c r="L1325" s="1" t="s">
        <v>250</v>
      </c>
      <c r="M1325" s="1">
        <v>1</v>
      </c>
      <c r="N1325" s="2">
        <v>140.97</v>
      </c>
      <c r="O1325" s="3">
        <v>219</v>
      </c>
      <c r="P1325" s="1">
        <v>21</v>
      </c>
      <c r="Q1325" s="1">
        <v>30</v>
      </c>
      <c r="R1325" s="1">
        <v>200000000024</v>
      </c>
      <c r="S1325" s="1">
        <v>50</v>
      </c>
      <c r="T1325" s="1">
        <v>1</v>
      </c>
      <c r="U1325" s="1">
        <v>6</v>
      </c>
    </row>
    <row r="1326" spans="1:21" x14ac:dyDescent="0.25">
      <c r="A1326" s="4">
        <v>44778</v>
      </c>
      <c r="B1326" s="5">
        <v>0.54952546296296301</v>
      </c>
      <c r="C1326" s="1">
        <v>1842</v>
      </c>
      <c r="D1326" s="1">
        <v>13002616</v>
      </c>
      <c r="E1326" s="1">
        <v>13</v>
      </c>
      <c r="F1326" s="1">
        <v>22589</v>
      </c>
      <c r="G1326" s="1" t="s">
        <v>18</v>
      </c>
      <c r="H1326" s="1">
        <v>15</v>
      </c>
      <c r="I1326" s="1">
        <v>434796</v>
      </c>
      <c r="J1326" s="1" t="s">
        <v>1140</v>
      </c>
      <c r="K1326" s="1" t="s">
        <v>138</v>
      </c>
      <c r="L1326" s="1" t="s">
        <v>1141</v>
      </c>
      <c r="M1326" s="1">
        <v>1</v>
      </c>
      <c r="N1326" s="2">
        <v>85.03</v>
      </c>
      <c r="O1326" s="3">
        <v>121</v>
      </c>
      <c r="P1326" s="1">
        <v>8.34</v>
      </c>
      <c r="Q1326" s="1">
        <v>9</v>
      </c>
      <c r="R1326" s="1">
        <v>200010006086</v>
      </c>
      <c r="S1326" s="1">
        <v>50</v>
      </c>
      <c r="T1326" s="1">
        <v>1</v>
      </c>
      <c r="U1326" s="1">
        <v>2</v>
      </c>
    </row>
    <row r="1327" spans="1:21" x14ac:dyDescent="0.25">
      <c r="A1327" s="4">
        <v>44778</v>
      </c>
      <c r="B1327" s="5">
        <v>0.54952546296296301</v>
      </c>
      <c r="C1327" s="1">
        <v>1842</v>
      </c>
      <c r="D1327" s="1">
        <v>13002616</v>
      </c>
      <c r="E1327" s="1">
        <v>13</v>
      </c>
      <c r="F1327" s="1">
        <v>22589</v>
      </c>
      <c r="G1327" s="1" t="s">
        <v>18</v>
      </c>
      <c r="H1327" s="1">
        <v>15</v>
      </c>
      <c r="I1327" s="1">
        <v>434796</v>
      </c>
      <c r="J1327" s="1" t="s">
        <v>1140</v>
      </c>
      <c r="K1327" s="1" t="s">
        <v>138</v>
      </c>
      <c r="L1327" s="1" t="s">
        <v>1141</v>
      </c>
      <c r="M1327" s="1">
        <v>2</v>
      </c>
      <c r="N1327" s="2">
        <v>85.03</v>
      </c>
      <c r="O1327" s="3">
        <v>121</v>
      </c>
      <c r="P1327" s="1">
        <v>16.66</v>
      </c>
      <c r="Q1327" s="1">
        <v>9</v>
      </c>
      <c r="R1327" s="1">
        <v>200010006086</v>
      </c>
      <c r="S1327" s="1">
        <v>50</v>
      </c>
      <c r="T1327" s="1">
        <v>1</v>
      </c>
      <c r="U1327" s="1">
        <v>3</v>
      </c>
    </row>
    <row r="1328" spans="1:21" x14ac:dyDescent="0.25">
      <c r="A1328" s="4">
        <v>44778</v>
      </c>
      <c r="B1328" s="5">
        <v>0.54952546296296301</v>
      </c>
      <c r="C1328" s="1">
        <v>1842</v>
      </c>
      <c r="D1328" s="1">
        <v>13002616</v>
      </c>
      <c r="E1328" s="1">
        <v>13</v>
      </c>
      <c r="F1328" s="1">
        <v>22589</v>
      </c>
      <c r="G1328" s="1" t="s">
        <v>18</v>
      </c>
      <c r="H1328" s="1">
        <v>15</v>
      </c>
      <c r="I1328" s="1">
        <v>434796</v>
      </c>
      <c r="J1328" s="1" t="s">
        <v>1140</v>
      </c>
      <c r="K1328" s="1" t="s">
        <v>61</v>
      </c>
      <c r="L1328" s="1" t="s">
        <v>1142</v>
      </c>
      <c r="M1328" s="1">
        <v>10</v>
      </c>
      <c r="N1328" s="2">
        <v>91.63</v>
      </c>
      <c r="O1328" s="3">
        <v>131</v>
      </c>
      <c r="P1328" s="1">
        <v>91</v>
      </c>
      <c r="Q1328" s="1">
        <v>9</v>
      </c>
      <c r="R1328" s="1">
        <v>200010006086</v>
      </c>
      <c r="S1328" s="1">
        <v>50</v>
      </c>
      <c r="T1328" s="1">
        <v>1</v>
      </c>
      <c r="U1328" s="1">
        <v>4</v>
      </c>
    </row>
    <row r="1329" spans="1:21" x14ac:dyDescent="0.25">
      <c r="A1329" s="4">
        <v>44778</v>
      </c>
      <c r="B1329" s="5">
        <v>0.54952546296296301</v>
      </c>
      <c r="C1329" s="1">
        <v>1842</v>
      </c>
      <c r="D1329" s="1">
        <v>13002616</v>
      </c>
      <c r="E1329" s="1">
        <v>13</v>
      </c>
      <c r="F1329" s="1">
        <v>22589</v>
      </c>
      <c r="G1329" s="1" t="s">
        <v>18</v>
      </c>
      <c r="H1329" s="1">
        <v>15</v>
      </c>
      <c r="I1329" s="1">
        <v>364619</v>
      </c>
      <c r="J1329" s="1" t="s">
        <v>800</v>
      </c>
      <c r="K1329" s="1" t="s">
        <v>48</v>
      </c>
      <c r="L1329" s="1" t="s">
        <v>665</v>
      </c>
      <c r="M1329" s="1">
        <v>0.01</v>
      </c>
      <c r="N1329" s="2">
        <v>645.79</v>
      </c>
      <c r="O1329" s="3">
        <v>918</v>
      </c>
      <c r="P1329" s="1">
        <v>0.18</v>
      </c>
      <c r="Q1329" s="1">
        <v>9</v>
      </c>
      <c r="R1329" s="1">
        <v>200010006086</v>
      </c>
      <c r="S1329" s="1">
        <v>50</v>
      </c>
      <c r="T1329" s="1">
        <v>1</v>
      </c>
      <c r="U1329" s="1">
        <v>5</v>
      </c>
    </row>
    <row r="1330" spans="1:21" x14ac:dyDescent="0.25">
      <c r="A1330" s="4">
        <v>44778</v>
      </c>
      <c r="B1330" s="5">
        <v>0.54952546296296301</v>
      </c>
      <c r="C1330" s="1">
        <v>1842</v>
      </c>
      <c r="D1330" s="1">
        <v>13002616</v>
      </c>
      <c r="E1330" s="1">
        <v>13</v>
      </c>
      <c r="F1330" s="1">
        <v>22589</v>
      </c>
      <c r="G1330" s="1" t="s">
        <v>18</v>
      </c>
      <c r="H1330" s="1">
        <v>15</v>
      </c>
      <c r="I1330" s="1">
        <v>82886</v>
      </c>
      <c r="J1330" s="1" t="s">
        <v>1143</v>
      </c>
      <c r="K1330" s="1" t="s">
        <v>26</v>
      </c>
      <c r="L1330" s="1" t="s">
        <v>115</v>
      </c>
      <c r="M1330" s="1">
        <v>1</v>
      </c>
      <c r="N1330" s="2">
        <v>95.76</v>
      </c>
      <c r="O1330" s="3">
        <v>136</v>
      </c>
      <c r="P1330" s="1">
        <v>9</v>
      </c>
      <c r="Q1330" s="1">
        <v>9</v>
      </c>
      <c r="R1330" s="1">
        <v>200010006086</v>
      </c>
      <c r="S1330" s="1">
        <v>50</v>
      </c>
      <c r="T1330" s="1">
        <v>1</v>
      </c>
      <c r="U1330" s="1">
        <v>1</v>
      </c>
    </row>
    <row r="1331" spans="1:21" x14ac:dyDescent="0.25">
      <c r="A1331" s="4">
        <v>44778</v>
      </c>
      <c r="B1331" s="5">
        <v>0.55024305555555553</v>
      </c>
      <c r="C1331" s="1">
        <v>1843</v>
      </c>
      <c r="D1331" s="1">
        <v>13002616</v>
      </c>
      <c r="E1331" s="1">
        <v>13</v>
      </c>
      <c r="F1331" s="1">
        <v>22589</v>
      </c>
      <c r="G1331" s="1" t="s">
        <v>18</v>
      </c>
      <c r="H1331" s="1">
        <v>15</v>
      </c>
      <c r="I1331" s="1">
        <v>261581</v>
      </c>
      <c r="J1331" s="1" t="s">
        <v>1144</v>
      </c>
      <c r="K1331" s="1" t="s">
        <v>26</v>
      </c>
      <c r="L1331" s="1" t="s">
        <v>747</v>
      </c>
      <c r="M1331" s="1">
        <v>1</v>
      </c>
      <c r="N1331" s="2">
        <v>337.07</v>
      </c>
      <c r="O1331" s="3">
        <v>445</v>
      </c>
      <c r="P1331" s="1">
        <v>0</v>
      </c>
      <c r="Q1331" s="1" t="s">
        <v>22</v>
      </c>
      <c r="R1331" s="1" t="s">
        <v>22</v>
      </c>
      <c r="S1331" s="1">
        <v>50</v>
      </c>
      <c r="T1331" s="1">
        <v>1</v>
      </c>
      <c r="U1331" s="1">
        <v>1</v>
      </c>
    </row>
    <row r="1332" spans="1:21" x14ac:dyDescent="0.25">
      <c r="A1332" s="4">
        <v>44778</v>
      </c>
      <c r="B1332" s="5">
        <v>0.5577199074074074</v>
      </c>
      <c r="C1332" s="1">
        <v>1844</v>
      </c>
      <c r="D1332" s="1">
        <v>13002616</v>
      </c>
      <c r="E1332" s="1">
        <v>13</v>
      </c>
      <c r="F1332" s="1">
        <v>22589</v>
      </c>
      <c r="G1332" s="1" t="s">
        <v>18</v>
      </c>
      <c r="H1332" s="1">
        <v>18</v>
      </c>
      <c r="I1332" s="1">
        <v>318375</v>
      </c>
      <c r="J1332" s="1" t="s">
        <v>1145</v>
      </c>
      <c r="K1332" s="1" t="s">
        <v>48</v>
      </c>
      <c r="L1332" s="1" t="s">
        <v>109</v>
      </c>
      <c r="M1332" s="1">
        <v>1</v>
      </c>
      <c r="N1332" s="2">
        <v>326.39</v>
      </c>
      <c r="O1332" s="3">
        <v>431</v>
      </c>
      <c r="P1332" s="1">
        <v>0</v>
      </c>
      <c r="Q1332" s="1" t="s">
        <v>22</v>
      </c>
      <c r="R1332" s="1" t="s">
        <v>22</v>
      </c>
      <c r="S1332" s="1">
        <v>50</v>
      </c>
      <c r="T1332" s="1">
        <v>1</v>
      </c>
      <c r="U1332" s="1">
        <v>5</v>
      </c>
    </row>
    <row r="1333" spans="1:21" x14ac:dyDescent="0.25">
      <c r="A1333" s="4">
        <v>44778</v>
      </c>
      <c r="B1333" s="5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18</v>
      </c>
      <c r="H1333" s="1">
        <v>18</v>
      </c>
      <c r="I1333" s="1">
        <v>20840</v>
      </c>
      <c r="J1333" s="1" t="s">
        <v>229</v>
      </c>
      <c r="K1333" s="1" t="s">
        <v>20</v>
      </c>
      <c r="L1333" s="1" t="s">
        <v>230</v>
      </c>
      <c r="M1333" s="1">
        <v>1</v>
      </c>
      <c r="N1333" s="2">
        <v>126.92</v>
      </c>
      <c r="O1333" s="3">
        <v>153</v>
      </c>
      <c r="P1333" s="1">
        <v>0</v>
      </c>
      <c r="Q1333" s="1" t="s">
        <v>22</v>
      </c>
      <c r="R1333" s="1" t="s">
        <v>22</v>
      </c>
      <c r="S1333" s="1">
        <v>50</v>
      </c>
      <c r="T1333" s="1">
        <v>1</v>
      </c>
      <c r="U1333" s="1">
        <v>8</v>
      </c>
    </row>
    <row r="1334" spans="1:21" x14ac:dyDescent="0.25">
      <c r="A1334" s="4">
        <v>44778</v>
      </c>
      <c r="B1334" s="5">
        <v>0.5577199074074074</v>
      </c>
      <c r="C1334" s="1">
        <v>1844</v>
      </c>
      <c r="D1334" s="1">
        <v>13002616</v>
      </c>
      <c r="E1334" s="1">
        <v>13</v>
      </c>
      <c r="F1334" s="1">
        <v>22589</v>
      </c>
      <c r="G1334" s="1" t="s">
        <v>18</v>
      </c>
      <c r="H1334" s="1">
        <v>18</v>
      </c>
      <c r="I1334" s="1">
        <v>172615</v>
      </c>
      <c r="J1334" s="1" t="s">
        <v>1146</v>
      </c>
      <c r="K1334" s="1" t="s">
        <v>48</v>
      </c>
      <c r="L1334" s="1" t="s">
        <v>73</v>
      </c>
      <c r="M1334" s="1">
        <v>1</v>
      </c>
      <c r="N1334" s="2">
        <v>174.59</v>
      </c>
      <c r="O1334" s="3">
        <v>240</v>
      </c>
      <c r="P1334" s="1">
        <v>0</v>
      </c>
      <c r="Q1334" s="1" t="s">
        <v>22</v>
      </c>
      <c r="R1334" s="1" t="s">
        <v>22</v>
      </c>
      <c r="S1334" s="1">
        <v>50</v>
      </c>
      <c r="T1334" s="1">
        <v>1</v>
      </c>
      <c r="U1334" s="1">
        <v>4</v>
      </c>
    </row>
    <row r="1335" spans="1:21" x14ac:dyDescent="0.25">
      <c r="A1335" s="4">
        <v>44778</v>
      </c>
      <c r="B1335" s="5">
        <v>0.5577199074074074</v>
      </c>
      <c r="C1335" s="1">
        <v>1844</v>
      </c>
      <c r="D1335" s="1">
        <v>13002616</v>
      </c>
      <c r="E1335" s="1">
        <v>13</v>
      </c>
      <c r="F1335" s="1">
        <v>22589</v>
      </c>
      <c r="G1335" s="1" t="s">
        <v>18</v>
      </c>
      <c r="H1335" s="1">
        <v>18</v>
      </c>
      <c r="I1335" s="1">
        <v>167293</v>
      </c>
      <c r="J1335" s="1" t="s">
        <v>127</v>
      </c>
      <c r="K1335" s="1" t="s">
        <v>20</v>
      </c>
      <c r="L1335" s="1" t="s">
        <v>128</v>
      </c>
      <c r="M1335" s="1">
        <v>1</v>
      </c>
      <c r="N1335" s="2">
        <v>360.47</v>
      </c>
      <c r="O1335" s="3">
        <v>476</v>
      </c>
      <c r="P1335" s="1">
        <v>0</v>
      </c>
      <c r="Q1335" s="1" t="s">
        <v>22</v>
      </c>
      <c r="R1335" s="1" t="s">
        <v>22</v>
      </c>
      <c r="S1335" s="1">
        <v>50</v>
      </c>
      <c r="T1335" s="1">
        <v>1</v>
      </c>
      <c r="U1335" s="1">
        <v>3</v>
      </c>
    </row>
    <row r="1336" spans="1:21" x14ac:dyDescent="0.25">
      <c r="A1336" s="4">
        <v>44778</v>
      </c>
      <c r="B1336" s="5">
        <v>0.5577199074074074</v>
      </c>
      <c r="C1336" s="1">
        <v>1844</v>
      </c>
      <c r="D1336" s="1">
        <v>13002616</v>
      </c>
      <c r="E1336" s="1">
        <v>13</v>
      </c>
      <c r="F1336" s="1">
        <v>22589</v>
      </c>
      <c r="G1336" s="1" t="s">
        <v>18</v>
      </c>
      <c r="H1336" s="1">
        <v>18</v>
      </c>
      <c r="I1336" s="1">
        <v>298762</v>
      </c>
      <c r="J1336" s="1" t="s">
        <v>232</v>
      </c>
      <c r="K1336" s="1" t="s">
        <v>42</v>
      </c>
      <c r="L1336" s="1" t="s">
        <v>233</v>
      </c>
      <c r="M1336" s="1">
        <v>1</v>
      </c>
      <c r="N1336" s="2">
        <v>105.68</v>
      </c>
      <c r="O1336" s="3">
        <v>145</v>
      </c>
      <c r="P1336" s="1">
        <v>0</v>
      </c>
      <c r="Q1336" s="1" t="s">
        <v>22</v>
      </c>
      <c r="R1336" s="1" t="s">
        <v>22</v>
      </c>
      <c r="S1336" s="1">
        <v>50</v>
      </c>
      <c r="T1336" s="1">
        <v>1</v>
      </c>
      <c r="U1336" s="1">
        <v>9</v>
      </c>
    </row>
    <row r="1337" spans="1:21" x14ac:dyDescent="0.25">
      <c r="A1337" s="4">
        <v>44778</v>
      </c>
      <c r="B1337" s="5">
        <v>0.5577199074074074</v>
      </c>
      <c r="C1337" s="1">
        <v>1844</v>
      </c>
      <c r="D1337" s="1">
        <v>13002616</v>
      </c>
      <c r="E1337" s="1">
        <v>13</v>
      </c>
      <c r="F1337" s="1">
        <v>22589</v>
      </c>
      <c r="G1337" s="1" t="s">
        <v>18</v>
      </c>
      <c r="H1337" s="1">
        <v>18</v>
      </c>
      <c r="I1337" s="1">
        <v>349657</v>
      </c>
      <c r="J1337" s="1" t="s">
        <v>1147</v>
      </c>
      <c r="K1337" s="1" t="s">
        <v>31</v>
      </c>
      <c r="L1337" s="1" t="s">
        <v>588</v>
      </c>
      <c r="M1337" s="1">
        <v>1</v>
      </c>
      <c r="N1337" s="2">
        <v>58.37</v>
      </c>
      <c r="O1337" s="3">
        <v>101</v>
      </c>
      <c r="P1337" s="1">
        <v>0</v>
      </c>
      <c r="Q1337" s="1" t="s">
        <v>22</v>
      </c>
      <c r="R1337" s="1" t="s">
        <v>22</v>
      </c>
      <c r="S1337" s="1">
        <v>50</v>
      </c>
      <c r="T1337" s="1">
        <v>1</v>
      </c>
      <c r="U1337" s="1">
        <v>1</v>
      </c>
    </row>
    <row r="1338" spans="1:21" x14ac:dyDescent="0.25">
      <c r="A1338" s="4">
        <v>44778</v>
      </c>
      <c r="B1338" s="5">
        <v>0.5577199074074074</v>
      </c>
      <c r="C1338" s="1">
        <v>1844</v>
      </c>
      <c r="D1338" s="1">
        <v>13002616</v>
      </c>
      <c r="E1338" s="1">
        <v>13</v>
      </c>
      <c r="F1338" s="1">
        <v>22589</v>
      </c>
      <c r="G1338" s="1" t="s">
        <v>18</v>
      </c>
      <c r="H1338" s="1">
        <v>18</v>
      </c>
      <c r="I1338" s="1">
        <v>186354</v>
      </c>
      <c r="J1338" s="1" t="s">
        <v>1148</v>
      </c>
      <c r="K1338" s="1" t="s">
        <v>48</v>
      </c>
      <c r="L1338" s="1" t="s">
        <v>1149</v>
      </c>
      <c r="M1338" s="1">
        <v>1</v>
      </c>
      <c r="N1338" s="2">
        <v>140.66999999999999</v>
      </c>
      <c r="O1338" s="3">
        <v>219</v>
      </c>
      <c r="P1338" s="1">
        <v>0</v>
      </c>
      <c r="Q1338" s="1" t="s">
        <v>22</v>
      </c>
      <c r="R1338" s="1" t="s">
        <v>22</v>
      </c>
      <c r="S1338" s="1">
        <v>50</v>
      </c>
      <c r="T1338" s="1">
        <v>1</v>
      </c>
      <c r="U1338" s="1">
        <v>10</v>
      </c>
    </row>
    <row r="1339" spans="1:21" x14ac:dyDescent="0.25">
      <c r="A1339" s="4">
        <v>44778</v>
      </c>
      <c r="B1339" s="5">
        <v>0.5577199074074074</v>
      </c>
      <c r="C1339" s="1">
        <v>1844</v>
      </c>
      <c r="D1339" s="1">
        <v>13002616</v>
      </c>
      <c r="E1339" s="1">
        <v>13</v>
      </c>
      <c r="F1339" s="1">
        <v>22589</v>
      </c>
      <c r="G1339" s="1" t="s">
        <v>18</v>
      </c>
      <c r="H1339" s="1">
        <v>18</v>
      </c>
      <c r="I1339" s="1">
        <v>189320</v>
      </c>
      <c r="J1339" s="1" t="s">
        <v>1150</v>
      </c>
      <c r="K1339" s="1" t="s">
        <v>48</v>
      </c>
      <c r="L1339" s="1" t="s">
        <v>1151</v>
      </c>
      <c r="M1339" s="1">
        <v>1</v>
      </c>
      <c r="N1339" s="2">
        <v>439.12</v>
      </c>
      <c r="O1339" s="3">
        <v>580</v>
      </c>
      <c r="P1339" s="1">
        <v>0</v>
      </c>
      <c r="Q1339" s="1" t="s">
        <v>22</v>
      </c>
      <c r="R1339" s="1" t="s">
        <v>22</v>
      </c>
      <c r="S1339" s="1">
        <v>50</v>
      </c>
      <c r="T1339" s="1">
        <v>1</v>
      </c>
      <c r="U1339" s="1">
        <v>2</v>
      </c>
    </row>
    <row r="1340" spans="1:21" x14ac:dyDescent="0.25">
      <c r="A1340" s="4">
        <v>44778</v>
      </c>
      <c r="B1340" s="5">
        <v>0.74305555555555558</v>
      </c>
      <c r="C1340" s="1">
        <v>1885</v>
      </c>
      <c r="D1340" s="1">
        <v>13002616</v>
      </c>
      <c r="E1340" s="1">
        <v>13</v>
      </c>
      <c r="F1340" s="1">
        <v>22589</v>
      </c>
      <c r="G1340" s="1" t="s">
        <v>18</v>
      </c>
      <c r="H1340" s="1">
        <v>15</v>
      </c>
      <c r="I1340" s="1">
        <v>189320</v>
      </c>
      <c r="J1340" s="1" t="s">
        <v>1150</v>
      </c>
      <c r="K1340" s="1" t="s">
        <v>48</v>
      </c>
      <c r="L1340" s="1" t="s">
        <v>1151</v>
      </c>
      <c r="M1340" s="1">
        <v>1</v>
      </c>
      <c r="N1340" s="2">
        <v>439.12</v>
      </c>
      <c r="O1340" s="3">
        <v>580</v>
      </c>
      <c r="P1340" s="1">
        <v>40</v>
      </c>
      <c r="Q1340" s="1">
        <v>9</v>
      </c>
      <c r="R1340" s="1">
        <v>200010000727</v>
      </c>
      <c r="S1340" s="1">
        <v>50</v>
      </c>
      <c r="T1340" s="1">
        <v>1</v>
      </c>
      <c r="U1340" s="1">
        <v>1</v>
      </c>
    </row>
    <row r="1341" spans="1:21" x14ac:dyDescent="0.25">
      <c r="A1341" s="4">
        <v>44778</v>
      </c>
      <c r="B1341" s="5">
        <v>0.5577199074074074</v>
      </c>
      <c r="C1341" s="1">
        <v>1844</v>
      </c>
      <c r="D1341" s="1">
        <v>13002616</v>
      </c>
      <c r="E1341" s="1">
        <v>13</v>
      </c>
      <c r="F1341" s="1">
        <v>22589</v>
      </c>
      <c r="G1341" s="1" t="s">
        <v>18</v>
      </c>
      <c r="H1341" s="1">
        <v>18</v>
      </c>
      <c r="I1341" s="1">
        <v>102068</v>
      </c>
      <c r="J1341" s="1" t="s">
        <v>282</v>
      </c>
      <c r="K1341" s="1" t="s">
        <v>48</v>
      </c>
      <c r="L1341" s="1" t="s">
        <v>283</v>
      </c>
      <c r="M1341" s="1">
        <v>1</v>
      </c>
      <c r="N1341" s="2">
        <v>149.6</v>
      </c>
      <c r="O1341" s="3">
        <v>232</v>
      </c>
      <c r="P1341" s="1">
        <v>0</v>
      </c>
      <c r="Q1341" s="1" t="s">
        <v>22</v>
      </c>
      <c r="R1341" s="1" t="s">
        <v>22</v>
      </c>
      <c r="S1341" s="1">
        <v>50</v>
      </c>
      <c r="T1341" s="1">
        <v>1</v>
      </c>
      <c r="U1341" s="1">
        <v>6</v>
      </c>
    </row>
    <row r="1342" spans="1:21" x14ac:dyDescent="0.25">
      <c r="A1342" s="4">
        <v>44778</v>
      </c>
      <c r="B1342" s="5">
        <v>0.55925925925925923</v>
      </c>
      <c r="C1342" s="1">
        <v>1845</v>
      </c>
      <c r="D1342" s="1">
        <v>13002616</v>
      </c>
      <c r="E1342" s="1">
        <v>13</v>
      </c>
      <c r="F1342" s="1">
        <v>22589</v>
      </c>
      <c r="G1342" s="1" t="s">
        <v>18</v>
      </c>
      <c r="H1342" s="1">
        <v>18</v>
      </c>
      <c r="I1342" s="1">
        <v>497053</v>
      </c>
      <c r="J1342" s="1" t="s">
        <v>1152</v>
      </c>
      <c r="K1342" s="1" t="s">
        <v>48</v>
      </c>
      <c r="L1342" s="1" t="s">
        <v>319</v>
      </c>
      <c r="M1342" s="1">
        <v>1</v>
      </c>
      <c r="N1342" s="2">
        <v>49.66</v>
      </c>
      <c r="O1342" s="3">
        <v>76</v>
      </c>
      <c r="P1342" s="1">
        <v>0</v>
      </c>
      <c r="Q1342" s="1" t="s">
        <v>22</v>
      </c>
      <c r="R1342" s="1" t="s">
        <v>22</v>
      </c>
      <c r="S1342" s="1">
        <v>50</v>
      </c>
      <c r="T1342" s="1">
        <v>1</v>
      </c>
      <c r="U1342" s="1">
        <v>2</v>
      </c>
    </row>
    <row r="1343" spans="1:21" x14ac:dyDescent="0.25">
      <c r="A1343" s="4">
        <v>44778</v>
      </c>
      <c r="B1343" s="5">
        <v>0.55925925925925923</v>
      </c>
      <c r="C1343" s="1">
        <v>1845</v>
      </c>
      <c r="D1343" s="1">
        <v>13002616</v>
      </c>
      <c r="E1343" s="1">
        <v>13</v>
      </c>
      <c r="F1343" s="1">
        <v>22589</v>
      </c>
      <c r="G1343" s="1" t="s">
        <v>18</v>
      </c>
      <c r="H1343" s="1">
        <v>18</v>
      </c>
      <c r="I1343" s="1">
        <v>345542</v>
      </c>
      <c r="J1343" s="1" t="s">
        <v>381</v>
      </c>
      <c r="K1343" s="1" t="s">
        <v>48</v>
      </c>
      <c r="L1343" s="1" t="s">
        <v>73</v>
      </c>
      <c r="M1343" s="1">
        <v>1</v>
      </c>
      <c r="N1343" s="2">
        <v>15.18</v>
      </c>
      <c r="O1343" s="3">
        <v>19</v>
      </c>
      <c r="P1343" s="1">
        <v>0</v>
      </c>
      <c r="Q1343" s="1" t="s">
        <v>22</v>
      </c>
      <c r="R1343" s="1" t="s">
        <v>22</v>
      </c>
      <c r="S1343" s="1">
        <v>50</v>
      </c>
      <c r="T1343" s="1">
        <v>1</v>
      </c>
      <c r="U1343" s="1">
        <v>1</v>
      </c>
    </row>
    <row r="1344" spans="1:21" x14ac:dyDescent="0.25">
      <c r="A1344" s="4">
        <v>44778</v>
      </c>
      <c r="B1344" s="5">
        <v>0.56238425925925928</v>
      </c>
      <c r="C1344" s="1">
        <v>1846</v>
      </c>
      <c r="D1344" s="1">
        <v>13002616</v>
      </c>
      <c r="E1344" s="1">
        <v>13</v>
      </c>
      <c r="F1344" s="1">
        <v>22589</v>
      </c>
      <c r="G1344" s="1" t="s">
        <v>18</v>
      </c>
      <c r="H1344" s="1">
        <v>15</v>
      </c>
      <c r="I1344" s="1">
        <v>7485</v>
      </c>
      <c r="J1344" s="1" t="s">
        <v>1153</v>
      </c>
      <c r="K1344" s="1" t="s">
        <v>31</v>
      </c>
      <c r="L1344" s="1" t="s">
        <v>154</v>
      </c>
      <c r="M1344" s="1">
        <v>1</v>
      </c>
      <c r="N1344" s="2">
        <v>250.91</v>
      </c>
      <c r="O1344" s="3">
        <v>310.5</v>
      </c>
      <c r="P1344" s="1">
        <v>0</v>
      </c>
      <c r="Q1344" s="1" t="s">
        <v>22</v>
      </c>
      <c r="R1344" s="1" t="s">
        <v>22</v>
      </c>
      <c r="S1344" s="1">
        <v>50</v>
      </c>
      <c r="T1344" s="1">
        <v>1</v>
      </c>
      <c r="U1344" s="1">
        <v>1</v>
      </c>
    </row>
    <row r="1345" spans="1:21" x14ac:dyDescent="0.25">
      <c r="A1345" s="4">
        <v>44778</v>
      </c>
      <c r="B1345" s="5">
        <v>0.57835648148148144</v>
      </c>
      <c r="C1345" s="1">
        <v>1847</v>
      </c>
      <c r="D1345" s="1">
        <v>13002616</v>
      </c>
      <c r="E1345" s="1">
        <v>13</v>
      </c>
      <c r="F1345" s="1">
        <v>22589</v>
      </c>
      <c r="G1345" s="1" t="s">
        <v>18</v>
      </c>
      <c r="H1345" s="1">
        <v>15</v>
      </c>
      <c r="I1345" s="1">
        <v>74749</v>
      </c>
      <c r="J1345" s="1" t="s">
        <v>804</v>
      </c>
      <c r="K1345" s="1" t="s">
        <v>26</v>
      </c>
      <c r="L1345" s="1" t="s">
        <v>258</v>
      </c>
      <c r="M1345" s="1">
        <v>1</v>
      </c>
      <c r="N1345" s="2">
        <v>29.78</v>
      </c>
      <c r="O1345" s="3">
        <v>34</v>
      </c>
      <c r="P1345" s="1">
        <v>0</v>
      </c>
      <c r="Q1345" s="1" t="s">
        <v>22</v>
      </c>
      <c r="R1345" s="1" t="s">
        <v>22</v>
      </c>
      <c r="S1345" s="1">
        <v>50</v>
      </c>
      <c r="T1345" s="1">
        <v>1</v>
      </c>
      <c r="U1345" s="1">
        <v>1</v>
      </c>
    </row>
    <row r="1346" spans="1:21" x14ac:dyDescent="0.25">
      <c r="A1346" s="4">
        <v>44778</v>
      </c>
      <c r="B1346" s="5">
        <v>0.57835648148148144</v>
      </c>
      <c r="C1346" s="1">
        <v>1847</v>
      </c>
      <c r="D1346" s="1">
        <v>13002616</v>
      </c>
      <c r="E1346" s="1">
        <v>13</v>
      </c>
      <c r="F1346" s="1">
        <v>22589</v>
      </c>
      <c r="G1346" s="1" t="s">
        <v>18</v>
      </c>
      <c r="H1346" s="1">
        <v>15</v>
      </c>
      <c r="I1346" s="1">
        <v>497202</v>
      </c>
      <c r="J1346" s="1" t="s">
        <v>1154</v>
      </c>
      <c r="K1346" s="1" t="s">
        <v>48</v>
      </c>
      <c r="L1346" s="1" t="s">
        <v>62</v>
      </c>
      <c r="M1346" s="1">
        <v>1</v>
      </c>
      <c r="N1346" s="2">
        <v>59.91</v>
      </c>
      <c r="O1346" s="3">
        <v>74</v>
      </c>
      <c r="P1346" s="1">
        <v>0</v>
      </c>
      <c r="Q1346" s="1" t="s">
        <v>22</v>
      </c>
      <c r="R1346" s="1" t="s">
        <v>22</v>
      </c>
      <c r="S1346" s="1">
        <v>50</v>
      </c>
      <c r="T1346" s="1">
        <v>1</v>
      </c>
      <c r="U1346" s="1">
        <v>5</v>
      </c>
    </row>
    <row r="1347" spans="1:21" x14ac:dyDescent="0.25">
      <c r="A1347" s="4">
        <v>44778</v>
      </c>
      <c r="B1347" s="5">
        <v>0.57835648148148144</v>
      </c>
      <c r="C1347" s="1">
        <v>1847</v>
      </c>
      <c r="D1347" s="1">
        <v>13002616</v>
      </c>
      <c r="E1347" s="1">
        <v>13</v>
      </c>
      <c r="F1347" s="1">
        <v>22589</v>
      </c>
      <c r="G1347" s="1" t="s">
        <v>18</v>
      </c>
      <c r="H1347" s="1">
        <v>15</v>
      </c>
      <c r="I1347" s="1">
        <v>497948</v>
      </c>
      <c r="J1347" s="1" t="s">
        <v>1155</v>
      </c>
      <c r="K1347" s="1" t="s">
        <v>48</v>
      </c>
      <c r="L1347" s="1" t="s">
        <v>62</v>
      </c>
      <c r="M1347" s="1">
        <v>1</v>
      </c>
      <c r="N1347" s="2">
        <v>31.6</v>
      </c>
      <c r="O1347" s="3">
        <v>39</v>
      </c>
      <c r="P1347" s="1">
        <v>0</v>
      </c>
      <c r="Q1347" s="1" t="s">
        <v>22</v>
      </c>
      <c r="R1347" s="1" t="s">
        <v>22</v>
      </c>
      <c r="S1347" s="1">
        <v>50</v>
      </c>
      <c r="T1347" s="1">
        <v>1</v>
      </c>
      <c r="U1347" s="1">
        <v>4</v>
      </c>
    </row>
    <row r="1348" spans="1:21" x14ac:dyDescent="0.25">
      <c r="A1348" s="4">
        <v>44778</v>
      </c>
      <c r="B1348" s="5">
        <v>0.57835648148148144</v>
      </c>
      <c r="C1348" s="1">
        <v>1847</v>
      </c>
      <c r="D1348" s="1">
        <v>13002616</v>
      </c>
      <c r="E1348" s="1">
        <v>13</v>
      </c>
      <c r="F1348" s="1">
        <v>22589</v>
      </c>
      <c r="G1348" s="1" t="s">
        <v>18</v>
      </c>
      <c r="H1348" s="1">
        <v>15</v>
      </c>
      <c r="I1348" s="1">
        <v>463100</v>
      </c>
      <c r="J1348" s="1" t="s">
        <v>408</v>
      </c>
      <c r="K1348" s="1" t="s">
        <v>48</v>
      </c>
      <c r="L1348" s="1" t="s">
        <v>32</v>
      </c>
      <c r="M1348" s="1">
        <v>1</v>
      </c>
      <c r="N1348" s="2">
        <v>47.5</v>
      </c>
      <c r="O1348" s="3">
        <v>73</v>
      </c>
      <c r="P1348" s="1">
        <v>0</v>
      </c>
      <c r="Q1348" s="1" t="s">
        <v>22</v>
      </c>
      <c r="R1348" s="1" t="s">
        <v>22</v>
      </c>
      <c r="S1348" s="1">
        <v>50</v>
      </c>
      <c r="T1348" s="1">
        <v>1</v>
      </c>
      <c r="U1348" s="1">
        <v>2</v>
      </c>
    </row>
    <row r="1349" spans="1:21" x14ac:dyDescent="0.25">
      <c r="A1349" s="4">
        <v>44778</v>
      </c>
      <c r="B1349" s="5">
        <v>0.57835648148148144</v>
      </c>
      <c r="C1349" s="1">
        <v>1847</v>
      </c>
      <c r="D1349" s="1">
        <v>13002616</v>
      </c>
      <c r="E1349" s="1">
        <v>13</v>
      </c>
      <c r="F1349" s="1">
        <v>22589</v>
      </c>
      <c r="G1349" s="1" t="s">
        <v>18</v>
      </c>
      <c r="H1349" s="1">
        <v>15</v>
      </c>
      <c r="I1349" s="1">
        <v>463100</v>
      </c>
      <c r="J1349" s="1" t="s">
        <v>408</v>
      </c>
      <c r="K1349" s="1" t="s">
        <v>48</v>
      </c>
      <c r="L1349" s="1" t="s">
        <v>32</v>
      </c>
      <c r="M1349" s="1">
        <v>1</v>
      </c>
      <c r="N1349" s="2">
        <v>47.5</v>
      </c>
      <c r="O1349" s="3">
        <v>73</v>
      </c>
      <c r="P1349" s="1">
        <v>0</v>
      </c>
      <c r="Q1349" s="1" t="s">
        <v>22</v>
      </c>
      <c r="R1349" s="1" t="s">
        <v>22</v>
      </c>
      <c r="S1349" s="1">
        <v>50</v>
      </c>
      <c r="T1349" s="1">
        <v>1</v>
      </c>
      <c r="U1349" s="1">
        <v>3</v>
      </c>
    </row>
    <row r="1350" spans="1:21" x14ac:dyDescent="0.25">
      <c r="A1350" s="4">
        <v>44778</v>
      </c>
      <c r="B1350" s="5">
        <v>0.58143518518518522</v>
      </c>
      <c r="C1350" s="1">
        <v>1848</v>
      </c>
      <c r="D1350" s="1">
        <v>13002616</v>
      </c>
      <c r="E1350" s="1">
        <v>13</v>
      </c>
      <c r="F1350" s="1">
        <v>22589</v>
      </c>
      <c r="G1350" s="1" t="s">
        <v>18</v>
      </c>
      <c r="H1350" s="1">
        <v>18</v>
      </c>
      <c r="I1350" s="1">
        <v>272</v>
      </c>
      <c r="J1350" s="1" t="s">
        <v>1156</v>
      </c>
      <c r="K1350" s="1" t="s">
        <v>114</v>
      </c>
      <c r="L1350" s="1" t="s">
        <v>1157</v>
      </c>
      <c r="M1350" s="1">
        <v>1</v>
      </c>
      <c r="N1350" s="2">
        <v>127.23</v>
      </c>
      <c r="O1350" s="3">
        <v>153</v>
      </c>
      <c r="P1350" s="1">
        <v>7</v>
      </c>
      <c r="Q1350" s="1">
        <v>9</v>
      </c>
      <c r="R1350" s="1">
        <v>200010022547</v>
      </c>
      <c r="S1350" s="1">
        <v>50</v>
      </c>
      <c r="T1350" s="1">
        <v>1</v>
      </c>
      <c r="U1350" s="1">
        <v>1</v>
      </c>
    </row>
    <row r="1351" spans="1:21" x14ac:dyDescent="0.25">
      <c r="A1351" s="4">
        <v>44778</v>
      </c>
      <c r="B1351" s="5">
        <v>0.58143518518518522</v>
      </c>
      <c r="C1351" s="1">
        <v>1848</v>
      </c>
      <c r="D1351" s="1">
        <v>13002616</v>
      </c>
      <c r="E1351" s="1">
        <v>13</v>
      </c>
      <c r="F1351" s="1">
        <v>22589</v>
      </c>
      <c r="G1351" s="1" t="s">
        <v>18</v>
      </c>
      <c r="H1351" s="1">
        <v>18</v>
      </c>
      <c r="I1351" s="1">
        <v>276810</v>
      </c>
      <c r="J1351" s="1" t="s">
        <v>228</v>
      </c>
      <c r="K1351" s="1" t="s">
        <v>20</v>
      </c>
      <c r="L1351" s="1" t="s">
        <v>189</v>
      </c>
      <c r="M1351" s="1">
        <v>1</v>
      </c>
      <c r="N1351" s="2">
        <v>322.89</v>
      </c>
      <c r="O1351" s="3">
        <v>388</v>
      </c>
      <c r="P1351" s="1">
        <v>38</v>
      </c>
      <c r="Q1351" s="1">
        <v>9</v>
      </c>
      <c r="R1351" s="1">
        <v>200010022547</v>
      </c>
      <c r="S1351" s="1">
        <v>50</v>
      </c>
      <c r="T1351" s="1">
        <v>1</v>
      </c>
      <c r="U1351" s="1">
        <v>2</v>
      </c>
    </row>
    <row r="1352" spans="1:21" x14ac:dyDescent="0.25">
      <c r="A1352" s="4">
        <v>44778</v>
      </c>
      <c r="B1352" s="5">
        <v>0.58281249999999996</v>
      </c>
      <c r="C1352" s="1">
        <v>1849</v>
      </c>
      <c r="D1352" s="1">
        <v>13002616</v>
      </c>
      <c r="E1352" s="1">
        <v>13</v>
      </c>
      <c r="F1352" s="1">
        <v>22589</v>
      </c>
      <c r="G1352" s="1" t="s">
        <v>18</v>
      </c>
      <c r="H1352" s="1">
        <v>18</v>
      </c>
      <c r="I1352" s="1">
        <v>100378</v>
      </c>
      <c r="J1352" s="1" t="s">
        <v>719</v>
      </c>
      <c r="K1352" s="1" t="s">
        <v>20</v>
      </c>
      <c r="L1352" s="1" t="s">
        <v>720</v>
      </c>
      <c r="M1352" s="1">
        <v>1</v>
      </c>
      <c r="N1352" s="2">
        <v>61.38</v>
      </c>
      <c r="O1352" s="3">
        <v>75</v>
      </c>
      <c r="P1352" s="1">
        <v>3</v>
      </c>
      <c r="Q1352" s="1">
        <v>9</v>
      </c>
      <c r="R1352" s="1">
        <v>200010019633</v>
      </c>
      <c r="S1352" s="1">
        <v>50</v>
      </c>
      <c r="T1352" s="1">
        <v>1</v>
      </c>
      <c r="U1352" s="1">
        <v>1</v>
      </c>
    </row>
    <row r="1353" spans="1:21" x14ac:dyDescent="0.25">
      <c r="A1353" s="4">
        <v>44778</v>
      </c>
      <c r="B1353" s="5">
        <v>0.58281249999999996</v>
      </c>
      <c r="C1353" s="1">
        <v>1849</v>
      </c>
      <c r="D1353" s="1">
        <v>13002616</v>
      </c>
      <c r="E1353" s="1">
        <v>13</v>
      </c>
      <c r="F1353" s="1">
        <v>22589</v>
      </c>
      <c r="G1353" s="1" t="s">
        <v>18</v>
      </c>
      <c r="H1353" s="1">
        <v>18</v>
      </c>
      <c r="I1353" s="1">
        <v>483452</v>
      </c>
      <c r="J1353" s="1" t="s">
        <v>1158</v>
      </c>
      <c r="K1353" s="1" t="s">
        <v>107</v>
      </c>
      <c r="L1353" s="1" t="s">
        <v>380</v>
      </c>
      <c r="M1353" s="1">
        <v>1</v>
      </c>
      <c r="N1353" s="2">
        <v>26.18</v>
      </c>
      <c r="O1353" s="3">
        <v>40</v>
      </c>
      <c r="P1353" s="1">
        <v>2</v>
      </c>
      <c r="Q1353" s="1">
        <v>9</v>
      </c>
      <c r="R1353" s="1">
        <v>200010019633</v>
      </c>
      <c r="S1353" s="1">
        <v>50</v>
      </c>
      <c r="T1353" s="1">
        <v>1</v>
      </c>
      <c r="U1353" s="1">
        <v>3</v>
      </c>
    </row>
    <row r="1354" spans="1:21" x14ac:dyDescent="0.25">
      <c r="A1354" s="4">
        <v>44778</v>
      </c>
      <c r="B1354" s="5">
        <v>0.58281249999999996</v>
      </c>
      <c r="C1354" s="1">
        <v>1849</v>
      </c>
      <c r="D1354" s="1">
        <v>13002616</v>
      </c>
      <c r="E1354" s="1">
        <v>13</v>
      </c>
      <c r="F1354" s="1">
        <v>22589</v>
      </c>
      <c r="G1354" s="1" t="s">
        <v>18</v>
      </c>
      <c r="H1354" s="1">
        <v>18</v>
      </c>
      <c r="I1354" s="1">
        <v>301848</v>
      </c>
      <c r="J1354" s="1" t="s">
        <v>1159</v>
      </c>
      <c r="K1354" s="1" t="s">
        <v>138</v>
      </c>
      <c r="L1354" s="1" t="s">
        <v>1160</v>
      </c>
      <c r="M1354" s="1">
        <v>1</v>
      </c>
      <c r="N1354" s="2">
        <v>35.82</v>
      </c>
      <c r="O1354" s="3">
        <v>59</v>
      </c>
      <c r="P1354" s="1">
        <v>5</v>
      </c>
      <c r="Q1354" s="1">
        <v>9</v>
      </c>
      <c r="R1354" s="1">
        <v>200010019633</v>
      </c>
      <c r="S1354" s="1">
        <v>50</v>
      </c>
      <c r="T1354" s="1">
        <v>1</v>
      </c>
      <c r="U1354" s="1">
        <v>2</v>
      </c>
    </row>
    <row r="1355" spans="1:21" x14ac:dyDescent="0.25">
      <c r="A1355" s="4">
        <v>44778</v>
      </c>
      <c r="B1355" s="5">
        <v>0.58674768518518516</v>
      </c>
      <c r="C1355" s="1">
        <v>1850</v>
      </c>
      <c r="D1355" s="1">
        <v>13002616</v>
      </c>
      <c r="E1355" s="1">
        <v>13</v>
      </c>
      <c r="F1355" s="1">
        <v>22589</v>
      </c>
      <c r="G1355" s="1" t="s">
        <v>18</v>
      </c>
      <c r="H1355" s="1">
        <v>15</v>
      </c>
      <c r="I1355" s="1">
        <v>512333</v>
      </c>
      <c r="J1355" s="1" t="s">
        <v>135</v>
      </c>
      <c r="K1355" s="1" t="s">
        <v>58</v>
      </c>
      <c r="L1355" s="1" t="s">
        <v>136</v>
      </c>
      <c r="M1355" s="1">
        <v>1</v>
      </c>
      <c r="N1355" s="2">
        <v>115.28</v>
      </c>
      <c r="O1355" s="3">
        <v>158</v>
      </c>
      <c r="P1355" s="1">
        <v>0</v>
      </c>
      <c r="Q1355" s="1" t="s">
        <v>22</v>
      </c>
      <c r="R1355" s="1" t="s">
        <v>22</v>
      </c>
      <c r="S1355" s="1">
        <v>50</v>
      </c>
      <c r="T1355" s="1">
        <v>1</v>
      </c>
      <c r="U1355" s="1">
        <v>1</v>
      </c>
    </row>
    <row r="1356" spans="1:21" x14ac:dyDescent="0.25">
      <c r="A1356" s="4">
        <v>44778</v>
      </c>
      <c r="B1356" s="5">
        <v>0.58674768518518516</v>
      </c>
      <c r="C1356" s="1">
        <v>1850</v>
      </c>
      <c r="D1356" s="1">
        <v>13002616</v>
      </c>
      <c r="E1356" s="1">
        <v>13</v>
      </c>
      <c r="F1356" s="1">
        <v>22589</v>
      </c>
      <c r="G1356" s="1" t="s">
        <v>18</v>
      </c>
      <c r="H1356" s="1">
        <v>15</v>
      </c>
      <c r="I1356" s="1">
        <v>336869</v>
      </c>
      <c r="J1356" s="1" t="s">
        <v>1161</v>
      </c>
      <c r="K1356" s="1" t="s">
        <v>48</v>
      </c>
      <c r="L1356" s="1" t="s">
        <v>1162</v>
      </c>
      <c r="M1356" s="1">
        <v>1</v>
      </c>
      <c r="N1356" s="2">
        <v>323.60000000000002</v>
      </c>
      <c r="O1356" s="3">
        <v>428</v>
      </c>
      <c r="P1356" s="1">
        <v>0</v>
      </c>
      <c r="Q1356" s="1" t="s">
        <v>22</v>
      </c>
      <c r="R1356" s="1" t="s">
        <v>22</v>
      </c>
      <c r="S1356" s="1">
        <v>50</v>
      </c>
      <c r="T1356" s="1">
        <v>1</v>
      </c>
      <c r="U1356" s="1">
        <v>2</v>
      </c>
    </row>
    <row r="1357" spans="1:21" x14ac:dyDescent="0.25">
      <c r="A1357" s="4">
        <v>44778</v>
      </c>
      <c r="B1357" s="5">
        <v>0.58674768518518516</v>
      </c>
      <c r="C1357" s="1">
        <v>1850</v>
      </c>
      <c r="D1357" s="1">
        <v>13002616</v>
      </c>
      <c r="E1357" s="1">
        <v>13</v>
      </c>
      <c r="F1357" s="1">
        <v>22589</v>
      </c>
      <c r="G1357" s="1" t="s">
        <v>18</v>
      </c>
      <c r="H1357" s="1">
        <v>15</v>
      </c>
      <c r="I1357" s="1">
        <v>897</v>
      </c>
      <c r="J1357" s="1" t="s">
        <v>1009</v>
      </c>
      <c r="K1357" s="1" t="s">
        <v>48</v>
      </c>
      <c r="L1357" s="1" t="s">
        <v>192</v>
      </c>
      <c r="M1357" s="1">
        <v>1</v>
      </c>
      <c r="N1357" s="2">
        <v>137.91999999999999</v>
      </c>
      <c r="O1357" s="3">
        <v>167</v>
      </c>
      <c r="P1357" s="1">
        <v>0</v>
      </c>
      <c r="Q1357" s="1" t="s">
        <v>22</v>
      </c>
      <c r="R1357" s="1" t="s">
        <v>22</v>
      </c>
      <c r="S1357" s="1">
        <v>50</v>
      </c>
      <c r="T1357" s="1">
        <v>1</v>
      </c>
      <c r="U1357" s="1">
        <v>3</v>
      </c>
    </row>
    <row r="1358" spans="1:21" x14ac:dyDescent="0.25">
      <c r="A1358" s="4">
        <v>44778</v>
      </c>
      <c r="B1358" s="5">
        <v>0.58947916666666667</v>
      </c>
      <c r="C1358" s="1">
        <v>1851</v>
      </c>
      <c r="D1358" s="1">
        <v>13002616</v>
      </c>
      <c r="E1358" s="1">
        <v>13</v>
      </c>
      <c r="F1358" s="1">
        <v>22589</v>
      </c>
      <c r="G1358" s="1" t="s">
        <v>18</v>
      </c>
      <c r="H1358" s="1">
        <v>18</v>
      </c>
      <c r="I1358" s="1">
        <v>442497</v>
      </c>
      <c r="J1358" s="1" t="s">
        <v>1163</v>
      </c>
      <c r="K1358" s="1" t="s">
        <v>114</v>
      </c>
      <c r="L1358" s="1" t="s">
        <v>380</v>
      </c>
      <c r="M1358" s="1">
        <v>1</v>
      </c>
      <c r="N1358" s="2">
        <v>26.63</v>
      </c>
      <c r="O1358" s="3">
        <v>41</v>
      </c>
      <c r="P1358" s="1">
        <v>0</v>
      </c>
      <c r="Q1358" s="1" t="s">
        <v>22</v>
      </c>
      <c r="R1358" s="1" t="s">
        <v>22</v>
      </c>
      <c r="S1358" s="1">
        <v>50</v>
      </c>
      <c r="T1358" s="1">
        <v>1</v>
      </c>
      <c r="U1358" s="1">
        <v>2</v>
      </c>
    </row>
    <row r="1359" spans="1:21" x14ac:dyDescent="0.25">
      <c r="A1359" s="4">
        <v>44778</v>
      </c>
      <c r="B1359" s="5">
        <v>0.58947916666666667</v>
      </c>
      <c r="C1359" s="1">
        <v>1851</v>
      </c>
      <c r="D1359" s="1">
        <v>13002616</v>
      </c>
      <c r="E1359" s="1">
        <v>13</v>
      </c>
      <c r="F1359" s="1">
        <v>22589</v>
      </c>
      <c r="G1359" s="1" t="s">
        <v>18</v>
      </c>
      <c r="H1359" s="1">
        <v>18</v>
      </c>
      <c r="I1359" s="1">
        <v>442497</v>
      </c>
      <c r="J1359" s="1" t="s">
        <v>1163</v>
      </c>
      <c r="K1359" s="1" t="s">
        <v>114</v>
      </c>
      <c r="L1359" s="1" t="s">
        <v>380</v>
      </c>
      <c r="M1359" s="1">
        <v>1</v>
      </c>
      <c r="N1359" s="2">
        <v>26.63</v>
      </c>
      <c r="O1359" s="3">
        <v>41</v>
      </c>
      <c r="P1359" s="1">
        <v>0</v>
      </c>
      <c r="Q1359" s="1" t="s">
        <v>22</v>
      </c>
      <c r="R1359" s="1" t="s">
        <v>22</v>
      </c>
      <c r="S1359" s="1">
        <v>50</v>
      </c>
      <c r="T1359" s="1">
        <v>1</v>
      </c>
      <c r="U1359" s="1">
        <v>3</v>
      </c>
    </row>
    <row r="1360" spans="1:21" x14ac:dyDescent="0.25">
      <c r="A1360" s="4">
        <v>44778</v>
      </c>
      <c r="B1360" s="5">
        <v>0.58947916666666667</v>
      </c>
      <c r="C1360" s="1">
        <v>1851</v>
      </c>
      <c r="D1360" s="1">
        <v>13002616</v>
      </c>
      <c r="E1360" s="1">
        <v>13</v>
      </c>
      <c r="F1360" s="1">
        <v>22589</v>
      </c>
      <c r="G1360" s="1" t="s">
        <v>18</v>
      </c>
      <c r="H1360" s="1">
        <v>18</v>
      </c>
      <c r="I1360" s="1">
        <v>8654</v>
      </c>
      <c r="J1360" s="1" t="s">
        <v>1164</v>
      </c>
      <c r="K1360" s="1" t="s">
        <v>42</v>
      </c>
      <c r="L1360" s="1" t="s">
        <v>1165</v>
      </c>
      <c r="M1360" s="1">
        <v>1</v>
      </c>
      <c r="N1360" s="2">
        <v>268.43</v>
      </c>
      <c r="O1360" s="3">
        <v>363</v>
      </c>
      <c r="P1360" s="1">
        <v>0</v>
      </c>
      <c r="Q1360" s="1" t="s">
        <v>22</v>
      </c>
      <c r="R1360" s="1" t="s">
        <v>22</v>
      </c>
      <c r="S1360" s="1">
        <v>50</v>
      </c>
      <c r="T1360" s="1">
        <v>1</v>
      </c>
      <c r="U1360" s="1">
        <v>5</v>
      </c>
    </row>
    <row r="1361" spans="1:21" x14ac:dyDescent="0.25">
      <c r="A1361" s="4">
        <v>44778</v>
      </c>
      <c r="B1361" s="5">
        <v>0.58947916666666667</v>
      </c>
      <c r="C1361" s="1">
        <v>1851</v>
      </c>
      <c r="D1361" s="1">
        <v>13002616</v>
      </c>
      <c r="E1361" s="1">
        <v>13</v>
      </c>
      <c r="F1361" s="1">
        <v>22589</v>
      </c>
      <c r="G1361" s="1" t="s">
        <v>18</v>
      </c>
      <c r="H1361" s="1">
        <v>18</v>
      </c>
      <c r="I1361" s="1">
        <v>193617</v>
      </c>
      <c r="J1361" s="1" t="s">
        <v>1166</v>
      </c>
      <c r="K1361" s="1" t="s">
        <v>58</v>
      </c>
      <c r="L1361" s="1" t="s">
        <v>1062</v>
      </c>
      <c r="M1361" s="1">
        <v>1</v>
      </c>
      <c r="N1361" s="2">
        <v>251.35</v>
      </c>
      <c r="O1361" s="3">
        <v>315</v>
      </c>
      <c r="P1361" s="1">
        <v>0</v>
      </c>
      <c r="Q1361" s="1" t="s">
        <v>22</v>
      </c>
      <c r="R1361" s="1" t="s">
        <v>22</v>
      </c>
      <c r="S1361" s="1">
        <v>50</v>
      </c>
      <c r="T1361" s="1">
        <v>1</v>
      </c>
      <c r="U1361" s="1">
        <v>1</v>
      </c>
    </row>
    <row r="1362" spans="1:21" x14ac:dyDescent="0.25">
      <c r="A1362" s="4">
        <v>44778</v>
      </c>
      <c r="B1362" s="5">
        <v>0.59013888888888888</v>
      </c>
      <c r="C1362" s="1">
        <v>1852</v>
      </c>
      <c r="D1362" s="1">
        <v>13002616</v>
      </c>
      <c r="E1362" s="1">
        <v>13</v>
      </c>
      <c r="F1362" s="1">
        <v>22589</v>
      </c>
      <c r="G1362" s="1" t="s">
        <v>18</v>
      </c>
      <c r="H1362" s="1">
        <v>18</v>
      </c>
      <c r="I1362" s="1">
        <v>149587</v>
      </c>
      <c r="J1362" s="1" t="s">
        <v>1167</v>
      </c>
      <c r="K1362" s="1" t="s">
        <v>20</v>
      </c>
      <c r="L1362" s="1" t="s">
        <v>156</v>
      </c>
      <c r="M1362" s="1">
        <v>1</v>
      </c>
      <c r="N1362" s="2">
        <v>96.8</v>
      </c>
      <c r="O1362" s="3">
        <v>119</v>
      </c>
      <c r="P1362" s="1">
        <v>0</v>
      </c>
      <c r="Q1362" s="1" t="s">
        <v>22</v>
      </c>
      <c r="R1362" s="1" t="s">
        <v>22</v>
      </c>
      <c r="S1362" s="1">
        <v>50</v>
      </c>
      <c r="T1362" s="1">
        <v>1</v>
      </c>
      <c r="U1362" s="1">
        <v>1</v>
      </c>
    </row>
    <row r="1363" spans="1:21" x14ac:dyDescent="0.25">
      <c r="A1363" s="4">
        <v>44778</v>
      </c>
      <c r="B1363" s="5">
        <v>0.59703703703703703</v>
      </c>
      <c r="C1363" s="1">
        <v>1853</v>
      </c>
      <c r="D1363" s="1">
        <v>13002616</v>
      </c>
      <c r="E1363" s="1">
        <v>13</v>
      </c>
      <c r="F1363" s="1">
        <v>22589</v>
      </c>
      <c r="G1363" s="1" t="s">
        <v>18</v>
      </c>
      <c r="H1363" s="1">
        <v>18</v>
      </c>
      <c r="I1363" s="1">
        <v>325948</v>
      </c>
      <c r="J1363" s="1" t="s">
        <v>1168</v>
      </c>
      <c r="K1363" s="1" t="s">
        <v>20</v>
      </c>
      <c r="L1363" s="1" t="s">
        <v>1169</v>
      </c>
      <c r="M1363" s="1">
        <v>1</v>
      </c>
      <c r="N1363" s="2">
        <v>502.76</v>
      </c>
      <c r="O1363" s="3">
        <v>714</v>
      </c>
      <c r="P1363" s="1">
        <v>71</v>
      </c>
      <c r="Q1363" s="1">
        <v>9</v>
      </c>
      <c r="R1363" s="1">
        <v>200010023020</v>
      </c>
      <c r="S1363" s="1">
        <v>50</v>
      </c>
      <c r="T1363" s="1">
        <v>1</v>
      </c>
      <c r="U1363" s="1">
        <v>3</v>
      </c>
    </row>
    <row r="1364" spans="1:21" x14ac:dyDescent="0.25">
      <c r="A1364" s="4">
        <v>44778</v>
      </c>
      <c r="B1364" s="5">
        <v>0.59703703703703703</v>
      </c>
      <c r="C1364" s="1">
        <v>1853</v>
      </c>
      <c r="D1364" s="1">
        <v>13002616</v>
      </c>
      <c r="E1364" s="1">
        <v>13</v>
      </c>
      <c r="F1364" s="1">
        <v>22589</v>
      </c>
      <c r="G1364" s="1" t="s">
        <v>18</v>
      </c>
      <c r="H1364" s="1">
        <v>18</v>
      </c>
      <c r="I1364" s="1">
        <v>51103</v>
      </c>
      <c r="J1364" s="1" t="s">
        <v>1170</v>
      </c>
      <c r="K1364" s="1" t="s">
        <v>26</v>
      </c>
      <c r="L1364" s="1" t="s">
        <v>1171</v>
      </c>
      <c r="M1364" s="1">
        <v>1</v>
      </c>
      <c r="N1364" s="2">
        <v>443.52</v>
      </c>
      <c r="O1364" s="3">
        <v>497</v>
      </c>
      <c r="P1364" s="1">
        <v>34</v>
      </c>
      <c r="Q1364" s="1">
        <v>9</v>
      </c>
      <c r="R1364" s="1">
        <v>200010023020</v>
      </c>
      <c r="S1364" s="1">
        <v>50</v>
      </c>
      <c r="T1364" s="1">
        <v>1</v>
      </c>
      <c r="U1364" s="1">
        <v>2</v>
      </c>
    </row>
    <row r="1365" spans="1:21" x14ac:dyDescent="0.25">
      <c r="A1365" s="4">
        <v>44778</v>
      </c>
      <c r="B1365" s="5">
        <v>0.59873842592592597</v>
      </c>
      <c r="C1365" s="1">
        <v>1854</v>
      </c>
      <c r="D1365" s="1">
        <v>13002616</v>
      </c>
      <c r="E1365" s="1">
        <v>13</v>
      </c>
      <c r="F1365" s="1">
        <v>22589</v>
      </c>
      <c r="G1365" s="1" t="s">
        <v>18</v>
      </c>
      <c r="H1365" s="1">
        <v>18</v>
      </c>
      <c r="I1365" s="1">
        <v>586516</v>
      </c>
      <c r="J1365" s="1" t="s">
        <v>1172</v>
      </c>
      <c r="K1365" s="1" t="s">
        <v>20</v>
      </c>
      <c r="L1365" s="1" t="s">
        <v>1173</v>
      </c>
      <c r="M1365" s="1">
        <v>1</v>
      </c>
      <c r="N1365" s="2">
        <v>683.72</v>
      </c>
      <c r="O1365" s="3">
        <v>882</v>
      </c>
      <c r="P1365" s="1">
        <v>0</v>
      </c>
      <c r="Q1365" s="1" t="s">
        <v>22</v>
      </c>
      <c r="R1365" s="1" t="s">
        <v>22</v>
      </c>
      <c r="S1365" s="1">
        <v>50</v>
      </c>
      <c r="T1365" s="1">
        <v>1</v>
      </c>
      <c r="U1365" s="1">
        <v>2</v>
      </c>
    </row>
    <row r="1366" spans="1:21" x14ac:dyDescent="0.25">
      <c r="A1366" s="4">
        <v>44778</v>
      </c>
      <c r="B1366" s="5">
        <v>0.70296296296296301</v>
      </c>
      <c r="C1366" s="1">
        <v>1877</v>
      </c>
      <c r="D1366" s="1">
        <v>13002616</v>
      </c>
      <c r="E1366" s="1">
        <v>13</v>
      </c>
      <c r="F1366" s="1">
        <v>22589</v>
      </c>
      <c r="G1366" s="1" t="s">
        <v>18</v>
      </c>
      <c r="H1366" s="1">
        <v>18</v>
      </c>
      <c r="I1366" s="1">
        <v>586516</v>
      </c>
      <c r="J1366" s="1" t="s">
        <v>1172</v>
      </c>
      <c r="K1366" s="1" t="s">
        <v>20</v>
      </c>
      <c r="L1366" s="1" t="s">
        <v>1173</v>
      </c>
      <c r="M1366" s="1">
        <v>1</v>
      </c>
      <c r="N1366" s="2">
        <v>683.72</v>
      </c>
      <c r="O1366" s="3">
        <v>882</v>
      </c>
      <c r="P1366" s="1">
        <v>0</v>
      </c>
      <c r="Q1366" s="1" t="s">
        <v>22</v>
      </c>
      <c r="R1366" s="1" t="s">
        <v>22</v>
      </c>
      <c r="S1366" s="1">
        <v>50</v>
      </c>
      <c r="T1366" s="1">
        <v>1</v>
      </c>
      <c r="U1366" s="1">
        <v>1</v>
      </c>
    </row>
    <row r="1367" spans="1:21" x14ac:dyDescent="0.25">
      <c r="A1367" s="4">
        <v>44778</v>
      </c>
      <c r="B1367" s="5">
        <v>0.59873842592592597</v>
      </c>
      <c r="C1367" s="1">
        <v>1854</v>
      </c>
      <c r="D1367" s="1">
        <v>13002616</v>
      </c>
      <c r="E1367" s="1">
        <v>13</v>
      </c>
      <c r="F1367" s="1">
        <v>22589</v>
      </c>
      <c r="G1367" s="1" t="s">
        <v>18</v>
      </c>
      <c r="H1367" s="1">
        <v>18</v>
      </c>
      <c r="I1367" s="1">
        <v>9522</v>
      </c>
      <c r="J1367" s="1" t="s">
        <v>1174</v>
      </c>
      <c r="K1367" s="1" t="s">
        <v>48</v>
      </c>
      <c r="L1367" s="1" t="s">
        <v>549</v>
      </c>
      <c r="M1367" s="1">
        <v>1</v>
      </c>
      <c r="N1367" s="2">
        <v>281.31</v>
      </c>
      <c r="O1367" s="3">
        <v>339</v>
      </c>
      <c r="P1367" s="1">
        <v>0</v>
      </c>
      <c r="Q1367" s="1" t="s">
        <v>22</v>
      </c>
      <c r="R1367" s="1" t="s">
        <v>22</v>
      </c>
      <c r="S1367" s="1">
        <v>50</v>
      </c>
      <c r="T1367" s="1">
        <v>1</v>
      </c>
      <c r="U1367" s="1">
        <v>1</v>
      </c>
    </row>
    <row r="1368" spans="1:21" x14ac:dyDescent="0.25">
      <c r="A1368" s="4">
        <v>44778</v>
      </c>
      <c r="B1368" s="5">
        <v>0.60245370370370366</v>
      </c>
      <c r="C1368" s="1">
        <v>1855</v>
      </c>
      <c r="D1368" s="1">
        <v>13002616</v>
      </c>
      <c r="E1368" s="1">
        <v>13</v>
      </c>
      <c r="F1368" s="1">
        <v>22589</v>
      </c>
      <c r="G1368" s="1" t="s">
        <v>18</v>
      </c>
      <c r="H1368" s="1">
        <v>18</v>
      </c>
      <c r="I1368" s="1">
        <v>435123</v>
      </c>
      <c r="J1368" s="1" t="s">
        <v>963</v>
      </c>
      <c r="K1368" s="1" t="s">
        <v>48</v>
      </c>
      <c r="L1368" s="1" t="s">
        <v>225</v>
      </c>
      <c r="M1368" s="1">
        <v>1</v>
      </c>
      <c r="N1368" s="2">
        <v>24.04</v>
      </c>
      <c r="O1368" s="3">
        <v>37</v>
      </c>
      <c r="P1368" s="1">
        <v>0</v>
      </c>
      <c r="Q1368" s="1" t="s">
        <v>22</v>
      </c>
      <c r="R1368" s="1" t="s">
        <v>22</v>
      </c>
      <c r="S1368" s="1">
        <v>50</v>
      </c>
      <c r="T1368" s="1">
        <v>1</v>
      </c>
      <c r="U1368" s="1">
        <v>1</v>
      </c>
    </row>
    <row r="1369" spans="1:21" x14ac:dyDescent="0.25">
      <c r="A1369" s="4">
        <v>44778</v>
      </c>
      <c r="B1369" s="5">
        <v>0.60245370370370366</v>
      </c>
      <c r="C1369" s="1">
        <v>1855</v>
      </c>
      <c r="D1369" s="1">
        <v>13002616</v>
      </c>
      <c r="E1369" s="1">
        <v>13</v>
      </c>
      <c r="F1369" s="1">
        <v>22589</v>
      </c>
      <c r="G1369" s="1" t="s">
        <v>18</v>
      </c>
      <c r="H1369" s="1">
        <v>18</v>
      </c>
      <c r="I1369" s="1">
        <v>459</v>
      </c>
      <c r="J1369" s="1" t="s">
        <v>550</v>
      </c>
      <c r="K1369" s="1" t="s">
        <v>31</v>
      </c>
      <c r="L1369" s="1" t="s">
        <v>551</v>
      </c>
      <c r="M1369" s="1">
        <v>1</v>
      </c>
      <c r="N1369" s="2">
        <v>316.54000000000002</v>
      </c>
      <c r="O1369" s="3">
        <v>418</v>
      </c>
      <c r="P1369" s="1">
        <v>0</v>
      </c>
      <c r="Q1369" s="1" t="s">
        <v>22</v>
      </c>
      <c r="R1369" s="1" t="s">
        <v>22</v>
      </c>
      <c r="S1369" s="1">
        <v>50</v>
      </c>
      <c r="T1369" s="1">
        <v>1</v>
      </c>
      <c r="U1369" s="1">
        <v>2</v>
      </c>
    </row>
    <row r="1370" spans="1:21" x14ac:dyDescent="0.25">
      <c r="A1370" s="4">
        <v>44778</v>
      </c>
      <c r="B1370" s="5">
        <v>0.60637731481481483</v>
      </c>
      <c r="C1370" s="1">
        <v>1856</v>
      </c>
      <c r="D1370" s="1">
        <v>13002616</v>
      </c>
      <c r="E1370" s="1">
        <v>13</v>
      </c>
      <c r="F1370" s="1">
        <v>22589</v>
      </c>
      <c r="G1370" s="1" t="s">
        <v>18</v>
      </c>
      <c r="H1370" s="1">
        <v>18</v>
      </c>
      <c r="I1370" s="1">
        <v>354089</v>
      </c>
      <c r="J1370" s="1" t="s">
        <v>366</v>
      </c>
      <c r="K1370" s="1" t="s">
        <v>26</v>
      </c>
      <c r="L1370" s="1" t="s">
        <v>332</v>
      </c>
      <c r="M1370" s="1">
        <v>1</v>
      </c>
      <c r="N1370" s="2">
        <v>39.369999999999997</v>
      </c>
      <c r="O1370" s="3">
        <v>60</v>
      </c>
      <c r="P1370" s="1">
        <v>0</v>
      </c>
      <c r="Q1370" s="1" t="s">
        <v>22</v>
      </c>
      <c r="R1370" s="1" t="s">
        <v>22</v>
      </c>
      <c r="S1370" s="1">
        <v>50</v>
      </c>
      <c r="T1370" s="1">
        <v>1</v>
      </c>
      <c r="U1370" s="1">
        <v>1</v>
      </c>
    </row>
    <row r="1371" spans="1:21" x14ac:dyDescent="0.25">
      <c r="A1371" s="4">
        <v>44778</v>
      </c>
      <c r="B1371" s="5">
        <v>0.61123842592592592</v>
      </c>
      <c r="C1371" s="1">
        <v>1857</v>
      </c>
      <c r="D1371" s="1">
        <v>13002616</v>
      </c>
      <c r="E1371" s="1">
        <v>13</v>
      </c>
      <c r="F1371" s="1">
        <v>22589</v>
      </c>
      <c r="G1371" s="1" t="s">
        <v>18</v>
      </c>
      <c r="H1371" s="1">
        <v>15</v>
      </c>
      <c r="I1371" s="1">
        <v>350543</v>
      </c>
      <c r="J1371" s="1" t="s">
        <v>1175</v>
      </c>
      <c r="K1371" s="1" t="s">
        <v>26</v>
      </c>
      <c r="L1371" s="1" t="s">
        <v>1176</v>
      </c>
      <c r="M1371" s="1">
        <v>1</v>
      </c>
      <c r="N1371" s="2">
        <v>158.9</v>
      </c>
      <c r="O1371" s="3">
        <v>218</v>
      </c>
      <c r="P1371" s="1">
        <v>15</v>
      </c>
      <c r="Q1371" s="1">
        <v>9</v>
      </c>
      <c r="R1371" s="1">
        <v>200010009724</v>
      </c>
      <c r="S1371" s="1">
        <v>50</v>
      </c>
      <c r="T1371" s="1">
        <v>1</v>
      </c>
      <c r="U1371" s="1">
        <v>1</v>
      </c>
    </row>
    <row r="1372" spans="1:21" x14ac:dyDescent="0.25">
      <c r="A1372" s="4">
        <v>44778</v>
      </c>
      <c r="B1372" s="5">
        <v>0.61123842592592592</v>
      </c>
      <c r="C1372" s="1">
        <v>1857</v>
      </c>
      <c r="D1372" s="1">
        <v>13002616</v>
      </c>
      <c r="E1372" s="1">
        <v>13</v>
      </c>
      <c r="F1372" s="1">
        <v>22589</v>
      </c>
      <c r="G1372" s="1" t="s">
        <v>18</v>
      </c>
      <c r="H1372" s="1">
        <v>15</v>
      </c>
      <c r="I1372" s="1">
        <v>393397</v>
      </c>
      <c r="J1372" s="1" t="s">
        <v>331</v>
      </c>
      <c r="K1372" s="1" t="s">
        <v>26</v>
      </c>
      <c r="L1372" s="1" t="s">
        <v>332</v>
      </c>
      <c r="M1372" s="1">
        <v>1</v>
      </c>
      <c r="N1372" s="2">
        <v>20.079999999999998</v>
      </c>
      <c r="O1372" s="3">
        <v>26</v>
      </c>
      <c r="P1372" s="1">
        <v>1</v>
      </c>
      <c r="Q1372" s="1">
        <v>9</v>
      </c>
      <c r="R1372" s="1">
        <v>200010009724</v>
      </c>
      <c r="S1372" s="1">
        <v>50</v>
      </c>
      <c r="T1372" s="1">
        <v>1</v>
      </c>
      <c r="U1372" s="1">
        <v>3</v>
      </c>
    </row>
    <row r="1373" spans="1:21" x14ac:dyDescent="0.25">
      <c r="A1373" s="4">
        <v>44778</v>
      </c>
      <c r="B1373" s="5">
        <v>0.61123842592592592</v>
      </c>
      <c r="C1373" s="1">
        <v>1857</v>
      </c>
      <c r="D1373" s="1">
        <v>13002616</v>
      </c>
      <c r="E1373" s="1">
        <v>13</v>
      </c>
      <c r="F1373" s="1">
        <v>22589</v>
      </c>
      <c r="G1373" s="1" t="s">
        <v>18</v>
      </c>
      <c r="H1373" s="1">
        <v>15</v>
      </c>
      <c r="I1373" s="1">
        <v>496536</v>
      </c>
      <c r="J1373" s="1" t="s">
        <v>379</v>
      </c>
      <c r="K1373" s="1" t="s">
        <v>55</v>
      </c>
      <c r="L1373" s="1" t="s">
        <v>380</v>
      </c>
      <c r="M1373" s="1">
        <v>1</v>
      </c>
      <c r="N1373" s="2">
        <v>49.4</v>
      </c>
      <c r="O1373" s="3">
        <v>76</v>
      </c>
      <c r="P1373" s="1">
        <v>5</v>
      </c>
      <c r="Q1373" s="1">
        <v>9</v>
      </c>
      <c r="R1373" s="1">
        <v>200010009724</v>
      </c>
      <c r="S1373" s="1">
        <v>50</v>
      </c>
      <c r="T1373" s="1">
        <v>1</v>
      </c>
      <c r="U1373" s="1">
        <v>2</v>
      </c>
    </row>
    <row r="1374" spans="1:21" x14ac:dyDescent="0.25">
      <c r="A1374" s="4">
        <v>44778</v>
      </c>
      <c r="B1374" s="5">
        <v>0.61282407407407402</v>
      </c>
      <c r="C1374" s="1">
        <v>1858</v>
      </c>
      <c r="D1374" s="1">
        <v>13002616</v>
      </c>
      <c r="E1374" s="1">
        <v>13</v>
      </c>
      <c r="F1374" s="1">
        <v>22589</v>
      </c>
      <c r="G1374" s="1" t="s">
        <v>18</v>
      </c>
      <c r="H1374" s="1">
        <v>15</v>
      </c>
      <c r="I1374" s="1">
        <v>296788</v>
      </c>
      <c r="J1374" s="1" t="s">
        <v>1177</v>
      </c>
      <c r="K1374" s="1" t="s">
        <v>26</v>
      </c>
      <c r="L1374" s="1" t="s">
        <v>544</v>
      </c>
      <c r="M1374" s="1">
        <v>1</v>
      </c>
      <c r="N1374" s="2">
        <v>379.73</v>
      </c>
      <c r="O1374" s="3">
        <v>502</v>
      </c>
      <c r="P1374" s="1">
        <v>35</v>
      </c>
      <c r="Q1374" s="1">
        <v>9</v>
      </c>
      <c r="R1374" s="1">
        <v>200010009724</v>
      </c>
      <c r="S1374" s="1">
        <v>50</v>
      </c>
      <c r="T1374" s="1">
        <v>1</v>
      </c>
      <c r="U1374" s="1">
        <v>1</v>
      </c>
    </row>
    <row r="1375" spans="1:21" x14ac:dyDescent="0.25">
      <c r="A1375" s="4">
        <v>44778</v>
      </c>
      <c r="B1375" s="5">
        <v>0.61927083333333333</v>
      </c>
      <c r="C1375" s="1">
        <v>1860</v>
      </c>
      <c r="D1375" s="1">
        <v>13002616</v>
      </c>
      <c r="E1375" s="1">
        <v>13</v>
      </c>
      <c r="F1375" s="1">
        <v>22589</v>
      </c>
      <c r="G1375" s="1" t="s">
        <v>18</v>
      </c>
      <c r="H1375" s="1">
        <v>15</v>
      </c>
      <c r="I1375" s="1">
        <v>435842</v>
      </c>
      <c r="J1375" s="1" t="s">
        <v>816</v>
      </c>
      <c r="K1375" s="1" t="s">
        <v>48</v>
      </c>
      <c r="L1375" s="1" t="s">
        <v>380</v>
      </c>
      <c r="M1375" s="1">
        <v>1</v>
      </c>
      <c r="N1375" s="2">
        <v>27.03</v>
      </c>
      <c r="O1375" s="3">
        <v>42</v>
      </c>
      <c r="P1375" s="1">
        <v>2</v>
      </c>
      <c r="Q1375" s="1">
        <v>9</v>
      </c>
      <c r="R1375" s="1">
        <v>200010016190</v>
      </c>
      <c r="S1375" s="1">
        <v>50</v>
      </c>
      <c r="T1375" s="1">
        <v>1</v>
      </c>
      <c r="U1375" s="1">
        <v>1</v>
      </c>
    </row>
    <row r="1376" spans="1:21" x14ac:dyDescent="0.25">
      <c r="A1376" s="4">
        <v>44778</v>
      </c>
      <c r="B1376" s="5">
        <v>0.63329861111111108</v>
      </c>
      <c r="C1376" s="1">
        <v>1863</v>
      </c>
      <c r="D1376" s="1">
        <v>13002616</v>
      </c>
      <c r="E1376" s="1">
        <v>13</v>
      </c>
      <c r="F1376" s="1">
        <v>22589</v>
      </c>
      <c r="G1376" s="1" t="s">
        <v>18</v>
      </c>
      <c r="H1376" s="1">
        <v>18</v>
      </c>
      <c r="I1376" s="1">
        <v>435842</v>
      </c>
      <c r="J1376" s="1" t="s">
        <v>816</v>
      </c>
      <c r="K1376" s="1" t="s">
        <v>48</v>
      </c>
      <c r="L1376" s="1" t="s">
        <v>380</v>
      </c>
      <c r="M1376" s="1">
        <v>1</v>
      </c>
      <c r="N1376" s="2">
        <v>27.03</v>
      </c>
      <c r="O1376" s="3">
        <v>42</v>
      </c>
      <c r="P1376" s="1">
        <v>0</v>
      </c>
      <c r="Q1376" s="1" t="s">
        <v>22</v>
      </c>
      <c r="R1376" s="1" t="s">
        <v>22</v>
      </c>
      <c r="S1376" s="1">
        <v>50</v>
      </c>
      <c r="T1376" s="1">
        <v>1</v>
      </c>
      <c r="U1376" s="1">
        <v>1</v>
      </c>
    </row>
    <row r="1377" spans="1:21" x14ac:dyDescent="0.25">
      <c r="A1377" s="4">
        <v>44778</v>
      </c>
      <c r="B1377" s="5">
        <v>0.62300925925925921</v>
      </c>
      <c r="C1377" s="1">
        <v>1861</v>
      </c>
      <c r="D1377" s="1">
        <v>13002616</v>
      </c>
      <c r="E1377" s="1">
        <v>13</v>
      </c>
      <c r="F1377" s="1">
        <v>22589</v>
      </c>
      <c r="G1377" s="1" t="s">
        <v>18</v>
      </c>
      <c r="H1377" s="1">
        <v>18</v>
      </c>
      <c r="I1377" s="1">
        <v>193385</v>
      </c>
      <c r="J1377" s="1" t="s">
        <v>1178</v>
      </c>
      <c r="K1377" s="1" t="s">
        <v>48</v>
      </c>
      <c r="L1377" s="1" t="s">
        <v>77</v>
      </c>
      <c r="M1377" s="1">
        <v>1</v>
      </c>
      <c r="N1377" s="2">
        <v>64.77</v>
      </c>
      <c r="O1377" s="3">
        <v>102</v>
      </c>
      <c r="P1377" s="1">
        <v>10</v>
      </c>
      <c r="Q1377" s="1">
        <v>9</v>
      </c>
      <c r="R1377" s="1">
        <v>200010023583</v>
      </c>
      <c r="S1377" s="1">
        <v>50</v>
      </c>
      <c r="T1377" s="1">
        <v>1</v>
      </c>
      <c r="U1377" s="1">
        <v>2</v>
      </c>
    </row>
    <row r="1378" spans="1:21" x14ac:dyDescent="0.25">
      <c r="A1378" s="4">
        <v>44778</v>
      </c>
      <c r="B1378" s="5">
        <v>0.62300925925925921</v>
      </c>
      <c r="C1378" s="1">
        <v>1861</v>
      </c>
      <c r="D1378" s="1">
        <v>13002616</v>
      </c>
      <c r="E1378" s="1">
        <v>13</v>
      </c>
      <c r="F1378" s="1">
        <v>22589</v>
      </c>
      <c r="G1378" s="1" t="s">
        <v>18</v>
      </c>
      <c r="H1378" s="1">
        <v>18</v>
      </c>
      <c r="I1378" s="1">
        <v>72603</v>
      </c>
      <c r="J1378" s="1" t="s">
        <v>265</v>
      </c>
      <c r="K1378" s="1" t="s">
        <v>48</v>
      </c>
      <c r="L1378" s="1" t="s">
        <v>266</v>
      </c>
      <c r="M1378" s="1">
        <v>1</v>
      </c>
      <c r="N1378" s="2">
        <v>29.11</v>
      </c>
      <c r="O1378" s="3">
        <v>48</v>
      </c>
      <c r="P1378" s="1">
        <v>4</v>
      </c>
      <c r="Q1378" s="1">
        <v>9</v>
      </c>
      <c r="R1378" s="1">
        <v>200010023583</v>
      </c>
      <c r="S1378" s="1">
        <v>50</v>
      </c>
      <c r="T1378" s="1">
        <v>1</v>
      </c>
      <c r="U1378" s="1">
        <v>1</v>
      </c>
    </row>
    <row r="1379" spans="1:21" x14ac:dyDescent="0.25">
      <c r="A1379" s="4">
        <v>44778</v>
      </c>
      <c r="B1379" s="5">
        <v>0.63206018518518514</v>
      </c>
      <c r="C1379" s="1">
        <v>1862</v>
      </c>
      <c r="D1379" s="1">
        <v>13002616</v>
      </c>
      <c r="E1379" s="1">
        <v>13</v>
      </c>
      <c r="F1379" s="1">
        <v>22589</v>
      </c>
      <c r="G1379" s="1" t="s">
        <v>18</v>
      </c>
      <c r="H1379" s="1">
        <v>18</v>
      </c>
      <c r="I1379" s="1">
        <v>84612</v>
      </c>
      <c r="J1379" s="1" t="s">
        <v>1179</v>
      </c>
      <c r="K1379" s="1" t="s">
        <v>42</v>
      </c>
      <c r="L1379" s="1" t="s">
        <v>1180</v>
      </c>
      <c r="M1379" s="1">
        <v>0.2</v>
      </c>
      <c r="N1379" s="2">
        <v>1470.75</v>
      </c>
      <c r="O1379" s="3">
        <v>1839</v>
      </c>
      <c r="P1379" s="1">
        <v>54.8</v>
      </c>
      <c r="Q1379" s="1">
        <v>27</v>
      </c>
      <c r="R1379" s="1">
        <v>200010000015</v>
      </c>
      <c r="S1379" s="1">
        <v>50</v>
      </c>
      <c r="T1379" s="1">
        <v>1</v>
      </c>
      <c r="U1379" s="1">
        <v>1</v>
      </c>
    </row>
    <row r="1380" spans="1:21" x14ac:dyDescent="0.25">
      <c r="A1380" s="4">
        <v>44778</v>
      </c>
      <c r="B1380" s="5">
        <v>0.63206018518518514</v>
      </c>
      <c r="C1380" s="1">
        <v>1862</v>
      </c>
      <c r="D1380" s="1">
        <v>13002616</v>
      </c>
      <c r="E1380" s="1">
        <v>13</v>
      </c>
      <c r="F1380" s="1">
        <v>22589</v>
      </c>
      <c r="G1380" s="1" t="s">
        <v>18</v>
      </c>
      <c r="H1380" s="1">
        <v>18</v>
      </c>
      <c r="I1380" s="1">
        <v>8327</v>
      </c>
      <c r="J1380" s="1" t="s">
        <v>1181</v>
      </c>
      <c r="K1380" s="1" t="s">
        <v>45</v>
      </c>
      <c r="L1380" s="1" t="s">
        <v>211</v>
      </c>
      <c r="M1380" s="1">
        <v>1</v>
      </c>
      <c r="N1380" s="2">
        <v>618.6</v>
      </c>
      <c r="O1380" s="3">
        <v>798</v>
      </c>
      <c r="P1380" s="1">
        <v>119</v>
      </c>
      <c r="Q1380" s="1">
        <v>27</v>
      </c>
      <c r="R1380" s="1">
        <v>200010000015</v>
      </c>
      <c r="S1380" s="1">
        <v>50</v>
      </c>
      <c r="T1380" s="1">
        <v>1</v>
      </c>
      <c r="U1380" s="1">
        <v>3</v>
      </c>
    </row>
    <row r="1381" spans="1:21" x14ac:dyDescent="0.25">
      <c r="A1381" s="4">
        <v>44778</v>
      </c>
      <c r="B1381" s="5">
        <v>0.63206018518518514</v>
      </c>
      <c r="C1381" s="1">
        <v>1862</v>
      </c>
      <c r="D1381" s="1">
        <v>13002616</v>
      </c>
      <c r="E1381" s="1">
        <v>13</v>
      </c>
      <c r="F1381" s="1">
        <v>22589</v>
      </c>
      <c r="G1381" s="1" t="s">
        <v>18</v>
      </c>
      <c r="H1381" s="1">
        <v>18</v>
      </c>
      <c r="I1381" s="1">
        <v>11519</v>
      </c>
      <c r="J1381" s="1" t="s">
        <v>1182</v>
      </c>
      <c r="K1381" s="1" t="s">
        <v>20</v>
      </c>
      <c r="L1381" s="1" t="s">
        <v>360</v>
      </c>
      <c r="M1381" s="1">
        <v>1</v>
      </c>
      <c r="N1381" s="2">
        <v>157.26</v>
      </c>
      <c r="O1381" s="3">
        <v>188</v>
      </c>
      <c r="P1381" s="1">
        <v>18</v>
      </c>
      <c r="Q1381" s="1">
        <v>27</v>
      </c>
      <c r="R1381" s="1">
        <v>200010000015</v>
      </c>
      <c r="S1381" s="1">
        <v>50</v>
      </c>
      <c r="T1381" s="1">
        <v>1</v>
      </c>
      <c r="U1381" s="1">
        <v>2</v>
      </c>
    </row>
    <row r="1382" spans="1:21" x14ac:dyDescent="0.25">
      <c r="A1382" s="4">
        <v>44778</v>
      </c>
      <c r="B1382" s="5">
        <v>0.64531249999999996</v>
      </c>
      <c r="C1382" s="1">
        <v>1864</v>
      </c>
      <c r="D1382" s="1">
        <v>13002616</v>
      </c>
      <c r="E1382" s="1">
        <v>13</v>
      </c>
      <c r="F1382" s="1">
        <v>22589</v>
      </c>
      <c r="G1382" s="1" t="s">
        <v>18</v>
      </c>
      <c r="H1382" s="1">
        <v>18</v>
      </c>
      <c r="I1382" s="1">
        <v>18199</v>
      </c>
      <c r="J1382" s="1" t="s">
        <v>1098</v>
      </c>
      <c r="K1382" s="1" t="s">
        <v>31</v>
      </c>
      <c r="L1382" s="1" t="s">
        <v>1099</v>
      </c>
      <c r="M1382" s="1">
        <v>1</v>
      </c>
      <c r="N1382" s="2">
        <v>118.7</v>
      </c>
      <c r="O1382" s="3">
        <v>163</v>
      </c>
      <c r="P1382" s="1">
        <v>0</v>
      </c>
      <c r="Q1382" s="1" t="s">
        <v>22</v>
      </c>
      <c r="R1382" s="1" t="s">
        <v>22</v>
      </c>
      <c r="S1382" s="1">
        <v>50</v>
      </c>
      <c r="T1382" s="1">
        <v>1</v>
      </c>
      <c r="U1382" s="1">
        <v>3</v>
      </c>
    </row>
    <row r="1383" spans="1:21" x14ac:dyDescent="0.25">
      <c r="A1383" s="4">
        <v>44778</v>
      </c>
      <c r="B1383" s="5">
        <v>0.64842592592592596</v>
      </c>
      <c r="C1383" s="1">
        <v>1865</v>
      </c>
      <c r="D1383" s="1">
        <v>13002616</v>
      </c>
      <c r="E1383" s="1">
        <v>13</v>
      </c>
      <c r="F1383" s="1">
        <v>22589</v>
      </c>
      <c r="G1383" s="1" t="s">
        <v>18</v>
      </c>
      <c r="H1383" s="1">
        <v>18</v>
      </c>
      <c r="I1383" s="1">
        <v>304</v>
      </c>
      <c r="J1383" s="1" t="s">
        <v>110</v>
      </c>
      <c r="K1383" s="1" t="s">
        <v>20</v>
      </c>
      <c r="L1383" s="1" t="s">
        <v>597</v>
      </c>
      <c r="M1383" s="1">
        <v>1</v>
      </c>
      <c r="N1383" s="2">
        <v>102.6</v>
      </c>
      <c r="O1383" s="3">
        <v>124</v>
      </c>
      <c r="P1383" s="1">
        <v>0</v>
      </c>
      <c r="Q1383" s="1" t="s">
        <v>22</v>
      </c>
      <c r="R1383" s="1" t="s">
        <v>22</v>
      </c>
      <c r="S1383" s="1">
        <v>50</v>
      </c>
      <c r="T1383" s="1">
        <v>1</v>
      </c>
      <c r="U1383" s="1">
        <v>1</v>
      </c>
    </row>
    <row r="1384" spans="1:21" x14ac:dyDescent="0.25">
      <c r="A1384" s="4">
        <v>44778</v>
      </c>
      <c r="B1384" s="5">
        <v>0.64842592592592596</v>
      </c>
      <c r="C1384" s="1">
        <v>1865</v>
      </c>
      <c r="D1384" s="1">
        <v>13002616</v>
      </c>
      <c r="E1384" s="1">
        <v>13</v>
      </c>
      <c r="F1384" s="1">
        <v>22589</v>
      </c>
      <c r="G1384" s="1" t="s">
        <v>18</v>
      </c>
      <c r="H1384" s="1">
        <v>18</v>
      </c>
      <c r="I1384" s="1">
        <v>141732</v>
      </c>
      <c r="J1384" s="1" t="s">
        <v>1183</v>
      </c>
      <c r="K1384" s="1" t="s">
        <v>31</v>
      </c>
      <c r="L1384" s="1" t="s">
        <v>766</v>
      </c>
      <c r="M1384" s="1">
        <v>0.2</v>
      </c>
      <c r="N1384" s="2">
        <v>1581.29</v>
      </c>
      <c r="O1384" s="3">
        <v>1945</v>
      </c>
      <c r="P1384" s="1">
        <v>0</v>
      </c>
      <c r="Q1384" s="1" t="s">
        <v>22</v>
      </c>
      <c r="R1384" s="1" t="s">
        <v>22</v>
      </c>
      <c r="S1384" s="1">
        <v>50</v>
      </c>
      <c r="T1384" s="1">
        <v>1</v>
      </c>
      <c r="U1384" s="1">
        <v>3</v>
      </c>
    </row>
    <row r="1385" spans="1:21" x14ac:dyDescent="0.25">
      <c r="A1385" s="4">
        <v>44778</v>
      </c>
      <c r="B1385" s="5">
        <v>0.64842592592592596</v>
      </c>
      <c r="C1385" s="1">
        <v>1865</v>
      </c>
      <c r="D1385" s="1">
        <v>13002616</v>
      </c>
      <c r="E1385" s="1">
        <v>13</v>
      </c>
      <c r="F1385" s="1">
        <v>22589</v>
      </c>
      <c r="G1385" s="1" t="s">
        <v>18</v>
      </c>
      <c r="H1385" s="1">
        <v>18</v>
      </c>
      <c r="I1385" s="1">
        <v>488355</v>
      </c>
      <c r="J1385" s="1" t="s">
        <v>1184</v>
      </c>
      <c r="K1385" s="1" t="s">
        <v>48</v>
      </c>
      <c r="L1385" s="1" t="s">
        <v>269</v>
      </c>
      <c r="M1385" s="1">
        <v>1</v>
      </c>
      <c r="N1385" s="2">
        <v>355.63</v>
      </c>
      <c r="O1385" s="3">
        <v>470</v>
      </c>
      <c r="P1385" s="1">
        <v>0</v>
      </c>
      <c r="Q1385" s="1" t="s">
        <v>22</v>
      </c>
      <c r="R1385" s="1" t="s">
        <v>22</v>
      </c>
      <c r="S1385" s="1">
        <v>50</v>
      </c>
      <c r="T1385" s="1">
        <v>1</v>
      </c>
      <c r="U1385" s="1">
        <v>5</v>
      </c>
    </row>
    <row r="1386" spans="1:21" x14ac:dyDescent="0.25">
      <c r="A1386" s="4">
        <v>44778</v>
      </c>
      <c r="B1386" s="5">
        <v>0.64842592592592596</v>
      </c>
      <c r="C1386" s="1">
        <v>1865</v>
      </c>
      <c r="D1386" s="1">
        <v>13002616</v>
      </c>
      <c r="E1386" s="1">
        <v>13</v>
      </c>
      <c r="F1386" s="1">
        <v>22589</v>
      </c>
      <c r="G1386" s="1" t="s">
        <v>18</v>
      </c>
      <c r="H1386" s="1">
        <v>18</v>
      </c>
      <c r="I1386" s="1">
        <v>6678</v>
      </c>
      <c r="J1386" s="1" t="s">
        <v>424</v>
      </c>
      <c r="K1386" s="1" t="s">
        <v>20</v>
      </c>
      <c r="L1386" s="1" t="s">
        <v>892</v>
      </c>
      <c r="M1386" s="1">
        <v>1</v>
      </c>
      <c r="N1386" s="2">
        <v>458.22</v>
      </c>
      <c r="O1386" s="3">
        <v>587</v>
      </c>
      <c r="P1386" s="1">
        <v>0</v>
      </c>
      <c r="Q1386" s="1" t="s">
        <v>22</v>
      </c>
      <c r="R1386" s="1" t="s">
        <v>22</v>
      </c>
      <c r="S1386" s="1">
        <v>50</v>
      </c>
      <c r="T1386" s="1">
        <v>1</v>
      </c>
      <c r="U1386" s="1">
        <v>2</v>
      </c>
    </row>
    <row r="1387" spans="1:21" x14ac:dyDescent="0.25">
      <c r="A1387" s="4">
        <v>44778</v>
      </c>
      <c r="B1387" s="5">
        <v>0.64842592592592596</v>
      </c>
      <c r="C1387" s="1">
        <v>1865</v>
      </c>
      <c r="D1387" s="1">
        <v>13002616</v>
      </c>
      <c r="E1387" s="1">
        <v>13</v>
      </c>
      <c r="F1387" s="1">
        <v>22589</v>
      </c>
      <c r="G1387" s="1" t="s">
        <v>18</v>
      </c>
      <c r="H1387" s="1">
        <v>18</v>
      </c>
      <c r="I1387" s="1">
        <v>101346</v>
      </c>
      <c r="J1387" s="1" t="s">
        <v>482</v>
      </c>
      <c r="K1387" s="1" t="s">
        <v>48</v>
      </c>
      <c r="L1387" s="1" t="s">
        <v>269</v>
      </c>
      <c r="M1387" s="1">
        <v>1</v>
      </c>
      <c r="N1387" s="2">
        <v>115.48</v>
      </c>
      <c r="O1387" s="3">
        <v>159</v>
      </c>
      <c r="P1387" s="1">
        <v>0</v>
      </c>
      <c r="Q1387" s="1" t="s">
        <v>22</v>
      </c>
      <c r="R1387" s="1" t="s">
        <v>22</v>
      </c>
      <c r="S1387" s="1">
        <v>50</v>
      </c>
      <c r="T1387" s="1">
        <v>1</v>
      </c>
      <c r="U1387" s="1">
        <v>4</v>
      </c>
    </row>
    <row r="1388" spans="1:21" x14ac:dyDescent="0.25">
      <c r="A1388" s="4">
        <v>44778</v>
      </c>
      <c r="B1388" s="5">
        <v>0.64960648148148148</v>
      </c>
      <c r="C1388" s="1">
        <v>1866</v>
      </c>
      <c r="D1388" s="1">
        <v>13002616</v>
      </c>
      <c r="E1388" s="1">
        <v>13</v>
      </c>
      <c r="F1388" s="1">
        <v>22589</v>
      </c>
      <c r="G1388" s="1" t="s">
        <v>18</v>
      </c>
      <c r="H1388" s="1">
        <v>18</v>
      </c>
      <c r="I1388" s="1">
        <v>2302</v>
      </c>
      <c r="J1388" s="1" t="s">
        <v>78</v>
      </c>
      <c r="K1388" s="1" t="s">
        <v>31</v>
      </c>
      <c r="L1388" s="1" t="s">
        <v>32</v>
      </c>
      <c r="M1388" s="1">
        <v>1</v>
      </c>
      <c r="N1388" s="2">
        <v>163.01</v>
      </c>
      <c r="O1388" s="3">
        <v>182</v>
      </c>
      <c r="P1388" s="1">
        <v>0</v>
      </c>
      <c r="Q1388" s="1" t="s">
        <v>22</v>
      </c>
      <c r="R1388" s="1" t="s">
        <v>22</v>
      </c>
      <c r="S1388" s="1">
        <v>50</v>
      </c>
      <c r="T1388" s="1">
        <v>2</v>
      </c>
      <c r="U1388" s="1">
        <v>3</v>
      </c>
    </row>
    <row r="1389" spans="1:21" x14ac:dyDescent="0.25">
      <c r="A1389" s="4">
        <v>44778</v>
      </c>
      <c r="B1389" s="5">
        <v>0.64960648148148148</v>
      </c>
      <c r="C1389" s="1">
        <v>1866</v>
      </c>
      <c r="D1389" s="1">
        <v>13002616</v>
      </c>
      <c r="E1389" s="1">
        <v>13</v>
      </c>
      <c r="F1389" s="1">
        <v>22589</v>
      </c>
      <c r="G1389" s="1" t="s">
        <v>18</v>
      </c>
      <c r="H1389" s="1">
        <v>18</v>
      </c>
      <c r="I1389" s="1">
        <v>438081</v>
      </c>
      <c r="J1389" s="1" t="s">
        <v>1185</v>
      </c>
      <c r="K1389" s="1" t="s">
        <v>31</v>
      </c>
      <c r="L1389" s="1" t="s">
        <v>73</v>
      </c>
      <c r="M1389" s="1">
        <v>1</v>
      </c>
      <c r="N1389" s="2">
        <v>122.4</v>
      </c>
      <c r="O1389" s="3">
        <v>137</v>
      </c>
      <c r="P1389" s="1">
        <v>0</v>
      </c>
      <c r="Q1389" s="1" t="s">
        <v>22</v>
      </c>
      <c r="R1389" s="1" t="s">
        <v>22</v>
      </c>
      <c r="S1389" s="1">
        <v>50</v>
      </c>
      <c r="T1389" s="1">
        <v>2</v>
      </c>
      <c r="U1389" s="1">
        <v>1</v>
      </c>
    </row>
    <row r="1390" spans="1:21" x14ac:dyDescent="0.25">
      <c r="A1390" s="4">
        <v>44778</v>
      </c>
      <c r="B1390" s="5">
        <v>0.64960648148148148</v>
      </c>
      <c r="C1390" s="1">
        <v>1866</v>
      </c>
      <c r="D1390" s="1">
        <v>13002616</v>
      </c>
      <c r="E1390" s="1">
        <v>13</v>
      </c>
      <c r="F1390" s="1">
        <v>22589</v>
      </c>
      <c r="G1390" s="1" t="s">
        <v>18</v>
      </c>
      <c r="H1390" s="1">
        <v>18</v>
      </c>
      <c r="I1390" s="1">
        <v>438081</v>
      </c>
      <c r="J1390" s="1" t="s">
        <v>1185</v>
      </c>
      <c r="K1390" s="1" t="s">
        <v>31</v>
      </c>
      <c r="L1390" s="1" t="s">
        <v>73</v>
      </c>
      <c r="M1390" s="1">
        <v>1</v>
      </c>
      <c r="N1390" s="2">
        <v>122.4</v>
      </c>
      <c r="O1390" s="3">
        <v>137</v>
      </c>
      <c r="P1390" s="1">
        <v>0</v>
      </c>
      <c r="Q1390" s="1" t="s">
        <v>22</v>
      </c>
      <c r="R1390" s="1" t="s">
        <v>22</v>
      </c>
      <c r="S1390" s="1">
        <v>50</v>
      </c>
      <c r="T1390" s="1">
        <v>2</v>
      </c>
      <c r="U1390" s="1">
        <v>2</v>
      </c>
    </row>
    <row r="1391" spans="1:21" x14ac:dyDescent="0.25">
      <c r="A1391" s="4">
        <v>44778</v>
      </c>
      <c r="B1391" s="5">
        <v>0.65141203703703698</v>
      </c>
      <c r="C1391" s="1">
        <v>1867</v>
      </c>
      <c r="D1391" s="1">
        <v>13002616</v>
      </c>
      <c r="E1391" s="1">
        <v>13</v>
      </c>
      <c r="F1391" s="1">
        <v>22589</v>
      </c>
      <c r="G1391" s="1" t="s">
        <v>18</v>
      </c>
      <c r="H1391" s="1">
        <v>15</v>
      </c>
      <c r="I1391" s="1">
        <v>278599</v>
      </c>
      <c r="J1391" s="1" t="s">
        <v>95</v>
      </c>
      <c r="K1391" s="1" t="s">
        <v>20</v>
      </c>
      <c r="L1391" s="1" t="s">
        <v>96</v>
      </c>
      <c r="M1391" s="1">
        <v>3</v>
      </c>
      <c r="N1391" s="2">
        <v>30.62</v>
      </c>
      <c r="O1391" s="3">
        <v>50</v>
      </c>
      <c r="P1391" s="1">
        <v>15</v>
      </c>
      <c r="Q1391" s="1">
        <v>9</v>
      </c>
      <c r="R1391" s="1">
        <v>200010014429</v>
      </c>
      <c r="S1391" s="1">
        <v>50</v>
      </c>
      <c r="T1391" s="1">
        <v>1</v>
      </c>
      <c r="U1391" s="1">
        <v>5</v>
      </c>
    </row>
    <row r="1392" spans="1:21" x14ac:dyDescent="0.25">
      <c r="A1392" s="4">
        <v>44778</v>
      </c>
      <c r="B1392" s="5">
        <v>0.65141203703703698</v>
      </c>
      <c r="C1392" s="1">
        <v>1867</v>
      </c>
      <c r="D1392" s="1">
        <v>13002616</v>
      </c>
      <c r="E1392" s="1">
        <v>13</v>
      </c>
      <c r="F1392" s="1">
        <v>22589</v>
      </c>
      <c r="G1392" s="1" t="s">
        <v>18</v>
      </c>
      <c r="H1392" s="1">
        <v>15</v>
      </c>
      <c r="I1392" s="1">
        <v>435523</v>
      </c>
      <c r="J1392" s="1" t="s">
        <v>169</v>
      </c>
      <c r="K1392" s="1" t="s">
        <v>61</v>
      </c>
      <c r="L1392" s="1" t="s">
        <v>170</v>
      </c>
      <c r="M1392" s="1">
        <v>1</v>
      </c>
      <c r="N1392" s="2">
        <v>25.48</v>
      </c>
      <c r="O1392" s="3">
        <v>39</v>
      </c>
      <c r="P1392" s="1">
        <v>2</v>
      </c>
      <c r="Q1392" s="1">
        <v>9</v>
      </c>
      <c r="R1392" s="1">
        <v>200010014429</v>
      </c>
      <c r="S1392" s="1">
        <v>50</v>
      </c>
      <c r="T1392" s="1">
        <v>1</v>
      </c>
      <c r="U1392" s="1">
        <v>4</v>
      </c>
    </row>
    <row r="1393" spans="1:21" x14ac:dyDescent="0.25">
      <c r="A1393" s="4">
        <v>44778</v>
      </c>
      <c r="B1393" s="5">
        <v>0.65265046296296292</v>
      </c>
      <c r="C1393" s="1">
        <v>1868</v>
      </c>
      <c r="D1393" s="1">
        <v>13002616</v>
      </c>
      <c r="E1393" s="1">
        <v>13</v>
      </c>
      <c r="F1393" s="1">
        <v>22589</v>
      </c>
      <c r="G1393" s="1" t="s">
        <v>18</v>
      </c>
      <c r="H1393" s="1">
        <v>15</v>
      </c>
      <c r="I1393" s="1">
        <v>434298</v>
      </c>
      <c r="J1393" s="1" t="s">
        <v>825</v>
      </c>
      <c r="K1393" s="1" t="s">
        <v>26</v>
      </c>
      <c r="L1393" s="1" t="s">
        <v>332</v>
      </c>
      <c r="M1393" s="1">
        <v>1</v>
      </c>
      <c r="N1393" s="2">
        <v>85.97</v>
      </c>
      <c r="O1393" s="3">
        <v>123</v>
      </c>
      <c r="P1393" s="1">
        <v>8</v>
      </c>
      <c r="Q1393" s="1">
        <v>9</v>
      </c>
      <c r="R1393" s="1">
        <v>200010014429</v>
      </c>
      <c r="S1393" s="1">
        <v>50</v>
      </c>
      <c r="T1393" s="1">
        <v>1</v>
      </c>
      <c r="U1393" s="1">
        <v>1</v>
      </c>
    </row>
    <row r="1394" spans="1:21" x14ac:dyDescent="0.25">
      <c r="A1394" s="4">
        <v>44778</v>
      </c>
      <c r="B1394" s="5">
        <v>0.65452546296296299</v>
      </c>
      <c r="C1394" s="1">
        <v>1869</v>
      </c>
      <c r="D1394" s="1">
        <v>13002616</v>
      </c>
      <c r="E1394" s="1">
        <v>13</v>
      </c>
      <c r="F1394" s="1">
        <v>22589</v>
      </c>
      <c r="G1394" s="1" t="s">
        <v>18</v>
      </c>
      <c r="H1394" s="1">
        <v>18</v>
      </c>
      <c r="I1394" s="1">
        <v>1279</v>
      </c>
      <c r="J1394" s="1" t="s">
        <v>1186</v>
      </c>
      <c r="K1394" s="1" t="s">
        <v>20</v>
      </c>
      <c r="L1394" s="1" t="s">
        <v>1187</v>
      </c>
      <c r="M1394" s="1">
        <v>1</v>
      </c>
      <c r="N1394" s="2">
        <v>378.31</v>
      </c>
      <c r="O1394" s="3">
        <v>500</v>
      </c>
      <c r="P1394" s="1">
        <v>0</v>
      </c>
      <c r="Q1394" s="1" t="s">
        <v>22</v>
      </c>
      <c r="R1394" s="1" t="s">
        <v>22</v>
      </c>
      <c r="S1394" s="1">
        <v>50</v>
      </c>
      <c r="T1394" s="1">
        <v>1</v>
      </c>
      <c r="U1394" s="1">
        <v>2</v>
      </c>
    </row>
    <row r="1395" spans="1:21" x14ac:dyDescent="0.25">
      <c r="A1395" s="4">
        <v>44778</v>
      </c>
      <c r="B1395" s="5">
        <v>0.65452546296296299</v>
      </c>
      <c r="C1395" s="1">
        <v>1869</v>
      </c>
      <c r="D1395" s="1">
        <v>13002616</v>
      </c>
      <c r="E1395" s="1">
        <v>13</v>
      </c>
      <c r="F1395" s="1">
        <v>22589</v>
      </c>
      <c r="G1395" s="1" t="s">
        <v>18</v>
      </c>
      <c r="H1395" s="1">
        <v>18</v>
      </c>
      <c r="I1395" s="1">
        <v>22260</v>
      </c>
      <c r="J1395" s="1" t="s">
        <v>1188</v>
      </c>
      <c r="K1395" s="1" t="s">
        <v>48</v>
      </c>
      <c r="L1395" s="1" t="s">
        <v>1189</v>
      </c>
      <c r="M1395" s="1">
        <v>1</v>
      </c>
      <c r="N1395" s="2">
        <v>112.63</v>
      </c>
      <c r="O1395" s="3">
        <v>175</v>
      </c>
      <c r="P1395" s="1">
        <v>0</v>
      </c>
      <c r="Q1395" s="1" t="s">
        <v>22</v>
      </c>
      <c r="R1395" s="1" t="s">
        <v>22</v>
      </c>
      <c r="S1395" s="1">
        <v>50</v>
      </c>
      <c r="T1395" s="1">
        <v>1</v>
      </c>
      <c r="U1395" s="1">
        <v>3</v>
      </c>
    </row>
    <row r="1396" spans="1:21" x14ac:dyDescent="0.25">
      <c r="A1396" s="4">
        <v>44778</v>
      </c>
      <c r="B1396" s="5">
        <v>0.65650462962962963</v>
      </c>
      <c r="C1396" s="1">
        <v>1870</v>
      </c>
      <c r="D1396" s="1">
        <v>13002616</v>
      </c>
      <c r="E1396" s="1">
        <v>13</v>
      </c>
      <c r="F1396" s="1">
        <v>22589</v>
      </c>
      <c r="G1396" s="1" t="s">
        <v>18</v>
      </c>
      <c r="H1396" s="1">
        <v>18</v>
      </c>
      <c r="I1396" s="1">
        <v>101272</v>
      </c>
      <c r="J1396" s="1" t="s">
        <v>842</v>
      </c>
      <c r="K1396" s="1" t="s">
        <v>31</v>
      </c>
      <c r="L1396" s="1" t="s">
        <v>1036</v>
      </c>
      <c r="M1396" s="1">
        <v>1</v>
      </c>
      <c r="N1396" s="2">
        <v>558.12</v>
      </c>
      <c r="O1396" s="3">
        <v>720</v>
      </c>
      <c r="P1396" s="1">
        <v>0</v>
      </c>
      <c r="Q1396" s="1" t="s">
        <v>22</v>
      </c>
      <c r="R1396" s="1" t="s">
        <v>22</v>
      </c>
      <c r="S1396" s="1">
        <v>50</v>
      </c>
      <c r="T1396" s="1">
        <v>1</v>
      </c>
      <c r="U1396" s="1">
        <v>1</v>
      </c>
    </row>
    <row r="1397" spans="1:21" x14ac:dyDescent="0.25">
      <c r="A1397" s="4">
        <v>44778</v>
      </c>
      <c r="B1397" s="5">
        <v>0.66655092592592591</v>
      </c>
      <c r="C1397" s="1">
        <v>1871</v>
      </c>
      <c r="D1397" s="1">
        <v>13002616</v>
      </c>
      <c r="E1397" s="1">
        <v>13</v>
      </c>
      <c r="F1397" s="1">
        <v>22589</v>
      </c>
      <c r="G1397" s="1" t="s">
        <v>18</v>
      </c>
      <c r="H1397" s="1">
        <v>18</v>
      </c>
      <c r="I1397" s="1">
        <v>262515</v>
      </c>
      <c r="J1397" s="1" t="s">
        <v>1190</v>
      </c>
      <c r="K1397" s="1" t="s">
        <v>48</v>
      </c>
      <c r="L1397" s="1" t="s">
        <v>630</v>
      </c>
      <c r="M1397" s="1">
        <v>1</v>
      </c>
      <c r="N1397" s="2">
        <v>113.63</v>
      </c>
      <c r="O1397" s="3">
        <v>137</v>
      </c>
      <c r="P1397" s="1">
        <v>0</v>
      </c>
      <c r="Q1397" s="1" t="s">
        <v>22</v>
      </c>
      <c r="R1397" s="1" t="s">
        <v>22</v>
      </c>
      <c r="S1397" s="1">
        <v>50</v>
      </c>
      <c r="T1397" s="1">
        <v>1</v>
      </c>
      <c r="U1397" s="1">
        <v>1</v>
      </c>
    </row>
    <row r="1398" spans="1:21" x14ac:dyDescent="0.25">
      <c r="A1398" s="4">
        <v>44778</v>
      </c>
      <c r="B1398" s="5">
        <v>0.67054398148148153</v>
      </c>
      <c r="C1398" s="1">
        <v>1872</v>
      </c>
      <c r="D1398" s="1">
        <v>13002616</v>
      </c>
      <c r="E1398" s="1">
        <v>13</v>
      </c>
      <c r="F1398" s="1">
        <v>22589</v>
      </c>
      <c r="G1398" s="1" t="s">
        <v>18</v>
      </c>
      <c r="H1398" s="1">
        <v>18</v>
      </c>
      <c r="I1398" s="1">
        <v>4800</v>
      </c>
      <c r="J1398" s="1" t="s">
        <v>251</v>
      </c>
      <c r="K1398" s="1" t="s">
        <v>20</v>
      </c>
      <c r="L1398" s="1" t="s">
        <v>252</v>
      </c>
      <c r="M1398" s="1">
        <v>1</v>
      </c>
      <c r="N1398" s="2">
        <v>42.43</v>
      </c>
      <c r="O1398" s="3">
        <v>53</v>
      </c>
      <c r="P1398" s="1">
        <v>2</v>
      </c>
      <c r="Q1398" s="1">
        <v>9</v>
      </c>
      <c r="R1398" s="1">
        <v>200010023937</v>
      </c>
      <c r="S1398" s="1">
        <v>50</v>
      </c>
      <c r="T1398" s="1">
        <v>1</v>
      </c>
      <c r="U1398" s="1">
        <v>1</v>
      </c>
    </row>
    <row r="1399" spans="1:21" x14ac:dyDescent="0.25">
      <c r="A1399" s="4">
        <v>44778</v>
      </c>
      <c r="B1399" s="5">
        <v>0.67054398148148153</v>
      </c>
      <c r="C1399" s="1">
        <v>1872</v>
      </c>
      <c r="D1399" s="1">
        <v>13002616</v>
      </c>
      <c r="E1399" s="1">
        <v>13</v>
      </c>
      <c r="F1399" s="1">
        <v>22589</v>
      </c>
      <c r="G1399" s="1" t="s">
        <v>18</v>
      </c>
      <c r="H1399" s="1">
        <v>18</v>
      </c>
      <c r="I1399" s="1">
        <v>4800</v>
      </c>
      <c r="J1399" s="1" t="s">
        <v>251</v>
      </c>
      <c r="K1399" s="1" t="s">
        <v>20</v>
      </c>
      <c r="L1399" s="1" t="s">
        <v>252</v>
      </c>
      <c r="M1399" s="1">
        <v>1</v>
      </c>
      <c r="N1399" s="2">
        <v>42.43</v>
      </c>
      <c r="O1399" s="3">
        <v>53</v>
      </c>
      <c r="P1399" s="1">
        <v>2</v>
      </c>
      <c r="Q1399" s="1">
        <v>9</v>
      </c>
      <c r="R1399" s="1">
        <v>200010023937</v>
      </c>
      <c r="S1399" s="1">
        <v>50</v>
      </c>
      <c r="T1399" s="1">
        <v>1</v>
      </c>
      <c r="U1399" s="1">
        <v>2</v>
      </c>
    </row>
    <row r="1400" spans="1:21" x14ac:dyDescent="0.25">
      <c r="A1400" s="4">
        <v>44778</v>
      </c>
      <c r="B1400" s="5">
        <v>0.67054398148148153</v>
      </c>
      <c r="C1400" s="1">
        <v>1872</v>
      </c>
      <c r="D1400" s="1">
        <v>13002616</v>
      </c>
      <c r="E1400" s="1">
        <v>13</v>
      </c>
      <c r="F1400" s="1">
        <v>22589</v>
      </c>
      <c r="G1400" s="1" t="s">
        <v>18</v>
      </c>
      <c r="H1400" s="1">
        <v>18</v>
      </c>
      <c r="I1400" s="1">
        <v>265247</v>
      </c>
      <c r="J1400" s="1" t="s">
        <v>1191</v>
      </c>
      <c r="K1400" s="1" t="s">
        <v>48</v>
      </c>
      <c r="L1400" s="1" t="s">
        <v>822</v>
      </c>
      <c r="M1400" s="1">
        <v>1</v>
      </c>
      <c r="N1400" s="2">
        <v>141.6</v>
      </c>
      <c r="O1400" s="3">
        <v>168</v>
      </c>
      <c r="P1400" s="1">
        <v>8</v>
      </c>
      <c r="Q1400" s="1">
        <v>9</v>
      </c>
      <c r="R1400" s="1">
        <v>200010023937</v>
      </c>
      <c r="S1400" s="1">
        <v>50</v>
      </c>
      <c r="T1400" s="1">
        <v>1</v>
      </c>
      <c r="U1400" s="1">
        <v>3</v>
      </c>
    </row>
    <row r="1401" spans="1:21" x14ac:dyDescent="0.25">
      <c r="A1401" s="4">
        <v>44778</v>
      </c>
      <c r="B1401" s="5">
        <v>0.68244212962962958</v>
      </c>
      <c r="C1401" s="1">
        <v>1873</v>
      </c>
      <c r="D1401" s="1">
        <v>13002616</v>
      </c>
      <c r="E1401" s="1">
        <v>13</v>
      </c>
      <c r="F1401" s="1">
        <v>22589</v>
      </c>
      <c r="G1401" s="1" t="s">
        <v>18</v>
      </c>
      <c r="H1401" s="1">
        <v>15</v>
      </c>
      <c r="I1401" s="1">
        <v>48362</v>
      </c>
      <c r="J1401" s="1" t="s">
        <v>1192</v>
      </c>
      <c r="K1401" s="1" t="s">
        <v>58</v>
      </c>
      <c r="L1401" s="1" t="s">
        <v>474</v>
      </c>
      <c r="M1401" s="1">
        <v>1</v>
      </c>
      <c r="N1401" s="2">
        <v>632.94000000000005</v>
      </c>
      <c r="O1401" s="3">
        <v>702</v>
      </c>
      <c r="P1401" s="1">
        <v>21</v>
      </c>
      <c r="Q1401" s="1">
        <v>9</v>
      </c>
      <c r="R1401" s="1">
        <v>200010020479</v>
      </c>
      <c r="S1401" s="1">
        <v>50</v>
      </c>
      <c r="T1401" s="1">
        <v>1</v>
      </c>
      <c r="U1401" s="1">
        <v>2</v>
      </c>
    </row>
    <row r="1402" spans="1:21" x14ac:dyDescent="0.25">
      <c r="A1402" s="4">
        <v>44778</v>
      </c>
      <c r="B1402" s="5">
        <v>0.68244212962962958</v>
      </c>
      <c r="C1402" s="1">
        <v>1873</v>
      </c>
      <c r="D1402" s="1">
        <v>13002616</v>
      </c>
      <c r="E1402" s="1">
        <v>13</v>
      </c>
      <c r="F1402" s="1">
        <v>22589</v>
      </c>
      <c r="G1402" s="1" t="s">
        <v>18</v>
      </c>
      <c r="H1402" s="1">
        <v>15</v>
      </c>
      <c r="I1402" s="1">
        <v>276812</v>
      </c>
      <c r="J1402" s="1" t="s">
        <v>1193</v>
      </c>
      <c r="K1402" s="1" t="s">
        <v>42</v>
      </c>
      <c r="L1402" s="1" t="s">
        <v>266</v>
      </c>
      <c r="M1402" s="1">
        <v>1</v>
      </c>
      <c r="N1402" s="2">
        <v>210.89</v>
      </c>
      <c r="O1402" s="3">
        <v>285</v>
      </c>
      <c r="P1402" s="1">
        <v>19</v>
      </c>
      <c r="Q1402" s="1">
        <v>9</v>
      </c>
      <c r="R1402" s="1">
        <v>200010020479</v>
      </c>
      <c r="S1402" s="1">
        <v>50</v>
      </c>
      <c r="T1402" s="1">
        <v>1</v>
      </c>
      <c r="U1402" s="1">
        <v>1</v>
      </c>
    </row>
    <row r="1403" spans="1:21" x14ac:dyDescent="0.25">
      <c r="A1403" s="4">
        <v>44778</v>
      </c>
      <c r="B1403" s="5">
        <v>0.68760416666666668</v>
      </c>
      <c r="C1403" s="1">
        <v>1874</v>
      </c>
      <c r="D1403" s="1">
        <v>13002616</v>
      </c>
      <c r="E1403" s="1">
        <v>13</v>
      </c>
      <c r="F1403" s="1">
        <v>22589</v>
      </c>
      <c r="G1403" s="1" t="s">
        <v>18</v>
      </c>
      <c r="H1403" s="1">
        <v>15</v>
      </c>
      <c r="I1403" s="1">
        <v>114181</v>
      </c>
      <c r="J1403" s="1" t="s">
        <v>1194</v>
      </c>
      <c r="K1403" s="1" t="s">
        <v>26</v>
      </c>
      <c r="L1403" s="1" t="s">
        <v>799</v>
      </c>
      <c r="M1403" s="1">
        <v>1</v>
      </c>
      <c r="N1403" s="2">
        <v>171.46</v>
      </c>
      <c r="O1403" s="3">
        <v>235</v>
      </c>
      <c r="P1403" s="1">
        <v>0</v>
      </c>
      <c r="Q1403" s="1" t="s">
        <v>22</v>
      </c>
      <c r="R1403" s="1" t="s">
        <v>22</v>
      </c>
      <c r="S1403" s="1">
        <v>50</v>
      </c>
      <c r="T1403" s="1">
        <v>1</v>
      </c>
      <c r="U1403" s="1">
        <v>1</v>
      </c>
    </row>
    <row r="1404" spans="1:21" x14ac:dyDescent="0.25">
      <c r="A1404" s="4">
        <v>44778</v>
      </c>
      <c r="B1404" s="5">
        <v>0.68890046296296292</v>
      </c>
      <c r="C1404" s="1">
        <v>1875</v>
      </c>
      <c r="D1404" s="1">
        <v>13002616</v>
      </c>
      <c r="E1404" s="1">
        <v>13</v>
      </c>
      <c r="F1404" s="1">
        <v>22589</v>
      </c>
      <c r="G1404" s="1" t="s">
        <v>18</v>
      </c>
      <c r="H1404" s="1">
        <v>15</v>
      </c>
      <c r="I1404" s="1">
        <v>340098</v>
      </c>
      <c r="J1404" s="1" t="s">
        <v>393</v>
      </c>
      <c r="K1404" s="1" t="s">
        <v>48</v>
      </c>
      <c r="L1404" s="1" t="s">
        <v>394</v>
      </c>
      <c r="M1404" s="1">
        <v>1</v>
      </c>
      <c r="N1404" s="2">
        <v>74.400000000000006</v>
      </c>
      <c r="O1404" s="3">
        <v>106</v>
      </c>
      <c r="P1404" s="1">
        <v>7</v>
      </c>
      <c r="Q1404" s="1">
        <v>9</v>
      </c>
      <c r="R1404" s="1">
        <v>200010003394</v>
      </c>
      <c r="S1404" s="1">
        <v>50</v>
      </c>
      <c r="T1404" s="1">
        <v>1</v>
      </c>
      <c r="U1404" s="1">
        <v>2</v>
      </c>
    </row>
    <row r="1405" spans="1:21" x14ac:dyDescent="0.25">
      <c r="A1405" s="4">
        <v>44778</v>
      </c>
      <c r="B1405" s="5">
        <v>0.68890046296296292</v>
      </c>
      <c r="C1405" s="1">
        <v>1875</v>
      </c>
      <c r="D1405" s="1">
        <v>13002616</v>
      </c>
      <c r="E1405" s="1">
        <v>13</v>
      </c>
      <c r="F1405" s="1">
        <v>22589</v>
      </c>
      <c r="G1405" s="1" t="s">
        <v>18</v>
      </c>
      <c r="H1405" s="1">
        <v>15</v>
      </c>
      <c r="I1405" s="1">
        <v>16026</v>
      </c>
      <c r="J1405" s="1" t="s">
        <v>854</v>
      </c>
      <c r="K1405" s="1" t="s">
        <v>31</v>
      </c>
      <c r="L1405" s="1" t="s">
        <v>385</v>
      </c>
      <c r="M1405" s="1">
        <v>1</v>
      </c>
      <c r="N1405" s="2">
        <v>555.70000000000005</v>
      </c>
      <c r="O1405" s="3">
        <v>640</v>
      </c>
      <c r="P1405" s="1">
        <v>44</v>
      </c>
      <c r="Q1405" s="1">
        <v>9</v>
      </c>
      <c r="R1405" s="1">
        <v>200010003394</v>
      </c>
      <c r="S1405" s="1">
        <v>50</v>
      </c>
      <c r="T1405" s="1">
        <v>1</v>
      </c>
      <c r="U1405" s="1">
        <v>1</v>
      </c>
    </row>
    <row r="1406" spans="1:21" x14ac:dyDescent="0.25">
      <c r="A1406" s="4">
        <v>44778</v>
      </c>
      <c r="B1406" s="5">
        <v>0.69196759259259255</v>
      </c>
      <c r="C1406" s="1">
        <v>1876</v>
      </c>
      <c r="D1406" s="1">
        <v>13002616</v>
      </c>
      <c r="E1406" s="1">
        <v>13</v>
      </c>
      <c r="F1406" s="1">
        <v>22589</v>
      </c>
      <c r="G1406" s="1" t="s">
        <v>18</v>
      </c>
      <c r="H1406" s="1">
        <v>18</v>
      </c>
      <c r="I1406" s="1">
        <v>300319</v>
      </c>
      <c r="J1406" s="1" t="s">
        <v>1195</v>
      </c>
      <c r="K1406" s="1" t="s">
        <v>20</v>
      </c>
      <c r="L1406" s="1" t="s">
        <v>36</v>
      </c>
      <c r="M1406" s="1">
        <v>1</v>
      </c>
      <c r="N1406" s="2">
        <v>317.11</v>
      </c>
      <c r="O1406" s="3">
        <v>419</v>
      </c>
      <c r="P1406" s="1">
        <v>29</v>
      </c>
      <c r="Q1406" s="1">
        <v>9</v>
      </c>
      <c r="R1406" s="1">
        <v>200010022526</v>
      </c>
      <c r="S1406" s="1">
        <v>50</v>
      </c>
      <c r="T1406" s="1">
        <v>1</v>
      </c>
      <c r="U1406" s="1">
        <v>1</v>
      </c>
    </row>
    <row r="1407" spans="1:21" x14ac:dyDescent="0.25">
      <c r="A1407" s="4">
        <v>44778</v>
      </c>
      <c r="B1407" s="5">
        <v>0.71643518518518523</v>
      </c>
      <c r="C1407" s="1">
        <v>1878</v>
      </c>
      <c r="D1407" s="1">
        <v>13002616</v>
      </c>
      <c r="E1407" s="1">
        <v>13</v>
      </c>
      <c r="F1407" s="1">
        <v>22589</v>
      </c>
      <c r="G1407" s="1" t="s">
        <v>18</v>
      </c>
      <c r="H1407" s="1">
        <v>15</v>
      </c>
      <c r="I1407" s="1">
        <v>342435</v>
      </c>
      <c r="J1407" s="1" t="s">
        <v>863</v>
      </c>
      <c r="K1407" s="1" t="s">
        <v>20</v>
      </c>
      <c r="L1407" s="1" t="s">
        <v>225</v>
      </c>
      <c r="M1407" s="1">
        <v>1</v>
      </c>
      <c r="N1407" s="2">
        <v>34.32</v>
      </c>
      <c r="O1407" s="3">
        <v>53</v>
      </c>
      <c r="P1407" s="1">
        <v>0</v>
      </c>
      <c r="Q1407" s="1" t="s">
        <v>22</v>
      </c>
      <c r="R1407" s="1" t="s">
        <v>22</v>
      </c>
      <c r="S1407" s="1">
        <v>50</v>
      </c>
      <c r="T1407" s="1">
        <v>1</v>
      </c>
      <c r="U1407" s="1">
        <v>5</v>
      </c>
    </row>
    <row r="1408" spans="1:21" x14ac:dyDescent="0.25">
      <c r="A1408" s="4">
        <v>44778</v>
      </c>
      <c r="B1408" s="5">
        <v>0.76478009259259261</v>
      </c>
      <c r="C1408" s="1">
        <v>1887</v>
      </c>
      <c r="D1408" s="1">
        <v>13002616</v>
      </c>
      <c r="E1408" s="1">
        <v>13</v>
      </c>
      <c r="F1408" s="1">
        <v>22589</v>
      </c>
      <c r="G1408" s="1" t="s">
        <v>18</v>
      </c>
      <c r="H1408" s="1">
        <v>18</v>
      </c>
      <c r="I1408" s="1">
        <v>342435</v>
      </c>
      <c r="J1408" s="1" t="s">
        <v>863</v>
      </c>
      <c r="K1408" s="1" t="s">
        <v>20</v>
      </c>
      <c r="L1408" s="1" t="s">
        <v>225</v>
      </c>
      <c r="M1408" s="1">
        <v>1</v>
      </c>
      <c r="N1408" s="2">
        <v>34.32</v>
      </c>
      <c r="O1408" s="3">
        <v>53</v>
      </c>
      <c r="P1408" s="1">
        <v>0</v>
      </c>
      <c r="Q1408" s="1" t="s">
        <v>22</v>
      </c>
      <c r="R1408" s="1" t="s">
        <v>22</v>
      </c>
      <c r="S1408" s="1">
        <v>50</v>
      </c>
      <c r="T1408" s="1">
        <v>1</v>
      </c>
      <c r="U1408" s="1">
        <v>1</v>
      </c>
    </row>
    <row r="1409" spans="1:21" x14ac:dyDescent="0.25">
      <c r="A1409" s="4">
        <v>44778</v>
      </c>
      <c r="B1409" s="5">
        <v>0.71643518518518523</v>
      </c>
      <c r="C1409" s="1">
        <v>1878</v>
      </c>
      <c r="D1409" s="1">
        <v>13002616</v>
      </c>
      <c r="E1409" s="1">
        <v>13</v>
      </c>
      <c r="F1409" s="1">
        <v>22589</v>
      </c>
      <c r="G1409" s="1" t="s">
        <v>18</v>
      </c>
      <c r="H1409" s="1">
        <v>15</v>
      </c>
      <c r="I1409" s="1">
        <v>519407</v>
      </c>
      <c r="J1409" s="1" t="s">
        <v>87</v>
      </c>
      <c r="K1409" s="1" t="s">
        <v>48</v>
      </c>
      <c r="L1409" s="1" t="s">
        <v>88</v>
      </c>
      <c r="M1409" s="1">
        <v>1</v>
      </c>
      <c r="N1409" s="2">
        <v>34.25</v>
      </c>
      <c r="O1409" s="3">
        <v>53</v>
      </c>
      <c r="P1409" s="1">
        <v>0</v>
      </c>
      <c r="Q1409" s="1" t="s">
        <v>22</v>
      </c>
      <c r="R1409" s="1" t="s">
        <v>22</v>
      </c>
      <c r="S1409" s="1">
        <v>50</v>
      </c>
      <c r="T1409" s="1">
        <v>1</v>
      </c>
      <c r="U1409" s="1">
        <v>1</v>
      </c>
    </row>
    <row r="1410" spans="1:21" x14ac:dyDescent="0.25">
      <c r="A1410" s="4">
        <v>44778</v>
      </c>
      <c r="B1410" s="5">
        <v>0.71643518518518523</v>
      </c>
      <c r="C1410" s="1">
        <v>1878</v>
      </c>
      <c r="D1410" s="1">
        <v>13002616</v>
      </c>
      <c r="E1410" s="1">
        <v>13</v>
      </c>
      <c r="F1410" s="1">
        <v>22589</v>
      </c>
      <c r="G1410" s="1" t="s">
        <v>18</v>
      </c>
      <c r="H1410" s="1">
        <v>15</v>
      </c>
      <c r="I1410" s="1">
        <v>393314</v>
      </c>
      <c r="J1410" s="1" t="s">
        <v>267</v>
      </c>
      <c r="K1410" s="1" t="s">
        <v>48</v>
      </c>
      <c r="L1410" s="1" t="s">
        <v>73</v>
      </c>
      <c r="M1410" s="1">
        <v>1</v>
      </c>
      <c r="N1410" s="2">
        <v>42.82</v>
      </c>
      <c r="O1410" s="3">
        <v>66</v>
      </c>
      <c r="P1410" s="1">
        <v>0</v>
      </c>
      <c r="Q1410" s="1" t="s">
        <v>22</v>
      </c>
      <c r="R1410" s="1" t="s">
        <v>22</v>
      </c>
      <c r="S1410" s="1">
        <v>50</v>
      </c>
      <c r="T1410" s="1">
        <v>1</v>
      </c>
      <c r="U1410" s="1">
        <v>6</v>
      </c>
    </row>
    <row r="1411" spans="1:21" x14ac:dyDescent="0.25">
      <c r="A1411" s="4">
        <v>44778</v>
      </c>
      <c r="B1411" s="5">
        <v>0.78909722222222223</v>
      </c>
      <c r="C1411" s="1">
        <v>1895</v>
      </c>
      <c r="D1411" s="1">
        <v>13002616</v>
      </c>
      <c r="E1411" s="1">
        <v>13</v>
      </c>
      <c r="F1411" s="1">
        <v>22589</v>
      </c>
      <c r="G1411" s="1" t="s">
        <v>18</v>
      </c>
      <c r="H1411" s="1">
        <v>18</v>
      </c>
      <c r="I1411" s="1">
        <v>393314</v>
      </c>
      <c r="J1411" s="1" t="s">
        <v>267</v>
      </c>
      <c r="K1411" s="1" t="s">
        <v>48</v>
      </c>
      <c r="L1411" s="1" t="s">
        <v>73</v>
      </c>
      <c r="M1411" s="1">
        <v>1</v>
      </c>
      <c r="N1411" s="2">
        <v>42.82</v>
      </c>
      <c r="O1411" s="3">
        <v>66</v>
      </c>
      <c r="P1411" s="1">
        <v>0</v>
      </c>
      <c r="Q1411" s="1" t="s">
        <v>22</v>
      </c>
      <c r="R1411" s="1" t="s">
        <v>22</v>
      </c>
      <c r="S1411" s="1">
        <v>50</v>
      </c>
      <c r="T1411" s="1">
        <v>1</v>
      </c>
      <c r="U1411" s="1">
        <v>2</v>
      </c>
    </row>
    <row r="1412" spans="1:21" x14ac:dyDescent="0.25">
      <c r="A1412" s="4">
        <v>44778</v>
      </c>
      <c r="B1412" s="5">
        <v>0.71643518518518523</v>
      </c>
      <c r="C1412" s="1">
        <v>1878</v>
      </c>
      <c r="D1412" s="1">
        <v>13002616</v>
      </c>
      <c r="E1412" s="1">
        <v>13</v>
      </c>
      <c r="F1412" s="1">
        <v>22589</v>
      </c>
      <c r="G1412" s="1" t="s">
        <v>18</v>
      </c>
      <c r="H1412" s="1">
        <v>15</v>
      </c>
      <c r="I1412" s="1">
        <v>345578</v>
      </c>
      <c r="J1412" s="1" t="s">
        <v>118</v>
      </c>
      <c r="K1412" s="1" t="s">
        <v>48</v>
      </c>
      <c r="L1412" s="1" t="s">
        <v>73</v>
      </c>
      <c r="M1412" s="1">
        <v>1</v>
      </c>
      <c r="N1412" s="2">
        <v>20.61</v>
      </c>
      <c r="O1412" s="3">
        <v>25</v>
      </c>
      <c r="P1412" s="1">
        <v>0</v>
      </c>
      <c r="Q1412" s="1" t="s">
        <v>22</v>
      </c>
      <c r="R1412" s="1" t="s">
        <v>22</v>
      </c>
      <c r="S1412" s="1">
        <v>50</v>
      </c>
      <c r="T1412" s="1">
        <v>1</v>
      </c>
      <c r="U1412" s="1">
        <v>4</v>
      </c>
    </row>
    <row r="1413" spans="1:21" x14ac:dyDescent="0.25">
      <c r="A1413" s="4">
        <v>44778</v>
      </c>
      <c r="B1413" s="5">
        <v>0.72395833333333337</v>
      </c>
      <c r="C1413" s="1">
        <v>1879</v>
      </c>
      <c r="D1413" s="1">
        <v>13002616</v>
      </c>
      <c r="E1413" s="1">
        <v>13</v>
      </c>
      <c r="F1413" s="1">
        <v>22589</v>
      </c>
      <c r="G1413" s="1" t="s">
        <v>18</v>
      </c>
      <c r="H1413" s="1">
        <v>18</v>
      </c>
      <c r="I1413" s="1">
        <v>13441</v>
      </c>
      <c r="J1413" s="1" t="s">
        <v>301</v>
      </c>
      <c r="K1413" s="1" t="s">
        <v>58</v>
      </c>
      <c r="L1413" s="1" t="s">
        <v>266</v>
      </c>
      <c r="M1413" s="1">
        <v>2</v>
      </c>
      <c r="N1413" s="2">
        <v>42.68</v>
      </c>
      <c r="O1413" s="3">
        <v>70</v>
      </c>
      <c r="P1413" s="1">
        <v>0</v>
      </c>
      <c r="Q1413" s="1" t="s">
        <v>22</v>
      </c>
      <c r="R1413" s="1" t="s">
        <v>22</v>
      </c>
      <c r="S1413" s="1">
        <v>50</v>
      </c>
      <c r="T1413" s="1">
        <v>1</v>
      </c>
      <c r="U1413" s="1">
        <v>1</v>
      </c>
    </row>
    <row r="1414" spans="1:21" x14ac:dyDescent="0.25">
      <c r="A1414" s="4">
        <v>44778</v>
      </c>
      <c r="B1414" s="5">
        <v>0.72607638888888892</v>
      </c>
      <c r="C1414" s="1">
        <v>1880</v>
      </c>
      <c r="D1414" s="1">
        <v>13002616</v>
      </c>
      <c r="E1414" s="1">
        <v>13</v>
      </c>
      <c r="F1414" s="1">
        <v>22589</v>
      </c>
      <c r="G1414" s="1" t="s">
        <v>18</v>
      </c>
      <c r="H1414" s="1">
        <v>15</v>
      </c>
      <c r="I1414" s="1">
        <v>82067</v>
      </c>
      <c r="J1414" s="1" t="s">
        <v>745</v>
      </c>
      <c r="K1414" s="1" t="s">
        <v>48</v>
      </c>
      <c r="L1414" s="1" t="s">
        <v>172</v>
      </c>
      <c r="M1414" s="1">
        <v>1</v>
      </c>
      <c r="N1414" s="2">
        <v>30.91</v>
      </c>
      <c r="O1414" s="3">
        <v>39</v>
      </c>
      <c r="P1414" s="1">
        <v>0</v>
      </c>
      <c r="Q1414" s="1" t="s">
        <v>22</v>
      </c>
      <c r="R1414" s="1" t="s">
        <v>22</v>
      </c>
      <c r="S1414" s="1">
        <v>50</v>
      </c>
      <c r="T1414" s="1">
        <v>1</v>
      </c>
      <c r="U1414" s="1">
        <v>1</v>
      </c>
    </row>
    <row r="1415" spans="1:21" x14ac:dyDescent="0.25">
      <c r="A1415" s="4">
        <v>44778</v>
      </c>
      <c r="B1415" s="5">
        <v>0.7277893518518519</v>
      </c>
      <c r="C1415" s="1">
        <v>1881</v>
      </c>
      <c r="D1415" s="1">
        <v>13002616</v>
      </c>
      <c r="E1415" s="1">
        <v>13</v>
      </c>
      <c r="F1415" s="1">
        <v>22589</v>
      </c>
      <c r="G1415" s="1" t="s">
        <v>18</v>
      </c>
      <c r="H1415" s="1">
        <v>18</v>
      </c>
      <c r="I1415" s="1">
        <v>101347</v>
      </c>
      <c r="J1415" s="1" t="s">
        <v>872</v>
      </c>
      <c r="K1415" s="1" t="s">
        <v>26</v>
      </c>
      <c r="L1415" s="1" t="s">
        <v>269</v>
      </c>
      <c r="M1415" s="1">
        <v>1</v>
      </c>
      <c r="N1415" s="2">
        <v>269.87</v>
      </c>
      <c r="O1415" s="3">
        <v>365</v>
      </c>
      <c r="P1415" s="1">
        <v>25</v>
      </c>
      <c r="Q1415" s="1">
        <v>9</v>
      </c>
      <c r="R1415" s="1">
        <v>200010012138</v>
      </c>
      <c r="S1415" s="1">
        <v>50</v>
      </c>
      <c r="T1415" s="1">
        <v>1</v>
      </c>
      <c r="U1415" s="1">
        <v>1</v>
      </c>
    </row>
    <row r="1416" spans="1:21" x14ac:dyDescent="0.25">
      <c r="A1416" s="4">
        <v>44778</v>
      </c>
      <c r="B1416" s="5">
        <v>0.72987268518518522</v>
      </c>
      <c r="C1416" s="1">
        <v>1882</v>
      </c>
      <c r="D1416" s="1">
        <v>13002616</v>
      </c>
      <c r="E1416" s="1">
        <v>13</v>
      </c>
      <c r="F1416" s="1">
        <v>22589</v>
      </c>
      <c r="G1416" s="1" t="s">
        <v>18</v>
      </c>
      <c r="H1416" s="1">
        <v>15</v>
      </c>
      <c r="I1416" s="1">
        <v>16009</v>
      </c>
      <c r="J1416" s="1" t="s">
        <v>1196</v>
      </c>
      <c r="K1416" s="1" t="s">
        <v>31</v>
      </c>
      <c r="L1416" s="1" t="s">
        <v>1197</v>
      </c>
      <c r="M1416" s="1">
        <v>1</v>
      </c>
      <c r="N1416" s="2">
        <v>162.15</v>
      </c>
      <c r="O1416" s="3">
        <v>195</v>
      </c>
      <c r="P1416" s="1">
        <v>0</v>
      </c>
      <c r="Q1416" s="1" t="s">
        <v>22</v>
      </c>
      <c r="R1416" s="1" t="s">
        <v>22</v>
      </c>
      <c r="S1416" s="1">
        <v>50</v>
      </c>
      <c r="T1416" s="1">
        <v>1</v>
      </c>
      <c r="U1416" s="1">
        <v>1</v>
      </c>
    </row>
    <row r="1417" spans="1:21" x14ac:dyDescent="0.25">
      <c r="A1417" s="4">
        <v>44778</v>
      </c>
      <c r="B1417" s="5">
        <v>0.73204861111111108</v>
      </c>
      <c r="C1417" s="1">
        <v>1883</v>
      </c>
      <c r="D1417" s="1">
        <v>13002616</v>
      </c>
      <c r="E1417" s="1">
        <v>13</v>
      </c>
      <c r="F1417" s="1">
        <v>22589</v>
      </c>
      <c r="G1417" s="1" t="s">
        <v>18</v>
      </c>
      <c r="H1417" s="1">
        <v>15</v>
      </c>
      <c r="I1417" s="1">
        <v>445316</v>
      </c>
      <c r="J1417" s="1" t="s">
        <v>1198</v>
      </c>
      <c r="K1417" s="1" t="s">
        <v>48</v>
      </c>
      <c r="L1417" s="1" t="s">
        <v>1199</v>
      </c>
      <c r="M1417" s="1">
        <v>1</v>
      </c>
      <c r="N1417" s="2">
        <v>47.69</v>
      </c>
      <c r="O1417" s="3">
        <v>73</v>
      </c>
      <c r="P1417" s="1">
        <v>5</v>
      </c>
      <c r="Q1417" s="1">
        <v>9</v>
      </c>
      <c r="R1417" s="1">
        <v>200010016190</v>
      </c>
      <c r="S1417" s="1">
        <v>50</v>
      </c>
      <c r="T1417" s="1">
        <v>1</v>
      </c>
      <c r="U1417" s="1">
        <v>1</v>
      </c>
    </row>
    <row r="1418" spans="1:21" x14ac:dyDescent="0.25">
      <c r="A1418" s="4">
        <v>44778</v>
      </c>
      <c r="B1418" s="5">
        <v>0.73204861111111108</v>
      </c>
      <c r="C1418" s="1">
        <v>1883</v>
      </c>
      <c r="D1418" s="1">
        <v>13002616</v>
      </c>
      <c r="E1418" s="1">
        <v>13</v>
      </c>
      <c r="F1418" s="1">
        <v>22589</v>
      </c>
      <c r="G1418" s="1" t="s">
        <v>18</v>
      </c>
      <c r="H1418" s="1">
        <v>15</v>
      </c>
      <c r="I1418" s="1">
        <v>39338</v>
      </c>
      <c r="J1418" s="1" t="s">
        <v>672</v>
      </c>
      <c r="K1418" s="1" t="s">
        <v>48</v>
      </c>
      <c r="L1418" s="1" t="s">
        <v>266</v>
      </c>
      <c r="M1418" s="1">
        <v>1</v>
      </c>
      <c r="N1418" s="2">
        <v>16.78</v>
      </c>
      <c r="O1418" s="3">
        <v>28</v>
      </c>
      <c r="P1418" s="1">
        <v>2</v>
      </c>
      <c r="Q1418" s="1">
        <v>9</v>
      </c>
      <c r="R1418" s="1">
        <v>200010016190</v>
      </c>
      <c r="S1418" s="1">
        <v>50</v>
      </c>
      <c r="T1418" s="1">
        <v>1</v>
      </c>
      <c r="U1418" s="1">
        <v>2</v>
      </c>
    </row>
    <row r="1419" spans="1:21" x14ac:dyDescent="0.25">
      <c r="A1419" s="4">
        <v>44778</v>
      </c>
      <c r="B1419" s="5">
        <v>0.73204861111111108</v>
      </c>
      <c r="C1419" s="1">
        <v>1883</v>
      </c>
      <c r="D1419" s="1">
        <v>13002616</v>
      </c>
      <c r="E1419" s="1">
        <v>13</v>
      </c>
      <c r="F1419" s="1">
        <v>22589</v>
      </c>
      <c r="G1419" s="1" t="s">
        <v>18</v>
      </c>
      <c r="H1419" s="1">
        <v>15</v>
      </c>
      <c r="I1419" s="1">
        <v>528004</v>
      </c>
      <c r="J1419" s="1" t="s">
        <v>44</v>
      </c>
      <c r="K1419" s="1" t="s">
        <v>45</v>
      </c>
      <c r="L1419" s="1" t="s">
        <v>46</v>
      </c>
      <c r="M1419" s="1">
        <v>1</v>
      </c>
      <c r="N1419" s="2">
        <v>35.520000000000003</v>
      </c>
      <c r="O1419" s="3">
        <v>58</v>
      </c>
      <c r="P1419" s="1">
        <v>5</v>
      </c>
      <c r="Q1419" s="1">
        <v>9</v>
      </c>
      <c r="R1419" s="1">
        <v>200010016190</v>
      </c>
      <c r="S1419" s="1">
        <v>50</v>
      </c>
      <c r="T1419" s="1">
        <v>1</v>
      </c>
      <c r="U1419" s="1">
        <v>4</v>
      </c>
    </row>
    <row r="1420" spans="1:21" x14ac:dyDescent="0.25">
      <c r="A1420" s="4">
        <v>44778</v>
      </c>
      <c r="B1420" s="5">
        <v>0.73554398148148148</v>
      </c>
      <c r="C1420" s="1">
        <v>1884</v>
      </c>
      <c r="D1420" s="1">
        <v>13002616</v>
      </c>
      <c r="E1420" s="1">
        <v>13</v>
      </c>
      <c r="F1420" s="1">
        <v>22589</v>
      </c>
      <c r="G1420" s="1" t="s">
        <v>18</v>
      </c>
      <c r="H1420" s="1">
        <v>18</v>
      </c>
      <c r="I1420" s="1">
        <v>110694</v>
      </c>
      <c r="J1420" s="1" t="s">
        <v>1200</v>
      </c>
      <c r="K1420" s="1" t="s">
        <v>31</v>
      </c>
      <c r="L1420" s="1" t="s">
        <v>252</v>
      </c>
      <c r="M1420" s="1">
        <v>1</v>
      </c>
      <c r="N1420" s="2">
        <v>372.99</v>
      </c>
      <c r="O1420" s="3">
        <v>493</v>
      </c>
      <c r="P1420" s="1">
        <v>34</v>
      </c>
      <c r="Q1420" s="1">
        <v>9</v>
      </c>
      <c r="R1420" s="1">
        <v>200010019194</v>
      </c>
      <c r="S1420" s="1">
        <v>50</v>
      </c>
      <c r="T1420" s="1">
        <v>1</v>
      </c>
      <c r="U1420" s="1">
        <v>3</v>
      </c>
    </row>
    <row r="1421" spans="1:21" x14ac:dyDescent="0.25">
      <c r="A1421" s="4">
        <v>44778</v>
      </c>
      <c r="B1421" s="5">
        <v>0.73554398148148148</v>
      </c>
      <c r="C1421" s="1">
        <v>1884</v>
      </c>
      <c r="D1421" s="1">
        <v>13002616</v>
      </c>
      <c r="E1421" s="1">
        <v>13</v>
      </c>
      <c r="F1421" s="1">
        <v>22589</v>
      </c>
      <c r="G1421" s="1" t="s">
        <v>18</v>
      </c>
      <c r="H1421" s="1">
        <v>18</v>
      </c>
      <c r="I1421" s="1">
        <v>130465</v>
      </c>
      <c r="J1421" s="1" t="s">
        <v>361</v>
      </c>
      <c r="K1421" s="1" t="s">
        <v>58</v>
      </c>
      <c r="L1421" s="1" t="s">
        <v>433</v>
      </c>
      <c r="M1421" s="1">
        <v>1</v>
      </c>
      <c r="N1421" s="2">
        <v>180.95</v>
      </c>
      <c r="O1421" s="3">
        <v>218</v>
      </c>
      <c r="P1421" s="1">
        <v>10</v>
      </c>
      <c r="Q1421" s="1">
        <v>9</v>
      </c>
      <c r="R1421" s="1">
        <v>200010019194</v>
      </c>
      <c r="S1421" s="1">
        <v>50</v>
      </c>
      <c r="T1421" s="1">
        <v>1</v>
      </c>
      <c r="U1421" s="1">
        <v>2</v>
      </c>
    </row>
    <row r="1422" spans="1:21" x14ac:dyDescent="0.25">
      <c r="A1422" s="4">
        <v>44778</v>
      </c>
      <c r="B1422" s="5">
        <v>0.73554398148148148</v>
      </c>
      <c r="C1422" s="1">
        <v>1884</v>
      </c>
      <c r="D1422" s="1">
        <v>13002616</v>
      </c>
      <c r="E1422" s="1">
        <v>13</v>
      </c>
      <c r="F1422" s="1">
        <v>22589</v>
      </c>
      <c r="G1422" s="1" t="s">
        <v>18</v>
      </c>
      <c r="H1422" s="1">
        <v>18</v>
      </c>
      <c r="I1422" s="1">
        <v>283143</v>
      </c>
      <c r="J1422" s="1" t="s">
        <v>1201</v>
      </c>
      <c r="K1422" s="1" t="s">
        <v>20</v>
      </c>
      <c r="L1422" s="1" t="s">
        <v>1202</v>
      </c>
      <c r="M1422" s="1">
        <v>1</v>
      </c>
      <c r="N1422" s="2">
        <v>1152.17</v>
      </c>
      <c r="O1422" s="3">
        <v>1276</v>
      </c>
      <c r="P1422" s="1">
        <v>63</v>
      </c>
      <c r="Q1422" s="1">
        <v>9</v>
      </c>
      <c r="R1422" s="1">
        <v>200010019194</v>
      </c>
      <c r="S1422" s="1">
        <v>50</v>
      </c>
      <c r="T1422" s="1">
        <v>1</v>
      </c>
      <c r="U1422" s="1">
        <v>1</v>
      </c>
    </row>
    <row r="1423" spans="1:21" x14ac:dyDescent="0.25">
      <c r="A1423" s="4">
        <v>44778</v>
      </c>
      <c r="B1423" s="5">
        <v>0.74384259259259256</v>
      </c>
      <c r="C1423" s="1">
        <v>1886</v>
      </c>
      <c r="D1423" s="1">
        <v>13002616</v>
      </c>
      <c r="E1423" s="1">
        <v>13</v>
      </c>
      <c r="F1423" s="1">
        <v>22589</v>
      </c>
      <c r="G1423" s="1" t="s">
        <v>18</v>
      </c>
      <c r="H1423" s="1">
        <v>15</v>
      </c>
      <c r="I1423" s="1">
        <v>276370</v>
      </c>
      <c r="J1423" s="1" t="s">
        <v>28</v>
      </c>
      <c r="K1423" s="1" t="s">
        <v>20</v>
      </c>
      <c r="L1423" s="1" t="s">
        <v>29</v>
      </c>
      <c r="M1423" s="1">
        <v>1</v>
      </c>
      <c r="N1423" s="2">
        <v>443.5</v>
      </c>
      <c r="O1423" s="3">
        <v>539</v>
      </c>
      <c r="P1423" s="1">
        <v>53</v>
      </c>
      <c r="Q1423" s="1">
        <v>30</v>
      </c>
      <c r="R1423" s="1">
        <v>200000000024</v>
      </c>
      <c r="S1423" s="1">
        <v>50</v>
      </c>
      <c r="T1423" s="1">
        <v>1</v>
      </c>
      <c r="U1423" s="1">
        <v>1</v>
      </c>
    </row>
    <row r="1424" spans="1:21" x14ac:dyDescent="0.25">
      <c r="A1424" s="4">
        <v>44778</v>
      </c>
      <c r="B1424" s="5">
        <v>0.76708333333333334</v>
      </c>
      <c r="C1424" s="1">
        <v>1888</v>
      </c>
      <c r="D1424" s="1">
        <v>13002616</v>
      </c>
      <c r="E1424" s="1">
        <v>13</v>
      </c>
      <c r="F1424" s="1">
        <v>22589</v>
      </c>
      <c r="G1424" s="1" t="s">
        <v>18</v>
      </c>
      <c r="H1424" s="1">
        <v>18</v>
      </c>
      <c r="I1424" s="1">
        <v>60823</v>
      </c>
      <c r="J1424" s="1" t="s">
        <v>1203</v>
      </c>
      <c r="K1424" s="1" t="s">
        <v>48</v>
      </c>
      <c r="L1424" s="1" t="s">
        <v>1204</v>
      </c>
      <c r="M1424" s="1">
        <v>1</v>
      </c>
      <c r="N1424" s="2">
        <v>864.03</v>
      </c>
      <c r="O1424" s="3">
        <v>1115</v>
      </c>
      <c r="P1424" s="1">
        <v>78</v>
      </c>
      <c r="Q1424" s="1">
        <v>9</v>
      </c>
      <c r="R1424" s="1">
        <v>200010004411</v>
      </c>
      <c r="S1424" s="1">
        <v>50</v>
      </c>
      <c r="T1424" s="1">
        <v>1</v>
      </c>
      <c r="U1424" s="1">
        <v>1</v>
      </c>
    </row>
    <row r="1425" spans="1:21" x14ac:dyDescent="0.25">
      <c r="A1425" s="4">
        <v>44778</v>
      </c>
      <c r="B1425" s="5">
        <v>0.76708333333333334</v>
      </c>
      <c r="C1425" s="1">
        <v>1888</v>
      </c>
      <c r="D1425" s="1">
        <v>13002616</v>
      </c>
      <c r="E1425" s="1">
        <v>13</v>
      </c>
      <c r="F1425" s="1">
        <v>22589</v>
      </c>
      <c r="G1425" s="1" t="s">
        <v>18</v>
      </c>
      <c r="H1425" s="1">
        <v>18</v>
      </c>
      <c r="I1425" s="1">
        <v>4637</v>
      </c>
      <c r="J1425" s="1" t="s">
        <v>1205</v>
      </c>
      <c r="K1425" s="1" t="s">
        <v>31</v>
      </c>
      <c r="L1425" s="1" t="s">
        <v>27</v>
      </c>
      <c r="M1425" s="1">
        <v>1</v>
      </c>
      <c r="N1425" s="2">
        <v>545.23</v>
      </c>
      <c r="O1425" s="3">
        <v>628</v>
      </c>
      <c r="P1425" s="1">
        <v>43</v>
      </c>
      <c r="Q1425" s="1">
        <v>9</v>
      </c>
      <c r="R1425" s="1">
        <v>200010004411</v>
      </c>
      <c r="S1425" s="1">
        <v>50</v>
      </c>
      <c r="T1425" s="1">
        <v>1</v>
      </c>
      <c r="U1425" s="1">
        <v>2</v>
      </c>
    </row>
    <row r="1426" spans="1:21" x14ac:dyDescent="0.25">
      <c r="A1426" s="4">
        <v>44778</v>
      </c>
      <c r="B1426" s="5">
        <v>0.76914351851851848</v>
      </c>
      <c r="C1426" s="1">
        <v>1889</v>
      </c>
      <c r="D1426" s="1">
        <v>13002616</v>
      </c>
      <c r="E1426" s="1">
        <v>13</v>
      </c>
      <c r="F1426" s="1">
        <v>22589</v>
      </c>
      <c r="G1426" s="1" t="s">
        <v>18</v>
      </c>
      <c r="H1426" s="1">
        <v>18</v>
      </c>
      <c r="I1426" s="1">
        <v>88142</v>
      </c>
      <c r="J1426" s="1" t="s">
        <v>681</v>
      </c>
      <c r="K1426" s="1" t="s">
        <v>55</v>
      </c>
      <c r="L1426" s="1" t="s">
        <v>682</v>
      </c>
      <c r="M1426" s="1">
        <v>1</v>
      </c>
      <c r="N1426" s="2">
        <v>145.5</v>
      </c>
      <c r="O1426" s="3">
        <v>226</v>
      </c>
      <c r="P1426" s="1">
        <v>0</v>
      </c>
      <c r="Q1426" s="1" t="s">
        <v>22</v>
      </c>
      <c r="R1426" s="1" t="s">
        <v>22</v>
      </c>
      <c r="S1426" s="1">
        <v>50</v>
      </c>
      <c r="T1426" s="1">
        <v>1</v>
      </c>
      <c r="U1426" s="1">
        <v>1</v>
      </c>
    </row>
    <row r="1427" spans="1:21" x14ac:dyDescent="0.25">
      <c r="A1427" s="4">
        <v>44778</v>
      </c>
      <c r="B1427" s="5">
        <v>0.76914351851851848</v>
      </c>
      <c r="C1427" s="1">
        <v>1889</v>
      </c>
      <c r="D1427" s="1">
        <v>13002616</v>
      </c>
      <c r="E1427" s="1">
        <v>13</v>
      </c>
      <c r="F1427" s="1">
        <v>22589</v>
      </c>
      <c r="G1427" s="1" t="s">
        <v>18</v>
      </c>
      <c r="H1427" s="1">
        <v>18</v>
      </c>
      <c r="I1427" s="1">
        <v>5702</v>
      </c>
      <c r="J1427" s="1" t="s">
        <v>1206</v>
      </c>
      <c r="K1427" s="1" t="s">
        <v>26</v>
      </c>
      <c r="L1427" s="1" t="s">
        <v>1207</v>
      </c>
      <c r="M1427" s="1">
        <v>1</v>
      </c>
      <c r="N1427" s="2">
        <v>320.79000000000002</v>
      </c>
      <c r="O1427" s="3">
        <v>472</v>
      </c>
      <c r="P1427" s="1">
        <v>0</v>
      </c>
      <c r="Q1427" s="1" t="s">
        <v>22</v>
      </c>
      <c r="R1427" s="1" t="s">
        <v>22</v>
      </c>
      <c r="S1427" s="1">
        <v>50</v>
      </c>
      <c r="T1427" s="1">
        <v>1</v>
      </c>
      <c r="U1427" s="1">
        <v>3</v>
      </c>
    </row>
    <row r="1428" spans="1:21" x14ac:dyDescent="0.25">
      <c r="A1428" s="4">
        <v>44778</v>
      </c>
      <c r="B1428" s="5">
        <v>0.76914351851851848</v>
      </c>
      <c r="C1428" s="1">
        <v>1889</v>
      </c>
      <c r="D1428" s="1">
        <v>13002616</v>
      </c>
      <c r="E1428" s="1">
        <v>13</v>
      </c>
      <c r="F1428" s="1">
        <v>22589</v>
      </c>
      <c r="G1428" s="1" t="s">
        <v>18</v>
      </c>
      <c r="H1428" s="1">
        <v>18</v>
      </c>
      <c r="I1428" s="1">
        <v>26899</v>
      </c>
      <c r="J1428" s="1" t="s">
        <v>1208</v>
      </c>
      <c r="K1428" s="1" t="s">
        <v>20</v>
      </c>
      <c r="L1428" s="1" t="s">
        <v>86</v>
      </c>
      <c r="M1428" s="1">
        <v>1</v>
      </c>
      <c r="N1428" s="2">
        <v>192.12</v>
      </c>
      <c r="O1428" s="3">
        <v>298</v>
      </c>
      <c r="P1428" s="1">
        <v>0</v>
      </c>
      <c r="Q1428" s="1" t="s">
        <v>22</v>
      </c>
      <c r="R1428" s="1" t="s">
        <v>22</v>
      </c>
      <c r="S1428" s="1">
        <v>50</v>
      </c>
      <c r="T1428" s="1">
        <v>1</v>
      </c>
      <c r="U1428" s="1">
        <v>2</v>
      </c>
    </row>
    <row r="1429" spans="1:21" x14ac:dyDescent="0.25">
      <c r="A1429" s="4">
        <v>44778</v>
      </c>
      <c r="B1429" s="5">
        <v>0.77109953703703704</v>
      </c>
      <c r="C1429" s="1">
        <v>1890</v>
      </c>
      <c r="D1429" s="1">
        <v>13002616</v>
      </c>
      <c r="E1429" s="1">
        <v>13</v>
      </c>
      <c r="F1429" s="1">
        <v>22589</v>
      </c>
      <c r="G1429" s="1" t="s">
        <v>18</v>
      </c>
      <c r="H1429" s="1">
        <v>18</v>
      </c>
      <c r="I1429" s="1">
        <v>75428</v>
      </c>
      <c r="J1429" s="1" t="s">
        <v>1209</v>
      </c>
      <c r="K1429" s="1" t="s">
        <v>20</v>
      </c>
      <c r="L1429" s="1" t="s">
        <v>211</v>
      </c>
      <c r="M1429" s="1">
        <v>1</v>
      </c>
      <c r="N1429" s="2">
        <v>148.12</v>
      </c>
      <c r="O1429" s="3">
        <v>177</v>
      </c>
      <c r="P1429" s="1">
        <v>0</v>
      </c>
      <c r="Q1429" s="1" t="s">
        <v>22</v>
      </c>
      <c r="R1429" s="1" t="s">
        <v>22</v>
      </c>
      <c r="S1429" s="1">
        <v>50</v>
      </c>
      <c r="T1429" s="1">
        <v>1</v>
      </c>
      <c r="U1429" s="1">
        <v>1</v>
      </c>
    </row>
    <row r="1430" spans="1:21" x14ac:dyDescent="0.25">
      <c r="A1430" s="4">
        <v>44778</v>
      </c>
      <c r="B1430" s="5">
        <v>0.77109953703703704</v>
      </c>
      <c r="C1430" s="1">
        <v>1890</v>
      </c>
      <c r="D1430" s="1">
        <v>13002616</v>
      </c>
      <c r="E1430" s="1">
        <v>13</v>
      </c>
      <c r="F1430" s="1">
        <v>22589</v>
      </c>
      <c r="G1430" s="1" t="s">
        <v>18</v>
      </c>
      <c r="H1430" s="1">
        <v>18</v>
      </c>
      <c r="I1430" s="1">
        <v>148617</v>
      </c>
      <c r="J1430" s="1" t="s">
        <v>1001</v>
      </c>
      <c r="K1430" s="1" t="s">
        <v>48</v>
      </c>
      <c r="L1430" s="1" t="s">
        <v>77</v>
      </c>
      <c r="M1430" s="1">
        <v>1</v>
      </c>
      <c r="N1430" s="2">
        <v>36.22</v>
      </c>
      <c r="O1430" s="3">
        <v>59</v>
      </c>
      <c r="P1430" s="1">
        <v>0</v>
      </c>
      <c r="Q1430" s="1" t="s">
        <v>22</v>
      </c>
      <c r="R1430" s="1" t="s">
        <v>22</v>
      </c>
      <c r="S1430" s="1">
        <v>50</v>
      </c>
      <c r="T1430" s="1">
        <v>1</v>
      </c>
      <c r="U1430" s="1">
        <v>3</v>
      </c>
    </row>
    <row r="1431" spans="1:21" x14ac:dyDescent="0.25">
      <c r="A1431" s="4">
        <v>44778</v>
      </c>
      <c r="B1431" s="5">
        <v>0.77109953703703704</v>
      </c>
      <c r="C1431" s="1">
        <v>1890</v>
      </c>
      <c r="D1431" s="1">
        <v>13002616</v>
      </c>
      <c r="E1431" s="1">
        <v>13</v>
      </c>
      <c r="F1431" s="1">
        <v>22589</v>
      </c>
      <c r="G1431" s="1" t="s">
        <v>18</v>
      </c>
      <c r="H1431" s="1">
        <v>18</v>
      </c>
      <c r="I1431" s="1">
        <v>1504330</v>
      </c>
      <c r="J1431" s="1" t="s">
        <v>991</v>
      </c>
      <c r="K1431" s="1" t="s">
        <v>141</v>
      </c>
      <c r="L1431" s="1" t="s">
        <v>77</v>
      </c>
      <c r="M1431" s="1">
        <v>1</v>
      </c>
      <c r="N1431" s="2">
        <v>24.81</v>
      </c>
      <c r="O1431" s="3">
        <v>25</v>
      </c>
      <c r="P1431" s="1">
        <v>0</v>
      </c>
      <c r="Q1431" s="1" t="s">
        <v>22</v>
      </c>
      <c r="R1431" s="1" t="s">
        <v>22</v>
      </c>
      <c r="S1431" s="1">
        <v>50</v>
      </c>
      <c r="T1431" s="1">
        <v>1</v>
      </c>
      <c r="U1431" s="1">
        <v>2</v>
      </c>
    </row>
    <row r="1432" spans="1:21" x14ac:dyDescent="0.25">
      <c r="A1432" s="4">
        <v>44778</v>
      </c>
      <c r="B1432" s="5">
        <v>0.77721064814814811</v>
      </c>
      <c r="C1432" s="1">
        <v>1891</v>
      </c>
      <c r="D1432" s="1">
        <v>13002616</v>
      </c>
      <c r="E1432" s="1">
        <v>13</v>
      </c>
      <c r="F1432" s="1">
        <v>22589</v>
      </c>
      <c r="G1432" s="1" t="s">
        <v>18</v>
      </c>
      <c r="H1432" s="1">
        <v>18</v>
      </c>
      <c r="I1432" s="1">
        <v>322471</v>
      </c>
      <c r="J1432" s="1" t="s">
        <v>1210</v>
      </c>
      <c r="K1432" s="1" t="s">
        <v>42</v>
      </c>
      <c r="L1432" s="1" t="s">
        <v>1211</v>
      </c>
      <c r="M1432" s="1">
        <v>1</v>
      </c>
      <c r="N1432" s="2">
        <v>1322.63</v>
      </c>
      <c r="O1432" s="3">
        <v>1812</v>
      </c>
      <c r="P1432" s="1">
        <v>0</v>
      </c>
      <c r="Q1432" s="1" t="s">
        <v>22</v>
      </c>
      <c r="R1432" s="1" t="s">
        <v>22</v>
      </c>
      <c r="S1432" s="1">
        <v>50</v>
      </c>
      <c r="T1432" s="1">
        <v>1</v>
      </c>
      <c r="U1432" s="1">
        <v>1</v>
      </c>
    </row>
    <row r="1433" spans="1:21" x14ac:dyDescent="0.25">
      <c r="A1433" s="4">
        <v>44778</v>
      </c>
      <c r="B1433" s="5">
        <v>0.77905092592592595</v>
      </c>
      <c r="C1433" s="1">
        <v>1892</v>
      </c>
      <c r="D1433" s="1">
        <v>13002616</v>
      </c>
      <c r="E1433" s="1">
        <v>13</v>
      </c>
      <c r="F1433" s="1">
        <v>22589</v>
      </c>
      <c r="G1433" s="1" t="s">
        <v>18</v>
      </c>
      <c r="H1433" s="1">
        <v>15</v>
      </c>
      <c r="I1433" s="1">
        <v>29611</v>
      </c>
      <c r="J1433" s="1" t="s">
        <v>567</v>
      </c>
      <c r="K1433" s="1" t="s">
        <v>48</v>
      </c>
      <c r="L1433" s="1" t="s">
        <v>560</v>
      </c>
      <c r="M1433" s="1">
        <v>1</v>
      </c>
      <c r="N1433" s="2">
        <v>153.6</v>
      </c>
      <c r="O1433" s="3">
        <v>239</v>
      </c>
      <c r="P1433" s="1">
        <v>23</v>
      </c>
      <c r="Q1433" s="1">
        <v>9</v>
      </c>
      <c r="R1433" s="1">
        <v>200010016190</v>
      </c>
      <c r="S1433" s="1">
        <v>50</v>
      </c>
      <c r="T1433" s="1">
        <v>1</v>
      </c>
      <c r="U1433" s="1">
        <v>2</v>
      </c>
    </row>
    <row r="1434" spans="1:21" x14ac:dyDescent="0.25">
      <c r="A1434" s="4">
        <v>44778</v>
      </c>
      <c r="B1434" s="5">
        <v>0.77905092592592595</v>
      </c>
      <c r="C1434" s="1">
        <v>1892</v>
      </c>
      <c r="D1434" s="1">
        <v>13002616</v>
      </c>
      <c r="E1434" s="1">
        <v>13</v>
      </c>
      <c r="F1434" s="1">
        <v>22589</v>
      </c>
      <c r="G1434" s="1" t="s">
        <v>18</v>
      </c>
      <c r="H1434" s="1">
        <v>15</v>
      </c>
      <c r="I1434" s="1">
        <v>410746</v>
      </c>
      <c r="J1434" s="1" t="s">
        <v>1212</v>
      </c>
      <c r="K1434" s="1" t="s">
        <v>61</v>
      </c>
      <c r="L1434" s="1" t="s">
        <v>136</v>
      </c>
      <c r="M1434" s="1">
        <v>1</v>
      </c>
      <c r="N1434" s="2">
        <v>24.84</v>
      </c>
      <c r="O1434" s="3">
        <v>30</v>
      </c>
      <c r="P1434" s="1">
        <v>1</v>
      </c>
      <c r="Q1434" s="1">
        <v>9</v>
      </c>
      <c r="R1434" s="1">
        <v>200010016190</v>
      </c>
      <c r="S1434" s="1">
        <v>50</v>
      </c>
      <c r="T1434" s="1">
        <v>1</v>
      </c>
      <c r="U1434" s="1">
        <v>1</v>
      </c>
    </row>
    <row r="1435" spans="1:21" x14ac:dyDescent="0.25">
      <c r="A1435" s="4">
        <v>44778</v>
      </c>
      <c r="B1435" s="5">
        <v>0.78077546296296296</v>
      </c>
      <c r="C1435" s="1">
        <v>1893</v>
      </c>
      <c r="D1435" s="1">
        <v>13002616</v>
      </c>
      <c r="E1435" s="1">
        <v>13</v>
      </c>
      <c r="F1435" s="1">
        <v>22589</v>
      </c>
      <c r="G1435" s="1" t="s">
        <v>18</v>
      </c>
      <c r="H1435" s="1">
        <v>15</v>
      </c>
      <c r="I1435" s="1">
        <v>488299</v>
      </c>
      <c r="J1435" s="1" t="s">
        <v>155</v>
      </c>
      <c r="K1435" s="1" t="s">
        <v>20</v>
      </c>
      <c r="L1435" s="1" t="s">
        <v>156</v>
      </c>
      <c r="M1435" s="1">
        <v>1</v>
      </c>
      <c r="N1435" s="2">
        <v>156.19999999999999</v>
      </c>
      <c r="O1435" s="3">
        <v>186</v>
      </c>
      <c r="P1435" s="1">
        <v>0</v>
      </c>
      <c r="Q1435" s="1" t="s">
        <v>22</v>
      </c>
      <c r="R1435" s="1" t="s">
        <v>22</v>
      </c>
      <c r="S1435" s="1">
        <v>50</v>
      </c>
      <c r="T1435" s="1">
        <v>1</v>
      </c>
      <c r="U1435" s="1">
        <v>1</v>
      </c>
    </row>
    <row r="1436" spans="1:21" x14ac:dyDescent="0.25">
      <c r="A1436" s="4">
        <v>44778</v>
      </c>
      <c r="B1436" s="5">
        <v>0.78437500000000004</v>
      </c>
      <c r="C1436" s="1">
        <v>1894</v>
      </c>
      <c r="D1436" s="1">
        <v>13002616</v>
      </c>
      <c r="E1436" s="1">
        <v>13</v>
      </c>
      <c r="F1436" s="1">
        <v>22589</v>
      </c>
      <c r="G1436" s="1" t="s">
        <v>18</v>
      </c>
      <c r="H1436" s="1">
        <v>15</v>
      </c>
      <c r="I1436" s="1">
        <v>11519</v>
      </c>
      <c r="J1436" s="1" t="s">
        <v>1182</v>
      </c>
      <c r="K1436" s="1" t="s">
        <v>20</v>
      </c>
      <c r="L1436" s="1" t="s">
        <v>360</v>
      </c>
      <c r="M1436" s="1">
        <v>1</v>
      </c>
      <c r="N1436" s="2">
        <v>157.26</v>
      </c>
      <c r="O1436" s="3">
        <v>188</v>
      </c>
      <c r="P1436" s="1">
        <v>9</v>
      </c>
      <c r="Q1436" s="1">
        <v>9</v>
      </c>
      <c r="R1436" s="1">
        <v>200010015864</v>
      </c>
      <c r="S1436" s="1">
        <v>50</v>
      </c>
      <c r="T1436" s="1">
        <v>1</v>
      </c>
      <c r="U1436" s="1">
        <v>2</v>
      </c>
    </row>
    <row r="1437" spans="1:21" x14ac:dyDescent="0.25">
      <c r="A1437" s="4">
        <v>44778</v>
      </c>
      <c r="B1437" s="5">
        <v>0.78437500000000004</v>
      </c>
      <c r="C1437" s="1">
        <v>1894</v>
      </c>
      <c r="D1437" s="1">
        <v>13002616</v>
      </c>
      <c r="E1437" s="1">
        <v>13</v>
      </c>
      <c r="F1437" s="1">
        <v>22589</v>
      </c>
      <c r="G1437" s="1" t="s">
        <v>18</v>
      </c>
      <c r="H1437" s="1">
        <v>15</v>
      </c>
      <c r="I1437" s="1">
        <v>75000</v>
      </c>
      <c r="J1437" s="1" t="s">
        <v>1213</v>
      </c>
      <c r="K1437" s="1" t="s">
        <v>48</v>
      </c>
      <c r="L1437" s="1" t="s">
        <v>77</v>
      </c>
      <c r="M1437" s="1">
        <v>1</v>
      </c>
      <c r="N1437" s="2">
        <v>121.06</v>
      </c>
      <c r="O1437" s="3">
        <v>188</v>
      </c>
      <c r="P1437" s="1">
        <v>18</v>
      </c>
      <c r="Q1437" s="1">
        <v>9</v>
      </c>
      <c r="R1437" s="1">
        <v>200010015864</v>
      </c>
      <c r="S1437" s="1">
        <v>50</v>
      </c>
      <c r="T1437" s="1">
        <v>1</v>
      </c>
      <c r="U1437" s="1">
        <v>1</v>
      </c>
    </row>
    <row r="1438" spans="1:21" x14ac:dyDescent="0.25">
      <c r="A1438" s="4">
        <v>44778</v>
      </c>
      <c r="B1438" s="5">
        <v>0.78437500000000004</v>
      </c>
      <c r="C1438" s="1">
        <v>1894</v>
      </c>
      <c r="D1438" s="1">
        <v>13002616</v>
      </c>
      <c r="E1438" s="1">
        <v>13</v>
      </c>
      <c r="F1438" s="1">
        <v>22589</v>
      </c>
      <c r="G1438" s="1" t="s">
        <v>18</v>
      </c>
      <c r="H1438" s="1">
        <v>15</v>
      </c>
      <c r="I1438" s="1">
        <v>121605</v>
      </c>
      <c r="J1438" s="1" t="s">
        <v>1214</v>
      </c>
      <c r="K1438" s="1" t="s">
        <v>20</v>
      </c>
      <c r="L1438" s="1" t="s">
        <v>544</v>
      </c>
      <c r="M1438" s="1">
        <v>1</v>
      </c>
      <c r="N1438" s="2">
        <v>347.56</v>
      </c>
      <c r="O1438" s="3">
        <v>511</v>
      </c>
      <c r="P1438" s="1">
        <v>51</v>
      </c>
      <c r="Q1438" s="1">
        <v>9</v>
      </c>
      <c r="R1438" s="1">
        <v>200010015864</v>
      </c>
      <c r="S1438" s="1">
        <v>50</v>
      </c>
      <c r="T1438" s="1">
        <v>1</v>
      </c>
      <c r="U1438" s="1">
        <v>3</v>
      </c>
    </row>
    <row r="1439" spans="1:21" x14ac:dyDescent="0.25">
      <c r="A1439" s="4">
        <v>44778</v>
      </c>
      <c r="B1439" s="5">
        <v>0.78909722222222223</v>
      </c>
      <c r="C1439" s="1">
        <v>1895</v>
      </c>
      <c r="D1439" s="1">
        <v>13002616</v>
      </c>
      <c r="E1439" s="1">
        <v>13</v>
      </c>
      <c r="F1439" s="1">
        <v>22589</v>
      </c>
      <c r="G1439" s="1" t="s">
        <v>18</v>
      </c>
      <c r="H1439" s="1">
        <v>18</v>
      </c>
      <c r="I1439" s="1">
        <v>142544</v>
      </c>
      <c r="J1439" s="1" t="s">
        <v>625</v>
      </c>
      <c r="K1439" s="1" t="s">
        <v>138</v>
      </c>
      <c r="L1439" s="1" t="s">
        <v>626</v>
      </c>
      <c r="M1439" s="1">
        <v>0.2</v>
      </c>
      <c r="N1439" s="2">
        <v>545.82000000000005</v>
      </c>
      <c r="O1439" s="3">
        <v>705</v>
      </c>
      <c r="P1439" s="1">
        <v>0</v>
      </c>
      <c r="Q1439" s="1" t="s">
        <v>22</v>
      </c>
      <c r="R1439" s="1" t="s">
        <v>22</v>
      </c>
      <c r="S1439" s="1">
        <v>50</v>
      </c>
      <c r="T1439" s="1">
        <v>1</v>
      </c>
      <c r="U1439" s="1">
        <v>1</v>
      </c>
    </row>
    <row r="1440" spans="1:21" x14ac:dyDescent="0.25">
      <c r="A1440" s="4">
        <v>44778</v>
      </c>
      <c r="B1440" s="5">
        <v>0.7950694444444445</v>
      </c>
      <c r="C1440" s="1">
        <v>1896</v>
      </c>
      <c r="D1440" s="1">
        <v>13002616</v>
      </c>
      <c r="E1440" s="1">
        <v>13</v>
      </c>
      <c r="F1440" s="1">
        <v>22589</v>
      </c>
      <c r="G1440" s="1" t="s">
        <v>18</v>
      </c>
      <c r="H1440" s="1">
        <v>18</v>
      </c>
      <c r="I1440" s="1">
        <v>168705</v>
      </c>
      <c r="J1440" s="1" t="s">
        <v>519</v>
      </c>
      <c r="K1440" s="1" t="s">
        <v>107</v>
      </c>
      <c r="L1440" s="1" t="s">
        <v>446</v>
      </c>
      <c r="M1440" s="1">
        <v>1</v>
      </c>
      <c r="N1440" s="2">
        <v>98.01</v>
      </c>
      <c r="O1440" s="3">
        <v>121</v>
      </c>
      <c r="P1440" s="1">
        <v>6</v>
      </c>
      <c r="Q1440" s="1">
        <v>9</v>
      </c>
      <c r="R1440" s="1">
        <v>200010023600</v>
      </c>
      <c r="S1440" s="1">
        <v>50</v>
      </c>
      <c r="T1440" s="1">
        <v>1</v>
      </c>
      <c r="U1440" s="1">
        <v>1</v>
      </c>
    </row>
    <row r="1441" spans="1:21" x14ac:dyDescent="0.25">
      <c r="A1441" s="4">
        <v>44778</v>
      </c>
      <c r="B1441" s="5">
        <v>0.7950694444444445</v>
      </c>
      <c r="C1441" s="1">
        <v>1896</v>
      </c>
      <c r="D1441" s="1">
        <v>13002616</v>
      </c>
      <c r="E1441" s="1">
        <v>13</v>
      </c>
      <c r="F1441" s="1">
        <v>22589</v>
      </c>
      <c r="G1441" s="1" t="s">
        <v>18</v>
      </c>
      <c r="H1441" s="1">
        <v>18</v>
      </c>
      <c r="I1441" s="1">
        <v>84715</v>
      </c>
      <c r="J1441" s="1" t="s">
        <v>1215</v>
      </c>
      <c r="K1441" s="1" t="s">
        <v>249</v>
      </c>
      <c r="L1441" s="1" t="s">
        <v>1216</v>
      </c>
      <c r="M1441" s="1">
        <v>0.33333332999999998</v>
      </c>
      <c r="N1441" s="2">
        <v>2237.48</v>
      </c>
      <c r="O1441" s="3">
        <v>3066</v>
      </c>
      <c r="P1441" s="1">
        <v>102</v>
      </c>
      <c r="Q1441" s="1">
        <v>9</v>
      </c>
      <c r="R1441" s="1">
        <v>200010023600</v>
      </c>
      <c r="S1441" s="1">
        <v>50</v>
      </c>
      <c r="T1441" s="1">
        <v>1</v>
      </c>
      <c r="U1441" s="1">
        <v>2</v>
      </c>
    </row>
    <row r="1442" spans="1:21" x14ac:dyDescent="0.25">
      <c r="A1442" s="4">
        <v>44778</v>
      </c>
      <c r="B1442" s="5">
        <v>0.799224537037037</v>
      </c>
      <c r="C1442" s="1">
        <v>1897</v>
      </c>
      <c r="D1442" s="1">
        <v>13002616</v>
      </c>
      <c r="E1442" s="1">
        <v>13</v>
      </c>
      <c r="F1442" s="1">
        <v>22589</v>
      </c>
      <c r="G1442" s="1" t="s">
        <v>18</v>
      </c>
      <c r="H1442" s="1">
        <v>18</v>
      </c>
      <c r="I1442" s="1">
        <v>197399</v>
      </c>
      <c r="J1442" s="1" t="s">
        <v>1217</v>
      </c>
      <c r="K1442" s="1" t="s">
        <v>26</v>
      </c>
      <c r="L1442" s="1" t="s">
        <v>1218</v>
      </c>
      <c r="M1442" s="1">
        <v>0.33333333999999998</v>
      </c>
      <c r="N1442" s="2">
        <v>1632.4</v>
      </c>
      <c r="O1442" s="3">
        <v>2041</v>
      </c>
      <c r="P1442" s="1">
        <v>0</v>
      </c>
      <c r="Q1442" s="1" t="s">
        <v>22</v>
      </c>
      <c r="R1442" s="1" t="s">
        <v>22</v>
      </c>
      <c r="S1442" s="1">
        <v>50</v>
      </c>
      <c r="T1442" s="1">
        <v>1</v>
      </c>
      <c r="U1442" s="1">
        <v>1</v>
      </c>
    </row>
    <row r="1443" spans="1:21" x14ac:dyDescent="0.25">
      <c r="A1443" s="4">
        <v>44778</v>
      </c>
      <c r="B1443" s="5">
        <v>0.80744212962962958</v>
      </c>
      <c r="C1443" s="1">
        <v>1898</v>
      </c>
      <c r="D1443" s="1">
        <v>13002616</v>
      </c>
      <c r="E1443" s="1">
        <v>13</v>
      </c>
      <c r="F1443" s="1">
        <v>22589</v>
      </c>
      <c r="G1443" s="1" t="s">
        <v>18</v>
      </c>
      <c r="H1443" s="1">
        <v>18</v>
      </c>
      <c r="I1443" s="1">
        <v>8394</v>
      </c>
      <c r="J1443" s="1" t="s">
        <v>1219</v>
      </c>
      <c r="K1443" s="1" t="s">
        <v>26</v>
      </c>
      <c r="L1443" s="1" t="s">
        <v>266</v>
      </c>
      <c r="M1443" s="1">
        <v>1</v>
      </c>
      <c r="N1443" s="2">
        <v>23.31</v>
      </c>
      <c r="O1443" s="3">
        <v>29.9</v>
      </c>
      <c r="P1443" s="1">
        <v>0</v>
      </c>
      <c r="Q1443" s="1" t="s">
        <v>22</v>
      </c>
      <c r="R1443" s="1" t="s">
        <v>22</v>
      </c>
      <c r="S1443" s="1">
        <v>50</v>
      </c>
      <c r="T1443" s="1">
        <v>1</v>
      </c>
      <c r="U1443" s="1">
        <v>2</v>
      </c>
    </row>
    <row r="1444" spans="1:21" x14ac:dyDescent="0.25">
      <c r="A1444" s="4">
        <v>44778</v>
      </c>
      <c r="B1444" s="5">
        <v>0.80744212962962958</v>
      </c>
      <c r="C1444" s="1">
        <v>1898</v>
      </c>
      <c r="D1444" s="1">
        <v>13002616</v>
      </c>
      <c r="E1444" s="1">
        <v>13</v>
      </c>
      <c r="F1444" s="1">
        <v>22589</v>
      </c>
      <c r="G1444" s="1" t="s">
        <v>18</v>
      </c>
      <c r="H1444" s="1">
        <v>18</v>
      </c>
      <c r="I1444" s="1">
        <v>260840</v>
      </c>
      <c r="J1444" s="1" t="s">
        <v>355</v>
      </c>
      <c r="K1444" s="1" t="s">
        <v>48</v>
      </c>
      <c r="L1444" s="1" t="s">
        <v>164</v>
      </c>
      <c r="M1444" s="1">
        <v>1</v>
      </c>
      <c r="N1444" s="2">
        <v>9.66</v>
      </c>
      <c r="O1444" s="3">
        <v>16</v>
      </c>
      <c r="P1444" s="1">
        <v>0</v>
      </c>
      <c r="Q1444" s="1" t="s">
        <v>22</v>
      </c>
      <c r="R1444" s="1" t="s">
        <v>22</v>
      </c>
      <c r="S1444" s="1">
        <v>50</v>
      </c>
      <c r="T1444" s="1">
        <v>1</v>
      </c>
      <c r="U1444" s="1">
        <v>1</v>
      </c>
    </row>
    <row r="1445" spans="1:21" x14ac:dyDescent="0.25">
      <c r="A1445" s="4">
        <v>44778</v>
      </c>
      <c r="B1445" s="5">
        <v>0.81260416666666668</v>
      </c>
      <c r="C1445" s="1">
        <v>1899</v>
      </c>
      <c r="D1445" s="1">
        <v>13002616</v>
      </c>
      <c r="E1445" s="1">
        <v>13</v>
      </c>
      <c r="F1445" s="1">
        <v>22589</v>
      </c>
      <c r="G1445" s="1" t="s">
        <v>18</v>
      </c>
      <c r="H1445" s="1">
        <v>15</v>
      </c>
      <c r="I1445" s="1">
        <v>317993</v>
      </c>
      <c r="J1445" s="1" t="s">
        <v>1220</v>
      </c>
      <c r="K1445" s="1" t="s">
        <v>26</v>
      </c>
      <c r="L1445" s="1" t="s">
        <v>1221</v>
      </c>
      <c r="M1445" s="1">
        <v>1</v>
      </c>
      <c r="N1445" s="2">
        <v>61.22</v>
      </c>
      <c r="O1445" s="3">
        <v>76</v>
      </c>
      <c r="P1445" s="1">
        <v>0</v>
      </c>
      <c r="Q1445" s="1" t="s">
        <v>22</v>
      </c>
      <c r="R1445" s="1" t="s">
        <v>22</v>
      </c>
      <c r="S1445" s="1">
        <v>50</v>
      </c>
      <c r="T1445" s="1">
        <v>1</v>
      </c>
      <c r="U1445" s="1">
        <v>1</v>
      </c>
    </row>
    <row r="1446" spans="1:21" x14ac:dyDescent="0.25">
      <c r="A1446" s="4">
        <v>44778</v>
      </c>
      <c r="B1446" s="5">
        <v>0.82451388888888888</v>
      </c>
      <c r="C1446" s="1">
        <v>1900</v>
      </c>
      <c r="D1446" s="1">
        <v>13002616</v>
      </c>
      <c r="E1446" s="1">
        <v>13</v>
      </c>
      <c r="F1446" s="1">
        <v>22589</v>
      </c>
      <c r="G1446" s="1" t="s">
        <v>18</v>
      </c>
      <c r="H1446" s="1">
        <v>18</v>
      </c>
      <c r="I1446" s="1">
        <v>431</v>
      </c>
      <c r="J1446" s="1" t="s">
        <v>986</v>
      </c>
      <c r="K1446" s="1" t="s">
        <v>26</v>
      </c>
      <c r="L1446" s="1" t="s">
        <v>213</v>
      </c>
      <c r="M1446" s="1">
        <v>1</v>
      </c>
      <c r="N1446" s="2">
        <v>41.83</v>
      </c>
      <c r="O1446" s="3">
        <v>51</v>
      </c>
      <c r="P1446" s="1">
        <v>0</v>
      </c>
      <c r="Q1446" s="1" t="s">
        <v>22</v>
      </c>
      <c r="R1446" s="1" t="s">
        <v>22</v>
      </c>
      <c r="S1446" s="1">
        <v>50</v>
      </c>
      <c r="T1446" s="1">
        <v>1</v>
      </c>
      <c r="U1446" s="1">
        <v>1</v>
      </c>
    </row>
    <row r="1447" spans="1:21" x14ac:dyDescent="0.25">
      <c r="A1447" s="4">
        <v>44778</v>
      </c>
      <c r="B1447" s="5">
        <v>0.82451388888888888</v>
      </c>
      <c r="C1447" s="1">
        <v>1900</v>
      </c>
      <c r="D1447" s="1">
        <v>13002616</v>
      </c>
      <c r="E1447" s="1">
        <v>13</v>
      </c>
      <c r="F1447" s="1">
        <v>22589</v>
      </c>
      <c r="G1447" s="1" t="s">
        <v>18</v>
      </c>
      <c r="H1447" s="1">
        <v>18</v>
      </c>
      <c r="I1447" s="1">
        <v>4139</v>
      </c>
      <c r="J1447" s="1" t="s">
        <v>1222</v>
      </c>
      <c r="K1447" s="1" t="s">
        <v>42</v>
      </c>
      <c r="L1447" s="1" t="s">
        <v>1223</v>
      </c>
      <c r="M1447" s="1">
        <v>1</v>
      </c>
      <c r="N1447" s="2">
        <v>266.99</v>
      </c>
      <c r="O1447" s="3">
        <v>322</v>
      </c>
      <c r="P1447" s="1">
        <v>0</v>
      </c>
      <c r="Q1447" s="1" t="s">
        <v>22</v>
      </c>
      <c r="R1447" s="1" t="s">
        <v>22</v>
      </c>
      <c r="S1447" s="1">
        <v>50</v>
      </c>
      <c r="T1447" s="1">
        <v>1</v>
      </c>
      <c r="U1447" s="1">
        <v>2</v>
      </c>
    </row>
    <row r="1448" spans="1:21" x14ac:dyDescent="0.25">
      <c r="A1448" s="4">
        <v>44778</v>
      </c>
      <c r="B1448" s="5">
        <v>0.82623842592592589</v>
      </c>
      <c r="C1448" s="1">
        <v>1902</v>
      </c>
      <c r="D1448" s="1">
        <v>13002616</v>
      </c>
      <c r="E1448" s="1">
        <v>13</v>
      </c>
      <c r="F1448" s="1">
        <v>22589</v>
      </c>
      <c r="G1448" s="1" t="s">
        <v>18</v>
      </c>
      <c r="H1448" s="1">
        <v>15</v>
      </c>
      <c r="I1448" s="1">
        <v>259301</v>
      </c>
      <c r="J1448" s="1" t="s">
        <v>1224</v>
      </c>
      <c r="K1448" s="1" t="s">
        <v>114</v>
      </c>
      <c r="L1448" s="1" t="s">
        <v>1225</v>
      </c>
      <c r="M1448" s="1">
        <v>4</v>
      </c>
      <c r="N1448" s="2">
        <v>7.26</v>
      </c>
      <c r="O1448" s="3">
        <v>12</v>
      </c>
      <c r="P1448" s="1">
        <v>4</v>
      </c>
      <c r="Q1448" s="1">
        <v>9</v>
      </c>
      <c r="R1448" s="1">
        <v>200010016190</v>
      </c>
      <c r="S1448" s="1">
        <v>50</v>
      </c>
      <c r="T1448" s="1">
        <v>1</v>
      </c>
      <c r="U1448" s="1">
        <v>2</v>
      </c>
    </row>
    <row r="1449" spans="1:21" x14ac:dyDescent="0.25">
      <c r="A1449" s="4">
        <v>44778</v>
      </c>
      <c r="B1449" s="5">
        <v>0.82623842592592589</v>
      </c>
      <c r="C1449" s="1">
        <v>1902</v>
      </c>
      <c r="D1449" s="1">
        <v>13002616</v>
      </c>
      <c r="E1449" s="1">
        <v>13</v>
      </c>
      <c r="F1449" s="1">
        <v>22589</v>
      </c>
      <c r="G1449" s="1" t="s">
        <v>18</v>
      </c>
      <c r="H1449" s="1">
        <v>15</v>
      </c>
      <c r="I1449" s="1">
        <v>30090</v>
      </c>
      <c r="J1449" s="1" t="s">
        <v>1226</v>
      </c>
      <c r="K1449" s="1" t="s">
        <v>48</v>
      </c>
      <c r="L1449" s="1" t="s">
        <v>164</v>
      </c>
      <c r="M1449" s="1">
        <v>1</v>
      </c>
      <c r="N1449" s="2">
        <v>18.5</v>
      </c>
      <c r="O1449" s="3">
        <v>30</v>
      </c>
      <c r="P1449" s="1">
        <v>3</v>
      </c>
      <c r="Q1449" s="1">
        <v>9</v>
      </c>
      <c r="R1449" s="1">
        <v>200010016190</v>
      </c>
      <c r="S1449" s="1">
        <v>50</v>
      </c>
      <c r="T1449" s="1">
        <v>1</v>
      </c>
      <c r="U1449" s="1">
        <v>1</v>
      </c>
    </row>
    <row r="1450" spans="1:21" x14ac:dyDescent="0.25">
      <c r="N1450" s="6"/>
      <c r="O1450" s="7"/>
    </row>
    <row r="1451" spans="1:21" x14ac:dyDescent="0.25">
      <c r="N1451" s="6"/>
      <c r="O145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3592-BF9F-4A8B-B607-41902B4D27BD}">
  <dimension ref="A3:J807"/>
  <sheetViews>
    <sheetView topLeftCell="B1" zoomScale="85" workbookViewId="0">
      <selection activeCell="L10" sqref="L10"/>
    </sheetView>
  </sheetViews>
  <sheetFormatPr defaultRowHeight="13.2" x14ac:dyDescent="0.25"/>
  <cols>
    <col min="1" max="1" width="111.109375" bestFit="1" customWidth="1"/>
    <col min="2" max="2" width="25.6640625" bestFit="1" customWidth="1"/>
    <col min="4" max="4" width="25.88671875" customWidth="1"/>
    <col min="5" max="5" width="26.109375" customWidth="1"/>
    <col min="6" max="6" width="12.33203125" bestFit="1" customWidth="1"/>
    <col min="8" max="8" width="13.88671875" customWidth="1"/>
    <col min="9" max="9" width="15.109375" customWidth="1"/>
    <col min="10" max="10" width="16.109375" customWidth="1"/>
  </cols>
  <sheetData>
    <row r="3" spans="1:10" x14ac:dyDescent="0.25">
      <c r="A3" s="8" t="s">
        <v>1227</v>
      </c>
      <c r="B3" t="s">
        <v>1229</v>
      </c>
      <c r="D3" s="12" t="s">
        <v>1235</v>
      </c>
      <c r="E3" s="12" t="s">
        <v>1229</v>
      </c>
      <c r="F3" s="12" t="s">
        <v>1236</v>
      </c>
      <c r="G3" s="12" t="s">
        <v>1237</v>
      </c>
      <c r="H3" s="12" t="s">
        <v>1247</v>
      </c>
      <c r="I3" s="13" t="s">
        <v>1248</v>
      </c>
      <c r="J3" s="13" t="s">
        <v>1249</v>
      </c>
    </row>
    <row r="4" spans="1:10" x14ac:dyDescent="0.25">
      <c r="A4" s="9" t="s">
        <v>151</v>
      </c>
      <c r="B4" s="10">
        <v>1</v>
      </c>
      <c r="D4" t="s">
        <v>375</v>
      </c>
      <c r="E4">
        <v>68</v>
      </c>
      <c r="F4">
        <f>E4/SUM($E$4:$E$806)</f>
        <v>4.2265927271319337E-2</v>
      </c>
      <c r="G4">
        <f>F4</f>
        <v>4.2265927271319337E-2</v>
      </c>
      <c r="H4" t="str">
        <f>IF(G4&lt;0.8, "A", IF(G4&lt;0.95, "B","C"))</f>
        <v>A</v>
      </c>
      <c r="I4" t="str">
        <f>VLOOKUP(D4,'СУММА ПРОДАЖ'!J:N, 5, FALSE)</f>
        <v>B</v>
      </c>
      <c r="J4" t="str">
        <f>VLOOKUP(D4, 'МЕСЯЧНАЯ ОБОР.'!$V$4:$W$806, 2, FALSE)</f>
        <v>A</v>
      </c>
    </row>
    <row r="5" spans="1:10" x14ac:dyDescent="0.25">
      <c r="A5" s="9" t="s">
        <v>515</v>
      </c>
      <c r="B5" s="10">
        <v>1</v>
      </c>
      <c r="D5" t="s">
        <v>416</v>
      </c>
      <c r="E5">
        <v>35</v>
      </c>
      <c r="F5">
        <f t="shared" ref="F5:F68" si="0">E5/SUM($E$4:$E$806)</f>
        <v>2.1754521389649659E-2</v>
      </c>
      <c r="G5">
        <f>F5+G4</f>
        <v>6.4020448660968995E-2</v>
      </c>
      <c r="H5" t="str">
        <f t="shared" ref="H5:H68" si="1">IF(G5&lt;0.8, "A", IF(G5&lt;0.95, "B","C"))</f>
        <v>A</v>
      </c>
      <c r="I5" t="str">
        <f>VLOOKUP(D5,'СУММА ПРОДАЖ'!J:N, 5, FALSE)</f>
        <v>B</v>
      </c>
      <c r="J5" t="str">
        <f>VLOOKUP(D5, 'МЕСЯЧНАЯ ОБОР.'!$V$4:$W$806, 2, FALSE)</f>
        <v>A</v>
      </c>
    </row>
    <row r="6" spans="1:10" x14ac:dyDescent="0.25">
      <c r="A6" s="9" t="s">
        <v>867</v>
      </c>
      <c r="B6" s="10">
        <v>1</v>
      </c>
      <c r="D6" t="s">
        <v>91</v>
      </c>
      <c r="E6">
        <v>26</v>
      </c>
      <c r="F6">
        <f t="shared" si="0"/>
        <v>1.6160501603739746E-2</v>
      </c>
      <c r="G6">
        <f t="shared" ref="G6:G69" si="2">F6+G5</f>
        <v>8.0180950264708742E-2</v>
      </c>
      <c r="H6" t="str">
        <f t="shared" si="1"/>
        <v>A</v>
      </c>
      <c r="I6" t="str">
        <f>VLOOKUP(D6,'СУММА ПРОДАЖ'!J:N, 5, FALSE)</f>
        <v>C</v>
      </c>
      <c r="J6" t="str">
        <f>VLOOKUP(D6, 'МЕСЯЧНАЯ ОБОР.'!$V$4:$W$806, 2, FALSE)</f>
        <v>A</v>
      </c>
    </row>
    <row r="7" spans="1:10" x14ac:dyDescent="0.25">
      <c r="A7" s="9" t="s">
        <v>106</v>
      </c>
      <c r="B7" s="10">
        <v>1</v>
      </c>
      <c r="D7" t="s">
        <v>415</v>
      </c>
      <c r="E7">
        <v>25</v>
      </c>
      <c r="F7">
        <f t="shared" si="0"/>
        <v>1.5538943849749754E-2</v>
      </c>
      <c r="G7">
        <f t="shared" si="2"/>
        <v>9.5719894114458498E-2</v>
      </c>
      <c r="H7" t="str">
        <f t="shared" si="1"/>
        <v>A</v>
      </c>
      <c r="I7" t="str">
        <f>VLOOKUP(D7,'СУММА ПРОДАЖ'!J:N, 5, FALSE)</f>
        <v>A</v>
      </c>
      <c r="J7" t="str">
        <f>VLOOKUP(D7, 'МЕСЯЧНАЯ ОБОР.'!$V$4:$W$806, 2, FALSE)</f>
        <v>A</v>
      </c>
    </row>
    <row r="8" spans="1:10" x14ac:dyDescent="0.25">
      <c r="A8" s="9" t="s">
        <v>1209</v>
      </c>
      <c r="B8" s="10">
        <v>1</v>
      </c>
      <c r="D8" t="s">
        <v>583</v>
      </c>
      <c r="E8">
        <v>22</v>
      </c>
      <c r="F8">
        <f t="shared" si="0"/>
        <v>1.3674270587779784E-2</v>
      </c>
      <c r="G8">
        <f t="shared" si="2"/>
        <v>0.10939416470223828</v>
      </c>
      <c r="H8" t="str">
        <f t="shared" si="1"/>
        <v>A</v>
      </c>
      <c r="I8" t="str">
        <f>VLOOKUP(D8,'СУММА ПРОДАЖ'!J:N, 5, FALSE)</f>
        <v>B</v>
      </c>
      <c r="J8" t="str">
        <f>VLOOKUP(D8, 'МЕСЯЧНАЯ ОБОР.'!$V$4:$W$806, 2, FALSE)</f>
        <v>A</v>
      </c>
    </row>
    <row r="9" spans="1:10" x14ac:dyDescent="0.25">
      <c r="A9" s="9" t="s">
        <v>210</v>
      </c>
      <c r="B9" s="10">
        <v>2</v>
      </c>
      <c r="D9" t="s">
        <v>163</v>
      </c>
      <c r="E9">
        <v>17</v>
      </c>
      <c r="F9">
        <f t="shared" si="0"/>
        <v>1.0566481817829834E-2</v>
      </c>
      <c r="G9">
        <f t="shared" si="2"/>
        <v>0.11996064652006812</v>
      </c>
      <c r="H9" t="str">
        <f t="shared" si="1"/>
        <v>A</v>
      </c>
      <c r="I9" t="str">
        <f>VLOOKUP(D9,'СУММА ПРОДАЖ'!J:N, 5, FALSE)</f>
        <v>B</v>
      </c>
      <c r="J9" t="str">
        <f>VLOOKUP(D9, 'МЕСЯЧНАЯ ОБОР.'!$V$4:$W$806, 2, FALSE)</f>
        <v>A</v>
      </c>
    </row>
    <row r="10" spans="1:10" x14ac:dyDescent="0.25">
      <c r="A10" s="9" t="s">
        <v>177</v>
      </c>
      <c r="B10" s="10">
        <v>3</v>
      </c>
      <c r="D10" t="s">
        <v>331</v>
      </c>
      <c r="E10">
        <v>14</v>
      </c>
      <c r="F10">
        <f t="shared" si="0"/>
        <v>8.7018085558598635E-3</v>
      </c>
      <c r="G10">
        <f t="shared" si="2"/>
        <v>0.128662455075928</v>
      </c>
      <c r="H10" t="str">
        <f t="shared" si="1"/>
        <v>A</v>
      </c>
      <c r="I10" t="str">
        <f>VLOOKUP(D10,'СУММА ПРОДАЖ'!J:N, 5, FALSE)</f>
        <v>A</v>
      </c>
      <c r="J10" t="str">
        <f>VLOOKUP(D10, 'МЕСЯЧНАЯ ОБОР.'!$V$4:$W$806, 2, FALSE)</f>
        <v>A</v>
      </c>
    </row>
    <row r="11" spans="1:10" x14ac:dyDescent="0.25">
      <c r="A11" s="9" t="s">
        <v>41</v>
      </c>
      <c r="B11" s="10">
        <v>1</v>
      </c>
      <c r="D11" t="s">
        <v>1043</v>
      </c>
      <c r="E11">
        <v>14</v>
      </c>
      <c r="F11">
        <f t="shared" si="0"/>
        <v>8.7018085558598635E-3</v>
      </c>
      <c r="G11">
        <f t="shared" si="2"/>
        <v>0.13736426363178786</v>
      </c>
      <c r="H11" t="str">
        <f t="shared" si="1"/>
        <v>A</v>
      </c>
      <c r="I11" t="str">
        <f>VLOOKUP(D11,'СУММА ПРОДАЖ'!J:N, 5, FALSE)</f>
        <v>C</v>
      </c>
      <c r="J11" t="str">
        <f>VLOOKUP(D11, 'МЕСЯЧНАЯ ОБОР.'!$V$4:$W$806, 2, FALSE)</f>
        <v>A</v>
      </c>
    </row>
    <row r="12" spans="1:10" x14ac:dyDescent="0.25">
      <c r="A12" s="9" t="s">
        <v>763</v>
      </c>
      <c r="B12" s="10">
        <v>1</v>
      </c>
      <c r="D12" t="s">
        <v>448</v>
      </c>
      <c r="E12">
        <v>13</v>
      </c>
      <c r="F12">
        <f t="shared" si="0"/>
        <v>8.0802508018698732E-3</v>
      </c>
      <c r="G12">
        <f t="shared" si="2"/>
        <v>0.14544451443365775</v>
      </c>
      <c r="H12" t="str">
        <f t="shared" si="1"/>
        <v>A</v>
      </c>
      <c r="I12" t="str">
        <f>VLOOKUP(D12,'СУММА ПРОДАЖ'!J:N, 5, FALSE)</f>
        <v>C</v>
      </c>
      <c r="J12" t="str">
        <f>VLOOKUP(D12, 'МЕСЯЧНАЯ ОБОР.'!$V$4:$W$806, 2, FALSE)</f>
        <v>A</v>
      </c>
    </row>
    <row r="13" spans="1:10" x14ac:dyDescent="0.25">
      <c r="A13" s="9" t="s">
        <v>502</v>
      </c>
      <c r="B13" s="10">
        <v>1</v>
      </c>
      <c r="D13" t="s">
        <v>236</v>
      </c>
      <c r="E13">
        <v>13</v>
      </c>
      <c r="F13">
        <f t="shared" si="0"/>
        <v>8.0802508018698732E-3</v>
      </c>
      <c r="G13">
        <f t="shared" si="2"/>
        <v>0.1535247652355276</v>
      </c>
      <c r="H13" t="str">
        <f t="shared" si="1"/>
        <v>A</v>
      </c>
      <c r="I13" t="str">
        <f>VLOOKUP(D13,'СУММА ПРОДАЖ'!J:N, 5, FALSE)</f>
        <v>A</v>
      </c>
      <c r="J13" t="str">
        <f>VLOOKUP(D13, 'МЕСЯЧНАЯ ОБОР.'!$V$4:$W$806, 2, FALSE)</f>
        <v>A</v>
      </c>
    </row>
    <row r="14" spans="1:10" x14ac:dyDescent="0.25">
      <c r="A14" s="9" t="s">
        <v>868</v>
      </c>
      <c r="B14" s="10">
        <v>1</v>
      </c>
      <c r="D14" t="s">
        <v>591</v>
      </c>
      <c r="E14">
        <v>13</v>
      </c>
      <c r="F14">
        <f t="shared" si="0"/>
        <v>8.0802508018698732E-3</v>
      </c>
      <c r="G14">
        <f t="shared" si="2"/>
        <v>0.16160501603739746</v>
      </c>
      <c r="H14" t="str">
        <f t="shared" si="1"/>
        <v>A</v>
      </c>
      <c r="I14" t="str">
        <f>VLOOKUP(D14,'СУММА ПРОДАЖ'!J:N, 5, FALSE)</f>
        <v>B</v>
      </c>
      <c r="J14" t="str">
        <f>VLOOKUP(D14, 'МЕСЯЧНАЯ ОБОР.'!$V$4:$W$806, 2, FALSE)</f>
        <v>A</v>
      </c>
    </row>
    <row r="15" spans="1:10" x14ac:dyDescent="0.25">
      <c r="A15" s="9" t="s">
        <v>83</v>
      </c>
      <c r="B15" s="10">
        <v>2</v>
      </c>
      <c r="D15" t="s">
        <v>1140</v>
      </c>
      <c r="E15">
        <v>13</v>
      </c>
      <c r="F15">
        <f t="shared" si="0"/>
        <v>8.0802508018698732E-3</v>
      </c>
      <c r="G15">
        <f t="shared" si="2"/>
        <v>0.16968526683926732</v>
      </c>
      <c r="H15" t="str">
        <f t="shared" si="1"/>
        <v>A</v>
      </c>
      <c r="I15" t="str">
        <f>VLOOKUP(D15,'СУММА ПРОДАЖ'!J:N, 5, FALSE)</f>
        <v>A</v>
      </c>
      <c r="J15" t="str">
        <f>VLOOKUP(D15, 'МЕСЯЧНАЯ ОБОР.'!$V$4:$W$806, 2, FALSE)</f>
        <v>A</v>
      </c>
    </row>
    <row r="16" spans="1:10" x14ac:dyDescent="0.25">
      <c r="A16" s="9" t="s">
        <v>844</v>
      </c>
      <c r="B16" s="10">
        <v>2</v>
      </c>
      <c r="D16" t="s">
        <v>140</v>
      </c>
      <c r="E16">
        <v>12</v>
      </c>
      <c r="F16">
        <f t="shared" si="0"/>
        <v>7.4586930478798821E-3</v>
      </c>
      <c r="G16">
        <f t="shared" si="2"/>
        <v>0.17714395988714721</v>
      </c>
      <c r="H16" t="str">
        <f t="shared" si="1"/>
        <v>A</v>
      </c>
      <c r="I16" t="str">
        <f>VLOOKUP(D16,'СУММА ПРОДАЖ'!J:N, 5, FALSE)</f>
        <v>C</v>
      </c>
      <c r="J16" t="str">
        <f>VLOOKUP(D16, 'МЕСЯЧНАЯ ОБОР.'!$V$4:$W$806, 2, FALSE)</f>
        <v>A</v>
      </c>
    </row>
    <row r="17" spans="1:10" x14ac:dyDescent="0.25">
      <c r="A17" s="9" t="s">
        <v>901</v>
      </c>
      <c r="B17" s="10">
        <v>1</v>
      </c>
      <c r="D17" t="s">
        <v>222</v>
      </c>
      <c r="E17">
        <v>11</v>
      </c>
      <c r="F17">
        <f t="shared" si="0"/>
        <v>6.8371352938898919E-3</v>
      </c>
      <c r="G17">
        <f t="shared" si="2"/>
        <v>0.18398109518103709</v>
      </c>
      <c r="H17" t="str">
        <f t="shared" si="1"/>
        <v>A</v>
      </c>
      <c r="I17" t="str">
        <f>VLOOKUP(D17,'СУММА ПРОДАЖ'!J:N, 5, FALSE)</f>
        <v>B</v>
      </c>
      <c r="J17" t="str">
        <f>VLOOKUP(D17, 'МЕСЯЧНАЯ ОБОР.'!$V$4:$W$806, 2, FALSE)</f>
        <v>A</v>
      </c>
    </row>
    <row r="18" spans="1:10" x14ac:dyDescent="0.25">
      <c r="A18" s="9" t="s">
        <v>999</v>
      </c>
      <c r="B18" s="10">
        <v>1</v>
      </c>
      <c r="D18" t="s">
        <v>89</v>
      </c>
      <c r="E18">
        <v>11</v>
      </c>
      <c r="F18">
        <f t="shared" si="0"/>
        <v>6.8371352938898919E-3</v>
      </c>
      <c r="G18">
        <f t="shared" si="2"/>
        <v>0.19081823047492696</v>
      </c>
      <c r="H18" t="str">
        <f t="shared" si="1"/>
        <v>A</v>
      </c>
      <c r="I18" t="str">
        <f>VLOOKUP(D18,'СУММА ПРОДАЖ'!J:N, 5, FALSE)</f>
        <v>B</v>
      </c>
      <c r="J18" t="str">
        <f>VLOOKUP(D18, 'МЕСЯЧНАЯ ОБОР.'!$V$4:$W$806, 2, FALSE)</f>
        <v>A</v>
      </c>
    </row>
    <row r="19" spans="1:10" x14ac:dyDescent="0.25">
      <c r="A19" s="9" t="s">
        <v>1124</v>
      </c>
      <c r="B19" s="10">
        <v>1</v>
      </c>
      <c r="D19" t="s">
        <v>514</v>
      </c>
      <c r="E19">
        <v>11</v>
      </c>
      <c r="F19">
        <f t="shared" si="0"/>
        <v>6.8371352938898919E-3</v>
      </c>
      <c r="G19">
        <f t="shared" si="2"/>
        <v>0.19765536576881684</v>
      </c>
      <c r="H19" t="str">
        <f t="shared" si="1"/>
        <v>A</v>
      </c>
      <c r="I19" t="str">
        <f>VLOOKUP(D19,'СУММА ПРОДАЖ'!J:N, 5, FALSE)</f>
        <v>A</v>
      </c>
      <c r="J19" t="str">
        <f>VLOOKUP(D19, 'МЕСЯЧНАЯ ОБОР.'!$V$4:$W$806, 2, FALSE)</f>
        <v>A</v>
      </c>
    </row>
    <row r="20" spans="1:10" x14ac:dyDescent="0.25">
      <c r="A20" s="9" t="s">
        <v>1196</v>
      </c>
      <c r="B20" s="10">
        <v>1</v>
      </c>
      <c r="D20" t="s">
        <v>98</v>
      </c>
      <c r="E20">
        <v>10</v>
      </c>
      <c r="F20">
        <f t="shared" si="0"/>
        <v>6.2155775398999025E-3</v>
      </c>
      <c r="G20">
        <f t="shared" si="2"/>
        <v>0.20387094330871675</v>
      </c>
      <c r="H20" t="str">
        <f t="shared" si="1"/>
        <v>A</v>
      </c>
      <c r="I20" t="str">
        <f>VLOOKUP(D20,'СУММА ПРОДАЖ'!J:N, 5, FALSE)</f>
        <v>A</v>
      </c>
      <c r="J20" t="str">
        <f>VLOOKUP(D20, 'МЕСЯЧНАЯ ОБОР.'!$V$4:$W$806, 2, FALSE)</f>
        <v>A</v>
      </c>
    </row>
    <row r="21" spans="1:10" x14ac:dyDescent="0.25">
      <c r="A21" s="9" t="s">
        <v>553</v>
      </c>
      <c r="B21" s="10">
        <v>1</v>
      </c>
      <c r="D21" t="s">
        <v>366</v>
      </c>
      <c r="E21">
        <v>10</v>
      </c>
      <c r="F21">
        <f t="shared" si="0"/>
        <v>6.2155775398999025E-3</v>
      </c>
      <c r="G21">
        <f t="shared" si="2"/>
        <v>0.21008652084861665</v>
      </c>
      <c r="H21" t="str">
        <f t="shared" si="1"/>
        <v>A</v>
      </c>
      <c r="I21" t="str">
        <f>VLOOKUP(D21,'СУММА ПРОДАЖ'!J:N, 5, FALSE)</f>
        <v>A</v>
      </c>
      <c r="J21" t="str">
        <f>VLOOKUP(D21, 'МЕСЯЧНАЯ ОБОР.'!$V$4:$W$806, 2, FALSE)</f>
        <v>A</v>
      </c>
    </row>
    <row r="22" spans="1:10" x14ac:dyDescent="0.25">
      <c r="A22" s="9" t="s">
        <v>865</v>
      </c>
      <c r="B22" s="10">
        <v>0.5</v>
      </c>
      <c r="D22" t="s">
        <v>851</v>
      </c>
      <c r="E22">
        <v>10</v>
      </c>
      <c r="F22">
        <f t="shared" si="0"/>
        <v>6.2155775398999025E-3</v>
      </c>
      <c r="G22">
        <f t="shared" si="2"/>
        <v>0.21630209838851655</v>
      </c>
      <c r="H22" t="str">
        <f t="shared" si="1"/>
        <v>A</v>
      </c>
      <c r="I22" t="str">
        <f>VLOOKUP(D22,'СУММА ПРОДАЖ'!J:N, 5, FALSE)</f>
        <v>A</v>
      </c>
      <c r="J22" t="str">
        <f>VLOOKUP(D22, 'МЕСЯЧНАЯ ОБОР.'!$V$4:$W$806, 2, FALSE)</f>
        <v>A</v>
      </c>
    </row>
    <row r="23" spans="1:10" x14ac:dyDescent="0.25">
      <c r="A23" s="9" t="s">
        <v>495</v>
      </c>
      <c r="B23" s="10">
        <v>1</v>
      </c>
      <c r="D23" t="s">
        <v>153</v>
      </c>
      <c r="E23">
        <v>9</v>
      </c>
      <c r="F23">
        <f t="shared" si="0"/>
        <v>5.5940197859099122E-3</v>
      </c>
      <c r="G23">
        <f t="shared" si="2"/>
        <v>0.22189611817442645</v>
      </c>
      <c r="H23" t="str">
        <f t="shared" si="1"/>
        <v>A</v>
      </c>
      <c r="I23" t="str">
        <f>VLOOKUP(D23,'СУММА ПРОДАЖ'!J:N, 5, FALSE)</f>
        <v>A</v>
      </c>
      <c r="J23" t="str">
        <f>VLOOKUP(D23, 'МЕСЯЧНАЯ ОБОР.'!$V$4:$W$806, 2, FALSE)</f>
        <v>A</v>
      </c>
    </row>
    <row r="24" spans="1:10" x14ac:dyDescent="0.25">
      <c r="A24" s="9" t="s">
        <v>864</v>
      </c>
      <c r="B24" s="10">
        <v>1</v>
      </c>
      <c r="D24" t="s">
        <v>251</v>
      </c>
      <c r="E24">
        <v>9</v>
      </c>
      <c r="F24">
        <f t="shared" si="0"/>
        <v>5.5940197859099122E-3</v>
      </c>
      <c r="G24">
        <f t="shared" si="2"/>
        <v>0.22749013796033635</v>
      </c>
      <c r="H24" t="str">
        <f t="shared" si="1"/>
        <v>A</v>
      </c>
      <c r="I24" t="str">
        <f>VLOOKUP(D24,'СУММА ПРОДАЖ'!J:N, 5, FALSE)</f>
        <v>A</v>
      </c>
      <c r="J24" t="str">
        <f>VLOOKUP(D24, 'МЕСЯЧНАЯ ОБОР.'!$V$4:$W$806, 2, FALSE)</f>
        <v>A</v>
      </c>
    </row>
    <row r="25" spans="1:10" x14ac:dyDescent="0.25">
      <c r="A25" s="9" t="s">
        <v>1076</v>
      </c>
      <c r="B25" s="10">
        <v>1</v>
      </c>
      <c r="D25" t="s">
        <v>78</v>
      </c>
      <c r="E25">
        <v>9</v>
      </c>
      <c r="F25">
        <f t="shared" si="0"/>
        <v>5.5940197859099122E-3</v>
      </c>
      <c r="G25">
        <f t="shared" si="2"/>
        <v>0.23308415774624625</v>
      </c>
      <c r="H25" t="str">
        <f t="shared" si="1"/>
        <v>A</v>
      </c>
      <c r="I25" t="str">
        <f>VLOOKUP(D25,'СУММА ПРОДАЖ'!J:N, 5, FALSE)</f>
        <v>A</v>
      </c>
      <c r="J25" t="str">
        <f>VLOOKUP(D25, 'МЕСЯЧНАЯ ОБОР.'!$V$4:$W$806, 2, FALSE)</f>
        <v>A</v>
      </c>
    </row>
    <row r="26" spans="1:10" x14ac:dyDescent="0.25">
      <c r="A26" s="9" t="s">
        <v>1179</v>
      </c>
      <c r="B26" s="10">
        <v>0.2</v>
      </c>
      <c r="D26" t="s">
        <v>741</v>
      </c>
      <c r="E26">
        <v>9</v>
      </c>
      <c r="F26">
        <f t="shared" si="0"/>
        <v>5.5940197859099122E-3</v>
      </c>
      <c r="G26">
        <f t="shared" si="2"/>
        <v>0.23867817753215614</v>
      </c>
      <c r="H26" t="str">
        <f t="shared" si="1"/>
        <v>A</v>
      </c>
      <c r="I26" t="str">
        <f>VLOOKUP(D26,'СУММА ПРОДАЖ'!J:N, 5, FALSE)</f>
        <v>B</v>
      </c>
      <c r="J26" t="str">
        <f>VLOOKUP(D26, 'МЕСЯЧНАЯ ОБОР.'!$V$4:$W$806, 2, FALSE)</f>
        <v>A</v>
      </c>
    </row>
    <row r="27" spans="1:10" x14ac:dyDescent="0.25">
      <c r="A27" s="9" t="s">
        <v>961</v>
      </c>
      <c r="B27" s="10">
        <v>1</v>
      </c>
      <c r="D27" t="s">
        <v>116</v>
      </c>
      <c r="E27">
        <v>8</v>
      </c>
      <c r="F27">
        <f t="shared" si="0"/>
        <v>4.972462031919922E-3</v>
      </c>
      <c r="G27">
        <f t="shared" si="2"/>
        <v>0.24365063956407607</v>
      </c>
      <c r="H27" t="str">
        <f t="shared" si="1"/>
        <v>A</v>
      </c>
      <c r="I27" t="str">
        <f>VLOOKUP(D27,'СУММА ПРОДАЖ'!J:N, 5, FALSE)</f>
        <v>A</v>
      </c>
      <c r="J27" t="str">
        <f>VLOOKUP(D27, 'МЕСЯЧНАЯ ОБОР.'!$V$4:$W$806, 2, FALSE)</f>
        <v>A</v>
      </c>
    </row>
    <row r="28" spans="1:10" x14ac:dyDescent="0.25">
      <c r="A28" s="9" t="s">
        <v>861</v>
      </c>
      <c r="B28" s="10">
        <v>1</v>
      </c>
      <c r="D28" t="s">
        <v>624</v>
      </c>
      <c r="E28">
        <v>8</v>
      </c>
      <c r="F28">
        <f t="shared" si="0"/>
        <v>4.972462031919922E-3</v>
      </c>
      <c r="G28">
        <f t="shared" si="2"/>
        <v>0.24862310159599599</v>
      </c>
      <c r="H28" t="str">
        <f t="shared" si="1"/>
        <v>A</v>
      </c>
      <c r="I28" t="str">
        <f>VLOOKUP(D28,'СУММА ПРОДАЖ'!J:N, 5, FALSE)</f>
        <v>B</v>
      </c>
      <c r="J28" t="str">
        <f>VLOOKUP(D28, 'МЕСЯЧНАЯ ОБОР.'!$V$4:$W$806, 2, FALSE)</f>
        <v>A</v>
      </c>
    </row>
    <row r="29" spans="1:10" x14ac:dyDescent="0.25">
      <c r="A29" s="9" t="s">
        <v>894</v>
      </c>
      <c r="B29" s="10">
        <v>1</v>
      </c>
      <c r="D29" t="s">
        <v>466</v>
      </c>
      <c r="E29">
        <v>8</v>
      </c>
      <c r="F29">
        <f t="shared" si="0"/>
        <v>4.972462031919922E-3</v>
      </c>
      <c r="G29">
        <f t="shared" si="2"/>
        <v>0.25359556362791591</v>
      </c>
      <c r="H29" t="str">
        <f t="shared" si="1"/>
        <v>A</v>
      </c>
      <c r="I29" t="str">
        <f>VLOOKUP(D29,'СУММА ПРОДАЖ'!J:N, 5, FALSE)</f>
        <v>B</v>
      </c>
      <c r="J29" t="str">
        <f>VLOOKUP(D29, 'МЕСЯЧНАЯ ОБОР.'!$V$4:$W$806, 2, FALSE)</f>
        <v>A</v>
      </c>
    </row>
    <row r="30" spans="1:10" x14ac:dyDescent="0.25">
      <c r="A30" s="9" t="s">
        <v>541</v>
      </c>
      <c r="B30" s="10">
        <v>1</v>
      </c>
      <c r="D30" t="s">
        <v>214</v>
      </c>
      <c r="E30">
        <v>7</v>
      </c>
      <c r="F30">
        <f t="shared" si="0"/>
        <v>4.3509042779299317E-3</v>
      </c>
      <c r="G30">
        <f t="shared" si="2"/>
        <v>0.25794646790584586</v>
      </c>
      <c r="H30" t="str">
        <f t="shared" si="1"/>
        <v>A</v>
      </c>
      <c r="I30" t="str">
        <f>VLOOKUP(D30,'СУММА ПРОДАЖ'!J:N, 5, FALSE)</f>
        <v>A</v>
      </c>
      <c r="J30" t="str">
        <f>VLOOKUP(D30, 'МЕСЯЧНАЯ ОБОР.'!$V$4:$W$806, 2, FALSE)</f>
        <v>A</v>
      </c>
    </row>
    <row r="31" spans="1:10" x14ac:dyDescent="0.25">
      <c r="A31" s="9" t="s">
        <v>902</v>
      </c>
      <c r="B31" s="10">
        <v>1</v>
      </c>
      <c r="D31" t="s">
        <v>247</v>
      </c>
      <c r="E31">
        <v>7</v>
      </c>
      <c r="F31">
        <f t="shared" si="0"/>
        <v>4.3509042779299317E-3</v>
      </c>
      <c r="G31">
        <f t="shared" si="2"/>
        <v>0.2622973721837758</v>
      </c>
      <c r="H31" t="str">
        <f t="shared" si="1"/>
        <v>A</v>
      </c>
      <c r="I31" t="str">
        <f>VLOOKUP(D31,'СУММА ПРОДАЖ'!J:N, 5, FALSE)</f>
        <v>B</v>
      </c>
      <c r="J31" t="str">
        <f>VLOOKUP(D31, 'МЕСЯЧНАЯ ОБОР.'!$V$4:$W$806, 2, FALSE)</f>
        <v>A</v>
      </c>
    </row>
    <row r="32" spans="1:10" x14ac:dyDescent="0.25">
      <c r="A32" s="9" t="s">
        <v>478</v>
      </c>
      <c r="B32" s="10">
        <v>1</v>
      </c>
      <c r="D32" t="s">
        <v>169</v>
      </c>
      <c r="E32">
        <v>7</v>
      </c>
      <c r="F32">
        <f t="shared" si="0"/>
        <v>4.3509042779299317E-3</v>
      </c>
      <c r="G32">
        <f t="shared" si="2"/>
        <v>0.26664827646170575</v>
      </c>
      <c r="H32" t="str">
        <f t="shared" si="1"/>
        <v>A</v>
      </c>
      <c r="I32" t="str">
        <f>VLOOKUP(D32,'СУММА ПРОДАЖ'!J:N, 5, FALSE)</f>
        <v>B</v>
      </c>
      <c r="J32" t="str">
        <f>VLOOKUP(D32, 'МЕСЯЧНАЯ ОБОР.'!$V$4:$W$806, 2, FALSE)</f>
        <v>A</v>
      </c>
    </row>
    <row r="33" spans="1:10" x14ac:dyDescent="0.25">
      <c r="A33" s="9" t="s">
        <v>529</v>
      </c>
      <c r="B33" s="10">
        <v>1</v>
      </c>
      <c r="D33" t="s">
        <v>465</v>
      </c>
      <c r="E33">
        <v>7</v>
      </c>
      <c r="F33">
        <f t="shared" si="0"/>
        <v>4.3509042779299317E-3</v>
      </c>
      <c r="G33">
        <f t="shared" si="2"/>
        <v>0.27099918073963569</v>
      </c>
      <c r="H33" t="str">
        <f t="shared" si="1"/>
        <v>A</v>
      </c>
      <c r="I33" t="str">
        <f>VLOOKUP(D33,'СУММА ПРОДАЖ'!J:N, 5, FALSE)</f>
        <v>B</v>
      </c>
      <c r="J33" t="str">
        <f>VLOOKUP(D33, 'МЕСЯЧНАЯ ОБОР.'!$V$4:$W$806, 2, FALSE)</f>
        <v>A</v>
      </c>
    </row>
    <row r="34" spans="1:10" x14ac:dyDescent="0.25">
      <c r="A34" s="9" t="s">
        <v>1203</v>
      </c>
      <c r="B34" s="10">
        <v>1</v>
      </c>
      <c r="D34" t="s">
        <v>95</v>
      </c>
      <c r="E34">
        <v>7</v>
      </c>
      <c r="F34">
        <f t="shared" si="0"/>
        <v>4.3509042779299317E-3</v>
      </c>
      <c r="G34">
        <f t="shared" si="2"/>
        <v>0.27535008501756564</v>
      </c>
      <c r="H34" t="str">
        <f t="shared" si="1"/>
        <v>A</v>
      </c>
      <c r="I34" t="str">
        <f>VLOOKUP(D34,'СУММА ПРОДАЖ'!J:N, 5, FALSE)</f>
        <v>A</v>
      </c>
      <c r="J34" t="str">
        <f>VLOOKUP(D34, 'МЕСЯЧНАЯ ОБОР.'!$V$4:$W$806, 2, FALSE)</f>
        <v>A</v>
      </c>
    </row>
    <row r="35" spans="1:10" x14ac:dyDescent="0.25">
      <c r="A35" s="9" t="s">
        <v>675</v>
      </c>
      <c r="B35" s="10">
        <v>1</v>
      </c>
      <c r="D35" t="s">
        <v>248</v>
      </c>
      <c r="E35">
        <v>7</v>
      </c>
      <c r="F35">
        <f t="shared" si="0"/>
        <v>4.3509042779299317E-3</v>
      </c>
      <c r="G35">
        <f t="shared" si="2"/>
        <v>0.27970098929549558</v>
      </c>
      <c r="H35" t="str">
        <f t="shared" si="1"/>
        <v>A</v>
      </c>
      <c r="I35" t="str">
        <f>VLOOKUP(D35,'СУММА ПРОДАЖ'!J:N, 5, FALSE)</f>
        <v>A</v>
      </c>
      <c r="J35" t="str">
        <f>VLOOKUP(D35, 'МЕСЯЧНАЯ ОБОР.'!$V$4:$W$806, 2, FALSE)</f>
        <v>A</v>
      </c>
    </row>
    <row r="36" spans="1:10" x14ac:dyDescent="0.25">
      <c r="A36" s="9" t="s">
        <v>984</v>
      </c>
      <c r="B36" s="10">
        <v>1</v>
      </c>
      <c r="D36" t="s">
        <v>355</v>
      </c>
      <c r="E36">
        <v>6</v>
      </c>
      <c r="F36">
        <f t="shared" si="0"/>
        <v>3.729346523939941E-3</v>
      </c>
      <c r="G36">
        <f t="shared" si="2"/>
        <v>0.2834303358194355</v>
      </c>
      <c r="H36" t="str">
        <f t="shared" si="1"/>
        <v>A</v>
      </c>
      <c r="I36" t="str">
        <f>VLOOKUP(D36,'СУММА ПРОДАЖ'!J:N, 5, FALSE)</f>
        <v>C</v>
      </c>
      <c r="J36" t="str">
        <f>VLOOKUP(D36, 'МЕСЯЧНАЯ ОБОР.'!$V$4:$W$806, 2, FALSE)</f>
        <v>A</v>
      </c>
    </row>
    <row r="37" spans="1:10" x14ac:dyDescent="0.25">
      <c r="A37" s="9" t="s">
        <v>618</v>
      </c>
      <c r="B37" s="10">
        <v>1</v>
      </c>
      <c r="D37" t="s">
        <v>259</v>
      </c>
      <c r="E37">
        <v>6</v>
      </c>
      <c r="F37">
        <f t="shared" si="0"/>
        <v>3.729346523939941E-3</v>
      </c>
      <c r="G37">
        <f t="shared" si="2"/>
        <v>0.28715968234337541</v>
      </c>
      <c r="H37" t="str">
        <f t="shared" si="1"/>
        <v>A</v>
      </c>
      <c r="I37" t="str">
        <f>VLOOKUP(D37,'СУММА ПРОДАЖ'!J:N, 5, FALSE)</f>
        <v>B</v>
      </c>
      <c r="J37" t="str">
        <f>VLOOKUP(D37, 'МЕСЯЧНАЯ ОБОР.'!$V$4:$W$806, 2, FALSE)</f>
        <v>A</v>
      </c>
    </row>
    <row r="38" spans="1:10" x14ac:dyDescent="0.25">
      <c r="A38" s="9" t="s">
        <v>910</v>
      </c>
      <c r="B38" s="10">
        <v>1</v>
      </c>
      <c r="D38" t="s">
        <v>408</v>
      </c>
      <c r="E38">
        <v>6</v>
      </c>
      <c r="F38">
        <f t="shared" si="0"/>
        <v>3.729346523939941E-3</v>
      </c>
      <c r="G38">
        <f t="shared" si="2"/>
        <v>0.29088902886731532</v>
      </c>
      <c r="H38" t="str">
        <f t="shared" si="1"/>
        <v>A</v>
      </c>
      <c r="I38" t="str">
        <f>VLOOKUP(D38,'СУММА ПРОДАЖ'!J:N, 5, FALSE)</f>
        <v>A</v>
      </c>
      <c r="J38" t="str">
        <f>VLOOKUP(D38, 'МЕСЯЧНАЯ ОБОР.'!$V$4:$W$806, 2, FALSE)</f>
        <v>A</v>
      </c>
    </row>
    <row r="39" spans="1:10" x14ac:dyDescent="0.25">
      <c r="A39" s="9" t="s">
        <v>955</v>
      </c>
      <c r="B39" s="10">
        <v>1</v>
      </c>
      <c r="D39" t="s">
        <v>112</v>
      </c>
      <c r="E39">
        <v>6</v>
      </c>
      <c r="F39">
        <f t="shared" si="0"/>
        <v>3.729346523939941E-3</v>
      </c>
      <c r="G39">
        <f t="shared" si="2"/>
        <v>0.29461837539125524</v>
      </c>
      <c r="H39" t="str">
        <f t="shared" si="1"/>
        <v>A</v>
      </c>
      <c r="I39" t="str">
        <f>VLOOKUP(D39,'СУММА ПРОДАЖ'!J:N, 5, FALSE)</f>
        <v>A</v>
      </c>
      <c r="J39" t="str">
        <f>VLOOKUP(D39, 'МЕСЯЧНАЯ ОБОР.'!$V$4:$W$806, 2, FALSE)</f>
        <v>A</v>
      </c>
    </row>
    <row r="40" spans="1:10" x14ac:dyDescent="0.25">
      <c r="A40" s="9" t="s">
        <v>884</v>
      </c>
      <c r="B40" s="10">
        <v>1</v>
      </c>
      <c r="D40" t="s">
        <v>825</v>
      </c>
      <c r="E40">
        <v>6</v>
      </c>
      <c r="F40">
        <f t="shared" si="0"/>
        <v>3.729346523939941E-3</v>
      </c>
      <c r="G40">
        <f t="shared" si="2"/>
        <v>0.29834772191519515</v>
      </c>
      <c r="H40" t="str">
        <f t="shared" si="1"/>
        <v>A</v>
      </c>
      <c r="I40" t="str">
        <f>VLOOKUP(D40,'СУММА ПРОДАЖ'!J:N, 5, FALSE)</f>
        <v>A</v>
      </c>
      <c r="J40" t="str">
        <f>VLOOKUP(D40, 'МЕСЯЧНАЯ ОБОР.'!$V$4:$W$806, 2, FALSE)</f>
        <v>A</v>
      </c>
    </row>
    <row r="41" spans="1:10" x14ac:dyDescent="0.25">
      <c r="A41" s="9" t="s">
        <v>475</v>
      </c>
      <c r="B41" s="10">
        <v>1</v>
      </c>
      <c r="D41" t="s">
        <v>173</v>
      </c>
      <c r="E41">
        <v>6</v>
      </c>
      <c r="F41">
        <f t="shared" si="0"/>
        <v>3.729346523939941E-3</v>
      </c>
      <c r="G41">
        <f t="shared" si="2"/>
        <v>0.30207706843913507</v>
      </c>
      <c r="H41" t="str">
        <f t="shared" si="1"/>
        <v>A</v>
      </c>
      <c r="I41" t="str">
        <f>VLOOKUP(D41,'СУММА ПРОДАЖ'!J:N, 5, FALSE)</f>
        <v>B</v>
      </c>
      <c r="J41" t="str">
        <f>VLOOKUP(D41, 'МЕСЯЧНАЯ ОБОР.'!$V$4:$W$806, 2, FALSE)</f>
        <v>A</v>
      </c>
    </row>
    <row r="42" spans="1:10" x14ac:dyDescent="0.25">
      <c r="A42" s="9" t="s">
        <v>604</v>
      </c>
      <c r="B42" s="10">
        <v>1</v>
      </c>
      <c r="D42" t="s">
        <v>299</v>
      </c>
      <c r="E42">
        <v>6</v>
      </c>
      <c r="F42">
        <f t="shared" si="0"/>
        <v>3.729346523939941E-3</v>
      </c>
      <c r="G42">
        <f t="shared" si="2"/>
        <v>0.30580641496307498</v>
      </c>
      <c r="H42" t="str">
        <f t="shared" si="1"/>
        <v>A</v>
      </c>
      <c r="I42" t="str">
        <f>VLOOKUP(D42,'СУММА ПРОДАЖ'!J:N, 5, FALSE)</f>
        <v>A</v>
      </c>
      <c r="J42" t="str">
        <f>VLOOKUP(D42, 'МЕСЯЧНАЯ ОБОР.'!$V$4:$W$806, 2, FALSE)</f>
        <v>A</v>
      </c>
    </row>
    <row r="43" spans="1:10" x14ac:dyDescent="0.25">
      <c r="A43" s="9" t="s">
        <v>470</v>
      </c>
      <c r="B43" s="10">
        <v>1</v>
      </c>
      <c r="D43" t="s">
        <v>270</v>
      </c>
      <c r="E43">
        <v>6</v>
      </c>
      <c r="F43">
        <f t="shared" si="0"/>
        <v>3.729346523939941E-3</v>
      </c>
      <c r="G43">
        <f t="shared" si="2"/>
        <v>0.30953576148701489</v>
      </c>
      <c r="H43" t="str">
        <f t="shared" si="1"/>
        <v>A</v>
      </c>
      <c r="I43" t="str">
        <f>VLOOKUP(D43,'СУММА ПРОДАЖ'!J:N, 5, FALSE)</f>
        <v>B</v>
      </c>
      <c r="J43" t="str">
        <f>VLOOKUP(D43, 'МЕСЯЧНАЯ ОБОР.'!$V$4:$W$806, 2, FALSE)</f>
        <v>A</v>
      </c>
    </row>
    <row r="44" spans="1:10" x14ac:dyDescent="0.25">
      <c r="A44" s="9" t="s">
        <v>737</v>
      </c>
      <c r="B44" s="10">
        <v>1</v>
      </c>
      <c r="D44" t="s">
        <v>267</v>
      </c>
      <c r="E44">
        <v>6</v>
      </c>
      <c r="F44">
        <f t="shared" si="0"/>
        <v>3.729346523939941E-3</v>
      </c>
      <c r="G44">
        <f t="shared" si="2"/>
        <v>0.31326510801095481</v>
      </c>
      <c r="H44" t="str">
        <f t="shared" si="1"/>
        <v>A</v>
      </c>
      <c r="I44" t="str">
        <f>VLOOKUP(D44,'СУММА ПРОДАЖ'!J:N, 5, FALSE)</f>
        <v>A</v>
      </c>
      <c r="J44" t="str">
        <f>VLOOKUP(D44, 'МЕСЯЧНАЯ ОБОР.'!$V$4:$W$806, 2, FALSE)</f>
        <v>A</v>
      </c>
    </row>
    <row r="45" spans="1:10" x14ac:dyDescent="0.25">
      <c r="A45" s="9" t="s">
        <v>441</v>
      </c>
      <c r="B45" s="10">
        <v>1</v>
      </c>
      <c r="D45" t="s">
        <v>212</v>
      </c>
      <c r="E45">
        <v>6</v>
      </c>
      <c r="F45">
        <f t="shared" si="0"/>
        <v>3.729346523939941E-3</v>
      </c>
      <c r="G45">
        <f t="shared" si="2"/>
        <v>0.31699445453489472</v>
      </c>
      <c r="H45" t="str">
        <f t="shared" si="1"/>
        <v>A</v>
      </c>
      <c r="I45" t="str">
        <f>VLOOKUP(D45,'СУММА ПРОДАЖ'!J:N, 5, FALSE)</f>
        <v>B</v>
      </c>
      <c r="J45" t="str">
        <f>VLOOKUP(D45, 'МЕСЯЧНАЯ ОБОР.'!$V$4:$W$806, 2, FALSE)</f>
        <v>A</v>
      </c>
    </row>
    <row r="46" spans="1:10" x14ac:dyDescent="0.25">
      <c r="A46" s="9" t="s">
        <v>1167</v>
      </c>
      <c r="B46" s="10">
        <v>1</v>
      </c>
      <c r="D46" t="s">
        <v>195</v>
      </c>
      <c r="E46">
        <v>5</v>
      </c>
      <c r="F46">
        <f t="shared" si="0"/>
        <v>3.1077887699499512E-3</v>
      </c>
      <c r="G46">
        <f t="shared" si="2"/>
        <v>0.32010224330484466</v>
      </c>
      <c r="H46" t="str">
        <f t="shared" si="1"/>
        <v>A</v>
      </c>
      <c r="I46" t="str">
        <f>VLOOKUP(D46,'СУММА ПРОДАЖ'!J:N, 5, FALSE)</f>
        <v>A</v>
      </c>
      <c r="J46" t="str">
        <f>VLOOKUP(D46, 'МЕСЯЧНАЯ ОБОР.'!$V$4:$W$806, 2, FALSE)</f>
        <v>A</v>
      </c>
    </row>
    <row r="47" spans="1:10" x14ac:dyDescent="0.25">
      <c r="A47" s="9" t="s">
        <v>727</v>
      </c>
      <c r="B47" s="10">
        <v>1</v>
      </c>
      <c r="D47" t="s">
        <v>719</v>
      </c>
      <c r="E47">
        <v>5</v>
      </c>
      <c r="F47">
        <f t="shared" si="0"/>
        <v>3.1077887699499512E-3</v>
      </c>
      <c r="G47">
        <f t="shared" si="2"/>
        <v>0.3232100320747946</v>
      </c>
      <c r="H47" t="str">
        <f t="shared" si="1"/>
        <v>A</v>
      </c>
      <c r="I47" t="str">
        <f>VLOOKUP(D47,'СУММА ПРОДАЖ'!J:N, 5, FALSE)</f>
        <v>A</v>
      </c>
      <c r="J47" t="str">
        <f>VLOOKUP(D47, 'МЕСЯЧНАЯ ОБОР.'!$V$4:$W$806, 2, FALSE)</f>
        <v>A</v>
      </c>
    </row>
    <row r="48" spans="1:10" x14ac:dyDescent="0.25">
      <c r="A48" s="9" t="s">
        <v>504</v>
      </c>
      <c r="B48" s="10">
        <v>1</v>
      </c>
      <c r="D48" t="s">
        <v>671</v>
      </c>
      <c r="E48">
        <v>5</v>
      </c>
      <c r="F48">
        <f t="shared" si="0"/>
        <v>3.1077887699499512E-3</v>
      </c>
      <c r="G48">
        <f t="shared" si="2"/>
        <v>0.32631782084474453</v>
      </c>
      <c r="H48" t="str">
        <f t="shared" si="1"/>
        <v>A</v>
      </c>
      <c r="I48" t="str">
        <f>VLOOKUP(D48,'СУММА ПРОДАЖ'!J:N, 5, FALSE)</f>
        <v>C</v>
      </c>
      <c r="J48" t="str">
        <f>VLOOKUP(D48, 'МЕСЯЧНАЯ ОБОР.'!$V$4:$W$806, 2, FALSE)</f>
        <v>A</v>
      </c>
    </row>
    <row r="49" spans="1:10" x14ac:dyDescent="0.25">
      <c r="A49" s="9" t="s">
        <v>596</v>
      </c>
      <c r="B49" s="10">
        <v>1</v>
      </c>
      <c r="D49" t="s">
        <v>667</v>
      </c>
      <c r="E49">
        <v>5</v>
      </c>
      <c r="F49">
        <f t="shared" si="0"/>
        <v>3.1077887699499512E-3</v>
      </c>
      <c r="G49">
        <f t="shared" si="2"/>
        <v>0.32942560961469447</v>
      </c>
      <c r="H49" t="str">
        <f t="shared" si="1"/>
        <v>A</v>
      </c>
      <c r="I49" t="str">
        <f>VLOOKUP(D49,'СУММА ПРОДАЖ'!J:N, 5, FALSE)</f>
        <v>B</v>
      </c>
      <c r="J49" t="str">
        <f>VLOOKUP(D49, 'МЕСЯЧНАЯ ОБОР.'!$V$4:$W$806, 2, FALSE)</f>
        <v>A</v>
      </c>
    </row>
    <row r="50" spans="1:10" x14ac:dyDescent="0.25">
      <c r="A50" s="9" t="s">
        <v>674</v>
      </c>
      <c r="B50" s="10">
        <v>1</v>
      </c>
      <c r="D50" t="s">
        <v>257</v>
      </c>
      <c r="E50">
        <v>5</v>
      </c>
      <c r="F50">
        <f t="shared" si="0"/>
        <v>3.1077887699499512E-3</v>
      </c>
      <c r="G50">
        <f t="shared" si="2"/>
        <v>0.33253339838464441</v>
      </c>
      <c r="H50" t="str">
        <f t="shared" si="1"/>
        <v>A</v>
      </c>
      <c r="I50" t="str">
        <f>VLOOKUP(D50,'СУММА ПРОДАЖ'!J:N, 5, FALSE)</f>
        <v>A</v>
      </c>
      <c r="J50" t="str">
        <f>VLOOKUP(D50, 'МЕСЯЧНАЯ ОБОР.'!$V$4:$W$806, 2, FALSE)</f>
        <v>A</v>
      </c>
    </row>
    <row r="51" spans="1:10" x14ac:dyDescent="0.25">
      <c r="A51" s="9" t="s">
        <v>607</v>
      </c>
      <c r="B51" s="10">
        <v>3</v>
      </c>
      <c r="D51" t="s">
        <v>517</v>
      </c>
      <c r="E51">
        <v>5</v>
      </c>
      <c r="F51">
        <f t="shared" si="0"/>
        <v>3.1077887699499512E-3</v>
      </c>
      <c r="G51">
        <f t="shared" si="2"/>
        <v>0.33564118715459434</v>
      </c>
      <c r="H51" t="str">
        <f t="shared" si="1"/>
        <v>A</v>
      </c>
      <c r="I51" t="str">
        <f>VLOOKUP(D51,'СУММА ПРОДАЖ'!J:N, 5, FALSE)</f>
        <v>B</v>
      </c>
      <c r="J51" t="str">
        <f>VLOOKUP(D51, 'МЕСЯЧНАЯ ОБОР.'!$V$4:$W$806, 2, FALSE)</f>
        <v>A</v>
      </c>
    </row>
    <row r="52" spans="1:10" x14ac:dyDescent="0.25">
      <c r="A52" s="9" t="s">
        <v>686</v>
      </c>
      <c r="B52" s="10">
        <v>2</v>
      </c>
      <c r="D52" t="s">
        <v>1107</v>
      </c>
      <c r="E52">
        <v>5</v>
      </c>
      <c r="F52">
        <f t="shared" si="0"/>
        <v>3.1077887699499512E-3</v>
      </c>
      <c r="G52">
        <f t="shared" si="2"/>
        <v>0.33874897592454428</v>
      </c>
      <c r="H52" t="str">
        <f t="shared" si="1"/>
        <v>A</v>
      </c>
      <c r="I52" t="str">
        <f>VLOOKUP(D52,'СУММА ПРОДАЖ'!J:N, 5, FALSE)</f>
        <v>C</v>
      </c>
      <c r="J52" t="str">
        <f>VLOOKUP(D52, 'МЕСЯЧНАЯ ОБОР.'!$V$4:$W$806, 2, FALSE)</f>
        <v>A</v>
      </c>
    </row>
    <row r="53" spans="1:10" x14ac:dyDescent="0.25">
      <c r="A53" s="9" t="s">
        <v>938</v>
      </c>
      <c r="B53" s="10">
        <v>1</v>
      </c>
      <c r="D53" t="s">
        <v>976</v>
      </c>
      <c r="E53">
        <v>5</v>
      </c>
      <c r="F53">
        <f t="shared" si="0"/>
        <v>3.1077887699499512E-3</v>
      </c>
      <c r="G53">
        <f t="shared" si="2"/>
        <v>0.34185676469449422</v>
      </c>
      <c r="H53" t="str">
        <f t="shared" si="1"/>
        <v>A</v>
      </c>
      <c r="I53" t="str">
        <f>VLOOKUP(D53,'СУММА ПРОДАЖ'!J:N, 5, FALSE)</f>
        <v>C</v>
      </c>
      <c r="J53" t="str">
        <f>VLOOKUP(D53, 'МЕСЯЧНАЯ ОБОР.'!$V$4:$W$806, 2, FALSE)</f>
        <v>A</v>
      </c>
    </row>
    <row r="54" spans="1:10" x14ac:dyDescent="0.25">
      <c r="A54" s="9" t="s">
        <v>254</v>
      </c>
      <c r="B54" s="10">
        <v>3</v>
      </c>
      <c r="D54" t="s">
        <v>552</v>
      </c>
      <c r="E54">
        <v>5</v>
      </c>
      <c r="F54">
        <f t="shared" si="0"/>
        <v>3.1077887699499512E-3</v>
      </c>
      <c r="G54">
        <f t="shared" si="2"/>
        <v>0.34496455346444416</v>
      </c>
      <c r="H54" t="str">
        <f t="shared" si="1"/>
        <v>A</v>
      </c>
      <c r="I54" t="str">
        <f>VLOOKUP(D54,'СУММА ПРОДАЖ'!J:N, 5, FALSE)</f>
        <v>B</v>
      </c>
      <c r="J54" t="str">
        <f>VLOOKUP(D54, 'МЕСЯЧНАЯ ОБОР.'!$V$4:$W$806, 2, FALSE)</f>
        <v>A</v>
      </c>
    </row>
    <row r="55" spans="1:10" x14ac:dyDescent="0.25">
      <c r="A55" s="9" t="s">
        <v>419</v>
      </c>
      <c r="B55" s="10">
        <v>1</v>
      </c>
      <c r="D55" t="s">
        <v>492</v>
      </c>
      <c r="E55">
        <v>5</v>
      </c>
      <c r="F55">
        <f t="shared" si="0"/>
        <v>3.1077887699499512E-3</v>
      </c>
      <c r="G55">
        <f t="shared" si="2"/>
        <v>0.34807234223439409</v>
      </c>
      <c r="H55" t="str">
        <f t="shared" si="1"/>
        <v>A</v>
      </c>
      <c r="I55" t="str">
        <f>VLOOKUP(D55,'СУММА ПРОДАЖ'!J:N, 5, FALSE)</f>
        <v>A</v>
      </c>
      <c r="J55" t="str">
        <f>VLOOKUP(D55, 'МЕСЯЧНАЯ ОБОР.'!$V$4:$W$806, 2, FALSE)</f>
        <v>A</v>
      </c>
    </row>
    <row r="56" spans="1:10" x14ac:dyDescent="0.25">
      <c r="A56" s="9" t="s">
        <v>369</v>
      </c>
      <c r="B56" s="10">
        <v>1</v>
      </c>
      <c r="D56" t="s">
        <v>592</v>
      </c>
      <c r="E56">
        <v>5</v>
      </c>
      <c r="F56">
        <f t="shared" si="0"/>
        <v>3.1077887699499512E-3</v>
      </c>
      <c r="G56">
        <f t="shared" si="2"/>
        <v>0.35118013100434403</v>
      </c>
      <c r="H56" t="str">
        <f t="shared" si="1"/>
        <v>A</v>
      </c>
      <c r="I56" t="str">
        <f>VLOOKUP(D56,'СУММА ПРОДАЖ'!J:N, 5, FALSE)</f>
        <v>C</v>
      </c>
      <c r="J56" t="str">
        <f>VLOOKUP(D56, 'МЕСЯЧНАЯ ОБОР.'!$V$4:$W$806, 2, FALSE)</f>
        <v>A</v>
      </c>
    </row>
    <row r="57" spans="1:10" x14ac:dyDescent="0.25">
      <c r="A57" s="9" t="s">
        <v>513</v>
      </c>
      <c r="B57" s="10">
        <v>1</v>
      </c>
      <c r="D57" t="s">
        <v>863</v>
      </c>
      <c r="E57">
        <v>5</v>
      </c>
      <c r="F57">
        <f t="shared" si="0"/>
        <v>3.1077887699499512E-3</v>
      </c>
      <c r="G57">
        <f t="shared" si="2"/>
        <v>0.35428791977429397</v>
      </c>
      <c r="H57" t="str">
        <f t="shared" si="1"/>
        <v>A</v>
      </c>
      <c r="I57" t="str">
        <f>VLOOKUP(D57,'СУММА ПРОДАЖ'!J:N, 5, FALSE)</f>
        <v>B</v>
      </c>
      <c r="J57" t="str">
        <f>VLOOKUP(D57, 'МЕСЯЧНАЯ ОБОР.'!$V$4:$W$806, 2, FALSE)</f>
        <v>A</v>
      </c>
    </row>
    <row r="58" spans="1:10" x14ac:dyDescent="0.25">
      <c r="A58" s="9" t="s">
        <v>456</v>
      </c>
      <c r="B58" s="10">
        <v>1</v>
      </c>
      <c r="D58" t="s">
        <v>226</v>
      </c>
      <c r="E58">
        <v>5</v>
      </c>
      <c r="F58">
        <f t="shared" si="0"/>
        <v>3.1077887699499512E-3</v>
      </c>
      <c r="G58">
        <f t="shared" si="2"/>
        <v>0.35739570854424391</v>
      </c>
      <c r="H58" t="str">
        <f t="shared" si="1"/>
        <v>A</v>
      </c>
      <c r="I58" t="str">
        <f>VLOOKUP(D58,'СУММА ПРОДАЖ'!J:N, 5, FALSE)</f>
        <v>B</v>
      </c>
      <c r="J58" t="str">
        <f>VLOOKUP(D58, 'МЕСЯЧНАЯ ОБОР.'!$V$4:$W$806, 2, FALSE)</f>
        <v>A</v>
      </c>
    </row>
    <row r="59" spans="1:10" x14ac:dyDescent="0.25">
      <c r="A59" s="9" t="s">
        <v>832</v>
      </c>
      <c r="B59" s="10">
        <v>1</v>
      </c>
      <c r="D59" t="s">
        <v>28</v>
      </c>
      <c r="E59">
        <v>4</v>
      </c>
      <c r="F59">
        <f t="shared" si="0"/>
        <v>2.486231015959961E-3</v>
      </c>
      <c r="G59">
        <f t="shared" si="2"/>
        <v>0.35988193956020387</v>
      </c>
      <c r="H59" t="str">
        <f t="shared" si="1"/>
        <v>A</v>
      </c>
      <c r="I59" t="str">
        <f>VLOOKUP(D59,'СУММА ПРОДАЖ'!J:N, 5, FALSE)</f>
        <v>A</v>
      </c>
      <c r="J59" t="str">
        <f>VLOOKUP(D59, 'МЕСЯЧНАЯ ОБОР.'!$V$4:$W$806, 2, FALSE)</f>
        <v>A</v>
      </c>
    </row>
    <row r="60" spans="1:10" x14ac:dyDescent="0.25">
      <c r="A60" s="9" t="s">
        <v>545</v>
      </c>
      <c r="B60" s="10">
        <v>1</v>
      </c>
      <c r="D60" t="s">
        <v>983</v>
      </c>
      <c r="E60">
        <v>4</v>
      </c>
      <c r="F60">
        <f t="shared" si="0"/>
        <v>2.486231015959961E-3</v>
      </c>
      <c r="G60">
        <f t="shared" si="2"/>
        <v>0.36236817057616383</v>
      </c>
      <c r="H60" t="str">
        <f t="shared" si="1"/>
        <v>A</v>
      </c>
      <c r="I60" t="str">
        <f>VLOOKUP(D60,'СУММА ПРОДАЖ'!J:N, 5, FALSE)</f>
        <v>C</v>
      </c>
      <c r="J60" t="str">
        <f>VLOOKUP(D60, 'МЕСЯЧНАЯ ОБОР.'!$V$4:$W$806, 2, FALSE)</f>
        <v>A</v>
      </c>
    </row>
    <row r="61" spans="1:10" x14ac:dyDescent="0.25">
      <c r="A61" s="9" t="s">
        <v>524</v>
      </c>
      <c r="B61" s="10">
        <v>1</v>
      </c>
      <c r="D61" t="s">
        <v>831</v>
      </c>
      <c r="E61">
        <v>4</v>
      </c>
      <c r="F61">
        <f t="shared" si="0"/>
        <v>2.486231015959961E-3</v>
      </c>
      <c r="G61">
        <f t="shared" si="2"/>
        <v>0.36485440159212379</v>
      </c>
      <c r="H61" t="str">
        <f t="shared" si="1"/>
        <v>A</v>
      </c>
      <c r="I61" t="str">
        <f>VLOOKUP(D61,'СУММА ПРОДАЖ'!J:N, 5, FALSE)</f>
        <v>C</v>
      </c>
      <c r="J61" t="str">
        <f>VLOOKUP(D61, 'МЕСЯЧНАЯ ОБОР.'!$V$4:$W$806, 2, FALSE)</f>
        <v>A</v>
      </c>
    </row>
    <row r="62" spans="1:10" x14ac:dyDescent="0.25">
      <c r="A62" s="9" t="s">
        <v>28</v>
      </c>
      <c r="B62" s="10">
        <v>4</v>
      </c>
      <c r="D62" t="s">
        <v>381</v>
      </c>
      <c r="E62">
        <v>4</v>
      </c>
      <c r="F62">
        <f t="shared" si="0"/>
        <v>2.486231015959961E-3</v>
      </c>
      <c r="G62">
        <f t="shared" si="2"/>
        <v>0.36734063260808375</v>
      </c>
      <c r="H62" t="str">
        <f t="shared" si="1"/>
        <v>A</v>
      </c>
      <c r="I62" t="str">
        <f>VLOOKUP(D62,'СУММА ПРОДАЖ'!J:N, 5, FALSE)</f>
        <v>C</v>
      </c>
      <c r="J62" t="str">
        <f>VLOOKUP(D62, 'МЕСЯЧНАЯ ОБОР.'!$V$4:$W$806, 2, FALSE)</f>
        <v>A</v>
      </c>
    </row>
    <row r="63" spans="1:10" x14ac:dyDescent="0.25">
      <c r="A63" s="9" t="s">
        <v>167</v>
      </c>
      <c r="B63" s="10">
        <v>1</v>
      </c>
      <c r="D63" t="s">
        <v>742</v>
      </c>
      <c r="E63">
        <v>4</v>
      </c>
      <c r="F63">
        <f t="shared" si="0"/>
        <v>2.486231015959961E-3</v>
      </c>
      <c r="G63">
        <f t="shared" si="2"/>
        <v>0.36982686362404371</v>
      </c>
      <c r="H63" t="str">
        <f t="shared" si="1"/>
        <v>A</v>
      </c>
      <c r="I63" t="str">
        <f>VLOOKUP(D63,'СУММА ПРОДАЖ'!J:N, 5, FALSE)</f>
        <v>B</v>
      </c>
      <c r="J63" t="str">
        <f>VLOOKUP(D63, 'МЕСЯЧНАЯ ОБОР.'!$V$4:$W$806, 2, FALSE)</f>
        <v>A</v>
      </c>
    </row>
    <row r="64" spans="1:10" x14ac:dyDescent="0.25">
      <c r="A64" s="9" t="s">
        <v>767</v>
      </c>
      <c r="B64" s="10">
        <v>1</v>
      </c>
      <c r="D64" t="s">
        <v>804</v>
      </c>
      <c r="E64">
        <v>4</v>
      </c>
      <c r="F64">
        <f t="shared" si="0"/>
        <v>2.486231015959961E-3</v>
      </c>
      <c r="G64">
        <f t="shared" si="2"/>
        <v>0.37231309464000367</v>
      </c>
      <c r="H64" t="str">
        <f t="shared" si="1"/>
        <v>A</v>
      </c>
      <c r="I64" t="str">
        <f>VLOOKUP(D64,'СУММА ПРОДАЖ'!J:N, 5, FALSE)</f>
        <v>B</v>
      </c>
      <c r="J64" t="str">
        <f>VLOOKUP(D64, 'МЕСЯЧНАЯ ОБОР.'!$V$4:$W$806, 2, FALSE)</f>
        <v>A</v>
      </c>
    </row>
    <row r="65" spans="1:10" x14ac:dyDescent="0.25">
      <c r="A65" s="9" t="s">
        <v>284</v>
      </c>
      <c r="B65" s="10">
        <v>1</v>
      </c>
      <c r="D65" t="s">
        <v>759</v>
      </c>
      <c r="E65">
        <v>4</v>
      </c>
      <c r="F65">
        <f t="shared" si="0"/>
        <v>2.486231015959961E-3</v>
      </c>
      <c r="G65">
        <f t="shared" si="2"/>
        <v>0.37479932565596363</v>
      </c>
      <c r="H65" t="str">
        <f t="shared" si="1"/>
        <v>A</v>
      </c>
      <c r="I65" t="str">
        <f>VLOOKUP(D65,'СУММА ПРОДАЖ'!J:N, 5, FALSE)</f>
        <v>A</v>
      </c>
      <c r="J65" t="str">
        <f>VLOOKUP(D65, 'МЕСЯЧНАЯ ОБОР.'!$V$4:$W$806, 2, FALSE)</f>
        <v>A</v>
      </c>
    </row>
    <row r="66" spans="1:10" x14ac:dyDescent="0.25">
      <c r="A66" s="9" t="s">
        <v>116</v>
      </c>
      <c r="B66" s="10">
        <v>8</v>
      </c>
      <c r="D66" t="s">
        <v>986</v>
      </c>
      <c r="E66">
        <v>4</v>
      </c>
      <c r="F66">
        <f t="shared" si="0"/>
        <v>2.486231015959961E-3</v>
      </c>
      <c r="G66">
        <f t="shared" si="2"/>
        <v>0.37728555667192359</v>
      </c>
      <c r="H66" t="str">
        <f t="shared" si="1"/>
        <v>A</v>
      </c>
      <c r="I66" t="str">
        <f>VLOOKUP(D66,'СУММА ПРОДАЖ'!J:N, 5, FALSE)</f>
        <v>B</v>
      </c>
      <c r="J66" t="str">
        <f>VLOOKUP(D66, 'МЕСЯЧНАЯ ОБОР.'!$V$4:$W$806, 2, FALSE)</f>
        <v>A</v>
      </c>
    </row>
    <row r="67" spans="1:10" x14ac:dyDescent="0.25">
      <c r="A67" s="9" t="s">
        <v>355</v>
      </c>
      <c r="B67" s="10">
        <v>6</v>
      </c>
      <c r="D67" t="s">
        <v>238</v>
      </c>
      <c r="E67">
        <v>4</v>
      </c>
      <c r="F67">
        <f t="shared" si="0"/>
        <v>2.486231015959961E-3</v>
      </c>
      <c r="G67">
        <f t="shared" si="2"/>
        <v>0.37977178768788356</v>
      </c>
      <c r="H67" t="str">
        <f t="shared" si="1"/>
        <v>A</v>
      </c>
      <c r="I67" t="str">
        <f>VLOOKUP(D67,'СУММА ПРОДАЖ'!J:N, 5, FALSE)</f>
        <v>A</v>
      </c>
      <c r="J67" t="str">
        <f>VLOOKUP(D67, 'МЕСЯЧНАЯ ОБОР.'!$V$4:$W$806, 2, FALSE)</f>
        <v>A</v>
      </c>
    </row>
    <row r="68" spans="1:10" x14ac:dyDescent="0.25">
      <c r="A68" s="9" t="s">
        <v>983</v>
      </c>
      <c r="B68" s="10">
        <v>4</v>
      </c>
      <c r="D68" t="s">
        <v>33</v>
      </c>
      <c r="E68">
        <v>4</v>
      </c>
      <c r="F68">
        <f t="shared" si="0"/>
        <v>2.486231015959961E-3</v>
      </c>
      <c r="G68">
        <f t="shared" si="2"/>
        <v>0.38225801870384352</v>
      </c>
      <c r="H68" t="str">
        <f t="shared" si="1"/>
        <v>A</v>
      </c>
      <c r="I68" t="str">
        <f>VLOOKUP(D68,'СУММА ПРОДАЖ'!J:N, 5, FALSE)</f>
        <v>A</v>
      </c>
      <c r="J68" t="str">
        <f>VLOOKUP(D68, 'МЕСЯЧНАЯ ОБОР.'!$V$4:$W$806, 2, FALSE)</f>
        <v>A</v>
      </c>
    </row>
    <row r="69" spans="1:10" x14ac:dyDescent="0.25">
      <c r="A69" s="9" t="s">
        <v>307</v>
      </c>
      <c r="B69" s="10">
        <v>2</v>
      </c>
      <c r="D69" t="s">
        <v>265</v>
      </c>
      <c r="E69">
        <v>4</v>
      </c>
      <c r="F69">
        <f t="shared" ref="F69:F132" si="3">E69/SUM($E$4:$E$806)</f>
        <v>2.486231015959961E-3</v>
      </c>
      <c r="G69">
        <f t="shared" si="2"/>
        <v>0.38474424971980348</v>
      </c>
      <c r="H69" t="str">
        <f t="shared" ref="H69:H132" si="4">IF(G69&lt;0.8, "A", IF(G69&lt;0.95, "B","C"))</f>
        <v>A</v>
      </c>
      <c r="I69" t="str">
        <f>VLOOKUP(D69,'СУММА ПРОДАЖ'!J:N, 5, FALSE)</f>
        <v>B</v>
      </c>
      <c r="J69" t="str">
        <f>VLOOKUP(D69, 'МЕСЯЧНАЯ ОБОР.'!$V$4:$W$806, 2, FALSE)</f>
        <v>A</v>
      </c>
    </row>
    <row r="70" spans="1:10" x14ac:dyDescent="0.25">
      <c r="A70" s="9" t="s">
        <v>1147</v>
      </c>
      <c r="B70" s="10">
        <v>1</v>
      </c>
      <c r="D70" t="s">
        <v>65</v>
      </c>
      <c r="E70">
        <v>4</v>
      </c>
      <c r="F70">
        <f t="shared" si="3"/>
        <v>2.486231015959961E-3</v>
      </c>
      <c r="G70">
        <f t="shared" ref="G70:G133" si="5">F70+G69</f>
        <v>0.38723048073576344</v>
      </c>
      <c r="H70" t="str">
        <f t="shared" si="4"/>
        <v>A</v>
      </c>
      <c r="I70" t="str">
        <f>VLOOKUP(D70,'СУММА ПРОДАЖ'!J:N, 5, FALSE)</f>
        <v>A</v>
      </c>
      <c r="J70" t="str">
        <f>VLOOKUP(D70, 'МЕСЯЧНАЯ ОБОР.'!$V$4:$W$806, 2, FALSE)</f>
        <v>A</v>
      </c>
    </row>
    <row r="71" spans="1:10" x14ac:dyDescent="0.25">
      <c r="A71" s="9" t="s">
        <v>831</v>
      </c>
      <c r="B71" s="10">
        <v>4</v>
      </c>
      <c r="D71" t="s">
        <v>1224</v>
      </c>
      <c r="E71">
        <v>4</v>
      </c>
      <c r="F71">
        <f t="shared" si="3"/>
        <v>2.486231015959961E-3</v>
      </c>
      <c r="G71">
        <f t="shared" si="5"/>
        <v>0.3897167117517234</v>
      </c>
      <c r="H71" t="str">
        <f t="shared" si="4"/>
        <v>A</v>
      </c>
      <c r="I71" t="str">
        <f>VLOOKUP(D71,'СУММА ПРОДАЖ'!J:N, 5, FALSE)</f>
        <v>C</v>
      </c>
      <c r="J71" t="str">
        <f>VLOOKUP(D71, 'МЕСЯЧНАЯ ОБОР.'!$V$4:$W$806, 2, FALSE)</f>
        <v>A</v>
      </c>
    </row>
    <row r="72" spans="1:10" x14ac:dyDescent="0.25">
      <c r="A72" s="9" t="s">
        <v>505</v>
      </c>
      <c r="B72" s="10">
        <v>3</v>
      </c>
      <c r="D72" t="s">
        <v>639</v>
      </c>
      <c r="E72">
        <v>4</v>
      </c>
      <c r="F72">
        <f t="shared" si="3"/>
        <v>2.486231015959961E-3</v>
      </c>
      <c r="G72">
        <f t="shared" si="5"/>
        <v>0.39220294276768336</v>
      </c>
      <c r="H72" t="str">
        <f t="shared" si="4"/>
        <v>A</v>
      </c>
      <c r="I72" t="str">
        <f>VLOOKUP(D72,'СУММА ПРОДАЖ'!J:N, 5, FALSE)</f>
        <v>A</v>
      </c>
      <c r="J72" t="str">
        <f>VLOOKUP(D72, 'МЕСЯЧНАЯ ОБОР.'!$V$4:$W$806, 2, FALSE)</f>
        <v>A</v>
      </c>
    </row>
    <row r="73" spans="1:10" x14ac:dyDescent="0.25">
      <c r="A73" s="9" t="s">
        <v>915</v>
      </c>
      <c r="B73" s="10">
        <v>1</v>
      </c>
      <c r="D73" t="s">
        <v>424</v>
      </c>
      <c r="E73">
        <v>4</v>
      </c>
      <c r="F73">
        <f t="shared" si="3"/>
        <v>2.486231015959961E-3</v>
      </c>
      <c r="G73">
        <f t="shared" si="5"/>
        <v>0.39468917378364332</v>
      </c>
      <c r="H73" t="str">
        <f t="shared" si="4"/>
        <v>A</v>
      </c>
      <c r="I73" t="str">
        <f>VLOOKUP(D73,'СУММА ПРОДАЖ'!J:N, 5, FALSE)</f>
        <v>A</v>
      </c>
      <c r="J73" t="str">
        <f>VLOOKUP(D73, 'МЕСЯЧНАЯ ОБОР.'!$V$4:$W$806, 2, FALSE)</f>
        <v>A</v>
      </c>
    </row>
    <row r="74" spans="1:10" x14ac:dyDescent="0.25">
      <c r="A74" s="9" t="s">
        <v>259</v>
      </c>
      <c r="B74" s="10">
        <v>6</v>
      </c>
      <c r="D74" t="s">
        <v>228</v>
      </c>
      <c r="E74">
        <v>4</v>
      </c>
      <c r="F74">
        <f t="shared" si="3"/>
        <v>2.486231015959961E-3</v>
      </c>
      <c r="G74">
        <f t="shared" si="5"/>
        <v>0.39717540479960328</v>
      </c>
      <c r="H74" t="str">
        <f t="shared" si="4"/>
        <v>A</v>
      </c>
      <c r="I74" t="str">
        <f>VLOOKUP(D74,'СУММА ПРОДАЖ'!J:N, 5, FALSE)</f>
        <v>A</v>
      </c>
      <c r="J74" t="str">
        <f>VLOOKUP(D74, 'МЕСЯЧНАЯ ОБОР.'!$V$4:$W$806, 2, FALSE)</f>
        <v>A</v>
      </c>
    </row>
    <row r="75" spans="1:10" x14ac:dyDescent="0.25">
      <c r="A75" s="9" t="s">
        <v>182</v>
      </c>
      <c r="B75" s="10">
        <v>2</v>
      </c>
      <c r="D75" t="s">
        <v>118</v>
      </c>
      <c r="E75">
        <v>4</v>
      </c>
      <c r="F75">
        <f t="shared" si="3"/>
        <v>2.486231015959961E-3</v>
      </c>
      <c r="G75">
        <f t="shared" si="5"/>
        <v>0.39966163581556324</v>
      </c>
      <c r="H75" t="str">
        <f t="shared" si="4"/>
        <v>A</v>
      </c>
      <c r="I75" t="str">
        <f>VLOOKUP(D75,'СУММА ПРОДАЖ'!J:N, 5, FALSE)</f>
        <v>C</v>
      </c>
      <c r="J75" t="str">
        <f>VLOOKUP(D75, 'МЕСЯЧНАЯ ОБОР.'!$V$4:$W$806, 2, FALSE)</f>
        <v>A</v>
      </c>
    </row>
    <row r="76" spans="1:10" x14ac:dyDescent="0.25">
      <c r="A76" s="9" t="s">
        <v>1105</v>
      </c>
      <c r="B76" s="10">
        <v>1</v>
      </c>
      <c r="D76" t="s">
        <v>764</v>
      </c>
      <c r="E76">
        <v>4</v>
      </c>
      <c r="F76">
        <f t="shared" si="3"/>
        <v>2.486231015959961E-3</v>
      </c>
      <c r="G76">
        <f t="shared" si="5"/>
        <v>0.4021478668315232</v>
      </c>
      <c r="H76" t="str">
        <f t="shared" si="4"/>
        <v>A</v>
      </c>
      <c r="I76" t="str">
        <f>VLOOKUP(D76,'СУММА ПРОДАЖ'!J:N, 5, FALSE)</f>
        <v>C</v>
      </c>
      <c r="J76" t="str">
        <f>VLOOKUP(D76, 'МЕСЯЧНАЯ ОБОР.'!$V$4:$W$806, 2, FALSE)</f>
        <v>A</v>
      </c>
    </row>
    <row r="77" spans="1:10" x14ac:dyDescent="0.25">
      <c r="A77" s="9" t="s">
        <v>477</v>
      </c>
      <c r="B77" s="10">
        <v>2</v>
      </c>
      <c r="D77" t="s">
        <v>157</v>
      </c>
      <c r="E77">
        <v>4</v>
      </c>
      <c r="F77">
        <f t="shared" si="3"/>
        <v>2.486231015959961E-3</v>
      </c>
      <c r="G77">
        <f t="shared" si="5"/>
        <v>0.40463409784748317</v>
      </c>
      <c r="H77" t="str">
        <f t="shared" si="4"/>
        <v>A</v>
      </c>
      <c r="I77" t="str">
        <f>VLOOKUP(D77,'СУММА ПРОДАЖ'!J:N, 5, FALSE)</f>
        <v>A</v>
      </c>
      <c r="J77" t="str">
        <f>VLOOKUP(D77, 'МЕСЯЧНАЯ ОБОР.'!$V$4:$W$806, 2, FALSE)</f>
        <v>A</v>
      </c>
    </row>
    <row r="78" spans="1:10" x14ac:dyDescent="0.25">
      <c r="A78" s="9" t="s">
        <v>457</v>
      </c>
      <c r="B78" s="10">
        <v>2</v>
      </c>
      <c r="D78" t="s">
        <v>44</v>
      </c>
      <c r="E78">
        <v>4</v>
      </c>
      <c r="F78">
        <f t="shared" si="3"/>
        <v>2.486231015959961E-3</v>
      </c>
      <c r="G78">
        <f t="shared" si="5"/>
        <v>0.40712032886344313</v>
      </c>
      <c r="H78" t="str">
        <f t="shared" si="4"/>
        <v>A</v>
      </c>
      <c r="I78" t="str">
        <f>VLOOKUP(D78,'СУММА ПРОДАЖ'!J:N, 5, FALSE)</f>
        <v>B</v>
      </c>
      <c r="J78" t="str">
        <f>VLOOKUP(D78, 'МЕСЯЧНАЯ ОБОР.'!$V$4:$W$806, 2, FALSE)</f>
        <v>A</v>
      </c>
    </row>
    <row r="79" spans="1:10" x14ac:dyDescent="0.25">
      <c r="A79" s="9" t="s">
        <v>834</v>
      </c>
      <c r="B79" s="10">
        <v>1</v>
      </c>
      <c r="D79" t="s">
        <v>664</v>
      </c>
      <c r="E79">
        <v>4</v>
      </c>
      <c r="F79">
        <f t="shared" si="3"/>
        <v>2.486231015959961E-3</v>
      </c>
      <c r="G79">
        <f t="shared" si="5"/>
        <v>0.40960655987940309</v>
      </c>
      <c r="H79" t="str">
        <f t="shared" si="4"/>
        <v>A</v>
      </c>
      <c r="I79" t="str">
        <f>VLOOKUP(D79,'СУММА ПРОДАЖ'!J:N, 5, FALSE)</f>
        <v>B</v>
      </c>
      <c r="J79" t="str">
        <f>VLOOKUP(D79, 'МЕСЯЧНАЯ ОБОР.'!$V$4:$W$806, 2, FALSE)</f>
        <v>A</v>
      </c>
    </row>
    <row r="80" spans="1:10" x14ac:dyDescent="0.25">
      <c r="A80" s="9" t="s">
        <v>835</v>
      </c>
      <c r="B80" s="10">
        <v>1</v>
      </c>
      <c r="D80" t="s">
        <v>72</v>
      </c>
      <c r="E80">
        <v>4</v>
      </c>
      <c r="F80">
        <f t="shared" si="3"/>
        <v>2.486231015959961E-3</v>
      </c>
      <c r="G80">
        <f t="shared" si="5"/>
        <v>0.41209279089536305</v>
      </c>
      <c r="H80" t="str">
        <f t="shared" si="4"/>
        <v>A</v>
      </c>
      <c r="I80" t="str">
        <f>VLOOKUP(D80,'СУММА ПРОДАЖ'!J:N, 5, FALSE)</f>
        <v>C</v>
      </c>
      <c r="J80" t="str">
        <f>VLOOKUP(D80, 'МЕСЯЧНАЯ ОБОР.'!$V$4:$W$806, 2, FALSE)</f>
        <v>A</v>
      </c>
    </row>
    <row r="81" spans="1:10" x14ac:dyDescent="0.25">
      <c r="A81" s="9" t="s">
        <v>802</v>
      </c>
      <c r="B81" s="10">
        <v>2</v>
      </c>
      <c r="D81" t="s">
        <v>177</v>
      </c>
      <c r="E81">
        <v>3</v>
      </c>
      <c r="F81">
        <f t="shared" si="3"/>
        <v>1.8646732619699705E-3</v>
      </c>
      <c r="G81">
        <f t="shared" si="5"/>
        <v>0.41395746415733303</v>
      </c>
      <c r="H81" t="str">
        <f t="shared" si="4"/>
        <v>A</v>
      </c>
      <c r="I81" t="str">
        <f>VLOOKUP(D81,'СУММА ПРОДАЖ'!J:N, 5, FALSE)</f>
        <v>A</v>
      </c>
      <c r="J81" t="str">
        <f>VLOOKUP(D81, 'МЕСЯЧНАЯ ОБОР.'!$V$4:$W$806, 2, FALSE)</f>
        <v>A</v>
      </c>
    </row>
    <row r="82" spans="1:10" x14ac:dyDescent="0.25">
      <c r="A82" s="9" t="s">
        <v>784</v>
      </c>
      <c r="B82" s="10">
        <v>1</v>
      </c>
      <c r="D82" t="s">
        <v>607</v>
      </c>
      <c r="E82">
        <v>3</v>
      </c>
      <c r="F82">
        <f t="shared" si="3"/>
        <v>1.8646732619699705E-3</v>
      </c>
      <c r="G82">
        <f t="shared" si="5"/>
        <v>0.41582213741930302</v>
      </c>
      <c r="H82" t="str">
        <f t="shared" si="4"/>
        <v>A</v>
      </c>
      <c r="I82" t="str">
        <f>VLOOKUP(D82,'СУММА ПРОДАЖ'!J:N, 5, FALSE)</f>
        <v>B</v>
      </c>
      <c r="J82" t="str">
        <f>VLOOKUP(D82, 'МЕСЯЧНАЯ ОБОР.'!$V$4:$W$806, 2, FALSE)</f>
        <v>A</v>
      </c>
    </row>
    <row r="83" spans="1:10" x14ac:dyDescent="0.25">
      <c r="A83" s="9" t="s">
        <v>701</v>
      </c>
      <c r="B83" s="10">
        <v>1</v>
      </c>
      <c r="D83" t="s">
        <v>254</v>
      </c>
      <c r="E83">
        <v>3</v>
      </c>
      <c r="F83">
        <f t="shared" si="3"/>
        <v>1.8646732619699705E-3</v>
      </c>
      <c r="G83">
        <f t="shared" si="5"/>
        <v>0.417686810681273</v>
      </c>
      <c r="H83" t="str">
        <f t="shared" si="4"/>
        <v>A</v>
      </c>
      <c r="I83" t="str">
        <f>VLOOKUP(D83,'СУММА ПРОДАЖ'!J:N, 5, FALSE)</f>
        <v>B</v>
      </c>
      <c r="J83" t="str">
        <f>VLOOKUP(D83, 'МЕСЯЧНАЯ ОБОР.'!$V$4:$W$806, 2, FALSE)</f>
        <v>A</v>
      </c>
    </row>
    <row r="84" spans="1:10" x14ac:dyDescent="0.25">
      <c r="A84" s="9" t="s">
        <v>37</v>
      </c>
      <c r="B84" s="10">
        <v>2</v>
      </c>
      <c r="D84" t="s">
        <v>505</v>
      </c>
      <c r="E84">
        <v>3</v>
      </c>
      <c r="F84">
        <f t="shared" si="3"/>
        <v>1.8646732619699705E-3</v>
      </c>
      <c r="G84">
        <f t="shared" si="5"/>
        <v>0.41955148394324299</v>
      </c>
      <c r="H84" t="str">
        <f t="shared" si="4"/>
        <v>A</v>
      </c>
      <c r="I84" t="str">
        <f>VLOOKUP(D84,'СУММА ПРОДАЖ'!J:N, 5, FALSE)</f>
        <v>C</v>
      </c>
      <c r="J84" t="str">
        <f>VLOOKUP(D84, 'МЕСЯЧНАЯ ОБОР.'!$V$4:$W$806, 2, FALSE)</f>
        <v>A</v>
      </c>
    </row>
    <row r="85" spans="1:10" x14ac:dyDescent="0.25">
      <c r="A85" s="9" t="s">
        <v>38</v>
      </c>
      <c r="B85" s="10">
        <v>1</v>
      </c>
      <c r="D85" t="s">
        <v>346</v>
      </c>
      <c r="E85">
        <v>3</v>
      </c>
      <c r="F85">
        <f t="shared" si="3"/>
        <v>1.8646732619699705E-3</v>
      </c>
      <c r="G85">
        <f t="shared" si="5"/>
        <v>0.42141615720521297</v>
      </c>
      <c r="H85" t="str">
        <f t="shared" si="4"/>
        <v>A</v>
      </c>
      <c r="I85" t="str">
        <f>VLOOKUP(D85,'СУММА ПРОДАЖ'!J:N, 5, FALSE)</f>
        <v>B</v>
      </c>
      <c r="J85" t="str">
        <f>VLOOKUP(D85, 'МЕСЯЧНАЯ ОБОР.'!$V$4:$W$806, 2, FALSE)</f>
        <v>A</v>
      </c>
    </row>
    <row r="86" spans="1:10" x14ac:dyDescent="0.25">
      <c r="A86" s="9" t="s">
        <v>562</v>
      </c>
      <c r="B86" s="10">
        <v>1</v>
      </c>
      <c r="D86" t="s">
        <v>1010</v>
      </c>
      <c r="E86">
        <v>3</v>
      </c>
      <c r="F86">
        <f t="shared" si="3"/>
        <v>1.8646732619699705E-3</v>
      </c>
      <c r="G86">
        <f t="shared" si="5"/>
        <v>0.42328083046718296</v>
      </c>
      <c r="H86" t="str">
        <f t="shared" si="4"/>
        <v>A</v>
      </c>
      <c r="I86" t="str">
        <f>VLOOKUP(D86,'СУММА ПРОДАЖ'!J:N, 5, FALSE)</f>
        <v>A</v>
      </c>
      <c r="J86" t="str">
        <f>VLOOKUP(D86, 'МЕСЯЧНАЯ ОБОР.'!$V$4:$W$806, 2, FALSE)</f>
        <v>A</v>
      </c>
    </row>
    <row r="87" spans="1:10" x14ac:dyDescent="0.25">
      <c r="A87" s="9" t="s">
        <v>708</v>
      </c>
      <c r="B87" s="10">
        <v>1</v>
      </c>
      <c r="D87" t="s">
        <v>704</v>
      </c>
      <c r="E87">
        <v>3</v>
      </c>
      <c r="F87">
        <f t="shared" si="3"/>
        <v>1.8646732619699705E-3</v>
      </c>
      <c r="G87">
        <f t="shared" si="5"/>
        <v>0.42514550372915294</v>
      </c>
      <c r="H87" t="str">
        <f t="shared" si="4"/>
        <v>A</v>
      </c>
      <c r="I87" t="str">
        <f>VLOOKUP(D87,'СУММА ПРОДАЖ'!J:N, 5, FALSE)</f>
        <v>C</v>
      </c>
      <c r="J87" t="str">
        <f>VLOOKUP(D87, 'МЕСЯЧНАЯ ОБОР.'!$V$4:$W$806, 2, FALSE)</f>
        <v>A</v>
      </c>
    </row>
    <row r="88" spans="1:10" x14ac:dyDescent="0.25">
      <c r="A88" s="9" t="s">
        <v>142</v>
      </c>
      <c r="B88" s="10">
        <v>1</v>
      </c>
      <c r="D88" t="s">
        <v>615</v>
      </c>
      <c r="E88">
        <v>3</v>
      </c>
      <c r="F88">
        <f t="shared" si="3"/>
        <v>1.8646732619699705E-3</v>
      </c>
      <c r="G88">
        <f t="shared" si="5"/>
        <v>0.42701017699112293</v>
      </c>
      <c r="H88" t="str">
        <f t="shared" si="4"/>
        <v>A</v>
      </c>
      <c r="I88" t="str">
        <f>VLOOKUP(D88,'СУММА ПРОДАЖ'!J:N, 5, FALSE)</f>
        <v>C</v>
      </c>
      <c r="J88" t="str">
        <f>VLOOKUP(D88, 'МЕСЯЧНАЯ ОБОР.'!$V$4:$W$806, 2, FALSE)</f>
        <v>A</v>
      </c>
    </row>
    <row r="89" spans="1:10" x14ac:dyDescent="0.25">
      <c r="A89" s="9" t="s">
        <v>346</v>
      </c>
      <c r="B89" s="10">
        <v>3</v>
      </c>
      <c r="D89" t="s">
        <v>941</v>
      </c>
      <c r="E89">
        <v>3</v>
      </c>
      <c r="F89">
        <f t="shared" si="3"/>
        <v>1.8646732619699705E-3</v>
      </c>
      <c r="G89">
        <f t="shared" si="5"/>
        <v>0.42887485025309291</v>
      </c>
      <c r="H89" t="str">
        <f t="shared" si="4"/>
        <v>A</v>
      </c>
      <c r="I89" t="str">
        <f>VLOOKUP(D89,'СУММА ПРОДАЖ'!J:N, 5, FALSE)</f>
        <v>B</v>
      </c>
      <c r="J89" t="str">
        <f>VLOOKUP(D89, 'МЕСЯЧНАЯ ОБОР.'!$V$4:$W$806, 2, FALSE)</f>
        <v>A</v>
      </c>
    </row>
    <row r="90" spans="1:10" x14ac:dyDescent="0.25">
      <c r="A90" s="9" t="s">
        <v>452</v>
      </c>
      <c r="B90" s="10">
        <v>2</v>
      </c>
      <c r="D90" t="s">
        <v>104</v>
      </c>
      <c r="E90">
        <v>3</v>
      </c>
      <c r="F90">
        <f t="shared" si="3"/>
        <v>1.8646732619699705E-3</v>
      </c>
      <c r="G90">
        <f t="shared" si="5"/>
        <v>0.43073952351506289</v>
      </c>
      <c r="H90" t="str">
        <f t="shared" si="4"/>
        <v>A</v>
      </c>
      <c r="I90" t="str">
        <f>VLOOKUP(D90,'СУММА ПРОДАЖ'!J:N, 5, FALSE)</f>
        <v>A</v>
      </c>
      <c r="J90" t="str">
        <f>VLOOKUP(D90, 'МЕСЯЧНАЯ ОБОР.'!$V$4:$W$806, 2, FALSE)</f>
        <v>A</v>
      </c>
    </row>
    <row r="91" spans="1:10" x14ac:dyDescent="0.25">
      <c r="A91" s="9" t="s">
        <v>734</v>
      </c>
      <c r="B91" s="10">
        <v>1</v>
      </c>
      <c r="D91" t="s">
        <v>882</v>
      </c>
      <c r="E91">
        <v>3</v>
      </c>
      <c r="F91">
        <f t="shared" si="3"/>
        <v>1.8646732619699705E-3</v>
      </c>
      <c r="G91">
        <f t="shared" si="5"/>
        <v>0.43260419677703288</v>
      </c>
      <c r="H91" t="str">
        <f t="shared" si="4"/>
        <v>A</v>
      </c>
      <c r="I91" t="str">
        <f>VLOOKUP(D91,'СУММА ПРОДАЖ'!J:N, 5, FALSE)</f>
        <v>B</v>
      </c>
      <c r="J91" t="str">
        <f>VLOOKUP(D91, 'МЕСЯЧНАЯ ОБОР.'!$V$4:$W$806, 2, FALSE)</f>
        <v>A</v>
      </c>
    </row>
    <row r="92" spans="1:10" x14ac:dyDescent="0.25">
      <c r="A92" s="9" t="s">
        <v>1128</v>
      </c>
      <c r="B92" s="10">
        <v>1</v>
      </c>
      <c r="D92" t="s">
        <v>389</v>
      </c>
      <c r="E92">
        <v>3</v>
      </c>
      <c r="F92">
        <f t="shared" si="3"/>
        <v>1.8646732619699705E-3</v>
      </c>
      <c r="G92">
        <f t="shared" si="5"/>
        <v>0.43446887003900286</v>
      </c>
      <c r="H92" t="str">
        <f t="shared" si="4"/>
        <v>A</v>
      </c>
      <c r="I92" t="str">
        <f>VLOOKUP(D92,'СУММА ПРОДАЖ'!J:N, 5, FALSE)</f>
        <v>A</v>
      </c>
      <c r="J92" t="str">
        <f>VLOOKUP(D92, 'МЕСЯЧНАЯ ОБОР.'!$V$4:$W$806, 2, FALSE)</f>
        <v>A</v>
      </c>
    </row>
    <row r="93" spans="1:10" x14ac:dyDescent="0.25">
      <c r="A93" s="9" t="s">
        <v>195</v>
      </c>
      <c r="B93" s="10">
        <v>5</v>
      </c>
      <c r="D93" t="s">
        <v>780</v>
      </c>
      <c r="E93">
        <v>3</v>
      </c>
      <c r="F93">
        <f t="shared" si="3"/>
        <v>1.8646732619699705E-3</v>
      </c>
      <c r="G93">
        <f t="shared" si="5"/>
        <v>0.43633354330097285</v>
      </c>
      <c r="H93" t="str">
        <f t="shared" si="4"/>
        <v>A</v>
      </c>
      <c r="I93" t="str">
        <f>VLOOKUP(D93,'СУММА ПРОДАЖ'!J:N, 5, FALSE)</f>
        <v>B</v>
      </c>
      <c r="J93" t="str">
        <f>VLOOKUP(D93, 'МЕСЯЧНАЯ ОБОР.'!$V$4:$W$806, 2, FALSE)</f>
        <v>A</v>
      </c>
    </row>
    <row r="94" spans="1:10" x14ac:dyDescent="0.25">
      <c r="A94" s="9" t="s">
        <v>1045</v>
      </c>
      <c r="B94" s="10">
        <v>1</v>
      </c>
      <c r="D94" t="s">
        <v>135</v>
      </c>
      <c r="E94">
        <v>3</v>
      </c>
      <c r="F94">
        <f t="shared" si="3"/>
        <v>1.8646732619699705E-3</v>
      </c>
      <c r="G94">
        <f t="shared" si="5"/>
        <v>0.43819821656294283</v>
      </c>
      <c r="H94" t="str">
        <f t="shared" si="4"/>
        <v>A</v>
      </c>
      <c r="I94" t="str">
        <f>VLOOKUP(D94,'СУММА ПРОДАЖ'!J:N, 5, FALSE)</f>
        <v>A</v>
      </c>
      <c r="J94" t="str">
        <f>VLOOKUP(D94, 'МЕСЯЧНАЯ ОБОР.'!$V$4:$W$806, 2, FALSE)</f>
        <v>A</v>
      </c>
    </row>
    <row r="95" spans="1:10" x14ac:dyDescent="0.25">
      <c r="A95" s="9" t="s">
        <v>381</v>
      </c>
      <c r="B95" s="10">
        <v>4</v>
      </c>
      <c r="D95" t="s">
        <v>361</v>
      </c>
      <c r="E95">
        <v>3</v>
      </c>
      <c r="F95">
        <f t="shared" si="3"/>
        <v>1.8646732619699705E-3</v>
      </c>
      <c r="G95">
        <f t="shared" si="5"/>
        <v>0.44006288982491282</v>
      </c>
      <c r="H95" t="str">
        <f t="shared" si="4"/>
        <v>A</v>
      </c>
      <c r="I95" t="str">
        <f>VLOOKUP(D95,'СУММА ПРОДАЖ'!J:N, 5, FALSE)</f>
        <v>A</v>
      </c>
      <c r="J95" t="str">
        <f>VLOOKUP(D95, 'МЕСЯЧНАЯ ОБОР.'!$V$4:$W$806, 2, FALSE)</f>
        <v>A</v>
      </c>
    </row>
    <row r="96" spans="1:10" x14ac:dyDescent="0.25">
      <c r="A96" s="9" t="s">
        <v>656</v>
      </c>
      <c r="B96" s="10">
        <v>2</v>
      </c>
      <c r="D96" t="s">
        <v>309</v>
      </c>
      <c r="E96">
        <v>3</v>
      </c>
      <c r="F96">
        <f t="shared" si="3"/>
        <v>1.8646732619699705E-3</v>
      </c>
      <c r="G96">
        <f t="shared" si="5"/>
        <v>0.4419275630868828</v>
      </c>
      <c r="H96" t="str">
        <f t="shared" si="4"/>
        <v>A</v>
      </c>
      <c r="I96" t="str">
        <f>VLOOKUP(D96,'СУММА ПРОДАЖ'!J:N, 5, FALSE)</f>
        <v>A</v>
      </c>
      <c r="J96" t="str">
        <f>VLOOKUP(D96, 'МЕСЯЧНАЯ ОБОР.'!$V$4:$W$806, 2, FALSE)</f>
        <v>A</v>
      </c>
    </row>
    <row r="97" spans="1:10" x14ac:dyDescent="0.25">
      <c r="A97" s="9" t="s">
        <v>990</v>
      </c>
      <c r="B97" s="10">
        <v>2</v>
      </c>
      <c r="D97" t="s">
        <v>550</v>
      </c>
      <c r="E97">
        <v>3</v>
      </c>
      <c r="F97">
        <f t="shared" si="3"/>
        <v>1.8646732619699705E-3</v>
      </c>
      <c r="G97">
        <f t="shared" si="5"/>
        <v>0.44379223634885279</v>
      </c>
      <c r="H97" t="str">
        <f t="shared" si="4"/>
        <v>A</v>
      </c>
      <c r="I97" t="str">
        <f>VLOOKUP(D97,'СУММА ПРОДАЖ'!J:N, 5, FALSE)</f>
        <v>A</v>
      </c>
      <c r="J97" t="str">
        <f>VLOOKUP(D97, 'МЕСЯЧНАЯ ОБОР.'!$V$4:$W$806, 2, FALSE)</f>
        <v>A</v>
      </c>
    </row>
    <row r="98" spans="1:10" x14ac:dyDescent="0.25">
      <c r="A98" s="9" t="s">
        <v>719</v>
      </c>
      <c r="B98" s="10">
        <v>5</v>
      </c>
      <c r="D98" t="s">
        <v>548</v>
      </c>
      <c r="E98">
        <v>3</v>
      </c>
      <c r="F98">
        <f t="shared" si="3"/>
        <v>1.8646732619699705E-3</v>
      </c>
      <c r="G98">
        <f t="shared" si="5"/>
        <v>0.44565690961082277</v>
      </c>
      <c r="H98" t="str">
        <f t="shared" si="4"/>
        <v>A</v>
      </c>
      <c r="I98" t="str">
        <f>VLOOKUP(D98,'СУММА ПРОДАЖ'!J:N, 5, FALSE)</f>
        <v>A</v>
      </c>
      <c r="J98" t="str">
        <f>VLOOKUP(D98, 'МЕСЯЧНАЯ ОБОР.'!$V$4:$W$806, 2, FALSE)</f>
        <v>A</v>
      </c>
    </row>
    <row r="99" spans="1:10" x14ac:dyDescent="0.25">
      <c r="A99" s="9" t="s">
        <v>959</v>
      </c>
      <c r="B99" s="10">
        <v>1</v>
      </c>
      <c r="D99" t="s">
        <v>330</v>
      </c>
      <c r="E99">
        <v>3</v>
      </c>
      <c r="F99">
        <f t="shared" si="3"/>
        <v>1.8646732619699705E-3</v>
      </c>
      <c r="G99">
        <f t="shared" si="5"/>
        <v>0.44752158287279276</v>
      </c>
      <c r="H99" t="str">
        <f t="shared" si="4"/>
        <v>A</v>
      </c>
      <c r="I99" t="str">
        <f>VLOOKUP(D99,'СУММА ПРОДАЖ'!J:N, 5, FALSE)</f>
        <v>C</v>
      </c>
      <c r="J99" t="str">
        <f>VLOOKUP(D99, 'МЕСЯЧНАЯ ОБОР.'!$V$4:$W$806, 2, FALSE)</f>
        <v>A</v>
      </c>
    </row>
    <row r="100" spans="1:10" x14ac:dyDescent="0.25">
      <c r="A100" s="9" t="s">
        <v>715</v>
      </c>
      <c r="B100" s="10">
        <v>0.66666665999999997</v>
      </c>
      <c r="D100" t="s">
        <v>125</v>
      </c>
      <c r="E100">
        <v>3</v>
      </c>
      <c r="F100">
        <f t="shared" si="3"/>
        <v>1.8646732619699705E-3</v>
      </c>
      <c r="G100">
        <f t="shared" si="5"/>
        <v>0.44938625613476274</v>
      </c>
      <c r="H100" t="str">
        <f t="shared" si="4"/>
        <v>A</v>
      </c>
      <c r="I100" t="str">
        <f>VLOOKUP(D100,'СУММА ПРОДАЖ'!J:N, 5, FALSE)</f>
        <v>A</v>
      </c>
      <c r="J100" t="str">
        <f>VLOOKUP(D100, 'МЕСЯЧНАЯ ОБОР.'!$V$4:$W$806, 2, FALSE)</f>
        <v>A</v>
      </c>
    </row>
    <row r="101" spans="1:10" x14ac:dyDescent="0.25">
      <c r="A101" s="9" t="s">
        <v>1152</v>
      </c>
      <c r="B101" s="10">
        <v>1</v>
      </c>
      <c r="D101" t="s">
        <v>518</v>
      </c>
      <c r="E101">
        <v>3</v>
      </c>
      <c r="F101">
        <f t="shared" si="3"/>
        <v>1.8646732619699705E-3</v>
      </c>
      <c r="G101">
        <f t="shared" si="5"/>
        <v>0.45125092939673273</v>
      </c>
      <c r="H101" t="str">
        <f t="shared" si="4"/>
        <v>A</v>
      </c>
      <c r="I101" t="str">
        <f>VLOOKUP(D101,'СУММА ПРОДАЖ'!J:N, 5, FALSE)</f>
        <v>B</v>
      </c>
      <c r="J101" t="str">
        <f>VLOOKUP(D101, 'МЕСЯЧНАЯ ОБОР.'!$V$4:$W$806, 2, FALSE)</f>
        <v>A</v>
      </c>
    </row>
    <row r="102" spans="1:10" x14ac:dyDescent="0.25">
      <c r="A102" s="9" t="s">
        <v>755</v>
      </c>
      <c r="B102" s="10">
        <v>1</v>
      </c>
      <c r="D102" t="s">
        <v>334</v>
      </c>
      <c r="E102">
        <v>3</v>
      </c>
      <c r="F102">
        <f t="shared" si="3"/>
        <v>1.8646732619699705E-3</v>
      </c>
      <c r="G102">
        <f t="shared" si="5"/>
        <v>0.45311560265870271</v>
      </c>
      <c r="H102" t="str">
        <f t="shared" si="4"/>
        <v>A</v>
      </c>
      <c r="I102" t="str">
        <f>VLOOKUP(D102,'СУММА ПРОДАЖ'!J:N, 5, FALSE)</f>
        <v>A</v>
      </c>
      <c r="J102" t="str">
        <f>VLOOKUP(D102, 'МЕСЯЧНАЯ ОБОР.'!$V$4:$W$806, 2, FALSE)</f>
        <v>A</v>
      </c>
    </row>
    <row r="103" spans="1:10" x14ac:dyDescent="0.25">
      <c r="A103" s="9" t="s">
        <v>801</v>
      </c>
      <c r="B103" s="10">
        <v>0.1</v>
      </c>
      <c r="D103" t="s">
        <v>220</v>
      </c>
      <c r="E103">
        <v>3</v>
      </c>
      <c r="F103">
        <f t="shared" si="3"/>
        <v>1.8646732619699705E-3</v>
      </c>
      <c r="G103">
        <f t="shared" si="5"/>
        <v>0.45498027592067269</v>
      </c>
      <c r="H103" t="str">
        <f t="shared" si="4"/>
        <v>A</v>
      </c>
      <c r="I103" t="str">
        <f>VLOOKUP(D103,'СУММА ПРОДАЖ'!J:N, 5, FALSE)</f>
        <v>C</v>
      </c>
      <c r="J103" t="str">
        <f>VLOOKUP(D103, 'МЕСЯЧНАЯ ОБОР.'!$V$4:$W$806, 2, FALSE)</f>
        <v>A</v>
      </c>
    </row>
    <row r="104" spans="1:10" x14ac:dyDescent="0.25">
      <c r="A104" s="9" t="s">
        <v>634</v>
      </c>
      <c r="B104" s="10">
        <v>1</v>
      </c>
      <c r="D104" t="s">
        <v>321</v>
      </c>
      <c r="E104">
        <v>3</v>
      </c>
      <c r="F104">
        <f t="shared" si="3"/>
        <v>1.8646732619699705E-3</v>
      </c>
      <c r="G104">
        <f t="shared" si="5"/>
        <v>0.45684494918264268</v>
      </c>
      <c r="H104" t="str">
        <f t="shared" si="4"/>
        <v>A</v>
      </c>
      <c r="I104" t="str">
        <f>VLOOKUP(D104,'СУММА ПРОДАЖ'!J:N, 5, FALSE)</f>
        <v>B</v>
      </c>
      <c r="J104" t="str">
        <f>VLOOKUP(D104, 'МЕСЯЧНАЯ ОБОР.'!$V$4:$W$806, 2, FALSE)</f>
        <v>A</v>
      </c>
    </row>
    <row r="105" spans="1:10" x14ac:dyDescent="0.25">
      <c r="A105" s="9" t="s">
        <v>908</v>
      </c>
      <c r="B105" s="10">
        <v>1</v>
      </c>
      <c r="D105" t="s">
        <v>392</v>
      </c>
      <c r="E105">
        <v>3</v>
      </c>
      <c r="F105">
        <f t="shared" si="3"/>
        <v>1.8646732619699705E-3</v>
      </c>
      <c r="G105">
        <f t="shared" si="5"/>
        <v>0.45870962244461266</v>
      </c>
      <c r="H105" t="str">
        <f t="shared" si="4"/>
        <v>A</v>
      </c>
      <c r="I105" t="str">
        <f>VLOOKUP(D105,'СУММА ПРОДАЖ'!J:N, 5, FALSE)</f>
        <v>A</v>
      </c>
      <c r="J105" t="str">
        <f>VLOOKUP(D105, 'МЕСЯЧНАЯ ОБОР.'!$V$4:$W$806, 2, FALSE)</f>
        <v>A</v>
      </c>
    </row>
    <row r="106" spans="1:10" x14ac:dyDescent="0.25">
      <c r="A106" s="9" t="s">
        <v>1126</v>
      </c>
      <c r="B106" s="10">
        <v>1</v>
      </c>
      <c r="D106" t="s">
        <v>304</v>
      </c>
      <c r="E106">
        <v>3</v>
      </c>
      <c r="F106">
        <f t="shared" si="3"/>
        <v>1.8646732619699705E-3</v>
      </c>
      <c r="G106">
        <f t="shared" si="5"/>
        <v>0.46057429570658265</v>
      </c>
      <c r="H106" t="str">
        <f t="shared" si="4"/>
        <v>A</v>
      </c>
      <c r="I106" t="str">
        <f>VLOOKUP(D106,'СУММА ПРОДАЖ'!J:N, 5, FALSE)</f>
        <v>A</v>
      </c>
      <c r="J106" t="str">
        <f>VLOOKUP(D106, 'МЕСЯЧНАЯ ОБОР.'!$V$4:$W$806, 2, FALSE)</f>
        <v>A</v>
      </c>
    </row>
    <row r="107" spans="1:10" x14ac:dyDescent="0.25">
      <c r="A107" s="9" t="s">
        <v>261</v>
      </c>
      <c r="B107" s="10">
        <v>2</v>
      </c>
      <c r="D107" t="s">
        <v>430</v>
      </c>
      <c r="E107">
        <v>3</v>
      </c>
      <c r="F107">
        <f t="shared" si="3"/>
        <v>1.8646732619699705E-3</v>
      </c>
      <c r="G107">
        <f t="shared" si="5"/>
        <v>0.46243896896855263</v>
      </c>
      <c r="H107" t="str">
        <f t="shared" si="4"/>
        <v>A</v>
      </c>
      <c r="I107" t="str">
        <f>VLOOKUP(D107,'СУММА ПРОДАЖ'!J:N, 5, FALSE)</f>
        <v>A</v>
      </c>
      <c r="J107" t="str">
        <f>VLOOKUP(D107, 'МЕСЯЧНАЯ ОБОР.'!$V$4:$W$806, 2, FALSE)</f>
        <v>A</v>
      </c>
    </row>
    <row r="108" spans="1:10" x14ac:dyDescent="0.25">
      <c r="A108" s="9" t="s">
        <v>730</v>
      </c>
      <c r="B108" s="10">
        <v>1</v>
      </c>
      <c r="D108" t="s">
        <v>526</v>
      </c>
      <c r="E108">
        <v>3</v>
      </c>
      <c r="F108">
        <f t="shared" si="3"/>
        <v>1.8646732619699705E-3</v>
      </c>
      <c r="G108">
        <f t="shared" si="5"/>
        <v>0.46430364223052262</v>
      </c>
      <c r="H108" t="str">
        <f t="shared" si="4"/>
        <v>A</v>
      </c>
      <c r="I108" t="str">
        <f>VLOOKUP(D108,'СУММА ПРОДАЖ'!J:N, 5, FALSE)</f>
        <v>B</v>
      </c>
      <c r="J108" t="str">
        <f>VLOOKUP(D108, 'МЕСЯЧНАЯ ОБОР.'!$V$4:$W$806, 2, FALSE)</f>
        <v>A</v>
      </c>
    </row>
    <row r="109" spans="1:10" x14ac:dyDescent="0.25">
      <c r="A109" s="9" t="s">
        <v>1010</v>
      </c>
      <c r="B109" s="10">
        <v>3</v>
      </c>
      <c r="D109" t="s">
        <v>826</v>
      </c>
      <c r="E109">
        <v>3</v>
      </c>
      <c r="F109">
        <f t="shared" si="3"/>
        <v>1.8646732619699705E-3</v>
      </c>
      <c r="G109">
        <f t="shared" si="5"/>
        <v>0.4661683154924926</v>
      </c>
      <c r="H109" t="str">
        <f t="shared" si="4"/>
        <v>A</v>
      </c>
      <c r="I109" t="str">
        <f>VLOOKUP(D109,'СУММА ПРОДАЖ'!J:N, 5, FALSE)</f>
        <v>A</v>
      </c>
      <c r="J109" t="str">
        <f>VLOOKUP(D109, 'МЕСЯЧНАЯ ОБОР.'!$V$4:$W$806, 2, FALSE)</f>
        <v>A</v>
      </c>
    </row>
    <row r="110" spans="1:10" x14ac:dyDescent="0.25">
      <c r="A110" s="9" t="s">
        <v>390</v>
      </c>
      <c r="B110" s="10">
        <v>1</v>
      </c>
      <c r="D110" t="s">
        <v>816</v>
      </c>
      <c r="E110">
        <v>3</v>
      </c>
      <c r="F110">
        <f t="shared" si="3"/>
        <v>1.8646732619699705E-3</v>
      </c>
      <c r="G110">
        <f t="shared" si="5"/>
        <v>0.46803298875446259</v>
      </c>
      <c r="H110" t="str">
        <f t="shared" si="4"/>
        <v>A</v>
      </c>
      <c r="I110" t="str">
        <f>VLOOKUP(D110,'СУММА ПРОДАЖ'!J:N, 5, FALSE)</f>
        <v>C</v>
      </c>
      <c r="J110" t="str">
        <f>VLOOKUP(D110, 'МЕСЯЧНАЯ ОБОР.'!$V$4:$W$806, 2, FALSE)</f>
        <v>A</v>
      </c>
    </row>
    <row r="111" spans="1:10" x14ac:dyDescent="0.25">
      <c r="A111" s="9" t="s">
        <v>979</v>
      </c>
      <c r="B111" s="10">
        <v>1</v>
      </c>
      <c r="D111" t="s">
        <v>589</v>
      </c>
      <c r="E111">
        <v>3</v>
      </c>
      <c r="F111">
        <f t="shared" si="3"/>
        <v>1.8646732619699705E-3</v>
      </c>
      <c r="G111">
        <f t="shared" si="5"/>
        <v>0.46989766201643257</v>
      </c>
      <c r="H111" t="str">
        <f t="shared" si="4"/>
        <v>A</v>
      </c>
      <c r="I111" t="str">
        <f>VLOOKUP(D111,'СУММА ПРОДАЖ'!J:N, 5, FALSE)</f>
        <v>A</v>
      </c>
      <c r="J111" t="str">
        <f>VLOOKUP(D111, 'МЕСЯЧНАЯ ОБОР.'!$V$4:$W$806, 2, FALSE)</f>
        <v>A</v>
      </c>
    </row>
    <row r="112" spans="1:10" x14ac:dyDescent="0.25">
      <c r="A112" s="9" t="s">
        <v>953</v>
      </c>
      <c r="B112" s="10">
        <v>1</v>
      </c>
      <c r="D112" t="s">
        <v>1069</v>
      </c>
      <c r="E112">
        <v>3</v>
      </c>
      <c r="F112">
        <f t="shared" si="3"/>
        <v>1.8646732619699705E-3</v>
      </c>
      <c r="G112">
        <f t="shared" si="5"/>
        <v>0.47176233527840256</v>
      </c>
      <c r="H112" t="str">
        <f t="shared" si="4"/>
        <v>A</v>
      </c>
      <c r="I112" t="str">
        <f>VLOOKUP(D112,'СУММА ПРОДАЖ'!J:N, 5, FALSE)</f>
        <v>C</v>
      </c>
      <c r="J112" t="str">
        <f>VLOOKUP(D112, 'МЕСЯЧНАЯ ОБОР.'!$V$4:$W$806, 2, FALSE)</f>
        <v>A</v>
      </c>
    </row>
    <row r="113" spans="1:10" x14ac:dyDescent="0.25">
      <c r="A113" s="9" t="s">
        <v>853</v>
      </c>
      <c r="B113" s="10">
        <v>1</v>
      </c>
      <c r="D113" t="s">
        <v>386</v>
      </c>
      <c r="E113">
        <v>3</v>
      </c>
      <c r="F113">
        <f t="shared" si="3"/>
        <v>1.8646732619699705E-3</v>
      </c>
      <c r="G113">
        <f t="shared" si="5"/>
        <v>0.47362700854037254</v>
      </c>
      <c r="H113" t="str">
        <f t="shared" si="4"/>
        <v>A</v>
      </c>
      <c r="I113" t="str">
        <f>VLOOKUP(D113,'СУММА ПРОДАЖ'!J:N, 5, FALSE)</f>
        <v>C</v>
      </c>
      <c r="J113" t="str">
        <f>VLOOKUP(D113, 'МЕСЯЧНАЯ ОБОР.'!$V$4:$W$806, 2, FALSE)</f>
        <v>A</v>
      </c>
    </row>
    <row r="114" spans="1:10" x14ac:dyDescent="0.25">
      <c r="A114" s="9" t="s">
        <v>968</v>
      </c>
      <c r="B114" s="10">
        <v>1</v>
      </c>
      <c r="D114" t="s">
        <v>382</v>
      </c>
      <c r="E114">
        <v>3</v>
      </c>
      <c r="F114">
        <f t="shared" si="3"/>
        <v>1.8646732619699705E-3</v>
      </c>
      <c r="G114">
        <f t="shared" si="5"/>
        <v>0.47549168180234253</v>
      </c>
      <c r="H114" t="str">
        <f t="shared" si="4"/>
        <v>A</v>
      </c>
      <c r="I114" t="str">
        <f>VLOOKUP(D114,'СУММА ПРОДАЖ'!J:N, 5, FALSE)</f>
        <v>A</v>
      </c>
      <c r="J114" t="str">
        <f>VLOOKUP(D114, 'МЕСЯЧНАЯ ОБОР.'!$V$4:$W$806, 2, FALSE)</f>
        <v>A</v>
      </c>
    </row>
    <row r="115" spans="1:10" x14ac:dyDescent="0.25">
      <c r="A115" s="9" t="s">
        <v>275</v>
      </c>
      <c r="B115" s="10">
        <v>1</v>
      </c>
      <c r="D115" t="s">
        <v>288</v>
      </c>
      <c r="E115">
        <v>3</v>
      </c>
      <c r="F115">
        <f t="shared" si="3"/>
        <v>1.8646732619699705E-3</v>
      </c>
      <c r="G115">
        <f t="shared" si="5"/>
        <v>0.47735635506431251</v>
      </c>
      <c r="H115" t="str">
        <f t="shared" si="4"/>
        <v>A</v>
      </c>
      <c r="I115" t="str">
        <f>VLOOKUP(D115,'СУММА ПРОДАЖ'!J:N, 5, FALSE)</f>
        <v>C</v>
      </c>
      <c r="J115" t="str">
        <f>VLOOKUP(D115, 'МЕСЯЧНАЯ ОБОР.'!$V$4:$W$806, 2, FALSE)</f>
        <v>A</v>
      </c>
    </row>
    <row r="116" spans="1:10" x14ac:dyDescent="0.25">
      <c r="A116" s="9" t="s">
        <v>486</v>
      </c>
      <c r="B116" s="10">
        <v>1</v>
      </c>
      <c r="D116" t="s">
        <v>519</v>
      </c>
      <c r="E116">
        <v>3</v>
      </c>
      <c r="F116">
        <f t="shared" si="3"/>
        <v>1.8646732619699705E-3</v>
      </c>
      <c r="G116">
        <f t="shared" si="5"/>
        <v>0.47922102832628249</v>
      </c>
      <c r="H116" t="str">
        <f t="shared" si="4"/>
        <v>A</v>
      </c>
      <c r="I116" t="str">
        <f>VLOOKUP(D116,'СУММА ПРОДАЖ'!J:N, 5, FALSE)</f>
        <v>A</v>
      </c>
      <c r="J116" t="str">
        <f>VLOOKUP(D116, 'МЕСЯЧНАЯ ОБОР.'!$V$4:$W$806, 2, FALSE)</f>
        <v>A</v>
      </c>
    </row>
    <row r="117" spans="1:10" x14ac:dyDescent="0.25">
      <c r="A117" s="9" t="s">
        <v>97</v>
      </c>
      <c r="B117" s="10">
        <v>1</v>
      </c>
      <c r="D117" t="s">
        <v>147</v>
      </c>
      <c r="E117">
        <v>3</v>
      </c>
      <c r="F117">
        <f t="shared" si="3"/>
        <v>1.8646732619699705E-3</v>
      </c>
      <c r="G117">
        <f t="shared" si="5"/>
        <v>0.48108570158825248</v>
      </c>
      <c r="H117" t="str">
        <f t="shared" si="4"/>
        <v>A</v>
      </c>
      <c r="I117" t="str">
        <f>VLOOKUP(D117,'СУММА ПРОДАЖ'!J:N, 5, FALSE)</f>
        <v>A</v>
      </c>
      <c r="J117" t="str">
        <f>VLOOKUP(D117, 'МЕСЯЧНАЯ ОБОР.'!$V$4:$W$806, 2, FALSE)</f>
        <v>A</v>
      </c>
    </row>
    <row r="118" spans="1:10" x14ac:dyDescent="0.25">
      <c r="A118" s="9" t="s">
        <v>860</v>
      </c>
      <c r="B118" s="10">
        <v>1</v>
      </c>
      <c r="D118" t="s">
        <v>995</v>
      </c>
      <c r="E118">
        <v>3</v>
      </c>
      <c r="F118">
        <f t="shared" si="3"/>
        <v>1.8646732619699705E-3</v>
      </c>
      <c r="G118">
        <f t="shared" si="5"/>
        <v>0.48295037485022246</v>
      </c>
      <c r="H118" t="str">
        <f t="shared" si="4"/>
        <v>A</v>
      </c>
      <c r="I118" t="str">
        <f>VLOOKUP(D118,'СУММА ПРОДАЖ'!J:N, 5, FALSE)</f>
        <v>A</v>
      </c>
      <c r="J118" t="str">
        <f>VLOOKUP(D118, 'МЕСЯЧНАЯ ОБОР.'!$V$4:$W$806, 2, FALSE)</f>
        <v>A</v>
      </c>
    </row>
    <row r="119" spans="1:10" x14ac:dyDescent="0.25">
      <c r="A119" s="9" t="s">
        <v>704</v>
      </c>
      <c r="B119" s="10">
        <v>3</v>
      </c>
      <c r="D119" t="s">
        <v>285</v>
      </c>
      <c r="E119">
        <v>3</v>
      </c>
      <c r="F119">
        <f t="shared" si="3"/>
        <v>1.8646732619699705E-3</v>
      </c>
      <c r="G119">
        <f t="shared" si="5"/>
        <v>0.48481504811219245</v>
      </c>
      <c r="H119" t="str">
        <f t="shared" si="4"/>
        <v>A</v>
      </c>
      <c r="I119" t="str">
        <f>VLOOKUP(D119,'СУММА ПРОДАЖ'!J:N, 5, FALSE)</f>
        <v>A</v>
      </c>
      <c r="J119" t="str">
        <f>VLOOKUP(D119, 'МЕСЯЧНАЯ ОБОР.'!$V$4:$W$806, 2, FALSE)</f>
        <v>A</v>
      </c>
    </row>
    <row r="120" spans="1:10" x14ac:dyDescent="0.25">
      <c r="A120" s="9" t="s">
        <v>1060</v>
      </c>
      <c r="B120" s="10">
        <v>1</v>
      </c>
      <c r="D120" t="s">
        <v>587</v>
      </c>
      <c r="E120">
        <v>3</v>
      </c>
      <c r="F120">
        <f t="shared" si="3"/>
        <v>1.8646732619699705E-3</v>
      </c>
      <c r="G120">
        <f t="shared" si="5"/>
        <v>0.48667972137416243</v>
      </c>
      <c r="H120" t="str">
        <f t="shared" si="4"/>
        <v>A</v>
      </c>
      <c r="I120" t="str">
        <f>VLOOKUP(D120,'СУММА ПРОДАЖ'!J:N, 5, FALSE)</f>
        <v>C</v>
      </c>
      <c r="J120" t="str">
        <f>VLOOKUP(D120, 'МЕСЯЧНАЯ ОБОР.'!$V$4:$W$806, 2, FALSE)</f>
        <v>A</v>
      </c>
    </row>
    <row r="121" spans="1:10" x14ac:dyDescent="0.25">
      <c r="A121" s="9" t="s">
        <v>581</v>
      </c>
      <c r="B121" s="10">
        <v>1</v>
      </c>
      <c r="D121" t="s">
        <v>52</v>
      </c>
      <c r="E121">
        <v>3</v>
      </c>
      <c r="F121">
        <f t="shared" si="3"/>
        <v>1.8646732619699705E-3</v>
      </c>
      <c r="G121">
        <f t="shared" si="5"/>
        <v>0.48854439463613242</v>
      </c>
      <c r="H121" t="str">
        <f t="shared" si="4"/>
        <v>A</v>
      </c>
      <c r="I121" t="str">
        <f>VLOOKUP(D121,'СУММА ПРОДАЖ'!J:N, 5, FALSE)</f>
        <v>B</v>
      </c>
      <c r="J121" t="str">
        <f>VLOOKUP(D121, 'МЕСЯЧНАЯ ОБОР.'!$V$4:$W$806, 2, FALSE)</f>
        <v>A</v>
      </c>
    </row>
    <row r="122" spans="1:10" x14ac:dyDescent="0.25">
      <c r="A122" s="9" t="s">
        <v>326</v>
      </c>
      <c r="B122" s="10">
        <v>1</v>
      </c>
      <c r="D122" t="s">
        <v>614</v>
      </c>
      <c r="E122">
        <v>3</v>
      </c>
      <c r="F122">
        <f t="shared" si="3"/>
        <v>1.8646732619699705E-3</v>
      </c>
      <c r="G122">
        <f t="shared" si="5"/>
        <v>0.4904090678981024</v>
      </c>
      <c r="H122" t="str">
        <f t="shared" si="4"/>
        <v>A</v>
      </c>
      <c r="I122" t="str">
        <f>VLOOKUP(D122,'СУММА ПРОДАЖ'!J:N, 5, FALSE)</f>
        <v>C</v>
      </c>
      <c r="J122" t="str">
        <f>VLOOKUP(D122, 'МЕСЯЧНАЯ ОБОР.'!$V$4:$W$806, 2, FALSE)</f>
        <v>A</v>
      </c>
    </row>
    <row r="123" spans="1:10" x14ac:dyDescent="0.25">
      <c r="A123" s="9" t="s">
        <v>615</v>
      </c>
      <c r="B123" s="10">
        <v>3</v>
      </c>
      <c r="D123" t="s">
        <v>673</v>
      </c>
      <c r="E123">
        <v>3</v>
      </c>
      <c r="F123">
        <f t="shared" si="3"/>
        <v>1.8646732619699705E-3</v>
      </c>
      <c r="G123">
        <f t="shared" si="5"/>
        <v>0.49227374116007239</v>
      </c>
      <c r="H123" t="str">
        <f t="shared" si="4"/>
        <v>A</v>
      </c>
      <c r="I123" t="str">
        <f>VLOOKUP(D123,'СУММА ПРОДАЖ'!J:N, 5, FALSE)</f>
        <v>C</v>
      </c>
      <c r="J123" t="str">
        <f>VLOOKUP(D123, 'МЕСЯЧНАЯ ОБОР.'!$V$4:$W$806, 2, FALSE)</f>
        <v>A</v>
      </c>
    </row>
    <row r="124" spans="1:10" x14ac:dyDescent="0.25">
      <c r="A124" s="9" t="s">
        <v>642</v>
      </c>
      <c r="B124" s="10">
        <v>1</v>
      </c>
      <c r="D124" t="s">
        <v>278</v>
      </c>
      <c r="E124">
        <v>3</v>
      </c>
      <c r="F124">
        <f t="shared" si="3"/>
        <v>1.8646732619699705E-3</v>
      </c>
      <c r="G124">
        <f t="shared" si="5"/>
        <v>0.49413841442204237</v>
      </c>
      <c r="H124" t="str">
        <f t="shared" si="4"/>
        <v>A</v>
      </c>
      <c r="I124" t="str">
        <f>VLOOKUP(D124,'СУММА ПРОДАЖ'!J:N, 5, FALSE)</f>
        <v>B</v>
      </c>
      <c r="J124" t="str">
        <f>VLOOKUP(D124, 'МЕСЯЧНАЯ ОБОР.'!$V$4:$W$806, 2, FALSE)</f>
        <v>A</v>
      </c>
    </row>
    <row r="125" spans="1:10" x14ac:dyDescent="0.25">
      <c r="A125" s="9" t="s">
        <v>696</v>
      </c>
      <c r="B125" s="10">
        <v>1</v>
      </c>
      <c r="D125" t="s">
        <v>146</v>
      </c>
      <c r="E125">
        <v>3</v>
      </c>
      <c r="F125">
        <f t="shared" si="3"/>
        <v>1.8646732619699705E-3</v>
      </c>
      <c r="G125">
        <f t="shared" si="5"/>
        <v>0.49600308768401236</v>
      </c>
      <c r="H125" t="str">
        <f t="shared" si="4"/>
        <v>A</v>
      </c>
      <c r="I125" t="str">
        <f>VLOOKUP(D125,'СУММА ПРОДАЖ'!J:N, 5, FALSE)</f>
        <v>B</v>
      </c>
      <c r="J125" t="str">
        <f>VLOOKUP(D125, 'МЕСЯЧНАЯ ОБОР.'!$V$4:$W$806, 2, FALSE)</f>
        <v>A</v>
      </c>
    </row>
    <row r="126" spans="1:10" x14ac:dyDescent="0.25">
      <c r="A126" s="9" t="s">
        <v>941</v>
      </c>
      <c r="B126" s="10">
        <v>3</v>
      </c>
      <c r="D126" t="s">
        <v>301</v>
      </c>
      <c r="E126">
        <v>3</v>
      </c>
      <c r="F126">
        <f t="shared" si="3"/>
        <v>1.8646732619699705E-3</v>
      </c>
      <c r="G126">
        <f t="shared" si="5"/>
        <v>0.49786776094598234</v>
      </c>
      <c r="H126" t="str">
        <f t="shared" si="4"/>
        <v>A</v>
      </c>
      <c r="I126" t="str">
        <f>VLOOKUP(D126,'СУММА ПРОДАЖ'!J:N, 5, FALSE)</f>
        <v>B</v>
      </c>
      <c r="J126" t="str">
        <f>VLOOKUP(D126, 'МЕСЯЧНАЯ ОБОР.'!$V$4:$W$806, 2, FALSE)</f>
        <v>A</v>
      </c>
    </row>
    <row r="127" spans="1:10" x14ac:dyDescent="0.25">
      <c r="A127" s="9" t="s">
        <v>155</v>
      </c>
      <c r="B127" s="10">
        <v>2</v>
      </c>
      <c r="D127" t="s">
        <v>234</v>
      </c>
      <c r="E127">
        <v>3</v>
      </c>
      <c r="F127">
        <f t="shared" si="3"/>
        <v>1.8646732619699705E-3</v>
      </c>
      <c r="G127">
        <f t="shared" si="5"/>
        <v>0.49973243420795233</v>
      </c>
      <c r="H127" t="str">
        <f t="shared" si="4"/>
        <v>A</v>
      </c>
      <c r="I127" t="str">
        <f>VLOOKUP(D127,'СУММА ПРОДАЖ'!J:N, 5, FALSE)</f>
        <v>C</v>
      </c>
      <c r="J127" t="str">
        <f>VLOOKUP(D127, 'МЕСЯЧНАЯ ОБОР.'!$V$4:$W$806, 2, FALSE)</f>
        <v>A</v>
      </c>
    </row>
    <row r="128" spans="1:10" x14ac:dyDescent="0.25">
      <c r="A128" s="9" t="s">
        <v>442</v>
      </c>
      <c r="B128" s="10">
        <v>2</v>
      </c>
      <c r="D128" t="s">
        <v>638</v>
      </c>
      <c r="E128">
        <v>3</v>
      </c>
      <c r="F128">
        <f t="shared" si="3"/>
        <v>1.8646732619699705E-3</v>
      </c>
      <c r="G128">
        <f t="shared" si="5"/>
        <v>0.50159710746992225</v>
      </c>
      <c r="H128" t="str">
        <f t="shared" si="4"/>
        <v>A</v>
      </c>
      <c r="I128" t="str">
        <f>VLOOKUP(D128,'СУММА ПРОДАЖ'!J:N, 5, FALSE)</f>
        <v>B</v>
      </c>
      <c r="J128" t="str">
        <f>VLOOKUP(D128, 'МЕСЯЧНАЯ ОБОР.'!$V$4:$W$806, 2, FALSE)</f>
        <v>A</v>
      </c>
    </row>
    <row r="129" spans="1:10" x14ac:dyDescent="0.25">
      <c r="A129" s="9" t="s">
        <v>643</v>
      </c>
      <c r="B129" s="10">
        <v>2</v>
      </c>
      <c r="D129" t="s">
        <v>431</v>
      </c>
      <c r="E129">
        <v>3</v>
      </c>
      <c r="F129">
        <f t="shared" si="3"/>
        <v>1.8646732619699705E-3</v>
      </c>
      <c r="G129">
        <f t="shared" si="5"/>
        <v>0.50346178073189218</v>
      </c>
      <c r="H129" t="str">
        <f t="shared" si="4"/>
        <v>A</v>
      </c>
      <c r="I129" t="str">
        <f>VLOOKUP(D129,'СУММА ПРОДАЖ'!J:N, 5, FALSE)</f>
        <v>A</v>
      </c>
      <c r="J129" t="str">
        <f>VLOOKUP(D129, 'МЕСЯЧНАЯ ОБОР.'!$V$4:$W$806, 2, FALSE)</f>
        <v>A</v>
      </c>
    </row>
    <row r="130" spans="1:10" x14ac:dyDescent="0.25">
      <c r="A130" s="9" t="s">
        <v>1205</v>
      </c>
      <c r="B130" s="10">
        <v>1</v>
      </c>
      <c r="D130" t="s">
        <v>1071</v>
      </c>
      <c r="E130">
        <v>3</v>
      </c>
      <c r="F130">
        <f t="shared" si="3"/>
        <v>1.8646732619699705E-3</v>
      </c>
      <c r="G130">
        <f t="shared" si="5"/>
        <v>0.50532645399386211</v>
      </c>
      <c r="H130" t="str">
        <f t="shared" si="4"/>
        <v>A</v>
      </c>
      <c r="I130" t="str">
        <f>VLOOKUP(D130,'СУММА ПРОДАЖ'!J:N, 5, FALSE)</f>
        <v>B</v>
      </c>
      <c r="J130" t="str">
        <f>VLOOKUP(D130, 'МЕСЯЧНАЯ ОБОР.'!$V$4:$W$806, 2, FALSE)</f>
        <v>A</v>
      </c>
    </row>
    <row r="131" spans="1:10" x14ac:dyDescent="0.25">
      <c r="A131" s="9" t="s">
        <v>791</v>
      </c>
      <c r="B131" s="10">
        <v>2</v>
      </c>
      <c r="D131" t="s">
        <v>290</v>
      </c>
      <c r="E131">
        <v>3</v>
      </c>
      <c r="F131">
        <f t="shared" si="3"/>
        <v>1.8646732619699705E-3</v>
      </c>
      <c r="G131">
        <f t="shared" si="5"/>
        <v>0.50719112725583204</v>
      </c>
      <c r="H131" t="str">
        <f t="shared" si="4"/>
        <v>A</v>
      </c>
      <c r="I131" t="str">
        <f>VLOOKUP(D131,'СУММА ПРОДАЖ'!J:N, 5, FALSE)</f>
        <v>B</v>
      </c>
      <c r="J131" t="str">
        <f>VLOOKUP(D131, 'МЕСЯЧНАЯ ОБОР.'!$V$4:$W$806, 2, FALSE)</f>
        <v>A</v>
      </c>
    </row>
    <row r="132" spans="1:10" x14ac:dyDescent="0.25">
      <c r="A132" s="9" t="s">
        <v>70</v>
      </c>
      <c r="B132" s="10">
        <v>1</v>
      </c>
      <c r="D132" t="s">
        <v>571</v>
      </c>
      <c r="E132">
        <v>3</v>
      </c>
      <c r="F132">
        <f t="shared" si="3"/>
        <v>1.8646732619699705E-3</v>
      </c>
      <c r="G132">
        <f t="shared" si="5"/>
        <v>0.50905580051780197</v>
      </c>
      <c r="H132" t="str">
        <f t="shared" si="4"/>
        <v>A</v>
      </c>
      <c r="I132" t="str">
        <f>VLOOKUP(D132,'СУММА ПРОДАЖ'!J:N, 5, FALSE)</f>
        <v>B</v>
      </c>
      <c r="J132" t="str">
        <f>VLOOKUP(D132, 'МЕСЯЧНАЯ ОБОР.'!$V$4:$W$806, 2, FALSE)</f>
        <v>A</v>
      </c>
    </row>
    <row r="133" spans="1:10" x14ac:dyDescent="0.25">
      <c r="A133" s="9" t="s">
        <v>774</v>
      </c>
      <c r="B133" s="10">
        <v>1</v>
      </c>
      <c r="D133" t="s">
        <v>568</v>
      </c>
      <c r="E133">
        <v>3</v>
      </c>
      <c r="F133">
        <f t="shared" ref="F133:F196" si="6">E133/SUM($E$4:$E$806)</f>
        <v>1.8646732619699705E-3</v>
      </c>
      <c r="G133">
        <f t="shared" si="5"/>
        <v>0.5109204737797719</v>
      </c>
      <c r="H133" t="str">
        <f t="shared" ref="H133:H196" si="7">IF(G133&lt;0.8, "A", IF(G133&lt;0.95, "B","C"))</f>
        <v>A</v>
      </c>
      <c r="I133" t="str">
        <f>VLOOKUP(D133,'СУММА ПРОДАЖ'!J:N, 5, FALSE)</f>
        <v>A</v>
      </c>
      <c r="J133" t="str">
        <f>VLOOKUP(D133, 'МЕСЯЧНАЯ ОБОР.'!$V$4:$W$806, 2, FALSE)</f>
        <v>A</v>
      </c>
    </row>
    <row r="134" spans="1:10" x14ac:dyDescent="0.25">
      <c r="A134" s="9" t="s">
        <v>613</v>
      </c>
      <c r="B134" s="10">
        <v>1</v>
      </c>
      <c r="D134" t="s">
        <v>232</v>
      </c>
      <c r="E134">
        <v>3</v>
      </c>
      <c r="F134">
        <f t="shared" si="6"/>
        <v>1.8646732619699705E-3</v>
      </c>
      <c r="G134">
        <f t="shared" ref="G134:G197" si="8">F134+G133</f>
        <v>0.51278514704174183</v>
      </c>
      <c r="H134" t="str">
        <f t="shared" si="7"/>
        <v>A</v>
      </c>
      <c r="I134" t="str">
        <f>VLOOKUP(D134,'СУММА ПРОДАЖ'!J:N, 5, FALSE)</f>
        <v>A</v>
      </c>
      <c r="J134" t="str">
        <f>VLOOKUP(D134, 'МЕСЯЧНАЯ ОБОР.'!$V$4:$W$806, 2, FALSE)</f>
        <v>A</v>
      </c>
    </row>
    <row r="135" spans="1:10" x14ac:dyDescent="0.25">
      <c r="A135" s="9" t="s">
        <v>880</v>
      </c>
      <c r="B135" s="10">
        <v>1</v>
      </c>
      <c r="D135" t="s">
        <v>712</v>
      </c>
      <c r="E135">
        <v>3</v>
      </c>
      <c r="F135">
        <f t="shared" si="6"/>
        <v>1.8646732619699705E-3</v>
      </c>
      <c r="G135">
        <f t="shared" si="8"/>
        <v>0.51464982030371176</v>
      </c>
      <c r="H135" t="str">
        <f t="shared" si="7"/>
        <v>A</v>
      </c>
      <c r="I135" t="str">
        <f>VLOOKUP(D135,'СУММА ПРОДАЖ'!J:N, 5, FALSE)</f>
        <v>C</v>
      </c>
      <c r="J135" t="str">
        <f>VLOOKUP(D135, 'МЕСЯЧНАЯ ОБОР.'!$V$4:$W$806, 2, FALSE)</f>
        <v>A</v>
      </c>
    </row>
    <row r="136" spans="1:10" x14ac:dyDescent="0.25">
      <c r="A136" s="9" t="s">
        <v>583</v>
      </c>
      <c r="B136" s="10">
        <v>22</v>
      </c>
      <c r="D136" t="s">
        <v>405</v>
      </c>
      <c r="E136">
        <v>3</v>
      </c>
      <c r="F136">
        <f t="shared" si="6"/>
        <v>1.8646732619699705E-3</v>
      </c>
      <c r="G136">
        <f t="shared" si="8"/>
        <v>0.51651449356568169</v>
      </c>
      <c r="H136" t="str">
        <f t="shared" si="7"/>
        <v>A</v>
      </c>
      <c r="I136" t="str">
        <f>VLOOKUP(D136,'СУММА ПРОДАЖ'!J:N, 5, FALSE)</f>
        <v>C</v>
      </c>
      <c r="J136" t="str">
        <f>VLOOKUP(D136, 'МЕСЯЧНАЯ ОБОР.'!$V$4:$W$806, 2, FALSE)</f>
        <v>A</v>
      </c>
    </row>
    <row r="137" spans="1:10" x14ac:dyDescent="0.25">
      <c r="A137" s="9" t="s">
        <v>246</v>
      </c>
      <c r="B137" s="10">
        <v>2</v>
      </c>
      <c r="D137" t="s">
        <v>1001</v>
      </c>
      <c r="E137">
        <v>3</v>
      </c>
      <c r="F137">
        <f t="shared" si="6"/>
        <v>1.8646732619699705E-3</v>
      </c>
      <c r="G137">
        <f t="shared" si="8"/>
        <v>0.51837916682765162</v>
      </c>
      <c r="H137" t="str">
        <f t="shared" si="7"/>
        <v>A</v>
      </c>
      <c r="I137" t="str">
        <f>VLOOKUP(D137,'СУММА ПРОДАЖ'!J:N, 5, FALSE)</f>
        <v>B</v>
      </c>
      <c r="J137" t="str">
        <f>VLOOKUP(D137, 'МЕСЯЧНАЯ ОБОР.'!$V$4:$W$806, 2, FALSE)</f>
        <v>A</v>
      </c>
    </row>
    <row r="138" spans="1:10" x14ac:dyDescent="0.25">
      <c r="A138" s="9" t="s">
        <v>981</v>
      </c>
      <c r="B138" s="10">
        <v>2</v>
      </c>
      <c r="D138" t="s">
        <v>818</v>
      </c>
      <c r="E138">
        <v>3</v>
      </c>
      <c r="F138">
        <f t="shared" si="6"/>
        <v>1.8646732619699705E-3</v>
      </c>
      <c r="G138">
        <f t="shared" si="8"/>
        <v>0.52024384008962155</v>
      </c>
      <c r="H138" t="str">
        <f t="shared" si="7"/>
        <v>A</v>
      </c>
      <c r="I138" t="str">
        <f>VLOOKUP(D138,'СУММА ПРОДАЖ'!J:N, 5, FALSE)</f>
        <v>A</v>
      </c>
      <c r="J138" t="str">
        <f>VLOOKUP(D138, 'МЕСЯЧНАЯ ОБОР.'!$V$4:$W$806, 2, FALSE)</f>
        <v>A</v>
      </c>
    </row>
    <row r="139" spans="1:10" x14ac:dyDescent="0.25">
      <c r="A139" s="9" t="s">
        <v>231</v>
      </c>
      <c r="B139" s="10">
        <v>1</v>
      </c>
      <c r="D139" t="s">
        <v>210</v>
      </c>
      <c r="E139">
        <v>2</v>
      </c>
      <c r="F139">
        <f t="shared" si="6"/>
        <v>1.2431155079799805E-3</v>
      </c>
      <c r="G139">
        <f t="shared" si="8"/>
        <v>0.5214869555976015</v>
      </c>
      <c r="H139" t="str">
        <f t="shared" si="7"/>
        <v>A</v>
      </c>
      <c r="I139" t="str">
        <f>VLOOKUP(D139,'СУММА ПРОДАЖ'!J:N, 5, FALSE)</f>
        <v>B</v>
      </c>
      <c r="J139" t="str">
        <f>VLOOKUP(D139, 'МЕСЯЧНАЯ ОБОР.'!$V$4:$W$806, 2, FALSE)</f>
        <v>A</v>
      </c>
    </row>
    <row r="140" spans="1:10" x14ac:dyDescent="0.25">
      <c r="A140" s="9" t="s">
        <v>671</v>
      </c>
      <c r="B140" s="10">
        <v>5</v>
      </c>
      <c r="D140" t="s">
        <v>83</v>
      </c>
      <c r="E140">
        <v>2</v>
      </c>
      <c r="F140">
        <f t="shared" si="6"/>
        <v>1.2431155079799805E-3</v>
      </c>
      <c r="G140">
        <f t="shared" si="8"/>
        <v>0.52273007110558145</v>
      </c>
      <c r="H140" t="str">
        <f t="shared" si="7"/>
        <v>A</v>
      </c>
      <c r="I140" t="str">
        <f>VLOOKUP(D140,'СУММА ПРОДАЖ'!J:N, 5, FALSE)</f>
        <v>A</v>
      </c>
      <c r="J140" t="str">
        <f>VLOOKUP(D140, 'МЕСЯЧНАЯ ОБОР.'!$V$4:$W$806, 2, FALSE)</f>
        <v>A</v>
      </c>
    </row>
    <row r="141" spans="1:10" x14ac:dyDescent="0.25">
      <c r="A141" s="9" t="s">
        <v>1057</v>
      </c>
      <c r="B141" s="10">
        <v>1</v>
      </c>
      <c r="D141" t="s">
        <v>844</v>
      </c>
      <c r="E141">
        <v>2</v>
      </c>
      <c r="F141">
        <f t="shared" si="6"/>
        <v>1.2431155079799805E-3</v>
      </c>
      <c r="G141">
        <f t="shared" si="8"/>
        <v>0.5239731866135614</v>
      </c>
      <c r="H141" t="str">
        <f t="shared" si="7"/>
        <v>A</v>
      </c>
      <c r="I141" t="str">
        <f>VLOOKUP(D141,'СУММА ПРОДАЖ'!J:N, 5, FALSE)</f>
        <v>B</v>
      </c>
      <c r="J141" t="str">
        <f>VLOOKUP(D141, 'МЕСЯЧНАЯ ОБОР.'!$V$4:$W$806, 2, FALSE)</f>
        <v>A</v>
      </c>
    </row>
    <row r="142" spans="1:10" x14ac:dyDescent="0.25">
      <c r="A142" s="9" t="s">
        <v>935</v>
      </c>
      <c r="B142" s="10">
        <v>1</v>
      </c>
      <c r="D142" t="s">
        <v>686</v>
      </c>
      <c r="E142">
        <v>2</v>
      </c>
      <c r="F142">
        <f t="shared" si="6"/>
        <v>1.2431155079799805E-3</v>
      </c>
      <c r="G142">
        <f t="shared" si="8"/>
        <v>0.52521630212154136</v>
      </c>
      <c r="H142" t="str">
        <f t="shared" si="7"/>
        <v>A</v>
      </c>
      <c r="I142" t="str">
        <f>VLOOKUP(D142,'СУММА ПРОДАЖ'!J:N, 5, FALSE)</f>
        <v>B</v>
      </c>
      <c r="J142" t="str">
        <f>VLOOKUP(D142, 'МЕСЯЧНАЯ ОБОР.'!$V$4:$W$806, 2, FALSE)</f>
        <v>A</v>
      </c>
    </row>
    <row r="143" spans="1:10" x14ac:dyDescent="0.25">
      <c r="A143" s="9" t="s">
        <v>797</v>
      </c>
      <c r="B143" s="10">
        <v>2</v>
      </c>
      <c r="D143" t="s">
        <v>307</v>
      </c>
      <c r="E143">
        <v>2</v>
      </c>
      <c r="F143">
        <f t="shared" si="6"/>
        <v>1.2431155079799805E-3</v>
      </c>
      <c r="G143">
        <f t="shared" si="8"/>
        <v>0.52645941762952131</v>
      </c>
      <c r="H143" t="str">
        <f t="shared" si="7"/>
        <v>A</v>
      </c>
      <c r="I143" t="str">
        <f>VLOOKUP(D143,'СУММА ПРОДАЖ'!J:N, 5, FALSE)</f>
        <v>C</v>
      </c>
      <c r="J143" t="str">
        <f>VLOOKUP(D143, 'МЕСЯЧНАЯ ОБОР.'!$V$4:$W$806, 2, FALSE)</f>
        <v>A</v>
      </c>
    </row>
    <row r="144" spans="1:10" x14ac:dyDescent="0.25">
      <c r="A144" s="9" t="s">
        <v>1143</v>
      </c>
      <c r="B144" s="10">
        <v>1</v>
      </c>
      <c r="D144" t="s">
        <v>182</v>
      </c>
      <c r="E144">
        <v>2</v>
      </c>
      <c r="F144">
        <f t="shared" si="6"/>
        <v>1.2431155079799805E-3</v>
      </c>
      <c r="G144">
        <f t="shared" si="8"/>
        <v>0.52770253313750126</v>
      </c>
      <c r="H144" t="str">
        <f t="shared" si="7"/>
        <v>A</v>
      </c>
      <c r="I144" t="str">
        <f>VLOOKUP(D144,'СУММА ПРОДАЖ'!J:N, 5, FALSE)</f>
        <v>B</v>
      </c>
      <c r="J144" t="str">
        <f>VLOOKUP(D144, 'МЕСЯЧНАЯ ОБОР.'!$V$4:$W$806, 2, FALSE)</f>
        <v>A</v>
      </c>
    </row>
    <row r="145" spans="1:10" x14ac:dyDescent="0.25">
      <c r="A145" s="9" t="s">
        <v>793</v>
      </c>
      <c r="B145" s="10">
        <v>1</v>
      </c>
      <c r="D145" t="s">
        <v>477</v>
      </c>
      <c r="E145">
        <v>2</v>
      </c>
      <c r="F145">
        <f t="shared" si="6"/>
        <v>1.2431155079799805E-3</v>
      </c>
      <c r="G145">
        <f t="shared" si="8"/>
        <v>0.52894564864548121</v>
      </c>
      <c r="H145" t="str">
        <f t="shared" si="7"/>
        <v>A</v>
      </c>
      <c r="I145" t="str">
        <f>VLOOKUP(D145,'СУММА ПРОДАЖ'!J:N, 5, FALSE)</f>
        <v>C</v>
      </c>
      <c r="J145" t="str">
        <f>VLOOKUP(D145, 'МЕСЯЧНАЯ ОБОР.'!$V$4:$W$806, 2, FALSE)</f>
        <v>A</v>
      </c>
    </row>
    <row r="146" spans="1:10" x14ac:dyDescent="0.25">
      <c r="A146" s="9" t="s">
        <v>371</v>
      </c>
      <c r="B146" s="10">
        <v>1</v>
      </c>
      <c r="D146" t="s">
        <v>457</v>
      </c>
      <c r="E146">
        <v>2</v>
      </c>
      <c r="F146">
        <f t="shared" si="6"/>
        <v>1.2431155079799805E-3</v>
      </c>
      <c r="G146">
        <f t="shared" si="8"/>
        <v>0.53018876415346117</v>
      </c>
      <c r="H146" t="str">
        <f t="shared" si="7"/>
        <v>A</v>
      </c>
      <c r="I146" t="str">
        <f>VLOOKUP(D146,'СУММА ПРОДАЖ'!J:N, 5, FALSE)</f>
        <v>C</v>
      </c>
      <c r="J146" t="str">
        <f>VLOOKUP(D146, 'МЕСЯЧНАЯ ОБОР.'!$V$4:$W$806, 2, FALSE)</f>
        <v>A</v>
      </c>
    </row>
    <row r="147" spans="1:10" x14ac:dyDescent="0.25">
      <c r="A147" s="9" t="s">
        <v>963</v>
      </c>
      <c r="B147" s="10">
        <v>2</v>
      </c>
      <c r="D147" t="s">
        <v>802</v>
      </c>
      <c r="E147">
        <v>2</v>
      </c>
      <c r="F147">
        <f t="shared" si="6"/>
        <v>1.2431155079799805E-3</v>
      </c>
      <c r="G147">
        <f t="shared" si="8"/>
        <v>0.53143187966144112</v>
      </c>
      <c r="H147" t="str">
        <f t="shared" si="7"/>
        <v>A</v>
      </c>
      <c r="I147" t="str">
        <f>VLOOKUP(D147,'СУММА ПРОДАЖ'!J:N, 5, FALSE)</f>
        <v>A</v>
      </c>
      <c r="J147" t="str">
        <f>VLOOKUP(D147, 'МЕСЯЧНАЯ ОБОР.'!$V$4:$W$806, 2, FALSE)</f>
        <v>A</v>
      </c>
    </row>
    <row r="148" spans="1:10" x14ac:dyDescent="0.25">
      <c r="A148" s="9" t="s">
        <v>322</v>
      </c>
      <c r="B148" s="10">
        <v>2</v>
      </c>
      <c r="D148" t="s">
        <v>37</v>
      </c>
      <c r="E148">
        <v>2</v>
      </c>
      <c r="F148">
        <f t="shared" si="6"/>
        <v>1.2431155079799805E-3</v>
      </c>
      <c r="G148">
        <f t="shared" si="8"/>
        <v>0.53267499516942107</v>
      </c>
      <c r="H148" t="str">
        <f t="shared" si="7"/>
        <v>A</v>
      </c>
      <c r="I148" t="str">
        <f>VLOOKUP(D148,'СУММА ПРОДАЖ'!J:N, 5, FALSE)</f>
        <v>A</v>
      </c>
      <c r="J148" t="str">
        <f>VLOOKUP(D148, 'МЕСЯЧНАЯ ОБОР.'!$V$4:$W$806, 2, FALSE)</f>
        <v>A</v>
      </c>
    </row>
    <row r="149" spans="1:10" x14ac:dyDescent="0.25">
      <c r="A149" s="9" t="s">
        <v>1175</v>
      </c>
      <c r="B149" s="10">
        <v>1</v>
      </c>
      <c r="D149" t="s">
        <v>452</v>
      </c>
      <c r="E149">
        <v>2</v>
      </c>
      <c r="F149">
        <f t="shared" si="6"/>
        <v>1.2431155079799805E-3</v>
      </c>
      <c r="G149">
        <f t="shared" si="8"/>
        <v>0.53391811067740103</v>
      </c>
      <c r="H149" t="str">
        <f t="shared" si="7"/>
        <v>A</v>
      </c>
      <c r="I149" t="str">
        <f>VLOOKUP(D149,'СУММА ПРОДАЖ'!J:N, 5, FALSE)</f>
        <v>B</v>
      </c>
      <c r="J149" t="str">
        <f>VLOOKUP(D149, 'МЕСЯЧНАЯ ОБОР.'!$V$4:$W$806, 2, FALSE)</f>
        <v>A</v>
      </c>
    </row>
    <row r="150" spans="1:10" x14ac:dyDescent="0.25">
      <c r="A150" s="9" t="s">
        <v>196</v>
      </c>
      <c r="B150" s="10">
        <v>2</v>
      </c>
      <c r="D150" t="s">
        <v>656</v>
      </c>
      <c r="E150">
        <v>2</v>
      </c>
      <c r="F150">
        <f t="shared" si="6"/>
        <v>1.2431155079799805E-3</v>
      </c>
      <c r="G150">
        <f t="shared" si="8"/>
        <v>0.53516122618538098</v>
      </c>
      <c r="H150" t="str">
        <f t="shared" si="7"/>
        <v>A</v>
      </c>
      <c r="I150" t="str">
        <f>VLOOKUP(D150,'СУММА ПРОДАЖ'!J:N, 5, FALSE)</f>
        <v>C</v>
      </c>
      <c r="J150" t="str">
        <f>VLOOKUP(D150, 'МЕСЯЧНАЯ ОБОР.'!$V$4:$W$806, 2, FALSE)</f>
        <v>A</v>
      </c>
    </row>
    <row r="151" spans="1:10" x14ac:dyDescent="0.25">
      <c r="A151" s="9" t="s">
        <v>624</v>
      </c>
      <c r="B151" s="10">
        <v>8</v>
      </c>
      <c r="D151" t="s">
        <v>990</v>
      </c>
      <c r="E151">
        <v>2</v>
      </c>
      <c r="F151">
        <f t="shared" si="6"/>
        <v>1.2431155079799805E-3</v>
      </c>
      <c r="G151">
        <f t="shared" si="8"/>
        <v>0.53640434169336093</v>
      </c>
      <c r="H151" t="str">
        <f t="shared" si="7"/>
        <v>A</v>
      </c>
      <c r="I151" t="str">
        <f>VLOOKUP(D151,'СУММА ПРОДАЖ'!J:N, 5, FALSE)</f>
        <v>A</v>
      </c>
      <c r="J151" t="str">
        <f>VLOOKUP(D151, 'МЕСЯЧНАЯ ОБОР.'!$V$4:$W$806, 2, FALSE)</f>
        <v>A</v>
      </c>
    </row>
    <row r="152" spans="1:10" x14ac:dyDescent="0.25">
      <c r="A152" s="9" t="s">
        <v>1198</v>
      </c>
      <c r="B152" s="10">
        <v>1</v>
      </c>
      <c r="D152" t="s">
        <v>261</v>
      </c>
      <c r="E152">
        <v>2</v>
      </c>
      <c r="F152">
        <f t="shared" si="6"/>
        <v>1.2431155079799805E-3</v>
      </c>
      <c r="G152">
        <f t="shared" si="8"/>
        <v>0.53764745720134088</v>
      </c>
      <c r="H152" t="str">
        <f t="shared" si="7"/>
        <v>A</v>
      </c>
      <c r="I152" t="str">
        <f>VLOOKUP(D152,'СУММА ПРОДАЖ'!J:N, 5, FALSE)</f>
        <v>A</v>
      </c>
      <c r="J152" t="str">
        <f>VLOOKUP(D152, 'МЕСЯЧНАЯ ОБОР.'!$V$4:$W$806, 2, FALSE)</f>
        <v>A</v>
      </c>
    </row>
    <row r="153" spans="1:10" x14ac:dyDescent="0.25">
      <c r="A153" s="9" t="s">
        <v>667</v>
      </c>
      <c r="B153" s="10">
        <v>5</v>
      </c>
      <c r="D153" t="s">
        <v>155</v>
      </c>
      <c r="E153">
        <v>2</v>
      </c>
      <c r="F153">
        <f t="shared" si="6"/>
        <v>1.2431155079799805E-3</v>
      </c>
      <c r="G153">
        <f t="shared" si="8"/>
        <v>0.53889057270932084</v>
      </c>
      <c r="H153" t="str">
        <f t="shared" si="7"/>
        <v>A</v>
      </c>
      <c r="I153" t="str">
        <f>VLOOKUP(D153,'СУММА ПРОДАЖ'!J:N, 5, FALSE)</f>
        <v>A</v>
      </c>
      <c r="J153" t="str">
        <f>VLOOKUP(D153, 'МЕСЯЧНАЯ ОБОР.'!$V$4:$W$806, 2, FALSE)</f>
        <v>A</v>
      </c>
    </row>
    <row r="154" spans="1:10" x14ac:dyDescent="0.25">
      <c r="A154" s="9" t="s">
        <v>415</v>
      </c>
      <c r="B154" s="10">
        <v>25</v>
      </c>
      <c r="D154" t="s">
        <v>442</v>
      </c>
      <c r="E154">
        <v>2</v>
      </c>
      <c r="F154">
        <f t="shared" si="6"/>
        <v>1.2431155079799805E-3</v>
      </c>
      <c r="G154">
        <f t="shared" si="8"/>
        <v>0.54013368821730079</v>
      </c>
      <c r="H154" t="str">
        <f t="shared" si="7"/>
        <v>A</v>
      </c>
      <c r="I154" t="str">
        <f>VLOOKUP(D154,'СУММА ПРОДАЖ'!J:N, 5, FALSE)</f>
        <v>A</v>
      </c>
      <c r="J154" t="str">
        <f>VLOOKUP(D154, 'МЕСЯЧНАЯ ОБОР.'!$V$4:$W$806, 2, FALSE)</f>
        <v>A</v>
      </c>
    </row>
    <row r="155" spans="1:10" x14ac:dyDescent="0.25">
      <c r="A155" s="9" t="s">
        <v>104</v>
      </c>
      <c r="B155" s="10">
        <v>3</v>
      </c>
      <c r="D155" t="s">
        <v>643</v>
      </c>
      <c r="E155">
        <v>2</v>
      </c>
      <c r="F155">
        <f t="shared" si="6"/>
        <v>1.2431155079799805E-3</v>
      </c>
      <c r="G155">
        <f t="shared" si="8"/>
        <v>0.54137680372528074</v>
      </c>
      <c r="H155" t="str">
        <f t="shared" si="7"/>
        <v>A</v>
      </c>
      <c r="I155" t="str">
        <f>VLOOKUP(D155,'СУММА ПРОДАЖ'!J:N, 5, FALSE)</f>
        <v>B</v>
      </c>
      <c r="J155" t="str">
        <f>VLOOKUP(D155, 'МЕСЯЧНАЯ ОБОР.'!$V$4:$W$806, 2, FALSE)</f>
        <v>A</v>
      </c>
    </row>
    <row r="156" spans="1:10" x14ac:dyDescent="0.25">
      <c r="A156" s="9" t="s">
        <v>882</v>
      </c>
      <c r="B156" s="10">
        <v>3</v>
      </c>
      <c r="D156" t="s">
        <v>791</v>
      </c>
      <c r="E156">
        <v>2</v>
      </c>
      <c r="F156">
        <f t="shared" si="6"/>
        <v>1.2431155079799805E-3</v>
      </c>
      <c r="G156">
        <f t="shared" si="8"/>
        <v>0.54261991923326069</v>
      </c>
      <c r="H156" t="str">
        <f t="shared" si="7"/>
        <v>A</v>
      </c>
      <c r="I156" t="str">
        <f>VLOOKUP(D156,'СУММА ПРОДАЖ'!J:N, 5, FALSE)</f>
        <v>A</v>
      </c>
      <c r="J156" t="str">
        <f>VLOOKUP(D156, 'МЕСЯЧНАЯ ОБОР.'!$V$4:$W$806, 2, FALSE)</f>
        <v>A</v>
      </c>
    </row>
    <row r="157" spans="1:10" x14ac:dyDescent="0.25">
      <c r="A157" s="9" t="s">
        <v>1125</v>
      </c>
      <c r="B157" s="10">
        <v>1</v>
      </c>
      <c r="D157" t="s">
        <v>246</v>
      </c>
      <c r="E157">
        <v>2</v>
      </c>
      <c r="F157">
        <f t="shared" si="6"/>
        <v>1.2431155079799805E-3</v>
      </c>
      <c r="G157">
        <f t="shared" si="8"/>
        <v>0.54386303474124065</v>
      </c>
      <c r="H157" t="str">
        <f t="shared" si="7"/>
        <v>A</v>
      </c>
      <c r="I157" t="str">
        <f>VLOOKUP(D157,'СУММА ПРОДАЖ'!J:N, 5, FALSE)</f>
        <v>C</v>
      </c>
      <c r="J157" t="str">
        <f>VLOOKUP(D157, 'МЕСЯЧНАЯ ОБОР.'!$V$4:$W$806, 2, FALSE)</f>
        <v>A</v>
      </c>
    </row>
    <row r="158" spans="1:10" x14ac:dyDescent="0.25">
      <c r="A158" s="9" t="s">
        <v>783</v>
      </c>
      <c r="B158" s="10">
        <v>1</v>
      </c>
      <c r="D158" t="s">
        <v>981</v>
      </c>
      <c r="E158">
        <v>2</v>
      </c>
      <c r="F158">
        <f t="shared" si="6"/>
        <v>1.2431155079799805E-3</v>
      </c>
      <c r="G158">
        <f t="shared" si="8"/>
        <v>0.5451061502492206</v>
      </c>
      <c r="H158" t="str">
        <f t="shared" si="7"/>
        <v>A</v>
      </c>
      <c r="I158" t="str">
        <f>VLOOKUP(D158,'СУММА ПРОДАЖ'!J:N, 5, FALSE)</f>
        <v>B</v>
      </c>
      <c r="J158" t="str">
        <f>VLOOKUP(D158, 'МЕСЯЧНАЯ ОБОР.'!$V$4:$W$806, 2, FALSE)</f>
        <v>A</v>
      </c>
    </row>
    <row r="159" spans="1:10" x14ac:dyDescent="0.25">
      <c r="A159" s="9" t="s">
        <v>1117</v>
      </c>
      <c r="B159" s="10">
        <v>1</v>
      </c>
      <c r="D159" t="s">
        <v>797</v>
      </c>
      <c r="E159">
        <v>2</v>
      </c>
      <c r="F159">
        <f t="shared" si="6"/>
        <v>1.2431155079799805E-3</v>
      </c>
      <c r="G159">
        <f t="shared" si="8"/>
        <v>0.54634926575720055</v>
      </c>
      <c r="H159" t="str">
        <f t="shared" si="7"/>
        <v>A</v>
      </c>
      <c r="I159" t="str">
        <f>VLOOKUP(D159,'СУММА ПРОДАЖ'!J:N, 5, FALSE)</f>
        <v>C</v>
      </c>
      <c r="J159" t="str">
        <f>VLOOKUP(D159, 'МЕСЯЧНАЯ ОБОР.'!$V$4:$W$806, 2, FALSE)</f>
        <v>A</v>
      </c>
    </row>
    <row r="160" spans="1:10" x14ac:dyDescent="0.25">
      <c r="A160" s="9" t="s">
        <v>1156</v>
      </c>
      <c r="B160" s="10">
        <v>1</v>
      </c>
      <c r="D160" t="s">
        <v>963</v>
      </c>
      <c r="E160">
        <v>2</v>
      </c>
      <c r="F160">
        <f t="shared" si="6"/>
        <v>1.2431155079799805E-3</v>
      </c>
      <c r="G160">
        <f t="shared" si="8"/>
        <v>0.54759238126518051</v>
      </c>
      <c r="H160" t="str">
        <f t="shared" si="7"/>
        <v>A</v>
      </c>
      <c r="I160" t="str">
        <f>VLOOKUP(D160,'СУММА ПРОДАЖ'!J:N, 5, FALSE)</f>
        <v>C</v>
      </c>
      <c r="J160" t="str">
        <f>VLOOKUP(D160, 'МЕСЯЧНАЯ ОБОР.'!$V$4:$W$806, 2, FALSE)</f>
        <v>A</v>
      </c>
    </row>
    <row r="161" spans="1:10" x14ac:dyDescent="0.25">
      <c r="A161" s="9" t="s">
        <v>1085</v>
      </c>
      <c r="B161" s="10">
        <v>1</v>
      </c>
      <c r="D161" t="s">
        <v>322</v>
      </c>
      <c r="E161">
        <v>2</v>
      </c>
      <c r="F161">
        <f t="shared" si="6"/>
        <v>1.2431155079799805E-3</v>
      </c>
      <c r="G161">
        <f t="shared" si="8"/>
        <v>0.54883549677316046</v>
      </c>
      <c r="H161" t="str">
        <f t="shared" si="7"/>
        <v>A</v>
      </c>
      <c r="I161" t="str">
        <f>VLOOKUP(D161,'СУММА ПРОДАЖ'!J:N, 5, FALSE)</f>
        <v>B</v>
      </c>
      <c r="J161" t="str">
        <f>VLOOKUP(D161, 'МЕСЯЧНАЯ ОБОР.'!$V$4:$W$806, 2, FALSE)</f>
        <v>A</v>
      </c>
    </row>
    <row r="162" spans="1:10" x14ac:dyDescent="0.25">
      <c r="A162" s="9" t="s">
        <v>191</v>
      </c>
      <c r="B162" s="10">
        <v>2</v>
      </c>
      <c r="D162" t="s">
        <v>196</v>
      </c>
      <c r="E162">
        <v>2</v>
      </c>
      <c r="F162">
        <f t="shared" si="6"/>
        <v>1.2431155079799805E-3</v>
      </c>
      <c r="G162">
        <f t="shared" si="8"/>
        <v>0.55007861228114041</v>
      </c>
      <c r="H162" t="str">
        <f t="shared" si="7"/>
        <v>A</v>
      </c>
      <c r="I162" t="str">
        <f>VLOOKUP(D162,'СУММА ПРОДАЖ'!J:N, 5, FALSE)</f>
        <v>B</v>
      </c>
      <c r="J162" t="str">
        <f>VLOOKUP(D162, 'МЕСЯЧНАЯ ОБОР.'!$V$4:$W$806, 2, FALSE)</f>
        <v>A</v>
      </c>
    </row>
    <row r="163" spans="1:10" x14ac:dyDescent="0.25">
      <c r="A163" s="9" t="s">
        <v>389</v>
      </c>
      <c r="B163" s="10">
        <v>3</v>
      </c>
      <c r="D163" t="s">
        <v>191</v>
      </c>
      <c r="E163">
        <v>2</v>
      </c>
      <c r="F163">
        <f t="shared" si="6"/>
        <v>1.2431155079799805E-3</v>
      </c>
      <c r="G163">
        <f t="shared" si="8"/>
        <v>0.55132172778912036</v>
      </c>
      <c r="H163" t="str">
        <f t="shared" si="7"/>
        <v>A</v>
      </c>
      <c r="I163" t="str">
        <f>VLOOKUP(D163,'СУММА ПРОДАЖ'!J:N, 5, FALSE)</f>
        <v>B</v>
      </c>
      <c r="J163" t="str">
        <f>VLOOKUP(D163, 'МЕСЯЧНАЯ ОБОР.'!$V$4:$W$806, 2, FALSE)</f>
        <v>A</v>
      </c>
    </row>
    <row r="164" spans="1:10" x14ac:dyDescent="0.25">
      <c r="A164" s="9" t="s">
        <v>785</v>
      </c>
      <c r="B164" s="10">
        <v>1</v>
      </c>
      <c r="D164" t="s">
        <v>462</v>
      </c>
      <c r="E164">
        <v>2</v>
      </c>
      <c r="F164">
        <f t="shared" si="6"/>
        <v>1.2431155079799805E-3</v>
      </c>
      <c r="G164">
        <f t="shared" si="8"/>
        <v>0.55256484329710032</v>
      </c>
      <c r="H164" t="str">
        <f t="shared" si="7"/>
        <v>A</v>
      </c>
      <c r="I164" t="str">
        <f>VLOOKUP(D164,'СУММА ПРОДАЖ'!J:N, 5, FALSE)</f>
        <v>A</v>
      </c>
      <c r="J164" t="str">
        <f>VLOOKUP(D164, 'МЕСЯЧНАЯ ОБОР.'!$V$4:$W$806, 2, FALSE)</f>
        <v>A</v>
      </c>
    </row>
    <row r="165" spans="1:10" x14ac:dyDescent="0.25">
      <c r="A165" s="9" t="s">
        <v>1002</v>
      </c>
      <c r="B165" s="10">
        <v>1</v>
      </c>
      <c r="D165" t="s">
        <v>110</v>
      </c>
      <c r="E165">
        <v>2</v>
      </c>
      <c r="F165">
        <f t="shared" si="6"/>
        <v>1.2431155079799805E-3</v>
      </c>
      <c r="G165">
        <f t="shared" si="8"/>
        <v>0.55380795880508027</v>
      </c>
      <c r="H165" t="str">
        <f t="shared" si="7"/>
        <v>A</v>
      </c>
      <c r="I165" t="str">
        <f>VLOOKUP(D165,'СУММА ПРОДАЖ'!J:N, 5, FALSE)</f>
        <v>B</v>
      </c>
      <c r="J165" t="str">
        <f>VLOOKUP(D165, 'МЕСЯЧНАЯ ОБОР.'!$V$4:$W$806, 2, FALSE)</f>
        <v>A</v>
      </c>
    </row>
    <row r="166" spans="1:10" x14ac:dyDescent="0.25">
      <c r="A166" s="9" t="s">
        <v>575</v>
      </c>
      <c r="B166" s="10">
        <v>1</v>
      </c>
      <c r="D166" t="s">
        <v>899</v>
      </c>
      <c r="E166">
        <v>2</v>
      </c>
      <c r="F166">
        <f t="shared" si="6"/>
        <v>1.2431155079799805E-3</v>
      </c>
      <c r="G166">
        <f t="shared" si="8"/>
        <v>0.55505107431306022</v>
      </c>
      <c r="H166" t="str">
        <f t="shared" si="7"/>
        <v>A</v>
      </c>
      <c r="I166" t="str">
        <f>VLOOKUP(D166,'СУММА ПРОДАЖ'!J:N, 5, FALSE)</f>
        <v>A</v>
      </c>
      <c r="J166" t="str">
        <f>VLOOKUP(D166, 'МЕСЯЧНАЯ ОБОР.'!$V$4:$W$806, 2, FALSE)</f>
        <v>A</v>
      </c>
    </row>
    <row r="167" spans="1:10" x14ac:dyDescent="0.25">
      <c r="A167" s="9" t="s">
        <v>1201</v>
      </c>
      <c r="B167" s="10">
        <v>1</v>
      </c>
      <c r="D167" t="s">
        <v>1077</v>
      </c>
      <c r="E167">
        <v>2</v>
      </c>
      <c r="F167">
        <f t="shared" si="6"/>
        <v>1.2431155079799805E-3</v>
      </c>
      <c r="G167">
        <f t="shared" si="8"/>
        <v>0.55629418982104017</v>
      </c>
      <c r="H167" t="str">
        <f t="shared" si="7"/>
        <v>A</v>
      </c>
      <c r="I167" t="str">
        <f>VLOOKUP(D167,'СУММА ПРОДАЖ'!J:N, 5, FALSE)</f>
        <v>C</v>
      </c>
      <c r="J167" t="str">
        <f>VLOOKUP(D167, 'МЕСЯЧНАЯ ОБОР.'!$V$4:$W$806, 2, FALSE)</f>
        <v>A</v>
      </c>
    </row>
    <row r="168" spans="1:10" x14ac:dyDescent="0.25">
      <c r="A168" s="9" t="s">
        <v>1159</v>
      </c>
      <c r="B168" s="10">
        <v>1</v>
      </c>
      <c r="D168" t="s">
        <v>900</v>
      </c>
      <c r="E168">
        <v>2</v>
      </c>
      <c r="F168">
        <f t="shared" si="6"/>
        <v>1.2431155079799805E-3</v>
      </c>
      <c r="G168">
        <f t="shared" si="8"/>
        <v>0.55753730532902013</v>
      </c>
      <c r="H168" t="str">
        <f t="shared" si="7"/>
        <v>A</v>
      </c>
      <c r="I168" t="str">
        <f>VLOOKUP(D168,'СУММА ПРОДАЖ'!J:N, 5, FALSE)</f>
        <v>C</v>
      </c>
      <c r="J168" t="str">
        <f>VLOOKUP(D168, 'МЕСЯЧНАЯ ОБОР.'!$V$4:$W$806, 2, FALSE)</f>
        <v>A</v>
      </c>
    </row>
    <row r="169" spans="1:10" x14ac:dyDescent="0.25">
      <c r="A169" s="9" t="s">
        <v>305</v>
      </c>
      <c r="B169" s="10">
        <v>1</v>
      </c>
      <c r="D169" t="s">
        <v>293</v>
      </c>
      <c r="E169">
        <v>2</v>
      </c>
      <c r="F169">
        <f t="shared" si="6"/>
        <v>1.2431155079799805E-3</v>
      </c>
      <c r="G169">
        <f t="shared" si="8"/>
        <v>0.55878042083700008</v>
      </c>
      <c r="H169" t="str">
        <f t="shared" si="7"/>
        <v>A</v>
      </c>
      <c r="I169" t="str">
        <f>VLOOKUP(D169,'СУММА ПРОДАЖ'!J:N, 5, FALSE)</f>
        <v>A</v>
      </c>
      <c r="J169" t="str">
        <f>VLOOKUP(D169, 'МЕСЯЧНАЯ ОБОР.'!$V$4:$W$806, 2, FALSE)</f>
        <v>A</v>
      </c>
    </row>
    <row r="170" spans="1:10" x14ac:dyDescent="0.25">
      <c r="A170" s="9" t="s">
        <v>668</v>
      </c>
      <c r="B170" s="10">
        <v>1</v>
      </c>
      <c r="D170" t="s">
        <v>510</v>
      </c>
      <c r="E170">
        <v>2</v>
      </c>
      <c r="F170">
        <f t="shared" si="6"/>
        <v>1.2431155079799805E-3</v>
      </c>
      <c r="G170">
        <f t="shared" si="8"/>
        <v>0.56002353634498003</v>
      </c>
      <c r="H170" t="str">
        <f t="shared" si="7"/>
        <v>A</v>
      </c>
      <c r="I170" t="str">
        <f>VLOOKUP(D170,'СУММА ПРОДАЖ'!J:N, 5, FALSE)</f>
        <v>A</v>
      </c>
      <c r="J170" t="str">
        <f>VLOOKUP(D170, 'МЕСЯЧНАЯ ОБОР.'!$V$4:$W$806, 2, FALSE)</f>
        <v>A</v>
      </c>
    </row>
    <row r="171" spans="1:10" x14ac:dyDescent="0.25">
      <c r="A171" s="9" t="s">
        <v>462</v>
      </c>
      <c r="B171" s="10">
        <v>2</v>
      </c>
      <c r="D171" t="s">
        <v>916</v>
      </c>
      <c r="E171">
        <v>2</v>
      </c>
      <c r="F171">
        <f t="shared" si="6"/>
        <v>1.2431155079799805E-3</v>
      </c>
      <c r="G171">
        <f t="shared" si="8"/>
        <v>0.56126665185295999</v>
      </c>
      <c r="H171" t="str">
        <f t="shared" si="7"/>
        <v>A</v>
      </c>
      <c r="I171" t="str">
        <f>VLOOKUP(D171,'СУММА ПРОДАЖ'!J:N, 5, FALSE)</f>
        <v>C</v>
      </c>
      <c r="J171" t="str">
        <f>VLOOKUP(D171, 'МЕСЯЧНАЯ ОБОР.'!$V$4:$W$806, 2, FALSE)</f>
        <v>A</v>
      </c>
    </row>
    <row r="172" spans="1:10" x14ac:dyDescent="0.25">
      <c r="A172" s="9" t="s">
        <v>761</v>
      </c>
      <c r="B172" s="10">
        <v>1</v>
      </c>
      <c r="D172" t="s">
        <v>333</v>
      </c>
      <c r="E172">
        <v>2</v>
      </c>
      <c r="F172">
        <f t="shared" si="6"/>
        <v>1.2431155079799805E-3</v>
      </c>
      <c r="G172">
        <f t="shared" si="8"/>
        <v>0.56250976736093994</v>
      </c>
      <c r="H172" t="str">
        <f t="shared" si="7"/>
        <v>A</v>
      </c>
      <c r="I172" t="str">
        <f>VLOOKUP(D172,'СУММА ПРОДАЖ'!J:N, 5, FALSE)</f>
        <v>A</v>
      </c>
      <c r="J172" t="str">
        <f>VLOOKUP(D172, 'МЕСЯЧНАЯ ОБОР.'!$V$4:$W$806, 2, FALSE)</f>
        <v>A</v>
      </c>
    </row>
    <row r="173" spans="1:10" x14ac:dyDescent="0.25">
      <c r="A173" s="9" t="s">
        <v>710</v>
      </c>
      <c r="B173" s="10">
        <v>1</v>
      </c>
      <c r="D173" t="s">
        <v>1150</v>
      </c>
      <c r="E173">
        <v>2</v>
      </c>
      <c r="F173">
        <f t="shared" si="6"/>
        <v>1.2431155079799805E-3</v>
      </c>
      <c r="G173">
        <f t="shared" si="8"/>
        <v>0.56375288286891989</v>
      </c>
      <c r="H173" t="str">
        <f t="shared" si="7"/>
        <v>A</v>
      </c>
      <c r="I173" t="str">
        <f>VLOOKUP(D173,'СУММА ПРОДАЖ'!J:N, 5, FALSE)</f>
        <v>A</v>
      </c>
      <c r="J173" t="str">
        <f>VLOOKUP(D173, 'МЕСЯЧНАЯ ОБОР.'!$V$4:$W$806, 2, FALSE)</f>
        <v>A</v>
      </c>
    </row>
    <row r="174" spans="1:10" x14ac:dyDescent="0.25">
      <c r="A174" s="9" t="s">
        <v>742</v>
      </c>
      <c r="B174" s="10">
        <v>4</v>
      </c>
      <c r="D174" t="s">
        <v>845</v>
      </c>
      <c r="E174">
        <v>2</v>
      </c>
      <c r="F174">
        <f t="shared" si="6"/>
        <v>1.2431155079799805E-3</v>
      </c>
      <c r="G174">
        <f t="shared" si="8"/>
        <v>0.56499599837689984</v>
      </c>
      <c r="H174" t="str">
        <f t="shared" si="7"/>
        <v>A</v>
      </c>
      <c r="I174" t="str">
        <f>VLOOKUP(D174,'СУММА ПРОДАЖ'!J:N, 5, FALSE)</f>
        <v>A</v>
      </c>
      <c r="J174" t="str">
        <f>VLOOKUP(D174, 'МЕСЯЧНАЯ ОБОР.'!$V$4:$W$806, 2, FALSE)</f>
        <v>A</v>
      </c>
    </row>
    <row r="175" spans="1:10" x14ac:dyDescent="0.25">
      <c r="A175" s="9" t="s">
        <v>110</v>
      </c>
      <c r="B175" s="10">
        <v>2</v>
      </c>
      <c r="D175" t="s">
        <v>814</v>
      </c>
      <c r="E175">
        <v>2</v>
      </c>
      <c r="F175">
        <f t="shared" si="6"/>
        <v>1.2431155079799805E-3</v>
      </c>
      <c r="G175">
        <f t="shared" si="8"/>
        <v>0.5662391138848798</v>
      </c>
      <c r="H175" t="str">
        <f t="shared" si="7"/>
        <v>A</v>
      </c>
      <c r="I175" t="str">
        <f>VLOOKUP(D175,'СУММА ПРОДАЖ'!J:N, 5, FALSE)</f>
        <v>C</v>
      </c>
      <c r="J175" t="str">
        <f>VLOOKUP(D175, 'МЕСЯЧНАЯ ОБОР.'!$V$4:$W$806, 2, FALSE)</f>
        <v>A</v>
      </c>
    </row>
    <row r="176" spans="1:10" x14ac:dyDescent="0.25">
      <c r="A176" s="9" t="s">
        <v>683</v>
      </c>
      <c r="B176" s="10">
        <v>1</v>
      </c>
      <c r="D176" t="s">
        <v>286</v>
      </c>
      <c r="E176">
        <v>2</v>
      </c>
      <c r="F176">
        <f t="shared" si="6"/>
        <v>1.2431155079799805E-3</v>
      </c>
      <c r="G176">
        <f t="shared" si="8"/>
        <v>0.56748222939285975</v>
      </c>
      <c r="H176" t="str">
        <f t="shared" si="7"/>
        <v>A</v>
      </c>
      <c r="I176" t="str">
        <f>VLOOKUP(D176,'СУММА ПРОДАЖ'!J:N, 5, FALSE)</f>
        <v>B</v>
      </c>
      <c r="J176" t="str">
        <f>VLOOKUP(D176, 'МЕСЯЧНАЯ ОБОР.'!$V$4:$W$806, 2, FALSE)</f>
        <v>A</v>
      </c>
    </row>
    <row r="177" spans="1:10" x14ac:dyDescent="0.25">
      <c r="A177" s="9" t="s">
        <v>291</v>
      </c>
      <c r="B177" s="10">
        <v>1</v>
      </c>
      <c r="D177" t="s">
        <v>745</v>
      </c>
      <c r="E177">
        <v>2</v>
      </c>
      <c r="F177">
        <f t="shared" si="6"/>
        <v>1.2431155079799805E-3</v>
      </c>
      <c r="G177">
        <f t="shared" si="8"/>
        <v>0.5687253449008397</v>
      </c>
      <c r="H177" t="str">
        <f t="shared" si="7"/>
        <v>A</v>
      </c>
      <c r="I177" t="str">
        <f>VLOOKUP(D177,'СУММА ПРОДАЖ'!J:N, 5, FALSE)</f>
        <v>C</v>
      </c>
      <c r="J177" t="str">
        <f>VLOOKUP(D177, 'МЕСЯЧНАЯ ОБОР.'!$V$4:$W$806, 2, FALSE)</f>
        <v>A</v>
      </c>
    </row>
    <row r="178" spans="1:10" x14ac:dyDescent="0.25">
      <c r="A178" s="9" t="s">
        <v>19</v>
      </c>
      <c r="B178" s="10">
        <v>1</v>
      </c>
      <c r="D178" t="s">
        <v>461</v>
      </c>
      <c r="E178">
        <v>2</v>
      </c>
      <c r="F178">
        <f t="shared" si="6"/>
        <v>1.2431155079799805E-3</v>
      </c>
      <c r="G178">
        <f t="shared" si="8"/>
        <v>0.56996846040881965</v>
      </c>
      <c r="H178" t="str">
        <f t="shared" si="7"/>
        <v>A</v>
      </c>
      <c r="I178" t="str">
        <f>VLOOKUP(D178,'СУММА ПРОДАЖ'!J:N, 5, FALSE)</f>
        <v>A</v>
      </c>
      <c r="J178" t="str">
        <f>VLOOKUP(D178, 'МЕСЯЧНАЯ ОБОР.'!$V$4:$W$806, 2, FALSE)</f>
        <v>A</v>
      </c>
    </row>
    <row r="179" spans="1:10" x14ac:dyDescent="0.25">
      <c r="A179" s="9" t="s">
        <v>821</v>
      </c>
      <c r="B179" s="10">
        <v>1</v>
      </c>
      <c r="D179" t="s">
        <v>681</v>
      </c>
      <c r="E179">
        <v>2</v>
      </c>
      <c r="F179">
        <f t="shared" si="6"/>
        <v>1.2431155079799805E-3</v>
      </c>
      <c r="G179">
        <f t="shared" si="8"/>
        <v>0.57121157591679961</v>
      </c>
      <c r="H179" t="str">
        <f t="shared" si="7"/>
        <v>A</v>
      </c>
      <c r="I179" t="str">
        <f>VLOOKUP(D179,'СУММА ПРОДАЖ'!J:N, 5, FALSE)</f>
        <v>A</v>
      </c>
      <c r="J179" t="str">
        <f>VLOOKUP(D179, 'МЕСЯЧНАЯ ОБОР.'!$V$4:$W$806, 2, FALSE)</f>
        <v>A</v>
      </c>
    </row>
    <row r="180" spans="1:10" x14ac:dyDescent="0.25">
      <c r="A180" s="9" t="s">
        <v>899</v>
      </c>
      <c r="B180" s="10">
        <v>2</v>
      </c>
      <c r="D180" t="s">
        <v>127</v>
      </c>
      <c r="E180">
        <v>2</v>
      </c>
      <c r="F180">
        <f t="shared" si="6"/>
        <v>1.2431155079799805E-3</v>
      </c>
      <c r="G180">
        <f t="shared" si="8"/>
        <v>0.57245469142477956</v>
      </c>
      <c r="H180" t="str">
        <f t="shared" si="7"/>
        <v>A</v>
      </c>
      <c r="I180" t="str">
        <f>VLOOKUP(D180,'СУММА ПРОДАЖ'!J:N, 5, FALSE)</f>
        <v>A</v>
      </c>
      <c r="J180" t="str">
        <f>VLOOKUP(D180, 'МЕСЯЧНАЯ ОБОР.'!$V$4:$W$806, 2, FALSE)</f>
        <v>A</v>
      </c>
    </row>
    <row r="181" spans="1:10" x14ac:dyDescent="0.25">
      <c r="A181" s="9" t="s">
        <v>144</v>
      </c>
      <c r="B181" s="10">
        <v>1</v>
      </c>
      <c r="D181" t="s">
        <v>1012</v>
      </c>
      <c r="E181">
        <v>2</v>
      </c>
      <c r="F181">
        <f t="shared" si="6"/>
        <v>1.2431155079799805E-3</v>
      </c>
      <c r="G181">
        <f t="shared" si="8"/>
        <v>0.57369780693275951</v>
      </c>
      <c r="H181" t="str">
        <f t="shared" si="7"/>
        <v>A</v>
      </c>
      <c r="I181" t="str">
        <f>VLOOKUP(D181,'СУММА ПРОДАЖ'!J:N, 5, FALSE)</f>
        <v>B</v>
      </c>
      <c r="J181" t="str">
        <f>VLOOKUP(D181, 'МЕСЯЧНАЯ ОБОР.'!$V$4:$W$806, 2, FALSE)</f>
        <v>A</v>
      </c>
    </row>
    <row r="182" spans="1:10" x14ac:dyDescent="0.25">
      <c r="A182" s="9" t="s">
        <v>1166</v>
      </c>
      <c r="B182" s="10">
        <v>1</v>
      </c>
      <c r="D182" t="s">
        <v>387</v>
      </c>
      <c r="E182">
        <v>2</v>
      </c>
      <c r="F182">
        <f t="shared" si="6"/>
        <v>1.2431155079799805E-3</v>
      </c>
      <c r="G182">
        <f t="shared" si="8"/>
        <v>0.57494092244073947</v>
      </c>
      <c r="H182" t="str">
        <f t="shared" si="7"/>
        <v>A</v>
      </c>
      <c r="I182" t="str">
        <f>VLOOKUP(D182,'СУММА ПРОДАЖ'!J:N, 5, FALSE)</f>
        <v>C</v>
      </c>
      <c r="J182" t="str">
        <f>VLOOKUP(D182, 'МЕСЯЧНАЯ ОБОР.'!$V$4:$W$806, 2, FALSE)</f>
        <v>A</v>
      </c>
    </row>
    <row r="183" spans="1:10" x14ac:dyDescent="0.25">
      <c r="A183" s="9" t="s">
        <v>608</v>
      </c>
      <c r="B183" s="10">
        <v>1</v>
      </c>
      <c r="D183" t="s">
        <v>376</v>
      </c>
      <c r="E183">
        <v>2</v>
      </c>
      <c r="F183">
        <f t="shared" si="6"/>
        <v>1.2431155079799805E-3</v>
      </c>
      <c r="G183">
        <f t="shared" si="8"/>
        <v>0.57618403794871942</v>
      </c>
      <c r="H183" t="str">
        <f t="shared" si="7"/>
        <v>A</v>
      </c>
      <c r="I183" t="str">
        <f>VLOOKUP(D183,'СУММА ПРОДАЖ'!J:N, 5, FALSE)</f>
        <v>B</v>
      </c>
      <c r="J183" t="str">
        <f>VLOOKUP(D183, 'МЕСЯЧНАЯ ОБОР.'!$V$4:$W$806, 2, FALSE)</f>
        <v>A</v>
      </c>
    </row>
    <row r="184" spans="1:10" x14ac:dyDescent="0.25">
      <c r="A184" s="9" t="s">
        <v>57</v>
      </c>
      <c r="B184" s="10">
        <v>1</v>
      </c>
      <c r="D184" t="s">
        <v>425</v>
      </c>
      <c r="E184">
        <v>2</v>
      </c>
      <c r="F184">
        <f t="shared" si="6"/>
        <v>1.2431155079799805E-3</v>
      </c>
      <c r="G184">
        <f t="shared" si="8"/>
        <v>0.57742715345669937</v>
      </c>
      <c r="H184" t="str">
        <f t="shared" si="7"/>
        <v>A</v>
      </c>
      <c r="I184" t="str">
        <f>VLOOKUP(D184,'СУММА ПРОДАЖ'!J:N, 5, FALSE)</f>
        <v>A</v>
      </c>
      <c r="J184" t="str">
        <f>VLOOKUP(D184, 'МЕСЯЧНАЯ ОБОР.'!$V$4:$W$806, 2, FALSE)</f>
        <v>A</v>
      </c>
    </row>
    <row r="185" spans="1:10" x14ac:dyDescent="0.25">
      <c r="A185" s="9" t="s">
        <v>163</v>
      </c>
      <c r="B185" s="10">
        <v>17</v>
      </c>
      <c r="D185" t="s">
        <v>87</v>
      </c>
      <c r="E185">
        <v>2</v>
      </c>
      <c r="F185">
        <f t="shared" si="6"/>
        <v>1.2431155079799805E-3</v>
      </c>
      <c r="G185">
        <f t="shared" si="8"/>
        <v>0.57867026896467932</v>
      </c>
      <c r="H185" t="str">
        <f t="shared" si="7"/>
        <v>A</v>
      </c>
      <c r="I185" t="str">
        <f>VLOOKUP(D185,'СУММА ПРОДАЖ'!J:N, 5, FALSE)</f>
        <v>C</v>
      </c>
      <c r="J185" t="str">
        <f>VLOOKUP(D185, 'МЕСЯЧНАЯ ОБОР.'!$V$4:$W$806, 2, FALSE)</f>
        <v>A</v>
      </c>
    </row>
    <row r="186" spans="1:10" x14ac:dyDescent="0.25">
      <c r="A186" s="9" t="s">
        <v>1226</v>
      </c>
      <c r="B186" s="10">
        <v>1</v>
      </c>
      <c r="D186" t="s">
        <v>379</v>
      </c>
      <c r="E186">
        <v>2</v>
      </c>
      <c r="F186">
        <f t="shared" si="6"/>
        <v>1.2431155079799805E-3</v>
      </c>
      <c r="G186">
        <f t="shared" si="8"/>
        <v>0.57991338447265928</v>
      </c>
      <c r="H186" t="str">
        <f t="shared" si="7"/>
        <v>A</v>
      </c>
      <c r="I186" t="str">
        <f>VLOOKUP(D186,'СУММА ПРОДАЖ'!J:N, 5, FALSE)</f>
        <v>B</v>
      </c>
      <c r="J186" t="str">
        <f>VLOOKUP(D186, 'МЕСЯЧНАЯ ОБОР.'!$V$4:$W$806, 2, FALSE)</f>
        <v>A</v>
      </c>
    </row>
    <row r="187" spans="1:10" x14ac:dyDescent="0.25">
      <c r="A187" s="9" t="s">
        <v>780</v>
      </c>
      <c r="B187" s="10">
        <v>3</v>
      </c>
      <c r="D187" t="s">
        <v>137</v>
      </c>
      <c r="E187">
        <v>2</v>
      </c>
      <c r="F187">
        <f t="shared" si="6"/>
        <v>1.2431155079799805E-3</v>
      </c>
      <c r="G187">
        <f t="shared" si="8"/>
        <v>0.58115649998063923</v>
      </c>
      <c r="H187" t="str">
        <f t="shared" si="7"/>
        <v>A</v>
      </c>
      <c r="I187" t="str">
        <f>VLOOKUP(D187,'СУММА ПРОДАЖ'!J:N, 5, FALSE)</f>
        <v>C</v>
      </c>
      <c r="J187" t="str">
        <f>VLOOKUP(D187, 'МЕСЯЧНАЯ ОБОР.'!$V$4:$W$806, 2, FALSE)</f>
        <v>A</v>
      </c>
    </row>
    <row r="188" spans="1:10" x14ac:dyDescent="0.25">
      <c r="A188" s="9" t="s">
        <v>962</v>
      </c>
      <c r="B188" s="10">
        <v>1</v>
      </c>
      <c r="D188" t="s">
        <v>1182</v>
      </c>
      <c r="E188">
        <v>2</v>
      </c>
      <c r="F188">
        <f t="shared" si="6"/>
        <v>1.2431155079799805E-3</v>
      </c>
      <c r="G188">
        <f t="shared" si="8"/>
        <v>0.58239961548861918</v>
      </c>
      <c r="H188" t="str">
        <f t="shared" si="7"/>
        <v>A</v>
      </c>
      <c r="I188" t="str">
        <f>VLOOKUP(D188,'СУММА ПРОДАЖ'!J:N, 5, FALSE)</f>
        <v>A</v>
      </c>
      <c r="J188" t="str">
        <f>VLOOKUP(D188, 'МЕСЯЧНАЯ ОБОР.'!$V$4:$W$806, 2, FALSE)</f>
        <v>A</v>
      </c>
    </row>
    <row r="189" spans="1:10" x14ac:dyDescent="0.25">
      <c r="A189" s="9" t="s">
        <v>1190</v>
      </c>
      <c r="B189" s="10">
        <v>1</v>
      </c>
      <c r="D189" t="s">
        <v>1185</v>
      </c>
      <c r="E189">
        <v>2</v>
      </c>
      <c r="F189">
        <f t="shared" si="6"/>
        <v>1.2431155079799805E-3</v>
      </c>
      <c r="G189">
        <f t="shared" si="8"/>
        <v>0.58364273099659914</v>
      </c>
      <c r="H189" t="str">
        <f t="shared" si="7"/>
        <v>A</v>
      </c>
      <c r="I189" t="str">
        <f>VLOOKUP(D189,'СУММА ПРОДАЖ'!J:N, 5, FALSE)</f>
        <v>B</v>
      </c>
      <c r="J189" t="str">
        <f>VLOOKUP(D189, 'МЕСЯЧНАЯ ОБОР.'!$V$4:$W$806, 2, FALSE)</f>
        <v>A</v>
      </c>
    </row>
    <row r="190" spans="1:10" x14ac:dyDescent="0.25">
      <c r="A190" s="9" t="s">
        <v>1077</v>
      </c>
      <c r="B190" s="10">
        <v>2</v>
      </c>
      <c r="D190" t="s">
        <v>378</v>
      </c>
      <c r="E190">
        <v>2</v>
      </c>
      <c r="F190">
        <f t="shared" si="6"/>
        <v>1.2431155079799805E-3</v>
      </c>
      <c r="G190">
        <f t="shared" si="8"/>
        <v>0.58488584650457909</v>
      </c>
      <c r="H190" t="str">
        <f t="shared" si="7"/>
        <v>A</v>
      </c>
      <c r="I190" t="str">
        <f>VLOOKUP(D190,'СУММА ПРОДАЖ'!J:N, 5, FALSE)</f>
        <v>C</v>
      </c>
      <c r="J190" t="str">
        <f>VLOOKUP(D190, 'МЕСЯЧНАЯ ОБОР.'!$V$4:$W$806, 2, FALSE)</f>
        <v>A</v>
      </c>
    </row>
    <row r="191" spans="1:10" x14ac:dyDescent="0.25">
      <c r="A191" s="9" t="s">
        <v>900</v>
      </c>
      <c r="B191" s="10">
        <v>2</v>
      </c>
      <c r="D191" t="s">
        <v>854</v>
      </c>
      <c r="E191">
        <v>2</v>
      </c>
      <c r="F191">
        <f t="shared" si="6"/>
        <v>1.2431155079799805E-3</v>
      </c>
      <c r="G191">
        <f t="shared" si="8"/>
        <v>0.58612896201255904</v>
      </c>
      <c r="H191" t="str">
        <f t="shared" si="7"/>
        <v>A</v>
      </c>
      <c r="I191" t="str">
        <f>VLOOKUP(D191,'СУММА ПРОДАЖ'!J:N, 5, FALSE)</f>
        <v>A</v>
      </c>
      <c r="J191" t="str">
        <f>VLOOKUP(D191, 'МЕСЯЧНАЯ ОБОР.'!$V$4:$W$806, 2, FALSE)</f>
        <v>A</v>
      </c>
    </row>
    <row r="192" spans="1:10" x14ac:dyDescent="0.25">
      <c r="A192" s="9" t="s">
        <v>930</v>
      </c>
      <c r="B192" s="10">
        <v>1</v>
      </c>
      <c r="D192" t="s">
        <v>779</v>
      </c>
      <c r="E192">
        <v>2</v>
      </c>
      <c r="F192">
        <f t="shared" si="6"/>
        <v>1.2431155079799805E-3</v>
      </c>
      <c r="G192">
        <f t="shared" si="8"/>
        <v>0.58737207752053899</v>
      </c>
      <c r="H192" t="str">
        <f t="shared" si="7"/>
        <v>A</v>
      </c>
      <c r="I192" t="str">
        <f>VLOOKUP(D192,'СУММА ПРОДАЖ'!J:N, 5, FALSE)</f>
        <v>A</v>
      </c>
      <c r="J192" t="str">
        <f>VLOOKUP(D192, 'МЕСЯЧНАЯ ОБОР.'!$V$4:$W$806, 2, FALSE)</f>
        <v>A</v>
      </c>
    </row>
    <row r="193" spans="1:10" x14ac:dyDescent="0.25">
      <c r="A193" s="9" t="s">
        <v>224</v>
      </c>
      <c r="B193" s="10">
        <v>1</v>
      </c>
      <c r="D193" t="s">
        <v>972</v>
      </c>
      <c r="E193">
        <v>2</v>
      </c>
      <c r="F193">
        <f t="shared" si="6"/>
        <v>1.2431155079799805E-3</v>
      </c>
      <c r="G193">
        <f t="shared" si="8"/>
        <v>0.58861519302851895</v>
      </c>
      <c r="H193" t="str">
        <f t="shared" si="7"/>
        <v>A</v>
      </c>
      <c r="I193" t="str">
        <f>VLOOKUP(D193,'СУММА ПРОДАЖ'!J:N, 5, FALSE)</f>
        <v>C</v>
      </c>
      <c r="J193" t="str">
        <f>VLOOKUP(D193, 'МЕСЯЧНАЯ ОБОР.'!$V$4:$W$806, 2, FALSE)</f>
        <v>A</v>
      </c>
    </row>
    <row r="194" spans="1:10" x14ac:dyDescent="0.25">
      <c r="A194" s="9" t="s">
        <v>293</v>
      </c>
      <c r="B194" s="10">
        <v>2</v>
      </c>
      <c r="D194" t="s">
        <v>198</v>
      </c>
      <c r="E194">
        <v>2</v>
      </c>
      <c r="F194">
        <f t="shared" si="6"/>
        <v>1.2431155079799805E-3</v>
      </c>
      <c r="G194">
        <f t="shared" si="8"/>
        <v>0.5898583085364989</v>
      </c>
      <c r="H194" t="str">
        <f t="shared" si="7"/>
        <v>A</v>
      </c>
      <c r="I194" t="str">
        <f>VLOOKUP(D194,'СУММА ПРОДАЖ'!J:N, 5, FALSE)</f>
        <v>B</v>
      </c>
      <c r="J194" t="str">
        <f>VLOOKUP(D194, 'МЕСЯЧНАЯ ОБОР.'!$V$4:$W$806, 2, FALSE)</f>
        <v>A</v>
      </c>
    </row>
    <row r="195" spans="1:10" x14ac:dyDescent="0.25">
      <c r="A195" s="9" t="s">
        <v>847</v>
      </c>
      <c r="B195" s="10">
        <v>1</v>
      </c>
      <c r="D195" t="s">
        <v>991</v>
      </c>
      <c r="E195">
        <v>2</v>
      </c>
      <c r="F195">
        <f t="shared" si="6"/>
        <v>1.2431155079799805E-3</v>
      </c>
      <c r="G195">
        <f t="shared" si="8"/>
        <v>0.59110142404447885</v>
      </c>
      <c r="H195" t="str">
        <f t="shared" si="7"/>
        <v>A</v>
      </c>
      <c r="I195" t="str">
        <f>VLOOKUP(D195,'СУММА ПРОДАЖ'!J:N, 5, FALSE)</f>
        <v>C</v>
      </c>
      <c r="J195" t="str">
        <f>VLOOKUP(D195, 'МЕСЯЧНАЯ ОБОР.'!$V$4:$W$806, 2, FALSE)</f>
        <v>A</v>
      </c>
    </row>
    <row r="196" spans="1:10" x14ac:dyDescent="0.25">
      <c r="A196" s="9" t="s">
        <v>510</v>
      </c>
      <c r="B196" s="10">
        <v>2</v>
      </c>
      <c r="D196" t="s">
        <v>858</v>
      </c>
      <c r="E196">
        <v>2</v>
      </c>
      <c r="F196">
        <f t="shared" si="6"/>
        <v>1.2431155079799805E-3</v>
      </c>
      <c r="G196">
        <f t="shared" si="8"/>
        <v>0.5923445395524588</v>
      </c>
      <c r="H196" t="str">
        <f t="shared" si="7"/>
        <v>A</v>
      </c>
      <c r="I196" t="str">
        <f>VLOOKUP(D196,'СУММА ПРОДАЖ'!J:N, 5, FALSE)</f>
        <v>A</v>
      </c>
      <c r="J196" t="str">
        <f>VLOOKUP(D196, 'МЕСЯЧНАЯ ОБОР.'!$V$4:$W$806, 2, FALSE)</f>
        <v>A</v>
      </c>
    </row>
    <row r="197" spans="1:10" x14ac:dyDescent="0.25">
      <c r="A197" s="9" t="s">
        <v>257</v>
      </c>
      <c r="B197" s="10">
        <v>5</v>
      </c>
      <c r="D197" t="s">
        <v>689</v>
      </c>
      <c r="E197">
        <v>2</v>
      </c>
      <c r="F197">
        <f t="shared" ref="F197:F260" si="9">E197/SUM($E$4:$E$806)</f>
        <v>1.2431155079799805E-3</v>
      </c>
      <c r="G197">
        <f t="shared" si="8"/>
        <v>0.59358765506043876</v>
      </c>
      <c r="H197" t="str">
        <f t="shared" ref="H197:H260" si="10">IF(G197&lt;0.8, "A", IF(G197&lt;0.95, "B","C"))</f>
        <v>A</v>
      </c>
      <c r="I197" t="str">
        <f>VLOOKUP(D197,'СУММА ПРОДАЖ'!J:N, 5, FALSE)</f>
        <v>A</v>
      </c>
      <c r="J197" t="str">
        <f>VLOOKUP(D197, 'МЕСЯЧНАЯ ОБОР.'!$V$4:$W$806, 2, FALSE)</f>
        <v>A</v>
      </c>
    </row>
    <row r="198" spans="1:10" x14ac:dyDescent="0.25">
      <c r="A198" s="9" t="s">
        <v>804</v>
      </c>
      <c r="B198" s="10">
        <v>4</v>
      </c>
      <c r="D198" t="s">
        <v>277</v>
      </c>
      <c r="E198">
        <v>2</v>
      </c>
      <c r="F198">
        <f t="shared" si="9"/>
        <v>1.2431155079799805E-3</v>
      </c>
      <c r="G198">
        <f t="shared" ref="G198:G261" si="11">F198+G197</f>
        <v>0.59483077056841871</v>
      </c>
      <c r="H198" t="str">
        <f t="shared" si="10"/>
        <v>A</v>
      </c>
      <c r="I198" t="str">
        <f>VLOOKUP(D198,'СУММА ПРОДАЖ'!J:N, 5, FALSE)</f>
        <v>A</v>
      </c>
      <c r="J198" t="str">
        <f>VLOOKUP(D198, 'МЕСЯЧНАЯ ОБОР.'!$V$4:$W$806, 2, FALSE)</f>
        <v>A</v>
      </c>
    </row>
    <row r="199" spans="1:10" x14ac:dyDescent="0.25">
      <c r="A199" s="9" t="s">
        <v>543</v>
      </c>
      <c r="B199" s="10">
        <v>1</v>
      </c>
      <c r="D199" t="s">
        <v>437</v>
      </c>
      <c r="E199">
        <v>2</v>
      </c>
      <c r="F199">
        <f t="shared" si="9"/>
        <v>1.2431155079799805E-3</v>
      </c>
      <c r="G199">
        <f t="shared" si="11"/>
        <v>0.59607388607639866</v>
      </c>
      <c r="H199" t="str">
        <f t="shared" si="10"/>
        <v>A</v>
      </c>
      <c r="I199" t="str">
        <f>VLOOKUP(D199,'СУММА ПРОДАЖ'!J:N, 5, FALSE)</f>
        <v>C</v>
      </c>
      <c r="J199" t="str">
        <f>VLOOKUP(D199, 'МЕСЯЧНАЯ ОБОР.'!$V$4:$W$806, 2, FALSE)</f>
        <v>A</v>
      </c>
    </row>
    <row r="200" spans="1:10" x14ac:dyDescent="0.25">
      <c r="A200" s="9" t="s">
        <v>1020</v>
      </c>
      <c r="B200" s="10">
        <v>1</v>
      </c>
      <c r="D200" t="s">
        <v>721</v>
      </c>
      <c r="E200">
        <v>2</v>
      </c>
      <c r="F200">
        <f t="shared" si="9"/>
        <v>1.2431155079799805E-3</v>
      </c>
      <c r="G200">
        <f t="shared" si="11"/>
        <v>0.59731700158437862</v>
      </c>
      <c r="H200" t="str">
        <f t="shared" si="10"/>
        <v>A</v>
      </c>
      <c r="I200" t="str">
        <f>VLOOKUP(D200,'СУММА ПРОДАЖ'!J:N, 5, FALSE)</f>
        <v>B</v>
      </c>
      <c r="J200" t="str">
        <f>VLOOKUP(D200, 'МЕСЯЧНАЯ ОБОР.'!$V$4:$W$806, 2, FALSE)</f>
        <v>A</v>
      </c>
    </row>
    <row r="201" spans="1:10" x14ac:dyDescent="0.25">
      <c r="A201" s="9" t="s">
        <v>916</v>
      </c>
      <c r="B201" s="10">
        <v>2</v>
      </c>
      <c r="D201" t="s">
        <v>339</v>
      </c>
      <c r="E201">
        <v>2</v>
      </c>
      <c r="F201">
        <f t="shared" si="9"/>
        <v>1.2431155079799805E-3</v>
      </c>
      <c r="G201">
        <f t="shared" si="11"/>
        <v>0.59856011709235857</v>
      </c>
      <c r="H201" t="str">
        <f t="shared" si="10"/>
        <v>A</v>
      </c>
      <c r="I201" t="str">
        <f>VLOOKUP(D201,'СУММА ПРОДАЖ'!J:N, 5, FALSE)</f>
        <v>A</v>
      </c>
      <c r="J201" t="str">
        <f>VLOOKUP(D201, 'МЕСЯЧНАЯ ОБОР.'!$V$4:$W$806, 2, FALSE)</f>
        <v>A</v>
      </c>
    </row>
    <row r="202" spans="1:10" x14ac:dyDescent="0.25">
      <c r="A202" s="9" t="s">
        <v>662</v>
      </c>
      <c r="B202" s="10">
        <v>7.1428400000000003E-2</v>
      </c>
      <c r="D202" t="s">
        <v>76</v>
      </c>
      <c r="E202">
        <v>2</v>
      </c>
      <c r="F202">
        <f t="shared" si="9"/>
        <v>1.2431155079799805E-3</v>
      </c>
      <c r="G202">
        <f t="shared" si="11"/>
        <v>0.59980323260033852</v>
      </c>
      <c r="H202" t="str">
        <f t="shared" si="10"/>
        <v>A</v>
      </c>
      <c r="I202" t="str">
        <f>VLOOKUP(D202,'СУММА ПРОДАЖ'!J:N, 5, FALSE)</f>
        <v>B</v>
      </c>
      <c r="J202" t="str">
        <f>VLOOKUP(D202, 'МЕСЯЧНАЯ ОБОР.'!$V$4:$W$806, 2, FALSE)</f>
        <v>A</v>
      </c>
    </row>
    <row r="203" spans="1:10" x14ac:dyDescent="0.25">
      <c r="A203" s="9" t="s">
        <v>333</v>
      </c>
      <c r="B203" s="10">
        <v>2</v>
      </c>
      <c r="D203" t="s">
        <v>318</v>
      </c>
      <c r="E203">
        <v>2</v>
      </c>
      <c r="F203">
        <f t="shared" si="9"/>
        <v>1.2431155079799805E-3</v>
      </c>
      <c r="G203">
        <f t="shared" si="11"/>
        <v>0.60104634810831847</v>
      </c>
      <c r="H203" t="str">
        <f t="shared" si="10"/>
        <v>A</v>
      </c>
      <c r="I203" t="str">
        <f>VLOOKUP(D203,'СУММА ПРОДАЖ'!J:N, 5, FALSE)</f>
        <v>B</v>
      </c>
      <c r="J203" t="str">
        <f>VLOOKUP(D203, 'МЕСЯЧНАЯ ОБОР.'!$V$4:$W$806, 2, FALSE)</f>
        <v>A</v>
      </c>
    </row>
    <row r="204" spans="1:10" x14ac:dyDescent="0.25">
      <c r="A204" s="9" t="s">
        <v>789</v>
      </c>
      <c r="B204" s="10">
        <v>1</v>
      </c>
      <c r="D204" t="s">
        <v>1050</v>
      </c>
      <c r="E204">
        <v>2</v>
      </c>
      <c r="F204">
        <f t="shared" si="9"/>
        <v>1.2431155079799805E-3</v>
      </c>
      <c r="G204">
        <f t="shared" si="11"/>
        <v>0.60228946361629843</v>
      </c>
      <c r="H204" t="str">
        <f t="shared" si="10"/>
        <v>A</v>
      </c>
      <c r="I204" t="str">
        <f>VLOOKUP(D204,'СУММА ПРОДАЖ'!J:N, 5, FALSE)</f>
        <v>C</v>
      </c>
      <c r="J204" t="str">
        <f>VLOOKUP(D204, 'МЕСЯЧНАЯ ОБОР.'!$V$4:$W$806, 2, FALSE)</f>
        <v>A</v>
      </c>
    </row>
    <row r="205" spans="1:10" x14ac:dyDescent="0.25">
      <c r="A205" s="9" t="s">
        <v>598</v>
      </c>
      <c r="B205" s="10">
        <v>1</v>
      </c>
      <c r="D205" t="s">
        <v>1163</v>
      </c>
      <c r="E205">
        <v>2</v>
      </c>
      <c r="F205">
        <f t="shared" si="9"/>
        <v>1.2431155079799805E-3</v>
      </c>
      <c r="G205">
        <f t="shared" si="11"/>
        <v>0.60353257912427838</v>
      </c>
      <c r="H205" t="str">
        <f t="shared" si="10"/>
        <v>A</v>
      </c>
      <c r="I205" t="str">
        <f>VLOOKUP(D205,'СУММА ПРОДАЖ'!J:N, 5, FALSE)</f>
        <v>C</v>
      </c>
      <c r="J205" t="str">
        <f>VLOOKUP(D205, 'МЕСЯЧНАЯ ОБОР.'!$V$4:$W$806, 2, FALSE)</f>
        <v>A</v>
      </c>
    </row>
    <row r="206" spans="1:10" x14ac:dyDescent="0.25">
      <c r="A206" s="9" t="s">
        <v>605</v>
      </c>
      <c r="B206" s="10">
        <v>1</v>
      </c>
      <c r="D206" t="s">
        <v>1094</v>
      </c>
      <c r="E206">
        <v>2</v>
      </c>
      <c r="F206">
        <f t="shared" si="9"/>
        <v>1.2431155079799805E-3</v>
      </c>
      <c r="G206">
        <f t="shared" si="11"/>
        <v>0.60477569463225833</v>
      </c>
      <c r="H206" t="str">
        <f t="shared" si="10"/>
        <v>A</v>
      </c>
      <c r="I206" t="str">
        <f>VLOOKUP(D206,'СУММА ПРОДАЖ'!J:N, 5, FALSE)</f>
        <v>B</v>
      </c>
      <c r="J206" t="str">
        <f>VLOOKUP(D206, 'МЕСЯЧНАЯ ОБОР.'!$V$4:$W$806, 2, FALSE)</f>
        <v>A</v>
      </c>
    </row>
    <row r="207" spans="1:10" x14ac:dyDescent="0.25">
      <c r="A207" s="9" t="s">
        <v>1048</v>
      </c>
      <c r="B207" s="10">
        <v>1</v>
      </c>
      <c r="D207" t="s">
        <v>672</v>
      </c>
      <c r="E207">
        <v>2</v>
      </c>
      <c r="F207">
        <f t="shared" si="9"/>
        <v>1.2431155079799805E-3</v>
      </c>
      <c r="G207">
        <f t="shared" si="11"/>
        <v>0.60601881014023828</v>
      </c>
      <c r="H207" t="str">
        <f t="shared" si="10"/>
        <v>A</v>
      </c>
      <c r="I207" t="str">
        <f>VLOOKUP(D207,'СУММА ПРОДАЖ'!J:N, 5, FALSE)</f>
        <v>C</v>
      </c>
      <c r="J207" t="str">
        <f>VLOOKUP(D207, 'МЕСЯЧНАЯ ОБОР.'!$V$4:$W$806, 2, FALSE)</f>
        <v>A</v>
      </c>
    </row>
    <row r="208" spans="1:10" x14ac:dyDescent="0.25">
      <c r="A208" s="9" t="s">
        <v>1150</v>
      </c>
      <c r="B208" s="10">
        <v>2</v>
      </c>
      <c r="D208" t="s">
        <v>451</v>
      </c>
      <c r="E208">
        <v>2</v>
      </c>
      <c r="F208">
        <f t="shared" si="9"/>
        <v>1.2431155079799805E-3</v>
      </c>
      <c r="G208">
        <f t="shared" si="11"/>
        <v>0.60726192564821824</v>
      </c>
      <c r="H208" t="str">
        <f t="shared" si="10"/>
        <v>A</v>
      </c>
      <c r="I208" t="str">
        <f>VLOOKUP(D208,'СУММА ПРОДАЖ'!J:N, 5, FALSE)</f>
        <v>B</v>
      </c>
      <c r="J208" t="str">
        <f>VLOOKUP(D208, 'МЕСЯЧНАЯ ОБОР.'!$V$4:$W$806, 2, FALSE)</f>
        <v>A</v>
      </c>
    </row>
    <row r="209" spans="1:10" x14ac:dyDescent="0.25">
      <c r="A209" s="9" t="s">
        <v>100</v>
      </c>
      <c r="B209" s="10">
        <v>1</v>
      </c>
      <c r="D209" t="s">
        <v>395</v>
      </c>
      <c r="E209">
        <v>2</v>
      </c>
      <c r="F209">
        <f t="shared" si="9"/>
        <v>1.2431155079799805E-3</v>
      </c>
      <c r="G209">
        <f t="shared" si="11"/>
        <v>0.60850504115619819</v>
      </c>
      <c r="H209" t="str">
        <f t="shared" si="10"/>
        <v>A</v>
      </c>
      <c r="I209" t="str">
        <f>VLOOKUP(D209,'СУММА ПРОДАЖ'!J:N, 5, FALSE)</f>
        <v>B</v>
      </c>
      <c r="J209" t="str">
        <f>VLOOKUP(D209, 'МЕСЯЧНАЯ ОБОР.'!$V$4:$W$806, 2, FALSE)</f>
        <v>A</v>
      </c>
    </row>
    <row r="210" spans="1:10" x14ac:dyDescent="0.25">
      <c r="A210" s="9" t="s">
        <v>242</v>
      </c>
      <c r="B210" s="10">
        <v>1</v>
      </c>
      <c r="D210" t="s">
        <v>709</v>
      </c>
      <c r="E210">
        <v>2</v>
      </c>
      <c r="F210">
        <f t="shared" si="9"/>
        <v>1.2431155079799805E-3</v>
      </c>
      <c r="G210">
        <f t="shared" si="11"/>
        <v>0.60974815666417814</v>
      </c>
      <c r="H210" t="str">
        <f t="shared" si="10"/>
        <v>A</v>
      </c>
      <c r="I210" t="str">
        <f>VLOOKUP(D210,'СУММА ПРОДАЖ'!J:N, 5, FALSE)</f>
        <v>C</v>
      </c>
      <c r="J210" t="str">
        <f>VLOOKUP(D210, 'МЕСЯЧНАЯ ОБОР.'!$V$4:$W$806, 2, FALSE)</f>
        <v>A</v>
      </c>
    </row>
    <row r="211" spans="1:10" x14ac:dyDescent="0.25">
      <c r="A211" s="9" t="s">
        <v>121</v>
      </c>
      <c r="B211" s="10">
        <v>1</v>
      </c>
      <c r="D211" t="s">
        <v>940</v>
      </c>
      <c r="E211">
        <v>2</v>
      </c>
      <c r="F211">
        <f t="shared" si="9"/>
        <v>1.2431155079799805E-3</v>
      </c>
      <c r="G211">
        <f t="shared" si="11"/>
        <v>0.6109912721721581</v>
      </c>
      <c r="H211" t="str">
        <f t="shared" si="10"/>
        <v>A</v>
      </c>
      <c r="I211" t="str">
        <f>VLOOKUP(D211,'СУММА ПРОДАЖ'!J:N, 5, FALSE)</f>
        <v>B</v>
      </c>
      <c r="J211" t="str">
        <f>VLOOKUP(D211, 'МЕСЯЧНАЯ ОБОР.'!$V$4:$W$806, 2, FALSE)</f>
        <v>A</v>
      </c>
    </row>
    <row r="212" spans="1:10" x14ac:dyDescent="0.25">
      <c r="A212" s="9" t="s">
        <v>830</v>
      </c>
      <c r="B212" s="10">
        <v>1</v>
      </c>
      <c r="D212" t="s">
        <v>63</v>
      </c>
      <c r="E212">
        <v>2</v>
      </c>
      <c r="F212">
        <f t="shared" si="9"/>
        <v>1.2431155079799805E-3</v>
      </c>
      <c r="G212">
        <f t="shared" si="11"/>
        <v>0.61223438768013805</v>
      </c>
      <c r="H212" t="str">
        <f t="shared" si="10"/>
        <v>A</v>
      </c>
      <c r="I212" t="str">
        <f>VLOOKUP(D212,'СУММА ПРОДАЖ'!J:N, 5, FALSE)</f>
        <v>A</v>
      </c>
      <c r="J212" t="str">
        <f>VLOOKUP(D212, 'МЕСЯЧНАЯ ОБОР.'!$V$4:$W$806, 2, FALSE)</f>
        <v>A</v>
      </c>
    </row>
    <row r="213" spans="1:10" x14ac:dyDescent="0.25">
      <c r="A213" s="9" t="s">
        <v>1096</v>
      </c>
      <c r="B213" s="10">
        <v>1</v>
      </c>
      <c r="D213" t="s">
        <v>735</v>
      </c>
      <c r="E213">
        <v>2</v>
      </c>
      <c r="F213">
        <f t="shared" si="9"/>
        <v>1.2431155079799805E-3</v>
      </c>
      <c r="G213">
        <f t="shared" si="11"/>
        <v>0.613477503188118</v>
      </c>
      <c r="H213" t="str">
        <f t="shared" si="10"/>
        <v>A</v>
      </c>
      <c r="I213" t="str">
        <f>VLOOKUP(D213,'СУММА ПРОДАЖ'!J:N, 5, FALSE)</f>
        <v>B</v>
      </c>
      <c r="J213" t="str">
        <f>VLOOKUP(D213, 'МЕСЯЧНАЯ ОБОР.'!$V$4:$W$806, 2, FALSE)</f>
        <v>A</v>
      </c>
    </row>
    <row r="214" spans="1:10" x14ac:dyDescent="0.25">
      <c r="A214" s="9" t="s">
        <v>135</v>
      </c>
      <c r="B214" s="10">
        <v>3</v>
      </c>
      <c r="D214" t="s">
        <v>522</v>
      </c>
      <c r="E214">
        <v>2</v>
      </c>
      <c r="F214">
        <f t="shared" si="9"/>
        <v>1.2431155079799805E-3</v>
      </c>
      <c r="G214">
        <f t="shared" si="11"/>
        <v>0.61472061869609795</v>
      </c>
      <c r="H214" t="str">
        <f t="shared" si="10"/>
        <v>A</v>
      </c>
      <c r="I214" t="str">
        <f>VLOOKUP(D214,'СУММА ПРОДАЖ'!J:N, 5, FALSE)</f>
        <v>A</v>
      </c>
      <c r="J214" t="str">
        <f>VLOOKUP(D214, 'МЕСЯЧНАЯ ОБОР.'!$V$4:$W$806, 2, FALSE)</f>
        <v>A</v>
      </c>
    </row>
    <row r="215" spans="1:10" x14ac:dyDescent="0.25">
      <c r="A215" s="9" t="s">
        <v>771</v>
      </c>
      <c r="B215" s="10">
        <v>1</v>
      </c>
      <c r="D215" t="s">
        <v>472</v>
      </c>
      <c r="E215">
        <v>2</v>
      </c>
      <c r="F215">
        <f t="shared" si="9"/>
        <v>1.2431155079799805E-3</v>
      </c>
      <c r="G215">
        <f t="shared" si="11"/>
        <v>0.61596373420407791</v>
      </c>
      <c r="H215" t="str">
        <f t="shared" si="10"/>
        <v>A</v>
      </c>
      <c r="I215" t="str">
        <f>VLOOKUP(D215,'СУММА ПРОДАЖ'!J:N, 5, FALSE)</f>
        <v>B</v>
      </c>
      <c r="J215" t="str">
        <f>VLOOKUP(D215, 'МЕСЯЧНАЯ ОБОР.'!$V$4:$W$806, 2, FALSE)</f>
        <v>A</v>
      </c>
    </row>
    <row r="216" spans="1:10" x14ac:dyDescent="0.25">
      <c r="A216" s="9" t="s">
        <v>773</v>
      </c>
      <c r="B216" s="10">
        <v>1</v>
      </c>
      <c r="D216" t="s">
        <v>487</v>
      </c>
      <c r="E216">
        <v>2</v>
      </c>
      <c r="F216">
        <f t="shared" si="9"/>
        <v>1.2431155079799805E-3</v>
      </c>
      <c r="G216">
        <f t="shared" si="11"/>
        <v>0.61720684971205786</v>
      </c>
      <c r="H216" t="str">
        <f t="shared" si="10"/>
        <v>A</v>
      </c>
      <c r="I216" t="str">
        <f>VLOOKUP(D216,'СУММА ПРОДАЖ'!J:N, 5, FALSE)</f>
        <v>A</v>
      </c>
      <c r="J216" t="str">
        <f>VLOOKUP(D216, 'МЕСЯЧНАЯ ОБОР.'!$V$4:$W$806, 2, FALSE)</f>
        <v>A</v>
      </c>
    </row>
    <row r="217" spans="1:10" x14ac:dyDescent="0.25">
      <c r="A217" s="9" t="s">
        <v>869</v>
      </c>
      <c r="B217" s="10">
        <v>1</v>
      </c>
      <c r="D217" t="s">
        <v>555</v>
      </c>
      <c r="E217">
        <v>2</v>
      </c>
      <c r="F217">
        <f t="shared" si="9"/>
        <v>1.2431155079799805E-3</v>
      </c>
      <c r="G217">
        <f t="shared" si="11"/>
        <v>0.61844996522003781</v>
      </c>
      <c r="H217" t="str">
        <f t="shared" si="10"/>
        <v>A</v>
      </c>
      <c r="I217" t="str">
        <f>VLOOKUP(D217,'СУММА ПРОДАЖ'!J:N, 5, FALSE)</f>
        <v>A</v>
      </c>
      <c r="J217" t="str">
        <f>VLOOKUP(D217, 'МЕСЯЧНАЯ ОБОР.'!$V$4:$W$806, 2, FALSE)</f>
        <v>A</v>
      </c>
    </row>
    <row r="218" spans="1:10" x14ac:dyDescent="0.25">
      <c r="A218" s="9" t="s">
        <v>1041</v>
      </c>
      <c r="B218" s="10">
        <v>1</v>
      </c>
      <c r="D218" t="s">
        <v>878</v>
      </c>
      <c r="E218">
        <v>2</v>
      </c>
      <c r="F218">
        <f t="shared" si="9"/>
        <v>1.2431155079799805E-3</v>
      </c>
      <c r="G218">
        <f t="shared" si="11"/>
        <v>0.61969308072801776</v>
      </c>
      <c r="H218" t="str">
        <f t="shared" si="10"/>
        <v>A</v>
      </c>
      <c r="I218" t="str">
        <f>VLOOKUP(D218,'СУММА ПРОДАЖ'!J:N, 5, FALSE)</f>
        <v>A</v>
      </c>
      <c r="J218" t="str">
        <f>VLOOKUP(D218, 'МЕСЯЧНАЯ ОБОР.'!$V$4:$W$806, 2, FALSE)</f>
        <v>A</v>
      </c>
    </row>
    <row r="219" spans="1:10" x14ac:dyDescent="0.25">
      <c r="A219" s="9" t="s">
        <v>421</v>
      </c>
      <c r="B219" s="10">
        <v>0.2</v>
      </c>
      <c r="D219" t="s">
        <v>803</v>
      </c>
      <c r="E219">
        <v>2</v>
      </c>
      <c r="F219">
        <f t="shared" si="9"/>
        <v>1.2431155079799805E-3</v>
      </c>
      <c r="G219">
        <f t="shared" si="11"/>
        <v>0.62093619623599772</v>
      </c>
      <c r="H219" t="str">
        <f t="shared" si="10"/>
        <v>A</v>
      </c>
      <c r="I219" t="str">
        <f>VLOOKUP(D219,'СУММА ПРОДАЖ'!J:N, 5, FALSE)</f>
        <v>A</v>
      </c>
      <c r="J219" t="str">
        <f>VLOOKUP(D219, 'МЕСЯЧНАЯ ОБОР.'!$V$4:$W$806, 2, FALSE)</f>
        <v>A</v>
      </c>
    </row>
    <row r="220" spans="1:10" x14ac:dyDescent="0.25">
      <c r="A220" s="9" t="s">
        <v>732</v>
      </c>
      <c r="B220" s="10">
        <v>1</v>
      </c>
      <c r="D220" t="s">
        <v>566</v>
      </c>
      <c r="E220">
        <v>2</v>
      </c>
      <c r="F220">
        <f t="shared" si="9"/>
        <v>1.2431155079799805E-3</v>
      </c>
      <c r="G220">
        <f t="shared" si="11"/>
        <v>0.62217931174397767</v>
      </c>
      <c r="H220" t="str">
        <f t="shared" si="10"/>
        <v>A</v>
      </c>
      <c r="I220" t="str">
        <f>VLOOKUP(D220,'СУММА ПРОДАЖ'!J:N, 5, FALSE)</f>
        <v>C</v>
      </c>
      <c r="J220" t="str">
        <f>VLOOKUP(D220, 'МЕСЯЧНАЯ ОБОР.'!$V$4:$W$806, 2, FALSE)</f>
        <v>A</v>
      </c>
    </row>
    <row r="221" spans="1:10" x14ac:dyDescent="0.25">
      <c r="A221" s="9" t="s">
        <v>695</v>
      </c>
      <c r="B221" s="10">
        <v>1</v>
      </c>
      <c r="D221" t="s">
        <v>282</v>
      </c>
      <c r="E221">
        <v>2</v>
      </c>
      <c r="F221">
        <f t="shared" si="9"/>
        <v>1.2431155079799805E-3</v>
      </c>
      <c r="G221">
        <f t="shared" si="11"/>
        <v>0.62342242725195762</v>
      </c>
      <c r="H221" t="str">
        <f t="shared" si="10"/>
        <v>A</v>
      </c>
      <c r="I221" t="str">
        <f>VLOOKUP(D221,'СУММА ПРОДАЖ'!J:N, 5, FALSE)</f>
        <v>A</v>
      </c>
      <c r="J221" t="str">
        <f>VLOOKUP(D221, 'МЕСЯЧНАЯ ОБОР.'!$V$4:$W$806, 2, FALSE)</f>
        <v>A</v>
      </c>
    </row>
    <row r="222" spans="1:10" x14ac:dyDescent="0.25">
      <c r="A222" s="9" t="s">
        <v>585</v>
      </c>
      <c r="B222" s="10">
        <v>1</v>
      </c>
      <c r="D222" t="s">
        <v>397</v>
      </c>
      <c r="E222">
        <v>2</v>
      </c>
      <c r="F222">
        <f t="shared" si="9"/>
        <v>1.2431155079799805E-3</v>
      </c>
      <c r="G222">
        <f t="shared" si="11"/>
        <v>0.62466554275993758</v>
      </c>
      <c r="H222" t="str">
        <f t="shared" si="10"/>
        <v>A</v>
      </c>
      <c r="I222" t="str">
        <f>VLOOKUP(D222,'СУММА ПРОДАЖ'!J:N, 5, FALSE)</f>
        <v>A</v>
      </c>
      <c r="J222" t="str">
        <f>VLOOKUP(D222, 'МЕСЯЧНАЯ ОБОР.'!$V$4:$W$806, 2, FALSE)</f>
        <v>A</v>
      </c>
    </row>
    <row r="223" spans="1:10" x14ac:dyDescent="0.25">
      <c r="A223" s="9" t="s">
        <v>406</v>
      </c>
      <c r="B223" s="10">
        <v>1</v>
      </c>
      <c r="D223" t="s">
        <v>432</v>
      </c>
      <c r="E223">
        <v>2</v>
      </c>
      <c r="F223">
        <f t="shared" si="9"/>
        <v>1.2431155079799805E-3</v>
      </c>
      <c r="G223">
        <f t="shared" si="11"/>
        <v>0.62590865826791753</v>
      </c>
      <c r="H223" t="str">
        <f t="shared" si="10"/>
        <v>A</v>
      </c>
      <c r="I223" t="str">
        <f>VLOOKUP(D223,'СУММА ПРОДАЖ'!J:N, 5, FALSE)</f>
        <v>A</v>
      </c>
      <c r="J223" t="str">
        <f>VLOOKUP(D223, 'МЕСЯЧНАЯ ОБОР.'!$V$4:$W$806, 2, FALSE)</f>
        <v>A</v>
      </c>
    </row>
    <row r="224" spans="1:10" x14ac:dyDescent="0.25">
      <c r="A224" s="9" t="s">
        <v>759</v>
      </c>
      <c r="B224" s="10">
        <v>4</v>
      </c>
      <c r="D224" t="s">
        <v>482</v>
      </c>
      <c r="E224">
        <v>2</v>
      </c>
      <c r="F224">
        <f t="shared" si="9"/>
        <v>1.2431155079799805E-3</v>
      </c>
      <c r="G224">
        <f t="shared" si="11"/>
        <v>0.62715177377589748</v>
      </c>
      <c r="H224" t="str">
        <f t="shared" si="10"/>
        <v>A</v>
      </c>
      <c r="I224" t="str">
        <f>VLOOKUP(D224,'СУММА ПРОДАЖ'!J:N, 5, FALSE)</f>
        <v>B</v>
      </c>
      <c r="J224" t="str">
        <f>VLOOKUP(D224, 'МЕСЯЧНАЯ ОБОР.'!$V$4:$W$806, 2, FALSE)</f>
        <v>A</v>
      </c>
    </row>
    <row r="225" spans="1:10" x14ac:dyDescent="0.25">
      <c r="A225" s="9" t="s">
        <v>178</v>
      </c>
      <c r="B225" s="10">
        <v>1</v>
      </c>
      <c r="D225" t="s">
        <v>872</v>
      </c>
      <c r="E225">
        <v>2</v>
      </c>
      <c r="F225">
        <f t="shared" si="9"/>
        <v>1.2431155079799805E-3</v>
      </c>
      <c r="G225">
        <f t="shared" si="11"/>
        <v>0.62839488928387743</v>
      </c>
      <c r="H225" t="str">
        <f t="shared" si="10"/>
        <v>A</v>
      </c>
      <c r="I225" t="str">
        <f>VLOOKUP(D225,'СУММА ПРОДАЖ'!J:N, 5, FALSE)</f>
        <v>A</v>
      </c>
      <c r="J225" t="str">
        <f>VLOOKUP(D225, 'МЕСЯЧНАЯ ОБОР.'!$V$4:$W$806, 2, FALSE)</f>
        <v>A</v>
      </c>
    </row>
    <row r="226" spans="1:10" x14ac:dyDescent="0.25">
      <c r="A226" s="9" t="s">
        <v>845</v>
      </c>
      <c r="B226" s="10">
        <v>2</v>
      </c>
      <c r="D226" t="s">
        <v>622</v>
      </c>
      <c r="E226">
        <v>2</v>
      </c>
      <c r="F226">
        <f t="shared" si="9"/>
        <v>1.2431155079799805E-3</v>
      </c>
      <c r="G226">
        <f t="shared" si="11"/>
        <v>0.62963800479185739</v>
      </c>
      <c r="H226" t="str">
        <f t="shared" si="10"/>
        <v>A</v>
      </c>
      <c r="I226" t="str">
        <f>VLOOKUP(D226,'СУММА ПРОДАЖ'!J:N, 5, FALSE)</f>
        <v>A</v>
      </c>
      <c r="J226" t="str">
        <f>VLOOKUP(D226, 'МЕСЯЧНАЯ ОБОР.'!$V$4:$W$806, 2, FALSE)</f>
        <v>A</v>
      </c>
    </row>
    <row r="227" spans="1:10" x14ac:dyDescent="0.25">
      <c r="A227" s="9" t="s">
        <v>361</v>
      </c>
      <c r="B227" s="10">
        <v>3</v>
      </c>
      <c r="D227" t="s">
        <v>1009</v>
      </c>
      <c r="E227">
        <v>2</v>
      </c>
      <c r="F227">
        <f t="shared" si="9"/>
        <v>1.2431155079799805E-3</v>
      </c>
      <c r="G227">
        <f t="shared" si="11"/>
        <v>0.63088112029983734</v>
      </c>
      <c r="H227" t="str">
        <f t="shared" si="10"/>
        <v>A</v>
      </c>
      <c r="I227" t="str">
        <f>VLOOKUP(D227,'СУММА ПРОДАЖ'!J:N, 5, FALSE)</f>
        <v>B</v>
      </c>
      <c r="J227" t="str">
        <f>VLOOKUP(D227, 'МЕСЯЧНАЯ ОБОР.'!$V$4:$W$806, 2, FALSE)</f>
        <v>A</v>
      </c>
    </row>
    <row r="228" spans="1:10" x14ac:dyDescent="0.25">
      <c r="A228" s="9" t="s">
        <v>1213</v>
      </c>
      <c r="B228" s="10">
        <v>1</v>
      </c>
      <c r="D228" t="s">
        <v>443</v>
      </c>
      <c r="E228">
        <v>2</v>
      </c>
      <c r="F228">
        <f t="shared" si="9"/>
        <v>1.2431155079799805E-3</v>
      </c>
      <c r="G228">
        <f t="shared" si="11"/>
        <v>0.63212423580781729</v>
      </c>
      <c r="H228" t="str">
        <f t="shared" si="10"/>
        <v>A</v>
      </c>
      <c r="I228" t="str">
        <f>VLOOKUP(D228,'СУММА ПРОДАЖ'!J:N, 5, FALSE)</f>
        <v>C</v>
      </c>
      <c r="J228" t="str">
        <f>VLOOKUP(D228, 'МЕСЯЧНАЯ ОБОР.'!$V$4:$W$806, 2, FALSE)</f>
        <v>A</v>
      </c>
    </row>
    <row r="229" spans="1:10" x14ac:dyDescent="0.25">
      <c r="A229" s="9" t="s">
        <v>814</v>
      </c>
      <c r="B229" s="10">
        <v>2</v>
      </c>
      <c r="D229" t="s">
        <v>917</v>
      </c>
      <c r="E229">
        <v>2</v>
      </c>
      <c r="F229">
        <f t="shared" si="9"/>
        <v>1.2431155079799805E-3</v>
      </c>
      <c r="G229">
        <f t="shared" si="11"/>
        <v>0.63336735131579724</v>
      </c>
      <c r="H229" t="str">
        <f t="shared" si="10"/>
        <v>A</v>
      </c>
      <c r="I229" t="str">
        <f>VLOOKUP(D229,'СУММА ПРОДАЖ'!J:N, 5, FALSE)</f>
        <v>B</v>
      </c>
      <c r="J229" t="str">
        <f>VLOOKUP(D229, 'МЕСЯЧНАЯ ОБОР.'!$V$4:$W$806, 2, FALSE)</f>
        <v>A</v>
      </c>
    </row>
    <row r="230" spans="1:10" x14ac:dyDescent="0.25">
      <c r="A230" s="9" t="s">
        <v>1063</v>
      </c>
      <c r="B230" s="10">
        <v>1</v>
      </c>
      <c r="D230" t="s">
        <v>47</v>
      </c>
      <c r="E230">
        <v>2</v>
      </c>
      <c r="F230">
        <f t="shared" si="9"/>
        <v>1.2431155079799805E-3</v>
      </c>
      <c r="G230">
        <f t="shared" si="11"/>
        <v>0.6346104668237772</v>
      </c>
      <c r="H230" t="str">
        <f t="shared" si="10"/>
        <v>A</v>
      </c>
      <c r="I230" t="str">
        <f>VLOOKUP(D230,'СУММА ПРОДАЖ'!J:N, 5, FALSE)</f>
        <v>B</v>
      </c>
      <c r="J230" t="str">
        <f>VLOOKUP(D230, 'МЕСЯЧНАЯ ОБОР.'!$V$4:$W$806, 2, FALSE)</f>
        <v>A</v>
      </c>
    </row>
    <row r="231" spans="1:10" x14ac:dyDescent="0.25">
      <c r="A231" s="9" t="s">
        <v>483</v>
      </c>
      <c r="B231" s="10">
        <v>1</v>
      </c>
      <c r="D231" t="s">
        <v>93</v>
      </c>
      <c r="E231">
        <v>2</v>
      </c>
      <c r="F231">
        <f t="shared" si="9"/>
        <v>1.2431155079799805E-3</v>
      </c>
      <c r="G231">
        <f t="shared" si="11"/>
        <v>0.63585358233175715</v>
      </c>
      <c r="H231" t="str">
        <f t="shared" si="10"/>
        <v>A</v>
      </c>
      <c r="I231" t="str">
        <f>VLOOKUP(D231,'СУММА ПРОДАЖ'!J:N, 5, FALSE)</f>
        <v>C</v>
      </c>
      <c r="J231" t="str">
        <f>VLOOKUP(D231, 'МЕСЯЧНАЯ ОБОР.'!$V$4:$W$806, 2, FALSE)</f>
        <v>A</v>
      </c>
    </row>
    <row r="232" spans="1:10" x14ac:dyDescent="0.25">
      <c r="A232" s="9" t="s">
        <v>1011</v>
      </c>
      <c r="B232" s="10">
        <v>1</v>
      </c>
      <c r="D232" t="s">
        <v>1005</v>
      </c>
      <c r="E232">
        <v>2</v>
      </c>
      <c r="F232">
        <f t="shared" si="9"/>
        <v>1.2431155079799805E-3</v>
      </c>
      <c r="G232">
        <f t="shared" si="11"/>
        <v>0.6370966978397371</v>
      </c>
      <c r="H232" t="str">
        <f t="shared" si="10"/>
        <v>A</v>
      </c>
      <c r="I232" t="str">
        <f>VLOOKUP(D232,'СУММА ПРОДАЖ'!J:N, 5, FALSE)</f>
        <v>A</v>
      </c>
      <c r="J232" t="str">
        <f>VLOOKUP(D232, 'МЕСЯЧНАЯ ОБОР.'!$V$4:$W$806, 2, FALSE)</f>
        <v>A</v>
      </c>
    </row>
    <row r="233" spans="1:10" x14ac:dyDescent="0.25">
      <c r="A233" s="9" t="s">
        <v>1109</v>
      </c>
      <c r="B233" s="10">
        <v>1</v>
      </c>
      <c r="D233" t="s">
        <v>702</v>
      </c>
      <c r="E233">
        <v>2</v>
      </c>
      <c r="F233">
        <f t="shared" si="9"/>
        <v>1.2431155079799805E-3</v>
      </c>
      <c r="G233">
        <f t="shared" si="11"/>
        <v>0.63833981334771706</v>
      </c>
      <c r="H233" t="str">
        <f t="shared" si="10"/>
        <v>A</v>
      </c>
      <c r="I233" t="str">
        <f>VLOOKUP(D233,'СУММА ПРОДАЖ'!J:N, 5, FALSE)</f>
        <v>A</v>
      </c>
      <c r="J233" t="str">
        <f>VLOOKUP(D233, 'МЕСЯЧНАЯ ОБОР.'!$V$4:$W$806, 2, FALSE)</f>
        <v>A</v>
      </c>
    </row>
    <row r="234" spans="1:10" x14ac:dyDescent="0.25">
      <c r="A234" s="9" t="s">
        <v>287</v>
      </c>
      <c r="B234" s="10">
        <v>1</v>
      </c>
      <c r="D234" t="s">
        <v>434</v>
      </c>
      <c r="E234">
        <v>2</v>
      </c>
      <c r="F234">
        <f t="shared" si="9"/>
        <v>1.2431155079799805E-3</v>
      </c>
      <c r="G234">
        <f t="shared" si="11"/>
        <v>0.63958292885569701</v>
      </c>
      <c r="H234" t="str">
        <f t="shared" si="10"/>
        <v>A</v>
      </c>
      <c r="I234" t="str">
        <f>VLOOKUP(D234,'СУММА ПРОДАЖ'!J:N, 5, FALSE)</f>
        <v>C</v>
      </c>
      <c r="J234" t="str">
        <f>VLOOKUP(D234, 'МЕСЯЧНАЯ ОБОР.'!$V$4:$W$806, 2, FALSE)</f>
        <v>A</v>
      </c>
    </row>
    <row r="235" spans="1:10" x14ac:dyDescent="0.25">
      <c r="A235" s="9" t="s">
        <v>286</v>
      </c>
      <c r="B235" s="10">
        <v>2</v>
      </c>
      <c r="D235" t="s">
        <v>964</v>
      </c>
      <c r="E235">
        <v>2</v>
      </c>
      <c r="F235">
        <f t="shared" si="9"/>
        <v>1.2431155079799805E-3</v>
      </c>
      <c r="G235">
        <f t="shared" si="11"/>
        <v>0.64082604436367696</v>
      </c>
      <c r="H235" t="str">
        <f t="shared" si="10"/>
        <v>A</v>
      </c>
      <c r="I235" t="str">
        <f>VLOOKUP(D235,'СУММА ПРОДАЖ'!J:N, 5, FALSE)</f>
        <v>C</v>
      </c>
      <c r="J235" t="str">
        <f>VLOOKUP(D235, 'МЕСЯЧНАЯ ОБОР.'!$V$4:$W$806, 2, FALSE)</f>
        <v>A</v>
      </c>
    </row>
    <row r="236" spans="1:10" x14ac:dyDescent="0.25">
      <c r="A236" s="9" t="s">
        <v>986</v>
      </c>
      <c r="B236" s="10">
        <v>4</v>
      </c>
      <c r="D236" t="s">
        <v>896</v>
      </c>
      <c r="E236">
        <v>2</v>
      </c>
      <c r="F236">
        <f t="shared" si="9"/>
        <v>1.2431155079799805E-3</v>
      </c>
      <c r="G236">
        <f t="shared" si="11"/>
        <v>0.64206915987165691</v>
      </c>
      <c r="H236" t="str">
        <f t="shared" si="10"/>
        <v>A</v>
      </c>
      <c r="I236" t="str">
        <f>VLOOKUP(D236,'СУММА ПРОДАЖ'!J:N, 5, FALSE)</f>
        <v>C</v>
      </c>
      <c r="J236" t="str">
        <f>VLOOKUP(D236, 'МЕСЯЧНАЯ ОБОР.'!$V$4:$W$806, 2, FALSE)</f>
        <v>A</v>
      </c>
    </row>
    <row r="237" spans="1:10" x14ac:dyDescent="0.25">
      <c r="A237" s="9" t="s">
        <v>745</v>
      </c>
      <c r="B237" s="10">
        <v>2</v>
      </c>
      <c r="D237" t="s">
        <v>159</v>
      </c>
      <c r="E237">
        <v>2</v>
      </c>
      <c r="F237">
        <f t="shared" si="9"/>
        <v>1.2431155079799805E-3</v>
      </c>
      <c r="G237">
        <f t="shared" si="11"/>
        <v>0.64331227537963687</v>
      </c>
      <c r="H237" t="str">
        <f t="shared" si="10"/>
        <v>A</v>
      </c>
      <c r="I237" t="str">
        <f>VLOOKUP(D237,'СУММА ПРОДАЖ'!J:N, 5, FALSE)</f>
        <v>A</v>
      </c>
      <c r="J237" t="str">
        <f>VLOOKUP(D237, 'МЕСЯЧНАЯ ОБОР.'!$V$4:$W$806, 2, FALSE)</f>
        <v>A</v>
      </c>
    </row>
    <row r="238" spans="1:10" x14ac:dyDescent="0.25">
      <c r="A238" s="9" t="s">
        <v>677</v>
      </c>
      <c r="B238" s="10">
        <v>1</v>
      </c>
      <c r="D238" t="s">
        <v>612</v>
      </c>
      <c r="E238">
        <v>2</v>
      </c>
      <c r="F238">
        <f t="shared" si="9"/>
        <v>1.2431155079799805E-3</v>
      </c>
      <c r="G238">
        <f t="shared" si="11"/>
        <v>0.64455539088761682</v>
      </c>
      <c r="H238" t="str">
        <f t="shared" si="10"/>
        <v>A</v>
      </c>
      <c r="I238" t="str">
        <f>VLOOKUP(D238,'СУММА ПРОДАЖ'!J:N, 5, FALSE)</f>
        <v>C</v>
      </c>
      <c r="J238" t="str">
        <f>VLOOKUP(D238, 'МЕСЯЧНАЯ ОБОР.'!$V$4:$W$806, 2, FALSE)</f>
        <v>A</v>
      </c>
    </row>
    <row r="239" spans="1:10" x14ac:dyDescent="0.25">
      <c r="A239" s="9" t="s">
        <v>969</v>
      </c>
      <c r="B239" s="10">
        <v>1</v>
      </c>
      <c r="D239" t="s">
        <v>781</v>
      </c>
      <c r="E239">
        <v>2</v>
      </c>
      <c r="F239">
        <f t="shared" si="9"/>
        <v>1.2431155079799805E-3</v>
      </c>
      <c r="G239">
        <f t="shared" si="11"/>
        <v>0.64579850639559677</v>
      </c>
      <c r="H239" t="str">
        <f t="shared" si="10"/>
        <v>A</v>
      </c>
      <c r="I239" t="str">
        <f>VLOOKUP(D239,'СУММА ПРОДАЖ'!J:N, 5, FALSE)</f>
        <v>A</v>
      </c>
      <c r="J239" t="str">
        <f>VLOOKUP(D239, 'МЕСЯЧНАЯ ОБОР.'!$V$4:$W$806, 2, FALSE)</f>
        <v>A</v>
      </c>
    </row>
    <row r="240" spans="1:10" x14ac:dyDescent="0.25">
      <c r="A240" s="9" t="s">
        <v>1212</v>
      </c>
      <c r="B240" s="10">
        <v>1</v>
      </c>
      <c r="D240" t="s">
        <v>1098</v>
      </c>
      <c r="E240">
        <v>2</v>
      </c>
      <c r="F240">
        <f t="shared" si="9"/>
        <v>1.2431155079799805E-3</v>
      </c>
      <c r="G240">
        <f t="shared" si="11"/>
        <v>0.64704162190357672</v>
      </c>
      <c r="H240" t="str">
        <f t="shared" si="10"/>
        <v>A</v>
      </c>
      <c r="I240" t="str">
        <f>VLOOKUP(D240,'СУММА ПРОДАЖ'!J:N, 5, FALSE)</f>
        <v>B</v>
      </c>
      <c r="J240" t="str">
        <f>VLOOKUP(D240, 'МЕСЯЧНАЯ ОБОР.'!$V$4:$W$806, 2, FALSE)</f>
        <v>A</v>
      </c>
    </row>
    <row r="241" spans="1:10" x14ac:dyDescent="0.25">
      <c r="A241" s="9" t="s">
        <v>417</v>
      </c>
      <c r="B241" s="10">
        <v>1</v>
      </c>
      <c r="D241" t="s">
        <v>1172</v>
      </c>
      <c r="E241">
        <v>2</v>
      </c>
      <c r="F241">
        <f t="shared" si="9"/>
        <v>1.2431155079799805E-3</v>
      </c>
      <c r="G241">
        <f t="shared" si="11"/>
        <v>0.64828473741155668</v>
      </c>
      <c r="H241" t="str">
        <f t="shared" si="10"/>
        <v>A</v>
      </c>
      <c r="I241" t="str">
        <f>VLOOKUP(D241,'СУММА ПРОДАЖ'!J:N, 5, FALSE)</f>
        <v>A</v>
      </c>
      <c r="J241" t="str">
        <f>VLOOKUP(D241, 'МЕСЯЧНАЯ ОБОР.'!$V$4:$W$806, 2, FALSE)</f>
        <v>A</v>
      </c>
    </row>
    <row r="242" spans="1:10" x14ac:dyDescent="0.25">
      <c r="A242" s="9" t="s">
        <v>649</v>
      </c>
      <c r="B242" s="10">
        <v>0.1</v>
      </c>
      <c r="D242" t="s">
        <v>1017</v>
      </c>
      <c r="E242">
        <v>2</v>
      </c>
      <c r="F242">
        <f t="shared" si="9"/>
        <v>1.2431155079799805E-3</v>
      </c>
      <c r="G242">
        <f t="shared" si="11"/>
        <v>0.64952785291953663</v>
      </c>
      <c r="H242" t="str">
        <f t="shared" si="10"/>
        <v>A</v>
      </c>
      <c r="I242" t="str">
        <f>VLOOKUP(D242,'СУММА ПРОДАЖ'!J:N, 5, FALSE)</f>
        <v>B</v>
      </c>
      <c r="J242" t="str">
        <f>VLOOKUP(D242, 'МЕСЯЧНАЯ ОБОР.'!$V$4:$W$806, 2, FALSE)</f>
        <v>A</v>
      </c>
    </row>
    <row r="243" spans="1:10" x14ac:dyDescent="0.25">
      <c r="A243" s="9" t="s">
        <v>944</v>
      </c>
      <c r="B243" s="10">
        <v>1</v>
      </c>
      <c r="D243" t="s">
        <v>264</v>
      </c>
      <c r="E243">
        <v>2</v>
      </c>
      <c r="F243">
        <f t="shared" si="9"/>
        <v>1.2431155079799805E-3</v>
      </c>
      <c r="G243">
        <f t="shared" si="11"/>
        <v>0.65077096842751658</v>
      </c>
      <c r="H243" t="str">
        <f t="shared" si="10"/>
        <v>A</v>
      </c>
      <c r="I243" t="str">
        <f>VLOOKUP(D243,'СУММА ПРОДАЖ'!J:N, 5, FALSE)</f>
        <v>B</v>
      </c>
      <c r="J243" t="str">
        <f>VLOOKUP(D243, 'МЕСЯЧНАЯ ОБОР.'!$V$4:$W$806, 2, FALSE)</f>
        <v>A</v>
      </c>
    </row>
    <row r="244" spans="1:10" x14ac:dyDescent="0.25">
      <c r="A244" s="9" t="s">
        <v>461</v>
      </c>
      <c r="B244" s="10">
        <v>2</v>
      </c>
      <c r="D244" t="s">
        <v>994</v>
      </c>
      <c r="E244">
        <v>2</v>
      </c>
      <c r="F244">
        <f t="shared" si="9"/>
        <v>1.2431155079799805E-3</v>
      </c>
      <c r="G244">
        <f t="shared" si="11"/>
        <v>0.65201408393549654</v>
      </c>
      <c r="H244" t="str">
        <f t="shared" si="10"/>
        <v>A</v>
      </c>
      <c r="I244" t="str">
        <f>VLOOKUP(D244,'СУММА ПРОДАЖ'!J:N, 5, FALSE)</f>
        <v>C</v>
      </c>
      <c r="J244" t="str">
        <f>VLOOKUP(D244, 'МЕСЯЧНАЯ ОБОР.'!$V$4:$W$806, 2, FALSE)</f>
        <v>A</v>
      </c>
    </row>
    <row r="245" spans="1:10" x14ac:dyDescent="0.25">
      <c r="A245" s="9" t="s">
        <v>631</v>
      </c>
      <c r="B245" s="10">
        <v>1</v>
      </c>
      <c r="D245" t="s">
        <v>1086</v>
      </c>
      <c r="E245">
        <v>2</v>
      </c>
      <c r="F245">
        <f t="shared" si="9"/>
        <v>1.2431155079799805E-3</v>
      </c>
      <c r="G245">
        <f t="shared" si="11"/>
        <v>0.65325719944347649</v>
      </c>
      <c r="H245" t="str">
        <f t="shared" si="10"/>
        <v>A</v>
      </c>
      <c r="I245" t="str">
        <f>VLOOKUP(D245,'СУММА ПРОДАЖ'!J:N, 5, FALSE)</f>
        <v>C</v>
      </c>
      <c r="J245" t="str">
        <f>VLOOKUP(D245, 'МЕСЯЧНАЯ ОБОР.'!$V$4:$W$806, 2, FALSE)</f>
        <v>A</v>
      </c>
    </row>
    <row r="246" spans="1:10" x14ac:dyDescent="0.25">
      <c r="A246" s="9" t="s">
        <v>517</v>
      </c>
      <c r="B246" s="10">
        <v>5</v>
      </c>
      <c r="D246" t="s">
        <v>337</v>
      </c>
      <c r="E246">
        <v>2</v>
      </c>
      <c r="F246">
        <f t="shared" si="9"/>
        <v>1.2431155079799805E-3</v>
      </c>
      <c r="G246">
        <f t="shared" si="11"/>
        <v>0.65450031495145644</v>
      </c>
      <c r="H246" t="str">
        <f t="shared" si="10"/>
        <v>A</v>
      </c>
      <c r="I246" t="str">
        <f>VLOOKUP(D246,'СУММА ПРОДАЖ'!J:N, 5, FALSE)</f>
        <v>A</v>
      </c>
      <c r="J246" t="str">
        <f>VLOOKUP(D246, 'МЕСЯЧНАЯ ОБОР.'!$V$4:$W$806, 2, FALSE)</f>
        <v>A</v>
      </c>
    </row>
    <row r="247" spans="1:10" x14ac:dyDescent="0.25">
      <c r="A247" s="9" t="s">
        <v>1107</v>
      </c>
      <c r="B247" s="10">
        <v>5</v>
      </c>
      <c r="D247" t="s">
        <v>356</v>
      </c>
      <c r="E247">
        <v>2</v>
      </c>
      <c r="F247">
        <f t="shared" si="9"/>
        <v>1.2431155079799805E-3</v>
      </c>
      <c r="G247">
        <f t="shared" si="11"/>
        <v>0.65574343045943639</v>
      </c>
      <c r="H247" t="str">
        <f t="shared" si="10"/>
        <v>A</v>
      </c>
      <c r="I247" t="str">
        <f>VLOOKUP(D247,'СУММА ПРОДАЖ'!J:N, 5, FALSE)</f>
        <v>C</v>
      </c>
      <c r="J247" t="str">
        <f>VLOOKUP(D247, 'МЕСЯЧНАЯ ОБОР.'!$V$4:$W$806, 2, FALSE)</f>
        <v>A</v>
      </c>
    </row>
    <row r="248" spans="1:10" x14ac:dyDescent="0.25">
      <c r="A248" s="9" t="s">
        <v>309</v>
      </c>
      <c r="B248" s="10">
        <v>3</v>
      </c>
      <c r="D248" t="s">
        <v>842</v>
      </c>
      <c r="E248">
        <v>2</v>
      </c>
      <c r="F248">
        <f t="shared" si="9"/>
        <v>1.2431155079799805E-3</v>
      </c>
      <c r="G248">
        <f t="shared" si="11"/>
        <v>0.65698654596741635</v>
      </c>
      <c r="H248" t="str">
        <f t="shared" si="10"/>
        <v>A</v>
      </c>
      <c r="I248" t="str">
        <f>VLOOKUP(D248,'СУММА ПРОДАЖ'!J:N, 5, FALSE)</f>
        <v>A</v>
      </c>
      <c r="J248" t="str">
        <f>VLOOKUP(D248, 'МЕСЯЧНАЯ ОБОР.'!$V$4:$W$806, 2, FALSE)</f>
        <v>A</v>
      </c>
    </row>
    <row r="249" spans="1:10" x14ac:dyDescent="0.25">
      <c r="A249" s="9" t="s">
        <v>1025</v>
      </c>
      <c r="B249" s="10">
        <v>1</v>
      </c>
      <c r="D249" t="s">
        <v>567</v>
      </c>
      <c r="E249">
        <v>2</v>
      </c>
      <c r="F249">
        <f t="shared" si="9"/>
        <v>1.2431155079799805E-3</v>
      </c>
      <c r="G249">
        <f t="shared" si="11"/>
        <v>0.6582296614753963</v>
      </c>
      <c r="H249" t="str">
        <f t="shared" si="10"/>
        <v>A</v>
      </c>
      <c r="I249" t="str">
        <f>VLOOKUP(D249,'СУММА ПРОДАЖ'!J:N, 5, FALSE)</f>
        <v>A</v>
      </c>
      <c r="J249" t="str">
        <f>VLOOKUP(D249, 'МЕСЯЧНАЯ ОБОР.'!$V$4:$W$806, 2, FALSE)</f>
        <v>A</v>
      </c>
    </row>
    <row r="250" spans="1:10" x14ac:dyDescent="0.25">
      <c r="A250" s="9" t="s">
        <v>681</v>
      </c>
      <c r="B250" s="10">
        <v>2</v>
      </c>
      <c r="D250" t="s">
        <v>393</v>
      </c>
      <c r="E250">
        <v>2</v>
      </c>
      <c r="F250">
        <f t="shared" si="9"/>
        <v>1.2431155079799805E-3</v>
      </c>
      <c r="G250">
        <f t="shared" si="11"/>
        <v>0.65947277698337625</v>
      </c>
      <c r="H250" t="str">
        <f t="shared" si="10"/>
        <v>A</v>
      </c>
      <c r="I250" t="str">
        <f>VLOOKUP(D250,'СУММА ПРОДАЖ'!J:N, 5, FALSE)</f>
        <v>B</v>
      </c>
      <c r="J250" t="str">
        <f>VLOOKUP(D250, 'МЕСЯЧНАЯ ОБОР.'!$V$4:$W$806, 2, FALSE)</f>
        <v>A</v>
      </c>
    </row>
    <row r="251" spans="1:10" x14ac:dyDescent="0.25">
      <c r="A251" s="9" t="s">
        <v>550</v>
      </c>
      <c r="B251" s="10">
        <v>3</v>
      </c>
      <c r="D251" t="s">
        <v>1031</v>
      </c>
      <c r="E251">
        <v>2</v>
      </c>
      <c r="F251">
        <f t="shared" si="9"/>
        <v>1.2431155079799805E-3</v>
      </c>
      <c r="G251">
        <f t="shared" si="11"/>
        <v>0.6607158924913562</v>
      </c>
      <c r="H251" t="str">
        <f t="shared" si="10"/>
        <v>A</v>
      </c>
      <c r="I251" t="str">
        <f>VLOOKUP(D251,'СУММА ПРОДАЖ'!J:N, 5, FALSE)</f>
        <v>B</v>
      </c>
      <c r="J251" t="str">
        <f>VLOOKUP(D251, 'МЕСЯЧНАЯ ОБОР.'!$V$4:$W$806, 2, FALSE)</f>
        <v>A</v>
      </c>
    </row>
    <row r="252" spans="1:10" x14ac:dyDescent="0.25">
      <c r="A252" s="9" t="s">
        <v>652</v>
      </c>
      <c r="B252" s="10">
        <v>1</v>
      </c>
      <c r="D252" t="s">
        <v>752</v>
      </c>
      <c r="E252">
        <v>2</v>
      </c>
      <c r="F252">
        <f t="shared" si="9"/>
        <v>1.2431155079799805E-3</v>
      </c>
      <c r="G252">
        <f t="shared" si="11"/>
        <v>0.66195900799933616</v>
      </c>
      <c r="H252" t="str">
        <f t="shared" si="10"/>
        <v>A</v>
      </c>
      <c r="I252" t="str">
        <f>VLOOKUP(D252,'СУММА ПРОДАЖ'!J:N, 5, FALSE)</f>
        <v>B</v>
      </c>
      <c r="J252" t="str">
        <f>VLOOKUP(D252, 'МЕСЯЧНАЯ ОБОР.'!$V$4:$W$806, 2, FALSE)</f>
        <v>A</v>
      </c>
    </row>
    <row r="253" spans="1:10" x14ac:dyDescent="0.25">
      <c r="A253" s="9" t="s">
        <v>593</v>
      </c>
      <c r="B253" s="10">
        <v>1</v>
      </c>
      <c r="D253" t="s">
        <v>165</v>
      </c>
      <c r="E253">
        <v>2</v>
      </c>
      <c r="F253">
        <f t="shared" si="9"/>
        <v>1.2431155079799805E-3</v>
      </c>
      <c r="G253">
        <f t="shared" si="11"/>
        <v>0.66320212350731611</v>
      </c>
      <c r="H253" t="str">
        <f t="shared" si="10"/>
        <v>A</v>
      </c>
      <c r="I253" t="str">
        <f>VLOOKUP(D253,'СУММА ПРОДАЖ'!J:N, 5, FALSE)</f>
        <v>C</v>
      </c>
      <c r="J253" t="str">
        <f>VLOOKUP(D253, 'МЕСЯЧНАЯ ОБОР.'!$V$4:$W$806, 2, FALSE)</f>
        <v>A</v>
      </c>
    </row>
    <row r="254" spans="1:10" x14ac:dyDescent="0.25">
      <c r="A254" s="9" t="s">
        <v>1052</v>
      </c>
      <c r="B254" s="10">
        <v>1</v>
      </c>
      <c r="D254" t="s">
        <v>920</v>
      </c>
      <c r="E254">
        <v>2</v>
      </c>
      <c r="F254">
        <f t="shared" si="9"/>
        <v>1.2431155079799805E-3</v>
      </c>
      <c r="G254">
        <f t="shared" si="11"/>
        <v>0.66444523901529606</v>
      </c>
      <c r="H254" t="str">
        <f t="shared" si="10"/>
        <v>A</v>
      </c>
      <c r="I254" t="str">
        <f>VLOOKUP(D254,'СУММА ПРОДАЖ'!J:N, 5, FALSE)</f>
        <v>C</v>
      </c>
      <c r="J254" t="str">
        <f>VLOOKUP(D254, 'МЕСЯЧНАЯ ОБОР.'!$V$4:$W$806, 2, FALSE)</f>
        <v>A</v>
      </c>
    </row>
    <row r="255" spans="1:10" x14ac:dyDescent="0.25">
      <c r="A255" s="9" t="s">
        <v>950</v>
      </c>
      <c r="B255" s="10">
        <v>1</v>
      </c>
      <c r="D255" t="s">
        <v>485</v>
      </c>
      <c r="E255">
        <v>2</v>
      </c>
      <c r="F255">
        <f t="shared" si="9"/>
        <v>1.2431155079799805E-3</v>
      </c>
      <c r="G255">
        <f t="shared" si="11"/>
        <v>0.66568835452327602</v>
      </c>
      <c r="H255" t="str">
        <f t="shared" si="10"/>
        <v>A</v>
      </c>
      <c r="I255" t="str">
        <f>VLOOKUP(D255,'СУММА ПРОДАЖ'!J:N, 5, FALSE)</f>
        <v>A</v>
      </c>
      <c r="J255" t="str">
        <f>VLOOKUP(D255, 'МЕСЯЧНАЯ ОБОР.'!$V$4:$W$806, 2, FALSE)</f>
        <v>A</v>
      </c>
    </row>
    <row r="256" spans="1:10" x14ac:dyDescent="0.25">
      <c r="A256" s="9" t="s">
        <v>127</v>
      </c>
      <c r="B256" s="10">
        <v>2</v>
      </c>
      <c r="D256" t="s">
        <v>699</v>
      </c>
      <c r="E256">
        <v>2</v>
      </c>
      <c r="F256">
        <f t="shared" si="9"/>
        <v>1.2431155079799805E-3</v>
      </c>
      <c r="G256">
        <f t="shared" si="11"/>
        <v>0.66693147003125597</v>
      </c>
      <c r="H256" t="str">
        <f t="shared" si="10"/>
        <v>A</v>
      </c>
      <c r="I256" t="str">
        <f>VLOOKUP(D256,'СУММА ПРОДАЖ'!J:N, 5, FALSE)</f>
        <v>A</v>
      </c>
      <c r="J256" t="str">
        <f>VLOOKUP(D256, 'МЕСЯЧНАЯ ОБОР.'!$V$4:$W$806, 2, FALSE)</f>
        <v>A</v>
      </c>
    </row>
    <row r="257" spans="1:10" x14ac:dyDescent="0.25">
      <c r="A257" s="9" t="s">
        <v>255</v>
      </c>
      <c r="B257" s="10">
        <v>1</v>
      </c>
      <c r="D257" t="s">
        <v>476</v>
      </c>
      <c r="E257">
        <v>2</v>
      </c>
      <c r="F257">
        <f t="shared" si="9"/>
        <v>1.2431155079799805E-3</v>
      </c>
      <c r="G257">
        <f t="shared" si="11"/>
        <v>0.66817458553923592</v>
      </c>
      <c r="H257" t="str">
        <f t="shared" si="10"/>
        <v>A</v>
      </c>
      <c r="I257" t="str">
        <f>VLOOKUP(D257,'СУММА ПРОДАЖ'!J:N, 5, FALSE)</f>
        <v>A</v>
      </c>
      <c r="J257" t="str">
        <f>VLOOKUP(D257, 'МЕСЯЧНАЯ ОБОР.'!$V$4:$W$806, 2, FALSE)</f>
        <v>A</v>
      </c>
    </row>
    <row r="258" spans="1:10" x14ac:dyDescent="0.25">
      <c r="A258" s="9" t="s">
        <v>1039</v>
      </c>
      <c r="B258" s="10">
        <v>1</v>
      </c>
      <c r="D258" t="s">
        <v>377</v>
      </c>
      <c r="E258">
        <v>2</v>
      </c>
      <c r="F258">
        <f t="shared" si="9"/>
        <v>1.2431155079799805E-3</v>
      </c>
      <c r="G258">
        <f t="shared" si="11"/>
        <v>0.66941770104721587</v>
      </c>
      <c r="H258" t="str">
        <f t="shared" si="10"/>
        <v>A</v>
      </c>
      <c r="I258" t="str">
        <f>VLOOKUP(D258,'СУММА ПРОДАЖ'!J:N, 5, FALSE)</f>
        <v>C</v>
      </c>
      <c r="J258" t="str">
        <f>VLOOKUP(D258, 'МЕСЯЧНАЯ ОБОР.'!$V$4:$W$806, 2, FALSE)</f>
        <v>A</v>
      </c>
    </row>
    <row r="259" spans="1:10" x14ac:dyDescent="0.25">
      <c r="A259" s="9" t="s">
        <v>707</v>
      </c>
      <c r="B259" s="10">
        <v>1</v>
      </c>
      <c r="D259" t="s">
        <v>229</v>
      </c>
      <c r="E259">
        <v>2</v>
      </c>
      <c r="F259">
        <f t="shared" si="9"/>
        <v>1.2431155079799805E-3</v>
      </c>
      <c r="G259">
        <f t="shared" si="11"/>
        <v>0.67066081655519583</v>
      </c>
      <c r="H259" t="str">
        <f t="shared" si="10"/>
        <v>A</v>
      </c>
      <c r="I259" t="str">
        <f>VLOOKUP(D259,'СУММА ПРОДАЖ'!J:N, 5, FALSE)</f>
        <v>B</v>
      </c>
      <c r="J259" t="str">
        <f>VLOOKUP(D259, 'МЕСЯЧНАЯ ОБОР.'!$V$4:$W$806, 2, FALSE)</f>
        <v>A</v>
      </c>
    </row>
    <row r="260" spans="1:10" x14ac:dyDescent="0.25">
      <c r="A260" s="9" t="s">
        <v>548</v>
      </c>
      <c r="B260" s="10">
        <v>3</v>
      </c>
      <c r="D260" t="s">
        <v>703</v>
      </c>
      <c r="E260">
        <v>2</v>
      </c>
      <c r="F260">
        <f t="shared" si="9"/>
        <v>1.2431155079799805E-3</v>
      </c>
      <c r="G260">
        <f t="shared" si="11"/>
        <v>0.67190393206317578</v>
      </c>
      <c r="H260" t="str">
        <f t="shared" si="10"/>
        <v>A</v>
      </c>
      <c r="I260" t="str">
        <f>VLOOKUP(D260,'СУММА ПРОДАЖ'!J:N, 5, FALSE)</f>
        <v>A</v>
      </c>
      <c r="J260" t="str">
        <f>VLOOKUP(D260, 'МЕСЯЧНАЯ ОБОР.'!$V$4:$W$806, 2, FALSE)</f>
        <v>A</v>
      </c>
    </row>
    <row r="261" spans="1:10" x14ac:dyDescent="0.25">
      <c r="A261" s="9" t="s">
        <v>1174</v>
      </c>
      <c r="B261" s="10">
        <v>1</v>
      </c>
      <c r="D261" t="s">
        <v>670</v>
      </c>
      <c r="E261">
        <v>2</v>
      </c>
      <c r="F261">
        <f t="shared" ref="F261:F324" si="12">E261/SUM($E$4:$E$806)</f>
        <v>1.2431155079799805E-3</v>
      </c>
      <c r="G261">
        <f t="shared" si="11"/>
        <v>0.67314704757115573</v>
      </c>
      <c r="H261" t="str">
        <f t="shared" ref="H261:H324" si="13">IF(G261&lt;0.8, "A", IF(G261&lt;0.95, "B","C"))</f>
        <v>A</v>
      </c>
      <c r="I261" t="str">
        <f>VLOOKUP(D261,'СУММА ПРОДАЖ'!J:N, 5, FALSE)</f>
        <v>C</v>
      </c>
      <c r="J261" t="str">
        <f>VLOOKUP(D261, 'МЕСЯЧНАЯ ОБОР.'!$V$4:$W$806, 2, FALSE)</f>
        <v>A</v>
      </c>
    </row>
    <row r="262" spans="1:10" x14ac:dyDescent="0.25">
      <c r="A262" s="9" t="s">
        <v>54</v>
      </c>
      <c r="B262" s="10">
        <v>1</v>
      </c>
      <c r="D262" t="s">
        <v>316</v>
      </c>
      <c r="E262">
        <v>2</v>
      </c>
      <c r="F262">
        <f t="shared" si="12"/>
        <v>1.2431155079799805E-3</v>
      </c>
      <c r="G262">
        <f t="shared" ref="G262:G325" si="14">F262+G261</f>
        <v>0.67439016307913568</v>
      </c>
      <c r="H262" t="str">
        <f t="shared" si="13"/>
        <v>A</v>
      </c>
      <c r="I262" t="str">
        <f>VLOOKUP(D262,'СУММА ПРОДАЖ'!J:N, 5, FALSE)</f>
        <v>A</v>
      </c>
      <c r="J262" t="str">
        <f>VLOOKUP(D262, 'МЕСЯЧНАЯ ОБОР.'!$V$4:$W$806, 2, FALSE)</f>
        <v>A</v>
      </c>
    </row>
    <row r="263" spans="1:10" x14ac:dyDescent="0.25">
      <c r="A263" s="9" t="s">
        <v>966</v>
      </c>
      <c r="B263" s="10">
        <v>1</v>
      </c>
      <c r="D263" t="s">
        <v>119</v>
      </c>
      <c r="E263">
        <v>2</v>
      </c>
      <c r="F263">
        <f t="shared" si="12"/>
        <v>1.2431155079799805E-3</v>
      </c>
      <c r="G263">
        <f t="shared" si="14"/>
        <v>0.67563327858711564</v>
      </c>
      <c r="H263" t="str">
        <f t="shared" si="13"/>
        <v>A</v>
      </c>
      <c r="I263" t="str">
        <f>VLOOKUP(D263,'СУММА ПРОДАЖ'!J:N, 5, FALSE)</f>
        <v>C</v>
      </c>
      <c r="J263" t="str">
        <f>VLOOKUP(D263, 'МЕСЯЧНАЯ ОБОР.'!$V$4:$W$806, 2, FALSE)</f>
        <v>A</v>
      </c>
    </row>
    <row r="264" spans="1:10" x14ac:dyDescent="0.25">
      <c r="A264" s="9" t="s">
        <v>398</v>
      </c>
      <c r="B264" s="10">
        <v>1</v>
      </c>
      <c r="D264" t="s">
        <v>239</v>
      </c>
      <c r="E264">
        <v>2</v>
      </c>
      <c r="F264">
        <f t="shared" si="12"/>
        <v>1.2431155079799805E-3</v>
      </c>
      <c r="G264">
        <f t="shared" si="14"/>
        <v>0.67687639409509559</v>
      </c>
      <c r="H264" t="str">
        <f t="shared" si="13"/>
        <v>A</v>
      </c>
      <c r="I264" t="str">
        <f>VLOOKUP(D264,'СУММА ПРОДАЖ'!J:N, 5, FALSE)</f>
        <v>A</v>
      </c>
      <c r="J264" t="str">
        <f>VLOOKUP(D264, 'МЕСЯЧНАЯ ОБОР.'!$V$4:$W$806, 2, FALSE)</f>
        <v>A</v>
      </c>
    </row>
    <row r="265" spans="1:10" x14ac:dyDescent="0.25">
      <c r="A265" s="9" t="s">
        <v>401</v>
      </c>
      <c r="B265" s="10">
        <v>1</v>
      </c>
      <c r="D265" t="s">
        <v>527</v>
      </c>
      <c r="E265">
        <v>2</v>
      </c>
      <c r="F265">
        <f t="shared" si="12"/>
        <v>1.2431155079799805E-3</v>
      </c>
      <c r="G265">
        <f t="shared" si="14"/>
        <v>0.67811950960307554</v>
      </c>
      <c r="H265" t="str">
        <f t="shared" si="13"/>
        <v>A</v>
      </c>
      <c r="I265" t="str">
        <f>VLOOKUP(D265,'СУММА ПРОДАЖ'!J:N, 5, FALSE)</f>
        <v>A</v>
      </c>
      <c r="J265" t="str">
        <f>VLOOKUP(D265, 'МЕСЯЧНАЯ ОБОР.'!$V$4:$W$806, 2, FALSE)</f>
        <v>A</v>
      </c>
    </row>
    <row r="266" spans="1:10" x14ac:dyDescent="0.25">
      <c r="A266" s="9" t="s">
        <v>1012</v>
      </c>
      <c r="B266" s="10">
        <v>2</v>
      </c>
      <c r="D266" t="s">
        <v>80</v>
      </c>
      <c r="E266">
        <v>2</v>
      </c>
      <c r="F266">
        <f t="shared" si="12"/>
        <v>1.2431155079799805E-3</v>
      </c>
      <c r="G266">
        <f t="shared" si="14"/>
        <v>0.6793626251110555</v>
      </c>
      <c r="H266" t="str">
        <f t="shared" si="13"/>
        <v>A</v>
      </c>
      <c r="I266" t="str">
        <f>VLOOKUP(D266,'СУММА ПРОДАЖ'!J:N, 5, FALSE)</f>
        <v>A</v>
      </c>
      <c r="J266" t="str">
        <f>VLOOKUP(D266, 'МЕСЯЧНАЯ ОБОР.'!$V$4:$W$806, 2, FALSE)</f>
        <v>A</v>
      </c>
    </row>
    <row r="267" spans="1:10" x14ac:dyDescent="0.25">
      <c r="A267" s="9" t="s">
        <v>1130</v>
      </c>
      <c r="B267" s="10">
        <v>1</v>
      </c>
      <c r="D267" t="s">
        <v>68</v>
      </c>
      <c r="E267">
        <v>2</v>
      </c>
      <c r="F267">
        <f t="shared" si="12"/>
        <v>1.2431155079799805E-3</v>
      </c>
      <c r="G267">
        <f t="shared" si="14"/>
        <v>0.68060574061903545</v>
      </c>
      <c r="H267" t="str">
        <f t="shared" si="13"/>
        <v>A</v>
      </c>
      <c r="I267" t="str">
        <f>VLOOKUP(D267,'СУММА ПРОДАЖ'!J:N, 5, FALSE)</f>
        <v>A</v>
      </c>
      <c r="J267" t="str">
        <f>VLOOKUP(D267, 'МЕСЯЧНАЯ ОБОР.'!$V$4:$W$806, 2, FALSE)</f>
        <v>A</v>
      </c>
    </row>
    <row r="268" spans="1:10" x14ac:dyDescent="0.25">
      <c r="A268" s="9" t="s">
        <v>1055</v>
      </c>
      <c r="B268" s="10">
        <v>1</v>
      </c>
      <c r="D268" t="s">
        <v>25</v>
      </c>
      <c r="E268">
        <v>2</v>
      </c>
      <c r="F268">
        <f t="shared" si="12"/>
        <v>1.2431155079799805E-3</v>
      </c>
      <c r="G268">
        <f t="shared" si="14"/>
        <v>0.6818488561270154</v>
      </c>
      <c r="H268" t="str">
        <f t="shared" si="13"/>
        <v>A</v>
      </c>
      <c r="I268" t="str">
        <f>VLOOKUP(D268,'СУММА ПРОДАЖ'!J:N, 5, FALSE)</f>
        <v>A</v>
      </c>
      <c r="J268" t="str">
        <f>VLOOKUP(D268, 'МЕСЯЧНАЯ ОБОР.'!$V$4:$W$806, 2, FALSE)</f>
        <v>A</v>
      </c>
    </row>
    <row r="269" spans="1:10" x14ac:dyDescent="0.25">
      <c r="A269" s="9" t="s">
        <v>655</v>
      </c>
      <c r="B269" s="10">
        <v>1</v>
      </c>
      <c r="D269" t="s">
        <v>565</v>
      </c>
      <c r="E269">
        <v>2</v>
      </c>
      <c r="F269">
        <f t="shared" si="12"/>
        <v>1.2431155079799805E-3</v>
      </c>
      <c r="G269">
        <f t="shared" si="14"/>
        <v>0.68309197163499535</v>
      </c>
      <c r="H269" t="str">
        <f t="shared" si="13"/>
        <v>A</v>
      </c>
      <c r="I269" t="str">
        <f>VLOOKUP(D269,'СУММА ПРОДАЖ'!J:N, 5, FALSE)</f>
        <v>A</v>
      </c>
      <c r="J269" t="str">
        <f>VLOOKUP(D269, 'МЕСЯЧНАЯ ОБОР.'!$V$4:$W$806, 2, FALSE)</f>
        <v>A</v>
      </c>
    </row>
    <row r="270" spans="1:10" x14ac:dyDescent="0.25">
      <c r="A270" s="9" t="s">
        <v>610</v>
      </c>
      <c r="B270" s="10">
        <v>1</v>
      </c>
      <c r="D270" t="s">
        <v>30</v>
      </c>
      <c r="E270">
        <v>2</v>
      </c>
      <c r="F270">
        <f t="shared" si="12"/>
        <v>1.2431155079799805E-3</v>
      </c>
      <c r="G270">
        <f t="shared" si="14"/>
        <v>0.68433508714297531</v>
      </c>
      <c r="H270" t="str">
        <f t="shared" si="13"/>
        <v>A</v>
      </c>
      <c r="I270" t="str">
        <f>VLOOKUP(D270,'СУММА ПРОДАЖ'!J:N, 5, FALSE)</f>
        <v>C</v>
      </c>
      <c r="J270" t="str">
        <f>VLOOKUP(D270, 'МЕСЯЧНАЯ ОБОР.'!$V$4:$W$806, 2, FALSE)</f>
        <v>A</v>
      </c>
    </row>
    <row r="271" spans="1:10" x14ac:dyDescent="0.25">
      <c r="A271" s="9" t="s">
        <v>313</v>
      </c>
      <c r="B271" s="10">
        <v>1</v>
      </c>
      <c r="D271" t="s">
        <v>413</v>
      </c>
      <c r="E271">
        <v>1.3</v>
      </c>
      <c r="F271">
        <f t="shared" si="12"/>
        <v>8.0802508018698734E-4</v>
      </c>
      <c r="G271">
        <f t="shared" si="14"/>
        <v>0.68514311222316227</v>
      </c>
      <c r="H271" t="str">
        <f t="shared" si="13"/>
        <v>A</v>
      </c>
      <c r="I271" t="str">
        <f>VLOOKUP(D271,'СУММА ПРОДАЖ'!J:N, 5, FALSE)</f>
        <v>A</v>
      </c>
      <c r="J271" t="str">
        <f>VLOOKUP(D271, 'МЕСЯЧНАЯ ОБОР.'!$V$4:$W$806, 2, FALSE)</f>
        <v>A</v>
      </c>
    </row>
    <row r="272" spans="1:10" x14ac:dyDescent="0.25">
      <c r="A272" s="9" t="s">
        <v>238</v>
      </c>
      <c r="B272" s="10">
        <v>4</v>
      </c>
      <c r="D272" t="s">
        <v>151</v>
      </c>
      <c r="E272">
        <v>1</v>
      </c>
      <c r="F272">
        <f t="shared" si="12"/>
        <v>6.2155775398999025E-4</v>
      </c>
      <c r="G272">
        <f t="shared" si="14"/>
        <v>0.68576466997715224</v>
      </c>
      <c r="H272" t="str">
        <f t="shared" si="13"/>
        <v>A</v>
      </c>
      <c r="I272" t="str">
        <f>VLOOKUP(D272,'СУММА ПРОДАЖ'!J:N, 5, FALSE)</f>
        <v>C</v>
      </c>
      <c r="J272" t="str">
        <f>VLOOKUP(D272, 'МЕСЯЧНАЯ ОБОР.'!$V$4:$W$806, 2, FALSE)</f>
        <v>A</v>
      </c>
    </row>
    <row r="273" spans="1:10" x14ac:dyDescent="0.25">
      <c r="A273" s="9" t="s">
        <v>330</v>
      </c>
      <c r="B273" s="10">
        <v>3</v>
      </c>
      <c r="D273" t="s">
        <v>515</v>
      </c>
      <c r="E273">
        <v>1</v>
      </c>
      <c r="F273">
        <f t="shared" si="12"/>
        <v>6.2155775398999025E-4</v>
      </c>
      <c r="G273">
        <f t="shared" si="14"/>
        <v>0.68638622773114222</v>
      </c>
      <c r="H273" t="str">
        <f t="shared" si="13"/>
        <v>A</v>
      </c>
      <c r="I273" t="str">
        <f>VLOOKUP(D273,'СУММА ПРОДАЖ'!J:N, 5, FALSE)</f>
        <v>C</v>
      </c>
      <c r="J273" t="str">
        <f>VLOOKUP(D273, 'МЕСЯЧНАЯ ОБОР.'!$V$4:$W$806, 2, FALSE)</f>
        <v>A</v>
      </c>
    </row>
    <row r="274" spans="1:10" x14ac:dyDescent="0.25">
      <c r="A274" s="9" t="s">
        <v>460</v>
      </c>
      <c r="B274" s="10">
        <v>1</v>
      </c>
      <c r="D274" t="s">
        <v>867</v>
      </c>
      <c r="E274">
        <v>1</v>
      </c>
      <c r="F274">
        <f t="shared" si="12"/>
        <v>6.2155775398999025E-4</v>
      </c>
      <c r="G274">
        <f t="shared" si="14"/>
        <v>0.68700778548513219</v>
      </c>
      <c r="H274" t="str">
        <f t="shared" si="13"/>
        <v>A</v>
      </c>
      <c r="I274" t="str">
        <f>VLOOKUP(D274,'СУММА ПРОДАЖ'!J:N, 5, FALSE)</f>
        <v>C</v>
      </c>
      <c r="J274" t="str">
        <f>VLOOKUP(D274, 'МЕСЯЧНАЯ ОБОР.'!$V$4:$W$806, 2, FALSE)</f>
        <v>A</v>
      </c>
    </row>
    <row r="275" spans="1:10" x14ac:dyDescent="0.25">
      <c r="A275" s="9" t="s">
        <v>1134</v>
      </c>
      <c r="B275" s="10">
        <v>1</v>
      </c>
      <c r="D275" t="s">
        <v>106</v>
      </c>
      <c r="E275">
        <v>1</v>
      </c>
      <c r="F275">
        <f t="shared" si="12"/>
        <v>6.2155775398999025E-4</v>
      </c>
      <c r="G275">
        <f t="shared" si="14"/>
        <v>0.68762934323912217</v>
      </c>
      <c r="H275" t="str">
        <f t="shared" si="13"/>
        <v>A</v>
      </c>
      <c r="I275" t="str">
        <f>VLOOKUP(D275,'СУММА ПРОДАЖ'!J:N, 5, FALSE)</f>
        <v>B</v>
      </c>
      <c r="J275" t="str">
        <f>VLOOKUP(D275, 'МЕСЯЧНАЯ ОБОР.'!$V$4:$W$806, 2, FALSE)</f>
        <v>A</v>
      </c>
    </row>
    <row r="276" spans="1:10" x14ac:dyDescent="0.25">
      <c r="A276" s="9" t="s">
        <v>125</v>
      </c>
      <c r="B276" s="10">
        <v>3</v>
      </c>
      <c r="D276" t="s">
        <v>1209</v>
      </c>
      <c r="E276">
        <v>1</v>
      </c>
      <c r="F276">
        <f t="shared" si="12"/>
        <v>6.2155775398999025E-4</v>
      </c>
      <c r="G276">
        <f t="shared" si="14"/>
        <v>0.68825090099311215</v>
      </c>
      <c r="H276" t="str">
        <f t="shared" si="13"/>
        <v>A</v>
      </c>
      <c r="I276" t="str">
        <f>VLOOKUP(D276,'СУММА ПРОДАЖ'!J:N, 5, FALSE)</f>
        <v>B</v>
      </c>
      <c r="J276" t="str">
        <f>VLOOKUP(D276, 'МЕСЯЧНАЯ ОБОР.'!$V$4:$W$806, 2, FALSE)</f>
        <v>A</v>
      </c>
    </row>
    <row r="277" spans="1:10" x14ac:dyDescent="0.25">
      <c r="A277" s="9" t="s">
        <v>578</v>
      </c>
      <c r="B277" s="10">
        <v>1</v>
      </c>
      <c r="D277" t="s">
        <v>41</v>
      </c>
      <c r="E277">
        <v>1</v>
      </c>
      <c r="F277">
        <f t="shared" si="12"/>
        <v>6.2155775398999025E-4</v>
      </c>
      <c r="G277">
        <f t="shared" si="14"/>
        <v>0.68887245874710212</v>
      </c>
      <c r="H277" t="str">
        <f t="shared" si="13"/>
        <v>A</v>
      </c>
      <c r="I277" t="str">
        <f>VLOOKUP(D277,'СУММА ПРОДАЖ'!J:N, 5, FALSE)</f>
        <v>C</v>
      </c>
      <c r="J277" t="str">
        <f>VLOOKUP(D277, 'МЕСЯЧНАЯ ОБОР.'!$V$4:$W$806, 2, FALSE)</f>
        <v>A</v>
      </c>
    </row>
    <row r="278" spans="1:10" x14ac:dyDescent="0.25">
      <c r="A278" s="9" t="s">
        <v>874</v>
      </c>
      <c r="B278" s="10">
        <v>1</v>
      </c>
      <c r="D278" t="s">
        <v>763</v>
      </c>
      <c r="E278">
        <v>1</v>
      </c>
      <c r="F278">
        <f t="shared" si="12"/>
        <v>6.2155775398999025E-4</v>
      </c>
      <c r="G278">
        <f t="shared" si="14"/>
        <v>0.6894940165010921</v>
      </c>
      <c r="H278" t="str">
        <f t="shared" si="13"/>
        <v>A</v>
      </c>
      <c r="I278" t="str">
        <f>VLOOKUP(D278,'СУММА ПРОДАЖ'!J:N, 5, FALSE)</f>
        <v>B</v>
      </c>
      <c r="J278" t="str">
        <f>VLOOKUP(D278, 'МЕСЯЧНАЯ ОБОР.'!$V$4:$W$806, 2, FALSE)</f>
        <v>A</v>
      </c>
    </row>
    <row r="279" spans="1:10" x14ac:dyDescent="0.25">
      <c r="A279" s="9" t="s">
        <v>387</v>
      </c>
      <c r="B279" s="10">
        <v>2</v>
      </c>
      <c r="D279" t="s">
        <v>502</v>
      </c>
      <c r="E279">
        <v>1</v>
      </c>
      <c r="F279">
        <f t="shared" si="12"/>
        <v>6.2155775398999025E-4</v>
      </c>
      <c r="G279">
        <f t="shared" si="14"/>
        <v>0.69011557425508208</v>
      </c>
      <c r="H279" t="str">
        <f t="shared" si="13"/>
        <v>A</v>
      </c>
      <c r="I279" t="str">
        <f>VLOOKUP(D279,'СУММА ПРОДАЖ'!J:N, 5, FALSE)</f>
        <v>B</v>
      </c>
      <c r="J279" t="str">
        <f>VLOOKUP(D279, 'МЕСЯЧНАЯ ОБОР.'!$V$4:$W$806, 2, FALSE)</f>
        <v>A</v>
      </c>
    </row>
    <row r="280" spans="1:10" x14ac:dyDescent="0.25">
      <c r="A280" s="9" t="s">
        <v>376</v>
      </c>
      <c r="B280" s="10">
        <v>2</v>
      </c>
      <c r="D280" t="s">
        <v>868</v>
      </c>
      <c r="E280">
        <v>1</v>
      </c>
      <c r="F280">
        <f t="shared" si="12"/>
        <v>6.2155775398999025E-4</v>
      </c>
      <c r="G280">
        <f t="shared" si="14"/>
        <v>0.69073713200907205</v>
      </c>
      <c r="H280" t="str">
        <f t="shared" si="13"/>
        <v>A</v>
      </c>
      <c r="I280" t="str">
        <f>VLOOKUP(D280,'СУММА ПРОДАЖ'!J:N, 5, FALSE)</f>
        <v>C</v>
      </c>
      <c r="J280" t="str">
        <f>VLOOKUP(D280, 'МЕСЯЧНАЯ ОБОР.'!$V$4:$W$806, 2, FALSE)</f>
        <v>A</v>
      </c>
    </row>
    <row r="281" spans="1:10" x14ac:dyDescent="0.25">
      <c r="A281" s="9" t="s">
        <v>777</v>
      </c>
      <c r="B281" s="10">
        <v>1</v>
      </c>
      <c r="D281" t="s">
        <v>901</v>
      </c>
      <c r="E281">
        <v>1</v>
      </c>
      <c r="F281">
        <f t="shared" si="12"/>
        <v>6.2155775398999025E-4</v>
      </c>
      <c r="G281">
        <f t="shared" si="14"/>
        <v>0.69135868976306203</v>
      </c>
      <c r="H281" t="str">
        <f t="shared" si="13"/>
        <v>A</v>
      </c>
      <c r="I281" t="str">
        <f>VLOOKUP(D281,'СУММА ПРОДАЖ'!J:N, 5, FALSE)</f>
        <v>A</v>
      </c>
      <c r="J281" t="str">
        <f>VLOOKUP(D281, 'МЕСЯЧНАЯ ОБОР.'!$V$4:$W$806, 2, FALSE)</f>
        <v>A</v>
      </c>
    </row>
    <row r="282" spans="1:10" x14ac:dyDescent="0.25">
      <c r="A282" s="9" t="s">
        <v>1081</v>
      </c>
      <c r="B282" s="10">
        <v>1</v>
      </c>
      <c r="D282" t="s">
        <v>999</v>
      </c>
      <c r="E282">
        <v>1</v>
      </c>
      <c r="F282">
        <f t="shared" si="12"/>
        <v>6.2155775398999025E-4</v>
      </c>
      <c r="G282">
        <f t="shared" si="14"/>
        <v>0.69198024751705201</v>
      </c>
      <c r="H282" t="str">
        <f t="shared" si="13"/>
        <v>A</v>
      </c>
      <c r="I282" t="str">
        <f>VLOOKUP(D282,'СУММА ПРОДАЖ'!J:N, 5, FALSE)</f>
        <v>A</v>
      </c>
      <c r="J282" t="str">
        <f>VLOOKUP(D282, 'МЕСЯЧНАЯ ОБОР.'!$V$4:$W$806, 2, FALSE)</f>
        <v>A</v>
      </c>
    </row>
    <row r="283" spans="1:10" x14ac:dyDescent="0.25">
      <c r="A283" s="9" t="s">
        <v>518</v>
      </c>
      <c r="B283" s="10">
        <v>3</v>
      </c>
      <c r="D283" t="s">
        <v>1124</v>
      </c>
      <c r="E283">
        <v>1</v>
      </c>
      <c r="F283">
        <f t="shared" si="12"/>
        <v>6.2155775398999025E-4</v>
      </c>
      <c r="G283">
        <f t="shared" si="14"/>
        <v>0.69260180527104198</v>
      </c>
      <c r="H283" t="str">
        <f t="shared" si="13"/>
        <v>A</v>
      </c>
      <c r="I283" t="str">
        <f>VLOOKUP(D283,'СУММА ПРОДАЖ'!J:N, 5, FALSE)</f>
        <v>C</v>
      </c>
      <c r="J283" t="str">
        <f>VLOOKUP(D283, 'МЕСЯЧНАЯ ОБОР.'!$V$4:$W$806, 2, FALSE)</f>
        <v>A</v>
      </c>
    </row>
    <row r="284" spans="1:10" x14ac:dyDescent="0.25">
      <c r="A284" s="9" t="s">
        <v>425</v>
      </c>
      <c r="B284" s="10">
        <v>2</v>
      </c>
      <c r="D284" t="s">
        <v>1196</v>
      </c>
      <c r="E284">
        <v>1</v>
      </c>
      <c r="F284">
        <f t="shared" si="12"/>
        <v>6.2155775398999025E-4</v>
      </c>
      <c r="G284">
        <f t="shared" si="14"/>
        <v>0.69322336302503196</v>
      </c>
      <c r="H284" t="str">
        <f t="shared" si="13"/>
        <v>A</v>
      </c>
      <c r="I284" t="str">
        <f>VLOOKUP(D284,'СУММА ПРОДАЖ'!J:N, 5, FALSE)</f>
        <v>B</v>
      </c>
      <c r="J284" t="str">
        <f>VLOOKUP(D284, 'МЕСЯЧНАЯ ОБОР.'!$V$4:$W$806, 2, FALSE)</f>
        <v>A</v>
      </c>
    </row>
    <row r="285" spans="1:10" x14ac:dyDescent="0.25">
      <c r="A285" s="9" t="s">
        <v>657</v>
      </c>
      <c r="B285" s="10">
        <v>1</v>
      </c>
      <c r="D285" t="s">
        <v>553</v>
      </c>
      <c r="E285">
        <v>1</v>
      </c>
      <c r="F285">
        <f t="shared" si="12"/>
        <v>6.2155775398999025E-4</v>
      </c>
      <c r="G285">
        <f t="shared" si="14"/>
        <v>0.69384492077902193</v>
      </c>
      <c r="H285" t="str">
        <f t="shared" si="13"/>
        <v>A</v>
      </c>
      <c r="I285" t="str">
        <f>VLOOKUP(D285,'СУММА ПРОДАЖ'!J:N, 5, FALSE)</f>
        <v>A</v>
      </c>
      <c r="J285" t="str">
        <f>VLOOKUP(D285, 'МЕСЯЧНАЯ ОБОР.'!$V$4:$W$806, 2, FALSE)</f>
        <v>A</v>
      </c>
    </row>
    <row r="286" spans="1:10" x14ac:dyDescent="0.25">
      <c r="A286" s="9" t="s">
        <v>87</v>
      </c>
      <c r="B286" s="10">
        <v>2</v>
      </c>
      <c r="D286" t="s">
        <v>495</v>
      </c>
      <c r="E286">
        <v>1</v>
      </c>
      <c r="F286">
        <f t="shared" si="12"/>
        <v>6.2155775398999025E-4</v>
      </c>
      <c r="G286">
        <f t="shared" si="14"/>
        <v>0.69446647853301191</v>
      </c>
      <c r="H286" t="str">
        <f t="shared" si="13"/>
        <v>A</v>
      </c>
      <c r="I286" t="str">
        <f>VLOOKUP(D286,'СУММА ПРОДАЖ'!J:N, 5, FALSE)</f>
        <v>B</v>
      </c>
      <c r="J286" t="str">
        <f>VLOOKUP(D286, 'МЕСЯЧНАЯ ОБОР.'!$V$4:$W$806, 2, FALSE)</f>
        <v>A</v>
      </c>
    </row>
    <row r="287" spans="1:10" x14ac:dyDescent="0.25">
      <c r="A287" s="9" t="s">
        <v>379</v>
      </c>
      <c r="B287" s="10">
        <v>2</v>
      </c>
      <c r="D287" t="s">
        <v>864</v>
      </c>
      <c r="E287">
        <v>1</v>
      </c>
      <c r="F287">
        <f t="shared" si="12"/>
        <v>6.2155775398999025E-4</v>
      </c>
      <c r="G287">
        <f t="shared" si="14"/>
        <v>0.69508803628700189</v>
      </c>
      <c r="H287" t="str">
        <f t="shared" si="13"/>
        <v>A</v>
      </c>
      <c r="I287" t="str">
        <f>VLOOKUP(D287,'СУММА ПРОДАЖ'!J:N, 5, FALSE)</f>
        <v>C</v>
      </c>
      <c r="J287" t="str">
        <f>VLOOKUP(D287, 'МЕСЯЧНАЯ ОБОР.'!$V$4:$W$806, 2, FALSE)</f>
        <v>A</v>
      </c>
    </row>
    <row r="288" spans="1:10" x14ac:dyDescent="0.25">
      <c r="A288" s="9" t="s">
        <v>992</v>
      </c>
      <c r="B288" s="10">
        <v>1</v>
      </c>
      <c r="D288" t="s">
        <v>1076</v>
      </c>
      <c r="E288">
        <v>1</v>
      </c>
      <c r="F288">
        <f t="shared" si="12"/>
        <v>6.2155775398999025E-4</v>
      </c>
      <c r="G288">
        <f t="shared" si="14"/>
        <v>0.69570959404099186</v>
      </c>
      <c r="H288" t="str">
        <f t="shared" si="13"/>
        <v>A</v>
      </c>
      <c r="I288" t="str">
        <f>VLOOKUP(D288,'СУММА ПРОДАЖ'!J:N, 5, FALSE)</f>
        <v>A</v>
      </c>
      <c r="J288" t="str">
        <f>VLOOKUP(D288, 'МЕСЯЧНАЯ ОБОР.'!$V$4:$W$806, 2, FALSE)</f>
        <v>A</v>
      </c>
    </row>
    <row r="289" spans="1:10" x14ac:dyDescent="0.25">
      <c r="A289" s="9" t="s">
        <v>926</v>
      </c>
      <c r="B289" s="10">
        <v>1</v>
      </c>
      <c r="D289" t="s">
        <v>961</v>
      </c>
      <c r="E289">
        <v>1</v>
      </c>
      <c r="F289">
        <f t="shared" si="12"/>
        <v>6.2155775398999025E-4</v>
      </c>
      <c r="G289">
        <f t="shared" si="14"/>
        <v>0.69633115179498184</v>
      </c>
      <c r="H289" t="str">
        <f t="shared" si="13"/>
        <v>A</v>
      </c>
      <c r="I289" t="str">
        <f>VLOOKUP(D289,'СУММА ПРОДАЖ'!J:N, 5, FALSE)</f>
        <v>A</v>
      </c>
      <c r="J289" t="str">
        <f>VLOOKUP(D289, 'МЕСЯЧНАЯ ОБОР.'!$V$4:$W$806, 2, FALSE)</f>
        <v>A</v>
      </c>
    </row>
    <row r="290" spans="1:10" x14ac:dyDescent="0.25">
      <c r="A290" s="9" t="s">
        <v>1022</v>
      </c>
      <c r="B290" s="10">
        <v>1</v>
      </c>
      <c r="D290" t="s">
        <v>861</v>
      </c>
      <c r="E290">
        <v>1</v>
      </c>
      <c r="F290">
        <f t="shared" si="12"/>
        <v>6.2155775398999025E-4</v>
      </c>
      <c r="G290">
        <f t="shared" si="14"/>
        <v>0.69695270954897182</v>
      </c>
      <c r="H290" t="str">
        <f t="shared" si="13"/>
        <v>A</v>
      </c>
      <c r="I290" t="str">
        <f>VLOOKUP(D290,'СУММА ПРОДАЖ'!J:N, 5, FALSE)</f>
        <v>B</v>
      </c>
      <c r="J290" t="str">
        <f>VLOOKUP(D290, 'МЕСЯЧНАЯ ОБОР.'!$V$4:$W$806, 2, FALSE)</f>
        <v>A</v>
      </c>
    </row>
    <row r="291" spans="1:10" x14ac:dyDescent="0.25">
      <c r="A291" s="9" t="s">
        <v>976</v>
      </c>
      <c r="B291" s="10">
        <v>5</v>
      </c>
      <c r="D291" t="s">
        <v>894</v>
      </c>
      <c r="E291">
        <v>1</v>
      </c>
      <c r="F291">
        <f t="shared" si="12"/>
        <v>6.2155775398999025E-4</v>
      </c>
      <c r="G291">
        <f t="shared" si="14"/>
        <v>0.69757426730296179</v>
      </c>
      <c r="H291" t="str">
        <f t="shared" si="13"/>
        <v>A</v>
      </c>
      <c r="I291" t="str">
        <f>VLOOKUP(D291,'СУММА ПРОДАЖ'!J:N, 5, FALSE)</f>
        <v>A</v>
      </c>
      <c r="J291" t="str">
        <f>VLOOKUP(D291, 'МЕСЯЧНАЯ ОБОР.'!$V$4:$W$806, 2, FALSE)</f>
        <v>A</v>
      </c>
    </row>
    <row r="292" spans="1:10" x14ac:dyDescent="0.25">
      <c r="A292" s="9" t="s">
        <v>137</v>
      </c>
      <c r="B292" s="10">
        <v>2</v>
      </c>
      <c r="D292" t="s">
        <v>541</v>
      </c>
      <c r="E292">
        <v>1</v>
      </c>
      <c r="F292">
        <f t="shared" si="12"/>
        <v>6.2155775398999025E-4</v>
      </c>
      <c r="G292">
        <f t="shared" si="14"/>
        <v>0.69819582505695177</v>
      </c>
      <c r="H292" t="str">
        <f t="shared" si="13"/>
        <v>A</v>
      </c>
      <c r="I292" t="str">
        <f>VLOOKUP(D292,'СУММА ПРОДАЖ'!J:N, 5, FALSE)</f>
        <v>A</v>
      </c>
      <c r="J292" t="str">
        <f>VLOOKUP(D292, 'МЕСЯЧНАЯ ОБОР.'!$V$4:$W$806, 2, FALSE)</f>
        <v>A</v>
      </c>
    </row>
    <row r="293" spans="1:10" x14ac:dyDescent="0.25">
      <c r="A293" s="9" t="s">
        <v>1182</v>
      </c>
      <c r="B293" s="10">
        <v>2</v>
      </c>
      <c r="D293" t="s">
        <v>902</v>
      </c>
      <c r="E293">
        <v>1</v>
      </c>
      <c r="F293">
        <f t="shared" si="12"/>
        <v>6.2155775398999025E-4</v>
      </c>
      <c r="G293">
        <f t="shared" si="14"/>
        <v>0.69881738281094175</v>
      </c>
      <c r="H293" t="str">
        <f t="shared" si="13"/>
        <v>A</v>
      </c>
      <c r="I293" t="str">
        <f>VLOOKUP(D293,'СУММА ПРОДАЖ'!J:N, 5, FALSE)</f>
        <v>B</v>
      </c>
      <c r="J293" t="str">
        <f>VLOOKUP(D293, 'МЕСЯЧНАЯ ОБОР.'!$V$4:$W$806, 2, FALSE)</f>
        <v>A</v>
      </c>
    </row>
    <row r="294" spans="1:10" x14ac:dyDescent="0.25">
      <c r="A294" s="9" t="s">
        <v>775</v>
      </c>
      <c r="B294" s="10">
        <v>1</v>
      </c>
      <c r="D294" t="s">
        <v>478</v>
      </c>
      <c r="E294">
        <v>1</v>
      </c>
      <c r="F294">
        <f t="shared" si="12"/>
        <v>6.2155775398999025E-4</v>
      </c>
      <c r="G294">
        <f t="shared" si="14"/>
        <v>0.69943894056493172</v>
      </c>
      <c r="H294" t="str">
        <f t="shared" si="13"/>
        <v>A</v>
      </c>
      <c r="I294" t="str">
        <f>VLOOKUP(D294,'СУММА ПРОДАЖ'!J:N, 5, FALSE)</f>
        <v>C</v>
      </c>
      <c r="J294" t="str">
        <f>VLOOKUP(D294, 'МЕСЯЧНАЯ ОБОР.'!$V$4:$W$806, 2, FALSE)</f>
        <v>A</v>
      </c>
    </row>
    <row r="295" spans="1:10" x14ac:dyDescent="0.25">
      <c r="A295" s="9" t="s">
        <v>67</v>
      </c>
      <c r="B295" s="10">
        <v>1</v>
      </c>
      <c r="D295" t="s">
        <v>529</v>
      </c>
      <c r="E295">
        <v>1</v>
      </c>
      <c r="F295">
        <f t="shared" si="12"/>
        <v>6.2155775398999025E-4</v>
      </c>
      <c r="G295">
        <f t="shared" si="14"/>
        <v>0.7000604983189217</v>
      </c>
      <c r="H295" t="str">
        <f t="shared" si="13"/>
        <v>A</v>
      </c>
      <c r="I295" t="str">
        <f>VLOOKUP(D295,'СУММА ПРОДАЖ'!J:N, 5, FALSE)</f>
        <v>A</v>
      </c>
      <c r="J295" t="str">
        <f>VLOOKUP(D295, 'МЕСЯЧНАЯ ОБОР.'!$V$4:$W$806, 2, FALSE)</f>
        <v>A</v>
      </c>
    </row>
    <row r="296" spans="1:10" x14ac:dyDescent="0.25">
      <c r="A296" s="9" t="s">
        <v>666</v>
      </c>
      <c r="B296" s="10">
        <v>1</v>
      </c>
      <c r="D296" t="s">
        <v>1203</v>
      </c>
      <c r="E296">
        <v>1</v>
      </c>
      <c r="F296">
        <f t="shared" si="12"/>
        <v>6.2155775398999025E-4</v>
      </c>
      <c r="G296">
        <f t="shared" si="14"/>
        <v>0.70068205607291167</v>
      </c>
      <c r="H296" t="str">
        <f t="shared" si="13"/>
        <v>A</v>
      </c>
      <c r="I296" t="str">
        <f>VLOOKUP(D296,'СУММА ПРОДАЖ'!J:N, 5, FALSE)</f>
        <v>A</v>
      </c>
      <c r="J296" t="str">
        <f>VLOOKUP(D296, 'МЕСЯЧНАЯ ОБОР.'!$V$4:$W$806, 2, FALSE)</f>
        <v>A</v>
      </c>
    </row>
    <row r="297" spans="1:10" x14ac:dyDescent="0.25">
      <c r="A297" s="9" t="s">
        <v>1185</v>
      </c>
      <c r="B297" s="10">
        <v>2</v>
      </c>
      <c r="D297" t="s">
        <v>675</v>
      </c>
      <c r="E297">
        <v>1</v>
      </c>
      <c r="F297">
        <f t="shared" si="12"/>
        <v>6.2155775398999025E-4</v>
      </c>
      <c r="G297">
        <f t="shared" si="14"/>
        <v>0.70130361382690165</v>
      </c>
      <c r="H297" t="str">
        <f t="shared" si="13"/>
        <v>A</v>
      </c>
      <c r="I297" t="str">
        <f>VLOOKUP(D297,'СУММА ПРОДАЖ'!J:N, 5, FALSE)</f>
        <v>A</v>
      </c>
      <c r="J297" t="str">
        <f>VLOOKUP(D297, 'МЕСЯЧНАЯ ОБОР.'!$V$4:$W$806, 2, FALSE)</f>
        <v>A</v>
      </c>
    </row>
    <row r="298" spans="1:10" x14ac:dyDescent="0.25">
      <c r="A298" s="9" t="s">
        <v>378</v>
      </c>
      <c r="B298" s="10">
        <v>2</v>
      </c>
      <c r="D298" t="s">
        <v>984</v>
      </c>
      <c r="E298">
        <v>1</v>
      </c>
      <c r="F298">
        <f t="shared" si="12"/>
        <v>6.2155775398999025E-4</v>
      </c>
      <c r="G298">
        <f t="shared" si="14"/>
        <v>0.70192517158089163</v>
      </c>
      <c r="H298" t="str">
        <f t="shared" si="13"/>
        <v>A</v>
      </c>
      <c r="I298" t="str">
        <f>VLOOKUP(D298,'СУММА ПРОДАЖ'!J:N, 5, FALSE)</f>
        <v>B</v>
      </c>
      <c r="J298" t="str">
        <f>VLOOKUP(D298, 'МЕСЯЧНАЯ ОБОР.'!$V$4:$W$806, 2, FALSE)</f>
        <v>A</v>
      </c>
    </row>
    <row r="299" spans="1:10" x14ac:dyDescent="0.25">
      <c r="A299" s="9" t="s">
        <v>384</v>
      </c>
      <c r="B299" s="10">
        <v>1</v>
      </c>
      <c r="D299" t="s">
        <v>618</v>
      </c>
      <c r="E299">
        <v>1</v>
      </c>
      <c r="F299">
        <f t="shared" si="12"/>
        <v>6.2155775398999025E-4</v>
      </c>
      <c r="G299">
        <f t="shared" si="14"/>
        <v>0.7025467293348816</v>
      </c>
      <c r="H299" t="str">
        <f t="shared" si="13"/>
        <v>A</v>
      </c>
      <c r="I299" t="str">
        <f>VLOOKUP(D299,'СУММА ПРОДАЖ'!J:N, 5, FALSE)</f>
        <v>A</v>
      </c>
      <c r="J299" t="str">
        <f>VLOOKUP(D299, 'МЕСЯЧНАЯ ОБОР.'!$V$4:$W$806, 2, FALSE)</f>
        <v>A</v>
      </c>
    </row>
    <row r="300" spans="1:10" x14ac:dyDescent="0.25">
      <c r="A300" s="9" t="s">
        <v>854</v>
      </c>
      <c r="B300" s="10">
        <v>2</v>
      </c>
      <c r="D300" t="s">
        <v>910</v>
      </c>
      <c r="E300">
        <v>1</v>
      </c>
      <c r="F300">
        <f t="shared" si="12"/>
        <v>6.2155775398999025E-4</v>
      </c>
      <c r="G300">
        <f t="shared" si="14"/>
        <v>0.70316828708887158</v>
      </c>
      <c r="H300" t="str">
        <f t="shared" si="13"/>
        <v>A</v>
      </c>
      <c r="I300" t="str">
        <f>VLOOKUP(D300,'СУММА ПРОДАЖ'!J:N, 5, FALSE)</f>
        <v>C</v>
      </c>
      <c r="J300" t="str">
        <f>VLOOKUP(D300, 'МЕСЯЧНАЯ ОБОР.'!$V$4:$W$806, 2, FALSE)</f>
        <v>A</v>
      </c>
    </row>
    <row r="301" spans="1:10" x14ac:dyDescent="0.25">
      <c r="A301" s="9" t="s">
        <v>886</v>
      </c>
      <c r="B301" s="10">
        <v>1</v>
      </c>
      <c r="D301" t="s">
        <v>955</v>
      </c>
      <c r="E301">
        <v>1</v>
      </c>
      <c r="F301">
        <f t="shared" si="12"/>
        <v>6.2155775398999025E-4</v>
      </c>
      <c r="G301">
        <f t="shared" si="14"/>
        <v>0.70378984484286156</v>
      </c>
      <c r="H301" t="str">
        <f t="shared" si="13"/>
        <v>A</v>
      </c>
      <c r="I301" t="str">
        <f>VLOOKUP(D301,'СУММА ПРОДАЖ'!J:N, 5, FALSE)</f>
        <v>C</v>
      </c>
      <c r="J301" t="str">
        <f>VLOOKUP(D301, 'МЕСЯЧНАЯ ОБОР.'!$V$4:$W$806, 2, FALSE)</f>
        <v>A</v>
      </c>
    </row>
    <row r="302" spans="1:10" x14ac:dyDescent="0.25">
      <c r="A302" s="9" t="s">
        <v>779</v>
      </c>
      <c r="B302" s="10">
        <v>2</v>
      </c>
      <c r="D302" t="s">
        <v>884</v>
      </c>
      <c r="E302">
        <v>1</v>
      </c>
      <c r="F302">
        <f t="shared" si="12"/>
        <v>6.2155775398999025E-4</v>
      </c>
      <c r="G302">
        <f t="shared" si="14"/>
        <v>0.70441140259685153</v>
      </c>
      <c r="H302" t="str">
        <f t="shared" si="13"/>
        <v>A</v>
      </c>
      <c r="I302" t="str">
        <f>VLOOKUP(D302,'СУММА ПРОДАЖ'!J:N, 5, FALSE)</f>
        <v>C</v>
      </c>
      <c r="J302" t="str">
        <f>VLOOKUP(D302, 'МЕСЯЧНАЯ ОБОР.'!$V$4:$W$806, 2, FALSE)</f>
        <v>A</v>
      </c>
    </row>
    <row r="303" spans="1:10" x14ac:dyDescent="0.25">
      <c r="A303" s="9" t="s">
        <v>972</v>
      </c>
      <c r="B303" s="10">
        <v>2</v>
      </c>
      <c r="D303" t="s">
        <v>475</v>
      </c>
      <c r="E303">
        <v>1</v>
      </c>
      <c r="F303">
        <f t="shared" si="12"/>
        <v>6.2155775398999025E-4</v>
      </c>
      <c r="G303">
        <f t="shared" si="14"/>
        <v>0.70503296035084151</v>
      </c>
      <c r="H303" t="str">
        <f t="shared" si="13"/>
        <v>A</v>
      </c>
      <c r="I303" t="str">
        <f>VLOOKUP(D303,'СУММА ПРОДАЖ'!J:N, 5, FALSE)</f>
        <v>A</v>
      </c>
      <c r="J303" t="str">
        <f>VLOOKUP(D303, 'МЕСЯЧНАЯ ОБОР.'!$V$4:$W$806, 2, FALSE)</f>
        <v>A</v>
      </c>
    </row>
    <row r="304" spans="1:10" x14ac:dyDescent="0.25">
      <c r="A304" s="9" t="s">
        <v>198</v>
      </c>
      <c r="B304" s="10">
        <v>2</v>
      </c>
      <c r="D304" t="s">
        <v>604</v>
      </c>
      <c r="E304">
        <v>1</v>
      </c>
      <c r="F304">
        <f t="shared" si="12"/>
        <v>6.2155775398999025E-4</v>
      </c>
      <c r="G304">
        <f t="shared" si="14"/>
        <v>0.70565451810483149</v>
      </c>
      <c r="H304" t="str">
        <f t="shared" si="13"/>
        <v>A</v>
      </c>
      <c r="I304" t="str">
        <f>VLOOKUP(D304,'СУММА ПРОДАЖ'!J:N, 5, FALSE)</f>
        <v>A</v>
      </c>
      <c r="J304" t="str">
        <f>VLOOKUP(D304, 'МЕСЯЧНАЯ ОБОР.'!$V$4:$W$806, 2, FALSE)</f>
        <v>A</v>
      </c>
    </row>
    <row r="305" spans="1:10" x14ac:dyDescent="0.25">
      <c r="A305" s="9" t="s">
        <v>1070</v>
      </c>
      <c r="B305" s="10">
        <v>1</v>
      </c>
      <c r="D305" t="s">
        <v>470</v>
      </c>
      <c r="E305">
        <v>1</v>
      </c>
      <c r="F305">
        <f t="shared" si="12"/>
        <v>6.2155775398999025E-4</v>
      </c>
      <c r="G305">
        <f t="shared" si="14"/>
        <v>0.70627607585882146</v>
      </c>
      <c r="H305" t="str">
        <f t="shared" si="13"/>
        <v>A</v>
      </c>
      <c r="I305" t="str">
        <f>VLOOKUP(D305,'СУММА ПРОДАЖ'!J:N, 5, FALSE)</f>
        <v>A</v>
      </c>
      <c r="J305" t="str">
        <f>VLOOKUP(D305, 'МЕСЯЧНАЯ ОБОР.'!$V$4:$W$806, 2, FALSE)</f>
        <v>A</v>
      </c>
    </row>
    <row r="306" spans="1:10" x14ac:dyDescent="0.25">
      <c r="A306" s="9" t="s">
        <v>1100</v>
      </c>
      <c r="B306" s="10">
        <v>1</v>
      </c>
      <c r="D306" t="s">
        <v>737</v>
      </c>
      <c r="E306">
        <v>1</v>
      </c>
      <c r="F306">
        <f t="shared" si="12"/>
        <v>6.2155775398999025E-4</v>
      </c>
      <c r="G306">
        <f t="shared" si="14"/>
        <v>0.70689763361281144</v>
      </c>
      <c r="H306" t="str">
        <f t="shared" si="13"/>
        <v>A</v>
      </c>
      <c r="I306" t="str">
        <f>VLOOKUP(D306,'СУММА ПРОДАЖ'!J:N, 5, FALSE)</f>
        <v>C</v>
      </c>
      <c r="J306" t="str">
        <f>VLOOKUP(D306, 'МЕСЯЧНАЯ ОБОР.'!$V$4:$W$806, 2, FALSE)</f>
        <v>A</v>
      </c>
    </row>
    <row r="307" spans="1:10" x14ac:dyDescent="0.25">
      <c r="A307" s="9" t="s">
        <v>1177</v>
      </c>
      <c r="B307" s="10">
        <v>1</v>
      </c>
      <c r="D307" t="s">
        <v>441</v>
      </c>
      <c r="E307">
        <v>1</v>
      </c>
      <c r="F307">
        <f t="shared" si="12"/>
        <v>6.2155775398999025E-4</v>
      </c>
      <c r="G307">
        <f t="shared" si="14"/>
        <v>0.70751919136680141</v>
      </c>
      <c r="H307" t="str">
        <f t="shared" si="13"/>
        <v>A</v>
      </c>
      <c r="I307" t="str">
        <f>VLOOKUP(D307,'СУММА ПРОДАЖ'!J:N, 5, FALSE)</f>
        <v>B</v>
      </c>
      <c r="J307" t="str">
        <f>VLOOKUP(D307, 'МЕСЯЧНАЯ ОБОР.'!$V$4:$W$806, 2, FALSE)</f>
        <v>A</v>
      </c>
    </row>
    <row r="308" spans="1:10" x14ac:dyDescent="0.25">
      <c r="A308" s="9" t="s">
        <v>1119</v>
      </c>
      <c r="B308" s="10">
        <v>1</v>
      </c>
      <c r="D308" t="s">
        <v>1167</v>
      </c>
      <c r="E308">
        <v>1</v>
      </c>
      <c r="F308">
        <f t="shared" si="12"/>
        <v>6.2155775398999025E-4</v>
      </c>
      <c r="G308">
        <f t="shared" si="14"/>
        <v>0.70814074912079139</v>
      </c>
      <c r="H308" t="str">
        <f t="shared" si="13"/>
        <v>A</v>
      </c>
      <c r="I308" t="str">
        <f>VLOOKUP(D308,'СУММА ПРОДАЖ'!J:N, 5, FALSE)</f>
        <v>C</v>
      </c>
      <c r="J308" t="str">
        <f>VLOOKUP(D308, 'МЕСЯЧНАЯ ОБОР.'!$V$4:$W$806, 2, FALSE)</f>
        <v>A</v>
      </c>
    </row>
    <row r="309" spans="1:10" x14ac:dyDescent="0.25">
      <c r="A309" s="9" t="s">
        <v>140</v>
      </c>
      <c r="B309" s="10">
        <v>12</v>
      </c>
      <c r="D309" t="s">
        <v>727</v>
      </c>
      <c r="E309">
        <v>1</v>
      </c>
      <c r="F309">
        <f t="shared" si="12"/>
        <v>6.2155775398999025E-4</v>
      </c>
      <c r="G309">
        <f t="shared" si="14"/>
        <v>0.70876230687478137</v>
      </c>
      <c r="H309" t="str">
        <f t="shared" si="13"/>
        <v>A</v>
      </c>
      <c r="I309" t="str">
        <f>VLOOKUP(D309,'СУММА ПРОДАЖ'!J:N, 5, FALSE)</f>
        <v>B</v>
      </c>
      <c r="J309" t="str">
        <f>VLOOKUP(D309, 'МЕСЯЧНАЯ ОБОР.'!$V$4:$W$806, 2, FALSE)</f>
        <v>A</v>
      </c>
    </row>
    <row r="310" spans="1:10" x14ac:dyDescent="0.25">
      <c r="A310" s="9" t="s">
        <v>991</v>
      </c>
      <c r="B310" s="10">
        <v>2</v>
      </c>
      <c r="D310" t="s">
        <v>504</v>
      </c>
      <c r="E310">
        <v>1</v>
      </c>
      <c r="F310">
        <f t="shared" si="12"/>
        <v>6.2155775398999025E-4</v>
      </c>
      <c r="G310">
        <f t="shared" si="14"/>
        <v>0.70938386462877134</v>
      </c>
      <c r="H310" t="str">
        <f t="shared" si="13"/>
        <v>A</v>
      </c>
      <c r="I310" t="str">
        <f>VLOOKUP(D310,'СУММА ПРОДАЖ'!J:N, 5, FALSE)</f>
        <v>C</v>
      </c>
      <c r="J310" t="str">
        <f>VLOOKUP(D310, 'МЕСЯЧНАЯ ОБОР.'!$V$4:$W$806, 2, FALSE)</f>
        <v>A</v>
      </c>
    </row>
    <row r="311" spans="1:10" x14ac:dyDescent="0.25">
      <c r="A311" s="9" t="s">
        <v>458</v>
      </c>
      <c r="B311" s="10">
        <v>1</v>
      </c>
      <c r="D311" t="s">
        <v>596</v>
      </c>
      <c r="E311">
        <v>1</v>
      </c>
      <c r="F311">
        <f t="shared" si="12"/>
        <v>6.2155775398999025E-4</v>
      </c>
      <c r="G311">
        <f t="shared" si="14"/>
        <v>0.71000542238276132</v>
      </c>
      <c r="H311" t="str">
        <f t="shared" si="13"/>
        <v>A</v>
      </c>
      <c r="I311" t="str">
        <f>VLOOKUP(D311,'СУММА ПРОДАЖ'!J:N, 5, FALSE)</f>
        <v>B</v>
      </c>
      <c r="J311" t="str">
        <f>VLOOKUP(D311, 'МЕСЯЧНАЯ ОБОР.'!$V$4:$W$806, 2, FALSE)</f>
        <v>A</v>
      </c>
    </row>
    <row r="312" spans="1:10" x14ac:dyDescent="0.25">
      <c r="A312" s="9" t="s">
        <v>858</v>
      </c>
      <c r="B312" s="10">
        <v>2</v>
      </c>
      <c r="D312" t="s">
        <v>674</v>
      </c>
      <c r="E312">
        <v>1</v>
      </c>
      <c r="F312">
        <f t="shared" si="12"/>
        <v>6.2155775398999025E-4</v>
      </c>
      <c r="G312">
        <f t="shared" si="14"/>
        <v>0.7106269801367513</v>
      </c>
      <c r="H312" t="str">
        <f t="shared" si="13"/>
        <v>A</v>
      </c>
      <c r="I312" t="str">
        <f>VLOOKUP(D312,'СУММА ПРОДАЖ'!J:N, 5, FALSE)</f>
        <v>C</v>
      </c>
      <c r="J312" t="str">
        <f>VLOOKUP(D312, 'МЕСЯЧНАЯ ОБОР.'!$V$4:$W$806, 2, FALSE)</f>
        <v>A</v>
      </c>
    </row>
    <row r="313" spans="1:10" x14ac:dyDescent="0.25">
      <c r="A313" s="9" t="s">
        <v>838</v>
      </c>
      <c r="B313" s="10">
        <v>1</v>
      </c>
      <c r="D313" t="s">
        <v>938</v>
      </c>
      <c r="E313">
        <v>1</v>
      </c>
      <c r="F313">
        <f t="shared" si="12"/>
        <v>6.2155775398999025E-4</v>
      </c>
      <c r="G313">
        <f t="shared" si="14"/>
        <v>0.71124853789074127</v>
      </c>
      <c r="H313" t="str">
        <f t="shared" si="13"/>
        <v>A</v>
      </c>
      <c r="I313" t="str">
        <f>VLOOKUP(D313,'СУММА ПРОДАЖ'!J:N, 5, FALSE)</f>
        <v>C</v>
      </c>
      <c r="J313" t="str">
        <f>VLOOKUP(D313, 'МЕСЯЧНАЯ ОБОР.'!$V$4:$W$806, 2, FALSE)</f>
        <v>A</v>
      </c>
    </row>
    <row r="314" spans="1:10" x14ac:dyDescent="0.25">
      <c r="A314" s="9" t="s">
        <v>108</v>
      </c>
      <c r="B314" s="10">
        <v>1</v>
      </c>
      <c r="D314" t="s">
        <v>419</v>
      </c>
      <c r="E314">
        <v>1</v>
      </c>
      <c r="F314">
        <f t="shared" si="12"/>
        <v>6.2155775398999025E-4</v>
      </c>
      <c r="G314">
        <f t="shared" si="14"/>
        <v>0.71187009564473125</v>
      </c>
      <c r="H314" t="str">
        <f t="shared" si="13"/>
        <v>A</v>
      </c>
      <c r="I314" t="str">
        <f>VLOOKUP(D314,'СУММА ПРОДАЖ'!J:N, 5, FALSE)</f>
        <v>C</v>
      </c>
      <c r="J314" t="str">
        <f>VLOOKUP(D314, 'МЕСЯЧНАЯ ОБОР.'!$V$4:$W$806, 2, FALSE)</f>
        <v>A</v>
      </c>
    </row>
    <row r="315" spans="1:10" x14ac:dyDescent="0.25">
      <c r="A315" s="9" t="s">
        <v>411</v>
      </c>
      <c r="B315" s="10">
        <v>1</v>
      </c>
      <c r="D315" t="s">
        <v>369</v>
      </c>
      <c r="E315">
        <v>1</v>
      </c>
      <c r="F315">
        <f t="shared" si="12"/>
        <v>6.2155775398999025E-4</v>
      </c>
      <c r="G315">
        <f t="shared" si="14"/>
        <v>0.71249165339872123</v>
      </c>
      <c r="H315" t="str">
        <f t="shared" si="13"/>
        <v>A</v>
      </c>
      <c r="I315" t="str">
        <f>VLOOKUP(D315,'СУММА ПРОДАЖ'!J:N, 5, FALSE)</f>
        <v>A</v>
      </c>
      <c r="J315" t="str">
        <f>VLOOKUP(D315, 'МЕСЯЧНАЯ ОБОР.'!$V$4:$W$806, 2, FALSE)</f>
        <v>A</v>
      </c>
    </row>
    <row r="316" spans="1:10" x14ac:dyDescent="0.25">
      <c r="A316" s="9" t="s">
        <v>436</v>
      </c>
      <c r="B316" s="10">
        <v>1</v>
      </c>
      <c r="D316" t="s">
        <v>513</v>
      </c>
      <c r="E316">
        <v>1</v>
      </c>
      <c r="F316">
        <f t="shared" si="12"/>
        <v>6.2155775398999025E-4</v>
      </c>
      <c r="G316">
        <f t="shared" si="14"/>
        <v>0.7131132111527112</v>
      </c>
      <c r="H316" t="str">
        <f t="shared" si="13"/>
        <v>A</v>
      </c>
      <c r="I316" t="str">
        <f>VLOOKUP(D316,'СУММА ПРОДАЖ'!J:N, 5, FALSE)</f>
        <v>B</v>
      </c>
      <c r="J316" t="str">
        <f>VLOOKUP(D316, 'МЕСЯЧНАЯ ОБОР.'!$V$4:$W$806, 2, FALSE)</f>
        <v>A</v>
      </c>
    </row>
    <row r="317" spans="1:10" x14ac:dyDescent="0.25">
      <c r="A317" s="9" t="s">
        <v>408</v>
      </c>
      <c r="B317" s="10">
        <v>6</v>
      </c>
      <c r="D317" t="s">
        <v>456</v>
      </c>
      <c r="E317">
        <v>1</v>
      </c>
      <c r="F317">
        <f t="shared" si="12"/>
        <v>6.2155775398999025E-4</v>
      </c>
      <c r="G317">
        <f t="shared" si="14"/>
        <v>0.71373476890670118</v>
      </c>
      <c r="H317" t="str">
        <f t="shared" si="13"/>
        <v>A</v>
      </c>
      <c r="I317" t="str">
        <f>VLOOKUP(D317,'СУММА ПРОДАЖ'!J:N, 5, FALSE)</f>
        <v>C</v>
      </c>
      <c r="J317" t="str">
        <f>VLOOKUP(D317, 'МЕСЯЧНАЯ ОБОР.'!$V$4:$W$806, 2, FALSE)</f>
        <v>A</v>
      </c>
    </row>
    <row r="318" spans="1:10" x14ac:dyDescent="0.25">
      <c r="A318" s="9" t="s">
        <v>1155</v>
      </c>
      <c r="B318" s="10">
        <v>1</v>
      </c>
      <c r="D318" t="s">
        <v>832</v>
      </c>
      <c r="E318">
        <v>1</v>
      </c>
      <c r="F318">
        <f t="shared" si="12"/>
        <v>6.2155775398999025E-4</v>
      </c>
      <c r="G318">
        <f t="shared" si="14"/>
        <v>0.71435632666069115</v>
      </c>
      <c r="H318" t="str">
        <f t="shared" si="13"/>
        <v>A</v>
      </c>
      <c r="I318" t="str">
        <f>VLOOKUP(D318,'СУММА ПРОДАЖ'!J:N, 5, FALSE)</f>
        <v>C</v>
      </c>
      <c r="J318" t="str">
        <f>VLOOKUP(D318, 'МЕСЯЧНАЯ ОБОР.'!$V$4:$W$806, 2, FALSE)</f>
        <v>A</v>
      </c>
    </row>
    <row r="319" spans="1:10" x14ac:dyDescent="0.25">
      <c r="A319" s="9" t="s">
        <v>1154</v>
      </c>
      <c r="B319" s="10">
        <v>1</v>
      </c>
      <c r="D319" t="s">
        <v>545</v>
      </c>
      <c r="E319">
        <v>1</v>
      </c>
      <c r="F319">
        <f t="shared" si="12"/>
        <v>6.2155775398999025E-4</v>
      </c>
      <c r="G319">
        <f t="shared" si="14"/>
        <v>0.71497788441468113</v>
      </c>
      <c r="H319" t="str">
        <f t="shared" si="13"/>
        <v>A</v>
      </c>
      <c r="I319" t="str">
        <f>VLOOKUP(D319,'СУММА ПРОДАЖ'!J:N, 5, FALSE)</f>
        <v>B</v>
      </c>
      <c r="J319" t="str">
        <f>VLOOKUP(D319, 'МЕСЯЧНАЯ ОБОР.'!$V$4:$W$806, 2, FALSE)</f>
        <v>A</v>
      </c>
    </row>
    <row r="320" spans="1:10" x14ac:dyDescent="0.25">
      <c r="A320" s="9" t="s">
        <v>769</v>
      </c>
      <c r="B320" s="10">
        <v>1</v>
      </c>
      <c r="D320" t="s">
        <v>524</v>
      </c>
      <c r="E320">
        <v>1</v>
      </c>
      <c r="F320">
        <f t="shared" si="12"/>
        <v>6.2155775398999025E-4</v>
      </c>
      <c r="G320">
        <f t="shared" si="14"/>
        <v>0.71559944216867111</v>
      </c>
      <c r="H320" t="str">
        <f t="shared" si="13"/>
        <v>A</v>
      </c>
      <c r="I320" t="str">
        <f>VLOOKUP(D320,'СУММА ПРОДАЖ'!J:N, 5, FALSE)</f>
        <v>A</v>
      </c>
      <c r="J320" t="str">
        <f>VLOOKUP(D320, 'МЕСЯЧНАЯ ОБОР.'!$V$4:$W$806, 2, FALSE)</f>
        <v>A</v>
      </c>
    </row>
    <row r="321" spans="1:10" x14ac:dyDescent="0.25">
      <c r="A321" s="9" t="s">
        <v>840</v>
      </c>
      <c r="B321" s="10">
        <v>1</v>
      </c>
      <c r="D321" t="s">
        <v>167</v>
      </c>
      <c r="E321">
        <v>1</v>
      </c>
      <c r="F321">
        <f t="shared" si="12"/>
        <v>6.2155775398999025E-4</v>
      </c>
      <c r="G321">
        <f t="shared" si="14"/>
        <v>0.71622099992266108</v>
      </c>
      <c r="H321" t="str">
        <f t="shared" si="13"/>
        <v>A</v>
      </c>
      <c r="I321" t="str">
        <f>VLOOKUP(D321,'СУММА ПРОДАЖ'!J:N, 5, FALSE)</f>
        <v>A</v>
      </c>
      <c r="J321" t="str">
        <f>VLOOKUP(D321, 'МЕСЯЧНАЯ ОБОР.'!$V$4:$W$806, 2, FALSE)</f>
        <v>A</v>
      </c>
    </row>
    <row r="322" spans="1:10" x14ac:dyDescent="0.25">
      <c r="A322" s="9" t="s">
        <v>689</v>
      </c>
      <c r="B322" s="10">
        <v>2</v>
      </c>
      <c r="D322" t="s">
        <v>767</v>
      </c>
      <c r="E322">
        <v>1</v>
      </c>
      <c r="F322">
        <f t="shared" si="12"/>
        <v>6.2155775398999025E-4</v>
      </c>
      <c r="G322">
        <f t="shared" si="14"/>
        <v>0.71684255767665106</v>
      </c>
      <c r="H322" t="str">
        <f t="shared" si="13"/>
        <v>A</v>
      </c>
      <c r="I322" t="str">
        <f>VLOOKUP(D322,'СУММА ПРОДАЖ'!J:N, 5, FALSE)</f>
        <v>A</v>
      </c>
      <c r="J322" t="str">
        <f>VLOOKUP(D322, 'МЕСЯЧНАЯ ОБОР.'!$V$4:$W$806, 2, FALSE)</f>
        <v>A</v>
      </c>
    </row>
    <row r="323" spans="1:10" x14ac:dyDescent="0.25">
      <c r="A323" s="9" t="s">
        <v>184</v>
      </c>
      <c r="B323" s="10">
        <v>1</v>
      </c>
      <c r="D323" t="s">
        <v>284</v>
      </c>
      <c r="E323">
        <v>1</v>
      </c>
      <c r="F323">
        <f t="shared" si="12"/>
        <v>6.2155775398999025E-4</v>
      </c>
      <c r="G323">
        <f t="shared" si="14"/>
        <v>0.71746411543064104</v>
      </c>
      <c r="H323" t="str">
        <f t="shared" si="13"/>
        <v>A</v>
      </c>
      <c r="I323" t="str">
        <f>VLOOKUP(D323,'СУММА ПРОДАЖ'!J:N, 5, FALSE)</f>
        <v>B</v>
      </c>
      <c r="J323" t="str">
        <f>VLOOKUP(D323, 'МЕСЯЧНАЯ ОБОР.'!$V$4:$W$806, 2, FALSE)</f>
        <v>A</v>
      </c>
    </row>
    <row r="324" spans="1:10" x14ac:dyDescent="0.25">
      <c r="A324" s="9" t="s">
        <v>33</v>
      </c>
      <c r="B324" s="10">
        <v>4</v>
      </c>
      <c r="D324" t="s">
        <v>1147</v>
      </c>
      <c r="E324">
        <v>1</v>
      </c>
      <c r="F324">
        <f t="shared" si="12"/>
        <v>6.2155775398999025E-4</v>
      </c>
      <c r="G324">
        <f t="shared" si="14"/>
        <v>0.71808567318463101</v>
      </c>
      <c r="H324" t="str">
        <f t="shared" si="13"/>
        <v>A</v>
      </c>
      <c r="I324" t="str">
        <f>VLOOKUP(D324,'СУММА ПРОДАЖ'!J:N, 5, FALSE)</f>
        <v>C</v>
      </c>
      <c r="J324" t="str">
        <f>VLOOKUP(D324, 'МЕСЯЧНАЯ ОБОР.'!$V$4:$W$806, 2, FALSE)</f>
        <v>A</v>
      </c>
    </row>
    <row r="325" spans="1:10" x14ac:dyDescent="0.25">
      <c r="A325" s="9" t="s">
        <v>50</v>
      </c>
      <c r="B325" s="10">
        <v>1</v>
      </c>
      <c r="D325" t="s">
        <v>915</v>
      </c>
      <c r="E325">
        <v>1</v>
      </c>
      <c r="F325">
        <f t="shared" ref="F325:F388" si="15">E325/SUM($E$4:$E$806)</f>
        <v>6.2155775398999025E-4</v>
      </c>
      <c r="G325">
        <f t="shared" si="14"/>
        <v>0.71870723093862099</v>
      </c>
      <c r="H325" t="str">
        <f t="shared" ref="H325:H388" si="16">IF(G325&lt;0.8, "A", IF(G325&lt;0.95, "B","C"))</f>
        <v>A</v>
      </c>
      <c r="I325" t="str">
        <f>VLOOKUP(D325,'СУММА ПРОДАЖ'!J:N, 5, FALSE)</f>
        <v>C</v>
      </c>
      <c r="J325" t="str">
        <f>VLOOKUP(D325, 'МЕСЯЧНАЯ ОБОР.'!$V$4:$W$806, 2, FALSE)</f>
        <v>A</v>
      </c>
    </row>
    <row r="326" spans="1:10" x14ac:dyDescent="0.25">
      <c r="A326" s="9" t="s">
        <v>35</v>
      </c>
      <c r="B326" s="10">
        <v>1</v>
      </c>
      <c r="D326" t="s">
        <v>1105</v>
      </c>
      <c r="E326">
        <v>1</v>
      </c>
      <c r="F326">
        <f t="shared" si="15"/>
        <v>6.2155775398999025E-4</v>
      </c>
      <c r="G326">
        <f t="shared" ref="G326:G389" si="17">F326+G325</f>
        <v>0.71932878869261097</v>
      </c>
      <c r="H326" t="str">
        <f t="shared" si="16"/>
        <v>A</v>
      </c>
      <c r="I326" t="str">
        <f>VLOOKUP(D326,'СУММА ПРОДАЖ'!J:N, 5, FALSE)</f>
        <v>C</v>
      </c>
      <c r="J326" t="str">
        <f>VLOOKUP(D326, 'МЕСЯЧНАЯ ОБОР.'!$V$4:$W$806, 2, FALSE)</f>
        <v>A</v>
      </c>
    </row>
    <row r="327" spans="1:10" x14ac:dyDescent="0.25">
      <c r="A327" s="9" t="s">
        <v>1195</v>
      </c>
      <c r="B327" s="10">
        <v>1</v>
      </c>
      <c r="D327" t="s">
        <v>834</v>
      </c>
      <c r="E327">
        <v>1</v>
      </c>
      <c r="F327">
        <f t="shared" si="15"/>
        <v>6.2155775398999025E-4</v>
      </c>
      <c r="G327">
        <f t="shared" si="17"/>
        <v>0.71995034644660094</v>
      </c>
      <c r="H327" t="str">
        <f t="shared" si="16"/>
        <v>A</v>
      </c>
      <c r="I327" t="str">
        <f>VLOOKUP(D327,'СУММА ПРОДАЖ'!J:N, 5, FALSE)</f>
        <v>A</v>
      </c>
      <c r="J327" t="str">
        <f>VLOOKUP(D327, 'МЕСЯЧНАЯ ОБОР.'!$V$4:$W$806, 2, FALSE)</f>
        <v>A</v>
      </c>
    </row>
    <row r="328" spans="1:10" x14ac:dyDescent="0.25">
      <c r="A328" s="9" t="s">
        <v>1146</v>
      </c>
      <c r="B328" s="10">
        <v>1</v>
      </c>
      <c r="D328" t="s">
        <v>835</v>
      </c>
      <c r="E328">
        <v>1</v>
      </c>
      <c r="F328">
        <f t="shared" si="15"/>
        <v>6.2155775398999025E-4</v>
      </c>
      <c r="G328">
        <f t="shared" si="17"/>
        <v>0.72057190420059092</v>
      </c>
      <c r="H328" t="str">
        <f t="shared" si="16"/>
        <v>A</v>
      </c>
      <c r="I328" t="str">
        <f>VLOOKUP(D328,'СУММА ПРОДАЖ'!J:N, 5, FALSE)</f>
        <v>A</v>
      </c>
      <c r="J328" t="str">
        <f>VLOOKUP(D328, 'МЕСЯЧНАЯ ОБОР.'!$V$4:$W$806, 2, FALSE)</f>
        <v>A</v>
      </c>
    </row>
    <row r="329" spans="1:10" x14ac:dyDescent="0.25">
      <c r="A329" s="9" t="s">
        <v>280</v>
      </c>
      <c r="B329" s="10">
        <v>1</v>
      </c>
      <c r="D329" t="s">
        <v>784</v>
      </c>
      <c r="E329">
        <v>1</v>
      </c>
      <c r="F329">
        <f t="shared" si="15"/>
        <v>6.2155775398999025E-4</v>
      </c>
      <c r="G329">
        <f t="shared" si="17"/>
        <v>0.72119346195458089</v>
      </c>
      <c r="H329" t="str">
        <f t="shared" si="16"/>
        <v>A</v>
      </c>
      <c r="I329" t="str">
        <f>VLOOKUP(D329,'СУММА ПРОДАЖ'!J:N, 5, FALSE)</f>
        <v>B</v>
      </c>
      <c r="J329" t="str">
        <f>VLOOKUP(D329, 'МЕСЯЧНАЯ ОБОР.'!$V$4:$W$806, 2, FALSE)</f>
        <v>A</v>
      </c>
    </row>
    <row r="330" spans="1:10" x14ac:dyDescent="0.25">
      <c r="A330" s="9" t="s">
        <v>334</v>
      </c>
      <c r="B330" s="10">
        <v>3</v>
      </c>
      <c r="D330" t="s">
        <v>701</v>
      </c>
      <c r="E330">
        <v>1</v>
      </c>
      <c r="F330">
        <f t="shared" si="15"/>
        <v>6.2155775398999025E-4</v>
      </c>
      <c r="G330">
        <f t="shared" si="17"/>
        <v>0.72181501970857087</v>
      </c>
      <c r="H330" t="str">
        <f t="shared" si="16"/>
        <v>A</v>
      </c>
      <c r="I330" t="str">
        <f>VLOOKUP(D330,'СУММА ПРОДАЖ'!J:N, 5, FALSE)</f>
        <v>B</v>
      </c>
      <c r="J330" t="str">
        <f>VLOOKUP(D330, 'МЕСЯЧНАЯ ОБОР.'!$V$4:$W$806, 2, FALSE)</f>
        <v>A</v>
      </c>
    </row>
    <row r="331" spans="1:10" x14ac:dyDescent="0.25">
      <c r="A331" s="9" t="s">
        <v>933</v>
      </c>
      <c r="B331" s="10">
        <v>1</v>
      </c>
      <c r="D331" t="s">
        <v>38</v>
      </c>
      <c r="E331">
        <v>1</v>
      </c>
      <c r="F331">
        <f t="shared" si="15"/>
        <v>6.2155775398999025E-4</v>
      </c>
      <c r="G331">
        <f t="shared" si="17"/>
        <v>0.72243657746256085</v>
      </c>
      <c r="H331" t="str">
        <f t="shared" si="16"/>
        <v>A</v>
      </c>
      <c r="I331" t="str">
        <f>VLOOKUP(D331,'СУММА ПРОДАЖ'!J:N, 5, FALSE)</f>
        <v>B</v>
      </c>
      <c r="J331" t="str">
        <f>VLOOKUP(D331, 'МЕСЯЧНАЯ ОБОР.'!$V$4:$W$806, 2, FALSE)</f>
        <v>A</v>
      </c>
    </row>
    <row r="332" spans="1:10" x14ac:dyDescent="0.25">
      <c r="A332" s="9" t="s">
        <v>1210</v>
      </c>
      <c r="B332" s="10">
        <v>1</v>
      </c>
      <c r="D332" t="s">
        <v>562</v>
      </c>
      <c r="E332">
        <v>1</v>
      </c>
      <c r="F332">
        <f t="shared" si="15"/>
        <v>6.2155775398999025E-4</v>
      </c>
      <c r="G332">
        <f t="shared" si="17"/>
        <v>0.72305813521655082</v>
      </c>
      <c r="H332" t="str">
        <f t="shared" si="16"/>
        <v>A</v>
      </c>
      <c r="I332" t="str">
        <f>VLOOKUP(D332,'СУММА ПРОДАЖ'!J:N, 5, FALSE)</f>
        <v>A</v>
      </c>
      <c r="J332" t="str">
        <f>VLOOKUP(D332, 'МЕСЯЧНАЯ ОБОР.'!$V$4:$W$806, 2, FALSE)</f>
        <v>A</v>
      </c>
    </row>
    <row r="333" spans="1:10" x14ac:dyDescent="0.25">
      <c r="A333" s="9" t="s">
        <v>277</v>
      </c>
      <c r="B333" s="10">
        <v>2</v>
      </c>
      <c r="D333" t="s">
        <v>708</v>
      </c>
      <c r="E333">
        <v>1</v>
      </c>
      <c r="F333">
        <f t="shared" si="15"/>
        <v>6.2155775398999025E-4</v>
      </c>
      <c r="G333">
        <f t="shared" si="17"/>
        <v>0.7236796929705408</v>
      </c>
      <c r="H333" t="str">
        <f t="shared" si="16"/>
        <v>A</v>
      </c>
      <c r="I333" t="str">
        <f>VLOOKUP(D333,'СУММА ПРОДАЖ'!J:N, 5, FALSE)</f>
        <v>A</v>
      </c>
      <c r="J333" t="str">
        <f>VLOOKUP(D333, 'МЕСЯЧНАЯ ОБОР.'!$V$4:$W$806, 2, FALSE)</f>
        <v>A</v>
      </c>
    </row>
    <row r="334" spans="1:10" x14ac:dyDescent="0.25">
      <c r="A334" s="9" t="s">
        <v>193</v>
      </c>
      <c r="B334" s="10">
        <v>1</v>
      </c>
      <c r="D334" t="s">
        <v>142</v>
      </c>
      <c r="E334">
        <v>1</v>
      </c>
      <c r="F334">
        <f t="shared" si="15"/>
        <v>6.2155775398999025E-4</v>
      </c>
      <c r="G334">
        <f t="shared" si="17"/>
        <v>0.72430125072453078</v>
      </c>
      <c r="H334" t="str">
        <f t="shared" si="16"/>
        <v>A</v>
      </c>
      <c r="I334" t="str">
        <f>VLOOKUP(D334,'СУММА ПРОДАЖ'!J:N, 5, FALSE)</f>
        <v>B</v>
      </c>
      <c r="J334" t="str">
        <f>VLOOKUP(D334, 'МЕСЯЧНАЯ ОБОР.'!$V$4:$W$806, 2, FALSE)</f>
        <v>A</v>
      </c>
    </row>
    <row r="335" spans="1:10" x14ac:dyDescent="0.25">
      <c r="A335" s="9" t="s">
        <v>921</v>
      </c>
      <c r="B335" s="10">
        <v>1</v>
      </c>
      <c r="D335" t="s">
        <v>734</v>
      </c>
      <c r="E335">
        <v>1</v>
      </c>
      <c r="F335">
        <f t="shared" si="15"/>
        <v>6.2155775398999025E-4</v>
      </c>
      <c r="G335">
        <f t="shared" si="17"/>
        <v>0.72492280847852075</v>
      </c>
      <c r="H335" t="str">
        <f t="shared" si="16"/>
        <v>A</v>
      </c>
      <c r="I335" t="str">
        <f>VLOOKUP(D335,'СУММА ПРОДАЖ'!J:N, 5, FALSE)</f>
        <v>C</v>
      </c>
      <c r="J335" t="str">
        <f>VLOOKUP(D335, 'МЕСЯЧНАЯ ОБОР.'!$V$4:$W$806, 2, FALSE)</f>
        <v>A</v>
      </c>
    </row>
    <row r="336" spans="1:10" x14ac:dyDescent="0.25">
      <c r="A336" s="9" t="s">
        <v>554</v>
      </c>
      <c r="B336" s="10">
        <v>1</v>
      </c>
      <c r="D336" t="s">
        <v>1128</v>
      </c>
      <c r="E336">
        <v>1</v>
      </c>
      <c r="F336">
        <f t="shared" si="15"/>
        <v>6.2155775398999025E-4</v>
      </c>
      <c r="G336">
        <f t="shared" si="17"/>
        <v>0.72554436623251073</v>
      </c>
      <c r="H336" t="str">
        <f t="shared" si="16"/>
        <v>A</v>
      </c>
      <c r="I336" t="str">
        <f>VLOOKUP(D336,'СУММА ПРОДАЖ'!J:N, 5, FALSE)</f>
        <v>C</v>
      </c>
      <c r="J336" t="str">
        <f>VLOOKUP(D336, 'МЕСЯЧНАЯ ОБОР.'!$V$4:$W$806, 2, FALSE)</f>
        <v>A</v>
      </c>
    </row>
    <row r="337" spans="1:10" x14ac:dyDescent="0.25">
      <c r="A337" s="9" t="s">
        <v>1153</v>
      </c>
      <c r="B337" s="10">
        <v>1</v>
      </c>
      <c r="D337" t="s">
        <v>1045</v>
      </c>
      <c r="E337">
        <v>1</v>
      </c>
      <c r="F337">
        <f t="shared" si="15"/>
        <v>6.2155775398999025E-4</v>
      </c>
      <c r="G337">
        <f t="shared" si="17"/>
        <v>0.72616592398650071</v>
      </c>
      <c r="H337" t="str">
        <f t="shared" si="16"/>
        <v>A</v>
      </c>
      <c r="I337" t="str">
        <f>VLOOKUP(D337,'СУММА ПРОДАЖ'!J:N, 5, FALSE)</f>
        <v>C</v>
      </c>
      <c r="J337" t="str">
        <f>VLOOKUP(D337, 'МЕСЯЧНАЯ ОБОР.'!$V$4:$W$806, 2, FALSE)</f>
        <v>A</v>
      </c>
    </row>
    <row r="338" spans="1:10" x14ac:dyDescent="0.25">
      <c r="A338" s="9" t="s">
        <v>362</v>
      </c>
      <c r="B338" s="10">
        <v>1</v>
      </c>
      <c r="D338" t="s">
        <v>959</v>
      </c>
      <c r="E338">
        <v>1</v>
      </c>
      <c r="F338">
        <f t="shared" si="15"/>
        <v>6.2155775398999025E-4</v>
      </c>
      <c r="G338">
        <f t="shared" si="17"/>
        <v>0.72678748174049068</v>
      </c>
      <c r="H338" t="str">
        <f t="shared" si="16"/>
        <v>A</v>
      </c>
      <c r="I338" t="str">
        <f>VLOOKUP(D338,'СУММА ПРОДАЖ'!J:N, 5, FALSE)</f>
        <v>B</v>
      </c>
      <c r="J338" t="str">
        <f>VLOOKUP(D338, 'МЕСЯЧНАЯ ОБОР.'!$V$4:$W$806, 2, FALSE)</f>
        <v>A</v>
      </c>
    </row>
    <row r="339" spans="1:10" x14ac:dyDescent="0.25">
      <c r="A339" s="9" t="s">
        <v>153</v>
      </c>
      <c r="B339" s="10">
        <v>9</v>
      </c>
      <c r="D339" t="s">
        <v>1152</v>
      </c>
      <c r="E339">
        <v>1</v>
      </c>
      <c r="F339">
        <f t="shared" si="15"/>
        <v>6.2155775398999025E-4</v>
      </c>
      <c r="G339">
        <f t="shared" si="17"/>
        <v>0.72740903949448066</v>
      </c>
      <c r="H339" t="str">
        <f t="shared" si="16"/>
        <v>A</v>
      </c>
      <c r="I339" t="str">
        <f>VLOOKUP(D339,'СУММА ПРОДАЖ'!J:N, 5, FALSE)</f>
        <v>C</v>
      </c>
      <c r="J339" t="str">
        <f>VLOOKUP(D339, 'МЕСЯЧНАЯ ОБОР.'!$V$4:$W$806, 2, FALSE)</f>
        <v>A</v>
      </c>
    </row>
    <row r="340" spans="1:10" x14ac:dyDescent="0.25">
      <c r="A340" s="9" t="s">
        <v>222</v>
      </c>
      <c r="B340" s="10">
        <v>11</v>
      </c>
      <c r="D340" t="s">
        <v>755</v>
      </c>
      <c r="E340">
        <v>1</v>
      </c>
      <c r="F340">
        <f t="shared" si="15"/>
        <v>6.2155775398999025E-4</v>
      </c>
      <c r="G340">
        <f t="shared" si="17"/>
        <v>0.72803059724847063</v>
      </c>
      <c r="H340" t="str">
        <f t="shared" si="16"/>
        <v>A</v>
      </c>
      <c r="I340" t="str">
        <f>VLOOKUP(D340,'СУММА ПРОДАЖ'!J:N, 5, FALSE)</f>
        <v>B</v>
      </c>
      <c r="J340" t="str">
        <f>VLOOKUP(D340, 'МЕСЯЧНАЯ ОБОР.'!$V$4:$W$806, 2, FALSE)</f>
        <v>A</v>
      </c>
    </row>
    <row r="341" spans="1:10" x14ac:dyDescent="0.25">
      <c r="A341" s="9" t="s">
        <v>437</v>
      </c>
      <c r="B341" s="10">
        <v>2</v>
      </c>
      <c r="D341" t="s">
        <v>634</v>
      </c>
      <c r="E341">
        <v>1</v>
      </c>
      <c r="F341">
        <f t="shared" si="15"/>
        <v>6.2155775398999025E-4</v>
      </c>
      <c r="G341">
        <f t="shared" si="17"/>
        <v>0.72865215500246061</v>
      </c>
      <c r="H341" t="str">
        <f t="shared" si="16"/>
        <v>A</v>
      </c>
      <c r="I341" t="str">
        <f>VLOOKUP(D341,'СУММА ПРОДАЖ'!J:N, 5, FALSE)</f>
        <v>C</v>
      </c>
      <c r="J341" t="str">
        <f>VLOOKUP(D341, 'МЕСЯЧНАЯ ОБОР.'!$V$4:$W$806, 2, FALSE)</f>
        <v>A</v>
      </c>
    </row>
    <row r="342" spans="1:10" x14ac:dyDescent="0.25">
      <c r="A342" s="9" t="s">
        <v>220</v>
      </c>
      <c r="B342" s="10">
        <v>3</v>
      </c>
      <c r="D342" t="s">
        <v>908</v>
      </c>
      <c r="E342">
        <v>1</v>
      </c>
      <c r="F342">
        <f t="shared" si="15"/>
        <v>6.2155775398999025E-4</v>
      </c>
      <c r="G342">
        <f t="shared" si="17"/>
        <v>0.72927371275645059</v>
      </c>
      <c r="H342" t="str">
        <f t="shared" si="16"/>
        <v>A</v>
      </c>
      <c r="I342" t="str">
        <f>VLOOKUP(D342,'СУММА ПРОДАЖ'!J:N, 5, FALSE)</f>
        <v>A</v>
      </c>
      <c r="J342" t="str">
        <f>VLOOKUP(D342, 'МЕСЯЧНАЯ ОБОР.'!$V$4:$W$806, 2, FALSE)</f>
        <v>A</v>
      </c>
    </row>
    <row r="343" spans="1:10" x14ac:dyDescent="0.25">
      <c r="A343" s="9" t="s">
        <v>660</v>
      </c>
      <c r="B343" s="10">
        <v>1</v>
      </c>
      <c r="D343" t="s">
        <v>1126</v>
      </c>
      <c r="E343">
        <v>1</v>
      </c>
      <c r="F343">
        <f t="shared" si="15"/>
        <v>6.2155775398999025E-4</v>
      </c>
      <c r="G343">
        <f t="shared" si="17"/>
        <v>0.72989527051044056</v>
      </c>
      <c r="H343" t="str">
        <f t="shared" si="16"/>
        <v>A</v>
      </c>
      <c r="I343" t="str">
        <f>VLOOKUP(D343,'СУММА ПРОДАЖ'!J:N, 5, FALSE)</f>
        <v>A</v>
      </c>
      <c r="J343" t="str">
        <f>VLOOKUP(D343, 'МЕСЯЧНАЯ ОБОР.'!$V$4:$W$806, 2, FALSE)</f>
        <v>A</v>
      </c>
    </row>
    <row r="344" spans="1:10" x14ac:dyDescent="0.25">
      <c r="A344" s="9" t="s">
        <v>331</v>
      </c>
      <c r="B344" s="10">
        <v>14</v>
      </c>
      <c r="D344" t="s">
        <v>730</v>
      </c>
      <c r="E344">
        <v>1</v>
      </c>
      <c r="F344">
        <f t="shared" si="15"/>
        <v>6.2155775398999025E-4</v>
      </c>
      <c r="G344">
        <f t="shared" si="17"/>
        <v>0.73051682826443054</v>
      </c>
      <c r="H344" t="str">
        <f t="shared" si="16"/>
        <v>A</v>
      </c>
      <c r="I344" t="str">
        <f>VLOOKUP(D344,'СУММА ПРОДАЖ'!J:N, 5, FALSE)</f>
        <v>B</v>
      </c>
      <c r="J344" t="str">
        <f>VLOOKUP(D344, 'МЕСЯЧНАЯ ОБОР.'!$V$4:$W$806, 2, FALSE)</f>
        <v>A</v>
      </c>
    </row>
    <row r="345" spans="1:10" x14ac:dyDescent="0.25">
      <c r="A345" s="9" t="s">
        <v>721</v>
      </c>
      <c r="B345" s="10">
        <v>2</v>
      </c>
      <c r="D345" t="s">
        <v>390</v>
      </c>
      <c r="E345">
        <v>1</v>
      </c>
      <c r="F345">
        <f t="shared" si="15"/>
        <v>6.2155775398999025E-4</v>
      </c>
      <c r="G345">
        <f t="shared" si="17"/>
        <v>0.73113838601842052</v>
      </c>
      <c r="H345" t="str">
        <f t="shared" si="16"/>
        <v>A</v>
      </c>
      <c r="I345" t="str">
        <f>VLOOKUP(D345,'СУММА ПРОДАЖ'!J:N, 5, FALSE)</f>
        <v>B</v>
      </c>
      <c r="J345" t="str">
        <f>VLOOKUP(D345, 'МЕСЯЧНАЯ ОБОР.'!$V$4:$W$806, 2, FALSE)</f>
        <v>A</v>
      </c>
    </row>
    <row r="346" spans="1:10" x14ac:dyDescent="0.25">
      <c r="A346" s="9" t="s">
        <v>973</v>
      </c>
      <c r="B346" s="10">
        <v>1</v>
      </c>
      <c r="D346" t="s">
        <v>979</v>
      </c>
      <c r="E346">
        <v>1</v>
      </c>
      <c r="F346">
        <f t="shared" si="15"/>
        <v>6.2155775398999025E-4</v>
      </c>
      <c r="G346">
        <f t="shared" si="17"/>
        <v>0.73175994377241049</v>
      </c>
      <c r="H346" t="str">
        <f t="shared" si="16"/>
        <v>A</v>
      </c>
      <c r="I346" t="str">
        <f>VLOOKUP(D346,'СУММА ПРОДАЖ'!J:N, 5, FALSE)</f>
        <v>A</v>
      </c>
      <c r="J346" t="str">
        <f>VLOOKUP(D346, 'МЕСЯЧНАЯ ОБОР.'!$V$4:$W$806, 2, FALSE)</f>
        <v>A</v>
      </c>
    </row>
    <row r="347" spans="1:10" x14ac:dyDescent="0.25">
      <c r="A347" s="9" t="s">
        <v>870</v>
      </c>
      <c r="B347" s="10">
        <v>1</v>
      </c>
      <c r="D347" t="s">
        <v>953</v>
      </c>
      <c r="E347">
        <v>1</v>
      </c>
      <c r="F347">
        <f t="shared" si="15"/>
        <v>6.2155775398999025E-4</v>
      </c>
      <c r="G347">
        <f t="shared" si="17"/>
        <v>0.73238150152640047</v>
      </c>
      <c r="H347" t="str">
        <f t="shared" si="16"/>
        <v>A</v>
      </c>
      <c r="I347" t="str">
        <f>VLOOKUP(D347,'СУММА ПРОДАЖ'!J:N, 5, FALSE)</f>
        <v>A</v>
      </c>
      <c r="J347" t="str">
        <f>VLOOKUP(D347, 'МЕСЯЧНАЯ ОБОР.'!$V$4:$W$806, 2, FALSE)</f>
        <v>A</v>
      </c>
    </row>
    <row r="348" spans="1:10" x14ac:dyDescent="0.25">
      <c r="A348" s="9" t="s">
        <v>339</v>
      </c>
      <c r="B348" s="10">
        <v>2</v>
      </c>
      <c r="D348" t="s">
        <v>853</v>
      </c>
      <c r="E348">
        <v>1</v>
      </c>
      <c r="F348">
        <f t="shared" si="15"/>
        <v>6.2155775398999025E-4</v>
      </c>
      <c r="G348">
        <f t="shared" si="17"/>
        <v>0.73300305928039045</v>
      </c>
      <c r="H348" t="str">
        <f t="shared" si="16"/>
        <v>A</v>
      </c>
      <c r="I348" t="str">
        <f>VLOOKUP(D348,'СУММА ПРОДАЖ'!J:N, 5, FALSE)</f>
        <v>A</v>
      </c>
      <c r="J348" t="str">
        <f>VLOOKUP(D348, 'МЕСЯЧНАЯ ОБОР.'!$V$4:$W$806, 2, FALSE)</f>
        <v>A</v>
      </c>
    </row>
    <row r="349" spans="1:10" x14ac:dyDescent="0.25">
      <c r="A349" s="9" t="s">
        <v>1029</v>
      </c>
      <c r="B349" s="10">
        <v>1</v>
      </c>
      <c r="D349" t="s">
        <v>968</v>
      </c>
      <c r="E349">
        <v>1</v>
      </c>
      <c r="F349">
        <f t="shared" si="15"/>
        <v>6.2155775398999025E-4</v>
      </c>
      <c r="G349">
        <f t="shared" si="17"/>
        <v>0.73362461703438042</v>
      </c>
      <c r="H349" t="str">
        <f t="shared" si="16"/>
        <v>A</v>
      </c>
      <c r="I349" t="str">
        <f>VLOOKUP(D349,'СУММА ПРОДАЖ'!J:N, 5, FALSE)</f>
        <v>A</v>
      </c>
      <c r="J349" t="str">
        <f>VLOOKUP(D349, 'МЕСЯЧНАЯ ОБОР.'!$V$4:$W$806, 2, FALSE)</f>
        <v>A</v>
      </c>
    </row>
    <row r="350" spans="1:10" x14ac:dyDescent="0.25">
      <c r="A350" s="9" t="s">
        <v>321</v>
      </c>
      <c r="B350" s="10">
        <v>3</v>
      </c>
      <c r="D350" t="s">
        <v>275</v>
      </c>
      <c r="E350">
        <v>1</v>
      </c>
      <c r="F350">
        <f t="shared" si="15"/>
        <v>6.2155775398999025E-4</v>
      </c>
      <c r="G350">
        <f t="shared" si="17"/>
        <v>0.7342461747883704</v>
      </c>
      <c r="H350" t="str">
        <f t="shared" si="16"/>
        <v>A</v>
      </c>
      <c r="I350" t="str">
        <f>VLOOKUP(D350,'СУММА ПРОДАЖ'!J:N, 5, FALSE)</f>
        <v>A</v>
      </c>
      <c r="J350" t="str">
        <f>VLOOKUP(D350, 'МЕСЯЧНАЯ ОБОР.'!$V$4:$W$806, 2, FALSE)</f>
        <v>A</v>
      </c>
    </row>
    <row r="351" spans="1:10" x14ac:dyDescent="0.25">
      <c r="A351" s="9" t="s">
        <v>1053</v>
      </c>
      <c r="B351" s="10">
        <v>1</v>
      </c>
      <c r="D351" t="s">
        <v>486</v>
      </c>
      <c r="E351">
        <v>1</v>
      </c>
      <c r="F351">
        <f t="shared" si="15"/>
        <v>6.2155775398999025E-4</v>
      </c>
      <c r="G351">
        <f t="shared" si="17"/>
        <v>0.73486773254236037</v>
      </c>
      <c r="H351" t="str">
        <f t="shared" si="16"/>
        <v>A</v>
      </c>
      <c r="I351" t="str">
        <f>VLOOKUP(D351,'СУММА ПРОДАЖ'!J:N, 5, FALSE)</f>
        <v>A</v>
      </c>
      <c r="J351" t="str">
        <f>VLOOKUP(D351, 'МЕСЯЧНАЯ ОБОР.'!$V$4:$W$806, 2, FALSE)</f>
        <v>A</v>
      </c>
    </row>
    <row r="352" spans="1:10" x14ac:dyDescent="0.25">
      <c r="A352" s="9" t="s">
        <v>805</v>
      </c>
      <c r="B352" s="10">
        <v>1</v>
      </c>
      <c r="D352" t="s">
        <v>97</v>
      </c>
      <c r="E352">
        <v>1</v>
      </c>
      <c r="F352">
        <f t="shared" si="15"/>
        <v>6.2155775398999025E-4</v>
      </c>
      <c r="G352">
        <f t="shared" si="17"/>
        <v>0.73548929029635035</v>
      </c>
      <c r="H352" t="str">
        <f t="shared" si="16"/>
        <v>A</v>
      </c>
      <c r="I352" t="str">
        <f>VLOOKUP(D352,'СУММА ПРОДАЖ'!J:N, 5, FALSE)</f>
        <v>C</v>
      </c>
      <c r="J352" t="str">
        <f>VLOOKUP(D352, 'МЕСЯЧНАЯ ОБОР.'!$V$4:$W$806, 2, FALSE)</f>
        <v>A</v>
      </c>
    </row>
    <row r="353" spans="1:10" x14ac:dyDescent="0.25">
      <c r="A353" s="9" t="s">
        <v>641</v>
      </c>
      <c r="B353" s="10">
        <v>1</v>
      </c>
      <c r="D353" t="s">
        <v>860</v>
      </c>
      <c r="E353">
        <v>1</v>
      </c>
      <c r="F353">
        <f t="shared" si="15"/>
        <v>6.2155775398999025E-4</v>
      </c>
      <c r="G353">
        <f t="shared" si="17"/>
        <v>0.73611084805034033</v>
      </c>
      <c r="H353" t="str">
        <f t="shared" si="16"/>
        <v>A</v>
      </c>
      <c r="I353" t="str">
        <f>VLOOKUP(D353,'СУММА ПРОДАЖ'!J:N, 5, FALSE)</f>
        <v>C</v>
      </c>
      <c r="J353" t="str">
        <f>VLOOKUP(D353, 'МЕСЯЧНАЯ ОБОР.'!$V$4:$W$806, 2, FALSE)</f>
        <v>A</v>
      </c>
    </row>
    <row r="354" spans="1:10" x14ac:dyDescent="0.25">
      <c r="A354" s="9" t="s">
        <v>373</v>
      </c>
      <c r="B354" s="10">
        <v>0.33333333999999998</v>
      </c>
      <c r="D354" t="s">
        <v>1060</v>
      </c>
      <c r="E354">
        <v>1</v>
      </c>
      <c r="F354">
        <f t="shared" si="15"/>
        <v>6.2155775398999025E-4</v>
      </c>
      <c r="G354">
        <f t="shared" si="17"/>
        <v>0.7367324058043303</v>
      </c>
      <c r="H354" t="str">
        <f t="shared" si="16"/>
        <v>A</v>
      </c>
      <c r="I354" t="str">
        <f>VLOOKUP(D354,'СУММА ПРОДАЖ'!J:N, 5, FALSE)</f>
        <v>C</v>
      </c>
      <c r="J354" t="str">
        <f>VLOOKUP(D354, 'МЕСЯЧНАЯ ОБОР.'!$V$4:$W$806, 2, FALSE)</f>
        <v>A</v>
      </c>
    </row>
    <row r="355" spans="1:10" x14ac:dyDescent="0.25">
      <c r="A355" s="9" t="s">
        <v>314</v>
      </c>
      <c r="B355" s="10">
        <v>0.14285713999999999</v>
      </c>
      <c r="D355" t="s">
        <v>581</v>
      </c>
      <c r="E355">
        <v>1</v>
      </c>
      <c r="F355">
        <f t="shared" si="15"/>
        <v>6.2155775398999025E-4</v>
      </c>
      <c r="G355">
        <f t="shared" si="17"/>
        <v>0.73735396355832028</v>
      </c>
      <c r="H355" t="str">
        <f t="shared" si="16"/>
        <v>A</v>
      </c>
      <c r="I355" t="str">
        <f>VLOOKUP(D355,'СУММА ПРОДАЖ'!J:N, 5, FALSE)</f>
        <v>C</v>
      </c>
      <c r="J355" t="str">
        <f>VLOOKUP(D355, 'МЕСЯЧНАЯ ОБОР.'!$V$4:$W$806, 2, FALSE)</f>
        <v>A</v>
      </c>
    </row>
    <row r="356" spans="1:10" x14ac:dyDescent="0.25">
      <c r="A356" s="9" t="s">
        <v>1219</v>
      </c>
      <c r="B356" s="10">
        <v>1</v>
      </c>
      <c r="D356" t="s">
        <v>326</v>
      </c>
      <c r="E356">
        <v>1</v>
      </c>
      <c r="F356">
        <f t="shared" si="15"/>
        <v>6.2155775398999025E-4</v>
      </c>
      <c r="G356">
        <f t="shared" si="17"/>
        <v>0.73797552131231026</v>
      </c>
      <c r="H356" t="str">
        <f t="shared" si="16"/>
        <v>A</v>
      </c>
      <c r="I356" t="str">
        <f>VLOOKUP(D356,'СУММА ПРОДАЖ'!J:N, 5, FALSE)</f>
        <v>C</v>
      </c>
      <c r="J356" t="str">
        <f>VLOOKUP(D356, 'МЕСЯЧНАЯ ОБОР.'!$V$4:$W$806, 2, FALSE)</f>
        <v>A</v>
      </c>
    </row>
    <row r="357" spans="1:10" x14ac:dyDescent="0.25">
      <c r="A357" s="9" t="s">
        <v>208</v>
      </c>
      <c r="B357" s="10">
        <v>1</v>
      </c>
      <c r="D357" t="s">
        <v>642</v>
      </c>
      <c r="E357">
        <v>1</v>
      </c>
      <c r="F357">
        <f t="shared" si="15"/>
        <v>6.2155775398999025E-4</v>
      </c>
      <c r="G357">
        <f t="shared" si="17"/>
        <v>0.73859707906630023</v>
      </c>
      <c r="H357" t="str">
        <f t="shared" si="16"/>
        <v>A</v>
      </c>
      <c r="I357" t="str">
        <f>VLOOKUP(D357,'СУММА ПРОДАЖ'!J:N, 5, FALSE)</f>
        <v>C</v>
      </c>
      <c r="J357" t="str">
        <f>VLOOKUP(D357, 'МЕСЯЧНАЯ ОБОР.'!$V$4:$W$806, 2, FALSE)</f>
        <v>A</v>
      </c>
    </row>
    <row r="358" spans="1:10" x14ac:dyDescent="0.25">
      <c r="A358" s="9" t="s">
        <v>39</v>
      </c>
      <c r="B358" s="10">
        <v>1</v>
      </c>
      <c r="D358" t="s">
        <v>696</v>
      </c>
      <c r="E358">
        <v>1</v>
      </c>
      <c r="F358">
        <f t="shared" si="15"/>
        <v>6.2155775398999025E-4</v>
      </c>
      <c r="G358">
        <f t="shared" si="17"/>
        <v>0.73921863682029021</v>
      </c>
      <c r="H358" t="str">
        <f t="shared" si="16"/>
        <v>A</v>
      </c>
      <c r="I358" t="str">
        <f>VLOOKUP(D358,'СУММА ПРОДАЖ'!J:N, 5, FALSE)</f>
        <v>C</v>
      </c>
      <c r="J358" t="str">
        <f>VLOOKUP(D358, 'МЕСЯЧНАЯ ОБОР.'!$V$4:$W$806, 2, FALSE)</f>
        <v>A</v>
      </c>
    </row>
    <row r="359" spans="1:10" x14ac:dyDescent="0.25">
      <c r="A359" s="9" t="s">
        <v>76</v>
      </c>
      <c r="B359" s="10">
        <v>2</v>
      </c>
      <c r="D359" t="s">
        <v>1205</v>
      </c>
      <c r="E359">
        <v>1</v>
      </c>
      <c r="F359">
        <f t="shared" si="15"/>
        <v>6.2155775398999025E-4</v>
      </c>
      <c r="G359">
        <f t="shared" si="17"/>
        <v>0.73984019457428019</v>
      </c>
      <c r="H359" t="str">
        <f t="shared" si="16"/>
        <v>A</v>
      </c>
      <c r="I359" t="str">
        <f>VLOOKUP(D359,'СУММА ПРОДАЖ'!J:N, 5, FALSE)</f>
        <v>A</v>
      </c>
      <c r="J359" t="str">
        <f>VLOOKUP(D359, 'МЕСЯЧНАЯ ОБОР.'!$V$4:$W$806, 2, FALSE)</f>
        <v>A</v>
      </c>
    </row>
    <row r="360" spans="1:10" x14ac:dyDescent="0.25">
      <c r="A360" s="9" t="s">
        <v>904</v>
      </c>
      <c r="B360" s="10">
        <v>1</v>
      </c>
      <c r="D360" t="s">
        <v>70</v>
      </c>
      <c r="E360">
        <v>1</v>
      </c>
      <c r="F360">
        <f t="shared" si="15"/>
        <v>6.2155775398999025E-4</v>
      </c>
      <c r="G360">
        <f t="shared" si="17"/>
        <v>0.74046175232827016</v>
      </c>
      <c r="H360" t="str">
        <f t="shared" si="16"/>
        <v>A</v>
      </c>
      <c r="I360" t="str">
        <f>VLOOKUP(D360,'СУММА ПРОДАЖ'!J:N, 5, FALSE)</f>
        <v>C</v>
      </c>
      <c r="J360" t="str">
        <f>VLOOKUP(D360, 'МЕСЯЧНАЯ ОБОР.'!$V$4:$W$806, 2, FALSE)</f>
        <v>A</v>
      </c>
    </row>
    <row r="361" spans="1:10" x14ac:dyDescent="0.25">
      <c r="A361" s="9" t="s">
        <v>320</v>
      </c>
      <c r="B361" s="10">
        <v>1</v>
      </c>
      <c r="D361" t="s">
        <v>774</v>
      </c>
      <c r="E361">
        <v>1</v>
      </c>
      <c r="F361">
        <f t="shared" si="15"/>
        <v>6.2155775398999025E-4</v>
      </c>
      <c r="G361">
        <f t="shared" si="17"/>
        <v>0.74108331008226014</v>
      </c>
      <c r="H361" t="str">
        <f t="shared" si="16"/>
        <v>A</v>
      </c>
      <c r="I361" t="str">
        <f>VLOOKUP(D361,'СУММА ПРОДАЖ'!J:N, 5, FALSE)</f>
        <v>C</v>
      </c>
      <c r="J361" t="str">
        <f>VLOOKUP(D361, 'МЕСЯЧНАЯ ОБОР.'!$V$4:$W$806, 2, FALSE)</f>
        <v>A</v>
      </c>
    </row>
    <row r="362" spans="1:10" x14ac:dyDescent="0.25">
      <c r="A362" s="9" t="s">
        <v>318</v>
      </c>
      <c r="B362" s="10">
        <v>2</v>
      </c>
      <c r="D362" t="s">
        <v>613</v>
      </c>
      <c r="E362">
        <v>1</v>
      </c>
      <c r="F362">
        <f t="shared" si="15"/>
        <v>6.2155775398999025E-4</v>
      </c>
      <c r="G362">
        <f t="shared" si="17"/>
        <v>0.74170486783625011</v>
      </c>
      <c r="H362" t="str">
        <f t="shared" si="16"/>
        <v>A</v>
      </c>
      <c r="I362" t="str">
        <f>VLOOKUP(D362,'СУММА ПРОДАЖ'!J:N, 5, FALSE)</f>
        <v>C</v>
      </c>
      <c r="J362" t="str">
        <f>VLOOKUP(D362, 'МЕСЯЧНАЯ ОБОР.'!$V$4:$W$806, 2, FALSE)</f>
        <v>A</v>
      </c>
    </row>
    <row r="363" spans="1:10" x14ac:dyDescent="0.25">
      <c r="A363" s="9" t="s">
        <v>1120</v>
      </c>
      <c r="B363" s="10">
        <v>1</v>
      </c>
      <c r="D363" t="s">
        <v>880</v>
      </c>
      <c r="E363">
        <v>1</v>
      </c>
      <c r="F363">
        <f t="shared" si="15"/>
        <v>6.2155775398999025E-4</v>
      </c>
      <c r="G363">
        <f t="shared" si="17"/>
        <v>0.74232642559024009</v>
      </c>
      <c r="H363" t="str">
        <f t="shared" si="16"/>
        <v>A</v>
      </c>
      <c r="I363" t="str">
        <f>VLOOKUP(D363,'СУММА ПРОДАЖ'!J:N, 5, FALSE)</f>
        <v>B</v>
      </c>
      <c r="J363" t="str">
        <f>VLOOKUP(D363, 'МЕСЯЧНАЯ ОБОР.'!$V$4:$W$806, 2, FALSE)</f>
        <v>A</v>
      </c>
    </row>
    <row r="364" spans="1:10" x14ac:dyDescent="0.25">
      <c r="A364" s="9" t="s">
        <v>392</v>
      </c>
      <c r="B364" s="10">
        <v>3</v>
      </c>
      <c r="D364" t="s">
        <v>231</v>
      </c>
      <c r="E364">
        <v>1</v>
      </c>
      <c r="F364">
        <f t="shared" si="15"/>
        <v>6.2155775398999025E-4</v>
      </c>
      <c r="G364">
        <f t="shared" si="17"/>
        <v>0.74294798334423007</v>
      </c>
      <c r="H364" t="str">
        <f t="shared" si="16"/>
        <v>A</v>
      </c>
      <c r="I364" t="str">
        <f>VLOOKUP(D364,'СУММА ПРОДАЖ'!J:N, 5, FALSE)</f>
        <v>C</v>
      </c>
      <c r="J364" t="str">
        <f>VLOOKUP(D364, 'МЕСЯЧНАЯ ОБОР.'!$V$4:$W$806, 2, FALSE)</f>
        <v>A</v>
      </c>
    </row>
    <row r="365" spans="1:10" x14ac:dyDescent="0.25">
      <c r="A365" s="9" t="s">
        <v>1050</v>
      </c>
      <c r="B365" s="10">
        <v>2</v>
      </c>
      <c r="D365" t="s">
        <v>1057</v>
      </c>
      <c r="E365">
        <v>1</v>
      </c>
      <c r="F365">
        <f t="shared" si="15"/>
        <v>6.2155775398999025E-4</v>
      </c>
      <c r="G365">
        <f t="shared" si="17"/>
        <v>0.74356954109822004</v>
      </c>
      <c r="H365" t="str">
        <f t="shared" si="16"/>
        <v>A</v>
      </c>
      <c r="I365" t="str">
        <f>VLOOKUP(D365,'СУММА ПРОДАЖ'!J:N, 5, FALSE)</f>
        <v>A</v>
      </c>
      <c r="J365" t="str">
        <f>VLOOKUP(D365, 'МЕСЯЧНАЯ ОБОР.'!$V$4:$W$806, 2, FALSE)</f>
        <v>A</v>
      </c>
    </row>
    <row r="366" spans="1:10" x14ac:dyDescent="0.25">
      <c r="A366" s="9" t="s">
        <v>1163</v>
      </c>
      <c r="B366" s="10">
        <v>2</v>
      </c>
      <c r="D366" t="s">
        <v>935</v>
      </c>
      <c r="E366">
        <v>1</v>
      </c>
      <c r="F366">
        <f t="shared" si="15"/>
        <v>6.2155775398999025E-4</v>
      </c>
      <c r="G366">
        <f t="shared" si="17"/>
        <v>0.74419109885221002</v>
      </c>
      <c r="H366" t="str">
        <f t="shared" si="16"/>
        <v>A</v>
      </c>
      <c r="I366" t="str">
        <f>VLOOKUP(D366,'СУММА ПРОДАЖ'!J:N, 5, FALSE)</f>
        <v>B</v>
      </c>
      <c r="J366" t="str">
        <f>VLOOKUP(D366, 'МЕСЯЧНАЯ ОБОР.'!$V$4:$W$806, 2, FALSE)</f>
        <v>A</v>
      </c>
    </row>
    <row r="367" spans="1:10" x14ac:dyDescent="0.25">
      <c r="A367" s="9" t="s">
        <v>304</v>
      </c>
      <c r="B367" s="10">
        <v>3</v>
      </c>
      <c r="D367" t="s">
        <v>1143</v>
      </c>
      <c r="E367">
        <v>1</v>
      </c>
      <c r="F367">
        <f t="shared" si="15"/>
        <v>6.2155775398999025E-4</v>
      </c>
      <c r="G367">
        <f t="shared" si="17"/>
        <v>0.7448126566062</v>
      </c>
      <c r="H367" t="str">
        <f t="shared" si="16"/>
        <v>A</v>
      </c>
      <c r="I367" t="str">
        <f>VLOOKUP(D367,'СУММА ПРОДАЖ'!J:N, 5, FALSE)</f>
        <v>B</v>
      </c>
      <c r="J367" t="str">
        <f>VLOOKUP(D367, 'МЕСЯЧНАЯ ОБОР.'!$V$4:$W$806, 2, FALSE)</f>
        <v>A</v>
      </c>
    </row>
    <row r="368" spans="1:10" x14ac:dyDescent="0.25">
      <c r="A368" s="9" t="s">
        <v>1112</v>
      </c>
      <c r="B368" s="10">
        <v>1</v>
      </c>
      <c r="D368" t="s">
        <v>793</v>
      </c>
      <c r="E368">
        <v>1</v>
      </c>
      <c r="F368">
        <f t="shared" si="15"/>
        <v>6.2155775398999025E-4</v>
      </c>
      <c r="G368">
        <f t="shared" si="17"/>
        <v>0.74543421436018997</v>
      </c>
      <c r="H368" t="str">
        <f t="shared" si="16"/>
        <v>A</v>
      </c>
      <c r="I368" t="str">
        <f>VLOOKUP(D368,'СУММА ПРОДАЖ'!J:N, 5, FALSE)</f>
        <v>A</v>
      </c>
      <c r="J368" t="str">
        <f>VLOOKUP(D368, 'МЕСЯЧНАЯ ОБОР.'!$V$4:$W$806, 2, FALSE)</f>
        <v>A</v>
      </c>
    </row>
    <row r="369" spans="1:10" x14ac:dyDescent="0.25">
      <c r="A369" s="9" t="s">
        <v>1094</v>
      </c>
      <c r="B369" s="10">
        <v>2</v>
      </c>
      <c r="D369" t="s">
        <v>371</v>
      </c>
      <c r="E369">
        <v>1</v>
      </c>
      <c r="F369">
        <f t="shared" si="15"/>
        <v>6.2155775398999025E-4</v>
      </c>
      <c r="G369">
        <f t="shared" si="17"/>
        <v>0.74605577211417995</v>
      </c>
      <c r="H369" t="str">
        <f t="shared" si="16"/>
        <v>A</v>
      </c>
      <c r="I369" t="str">
        <f>VLOOKUP(D369,'СУММА ПРОДАЖ'!J:N, 5, FALSE)</f>
        <v>B</v>
      </c>
      <c r="J369" t="str">
        <f>VLOOKUP(D369, 'МЕСЯЧНАЯ ОБОР.'!$V$4:$W$806, 2, FALSE)</f>
        <v>A</v>
      </c>
    </row>
    <row r="370" spans="1:10" x14ac:dyDescent="0.25">
      <c r="A370" s="9" t="s">
        <v>672</v>
      </c>
      <c r="B370" s="10">
        <v>2</v>
      </c>
      <c r="D370" t="s">
        <v>1175</v>
      </c>
      <c r="E370">
        <v>1</v>
      </c>
      <c r="F370">
        <f t="shared" si="15"/>
        <v>6.2155775398999025E-4</v>
      </c>
      <c r="G370">
        <f t="shared" si="17"/>
        <v>0.74667732986816993</v>
      </c>
      <c r="H370" t="str">
        <f t="shared" si="16"/>
        <v>A</v>
      </c>
      <c r="I370" t="str">
        <f>VLOOKUP(D370,'СУММА ПРОДАЖ'!J:N, 5, FALSE)</f>
        <v>B</v>
      </c>
      <c r="J370" t="str">
        <f>VLOOKUP(D370, 'МЕСЯЧНАЯ ОБОР.'!$V$4:$W$806, 2, FALSE)</f>
        <v>A</v>
      </c>
    </row>
    <row r="371" spans="1:10" x14ac:dyDescent="0.25">
      <c r="A371" s="9" t="s">
        <v>265</v>
      </c>
      <c r="B371" s="10">
        <v>4</v>
      </c>
      <c r="D371" t="s">
        <v>1198</v>
      </c>
      <c r="E371">
        <v>1</v>
      </c>
      <c r="F371">
        <f t="shared" si="15"/>
        <v>6.2155775398999025E-4</v>
      </c>
      <c r="G371">
        <f t="shared" si="17"/>
        <v>0.7472988876221599</v>
      </c>
      <c r="H371" t="str">
        <f t="shared" si="16"/>
        <v>A</v>
      </c>
      <c r="I371" t="str">
        <f>VLOOKUP(D371,'СУММА ПРОДАЖ'!J:N, 5, FALSE)</f>
        <v>C</v>
      </c>
      <c r="J371" t="str">
        <f>VLOOKUP(D371, 'МЕСЯЧНАЯ ОБОР.'!$V$4:$W$806, 2, FALSE)</f>
        <v>A</v>
      </c>
    </row>
    <row r="372" spans="1:10" x14ac:dyDescent="0.25">
      <c r="A372" s="9" t="s">
        <v>733</v>
      </c>
      <c r="B372" s="10">
        <v>1</v>
      </c>
      <c r="D372" t="s">
        <v>1125</v>
      </c>
      <c r="E372">
        <v>1</v>
      </c>
      <c r="F372">
        <f t="shared" si="15"/>
        <v>6.2155775398999025E-4</v>
      </c>
      <c r="G372">
        <f t="shared" si="17"/>
        <v>0.74792044537614988</v>
      </c>
      <c r="H372" t="str">
        <f t="shared" si="16"/>
        <v>A</v>
      </c>
      <c r="I372" t="str">
        <f>VLOOKUP(D372,'СУММА ПРОДАЖ'!J:N, 5, FALSE)</f>
        <v>A</v>
      </c>
      <c r="J372" t="str">
        <f>VLOOKUP(D372, 'МЕСЯЧНАЯ ОБОР.'!$V$4:$W$806, 2, FALSE)</f>
        <v>A</v>
      </c>
    </row>
    <row r="373" spans="1:10" x14ac:dyDescent="0.25">
      <c r="A373" s="9" t="s">
        <v>451</v>
      </c>
      <c r="B373" s="10">
        <v>2</v>
      </c>
      <c r="D373" t="s">
        <v>783</v>
      </c>
      <c r="E373">
        <v>1</v>
      </c>
      <c r="F373">
        <f t="shared" si="15"/>
        <v>6.2155775398999025E-4</v>
      </c>
      <c r="G373">
        <f t="shared" si="17"/>
        <v>0.74854200313013985</v>
      </c>
      <c r="H373" t="str">
        <f t="shared" si="16"/>
        <v>A</v>
      </c>
      <c r="I373" t="str">
        <f>VLOOKUP(D373,'СУММА ПРОДАЖ'!J:N, 5, FALSE)</f>
        <v>A</v>
      </c>
      <c r="J373" t="str">
        <f>VLOOKUP(D373, 'МЕСЯЧНАЯ ОБОР.'!$V$4:$W$806, 2, FALSE)</f>
        <v>A</v>
      </c>
    </row>
    <row r="374" spans="1:10" x14ac:dyDescent="0.25">
      <c r="A374" s="9" t="s">
        <v>375</v>
      </c>
      <c r="B374" s="10">
        <v>68</v>
      </c>
      <c r="D374" t="s">
        <v>1117</v>
      </c>
      <c r="E374">
        <v>1</v>
      </c>
      <c r="F374">
        <f t="shared" si="15"/>
        <v>6.2155775398999025E-4</v>
      </c>
      <c r="G374">
        <f t="shared" si="17"/>
        <v>0.74916356088412983</v>
      </c>
      <c r="H374" t="str">
        <f t="shared" si="16"/>
        <v>A</v>
      </c>
      <c r="I374" t="str">
        <f>VLOOKUP(D374,'СУММА ПРОДАЖ'!J:N, 5, FALSE)</f>
        <v>A</v>
      </c>
      <c r="J374" t="str">
        <f>VLOOKUP(D374, 'МЕСЯЧНАЯ ОБОР.'!$V$4:$W$806, 2, FALSE)</f>
        <v>A</v>
      </c>
    </row>
    <row r="375" spans="1:10" x14ac:dyDescent="0.25">
      <c r="A375" s="9" t="s">
        <v>1043</v>
      </c>
      <c r="B375" s="10">
        <v>14</v>
      </c>
      <c r="D375" t="s">
        <v>1156</v>
      </c>
      <c r="E375">
        <v>1</v>
      </c>
      <c r="F375">
        <f t="shared" si="15"/>
        <v>6.2155775398999025E-4</v>
      </c>
      <c r="G375">
        <f t="shared" si="17"/>
        <v>0.74978511863811981</v>
      </c>
      <c r="H375" t="str">
        <f t="shared" si="16"/>
        <v>A</v>
      </c>
      <c r="I375" t="str">
        <f>VLOOKUP(D375,'СУММА ПРОДАЖ'!J:N, 5, FALSE)</f>
        <v>B</v>
      </c>
      <c r="J375" t="str">
        <f>VLOOKUP(D375, 'МЕСЯЧНАЯ ОБОР.'!$V$4:$W$806, 2, FALSE)</f>
        <v>A</v>
      </c>
    </row>
    <row r="376" spans="1:10" x14ac:dyDescent="0.25">
      <c r="A376" s="9" t="s">
        <v>448</v>
      </c>
      <c r="B376" s="10">
        <v>13</v>
      </c>
      <c r="D376" t="s">
        <v>1085</v>
      </c>
      <c r="E376">
        <v>1</v>
      </c>
      <c r="F376">
        <f t="shared" si="15"/>
        <v>6.2155775398999025E-4</v>
      </c>
      <c r="G376">
        <f t="shared" si="17"/>
        <v>0.75040667639210978</v>
      </c>
      <c r="H376" t="str">
        <f t="shared" si="16"/>
        <v>A</v>
      </c>
      <c r="I376" t="str">
        <f>VLOOKUP(D376,'СУММА ПРОДАЖ'!J:N, 5, FALSE)</f>
        <v>C</v>
      </c>
      <c r="J376" t="str">
        <f>VLOOKUP(D376, 'МЕСЯЧНАЯ ОБОР.'!$V$4:$W$806, 2, FALSE)</f>
        <v>A</v>
      </c>
    </row>
    <row r="377" spans="1:10" x14ac:dyDescent="0.25">
      <c r="A377" s="9" t="s">
        <v>647</v>
      </c>
      <c r="B377" s="10">
        <v>1</v>
      </c>
      <c r="D377" t="s">
        <v>785</v>
      </c>
      <c r="E377">
        <v>1</v>
      </c>
      <c r="F377">
        <f t="shared" si="15"/>
        <v>6.2155775398999025E-4</v>
      </c>
      <c r="G377">
        <f t="shared" si="17"/>
        <v>0.75102823414609976</v>
      </c>
      <c r="H377" t="str">
        <f t="shared" si="16"/>
        <v>A</v>
      </c>
      <c r="I377" t="str">
        <f>VLOOKUP(D377,'СУММА ПРОДАЖ'!J:N, 5, FALSE)</f>
        <v>A</v>
      </c>
      <c r="J377" t="str">
        <f>VLOOKUP(D377, 'МЕСЯЧНАЯ ОБОР.'!$V$4:$W$806, 2, FALSE)</f>
        <v>A</v>
      </c>
    </row>
    <row r="378" spans="1:10" x14ac:dyDescent="0.25">
      <c r="A378" s="9" t="s">
        <v>949</v>
      </c>
      <c r="B378" s="10">
        <v>1</v>
      </c>
      <c r="D378" t="s">
        <v>1002</v>
      </c>
      <c r="E378">
        <v>1</v>
      </c>
      <c r="F378">
        <f t="shared" si="15"/>
        <v>6.2155775398999025E-4</v>
      </c>
      <c r="G378">
        <f t="shared" si="17"/>
        <v>0.75164979190008974</v>
      </c>
      <c r="H378" t="str">
        <f t="shared" si="16"/>
        <v>A</v>
      </c>
      <c r="I378" t="str">
        <f>VLOOKUP(D378,'СУММА ПРОДАЖ'!J:N, 5, FALSE)</f>
        <v>A</v>
      </c>
      <c r="J378" t="str">
        <f>VLOOKUP(D378, 'МЕСЯЧНАЯ ОБОР.'!$V$4:$W$806, 2, FALSE)</f>
        <v>A</v>
      </c>
    </row>
    <row r="379" spans="1:10" x14ac:dyDescent="0.25">
      <c r="A379" s="9" t="s">
        <v>395</v>
      </c>
      <c r="B379" s="10">
        <v>2</v>
      </c>
      <c r="D379" t="s">
        <v>575</v>
      </c>
      <c r="E379">
        <v>1</v>
      </c>
      <c r="F379">
        <f t="shared" si="15"/>
        <v>6.2155775398999025E-4</v>
      </c>
      <c r="G379">
        <f t="shared" si="17"/>
        <v>0.75227134965407971</v>
      </c>
      <c r="H379" t="str">
        <f t="shared" si="16"/>
        <v>A</v>
      </c>
      <c r="I379" t="str">
        <f>VLOOKUP(D379,'СУММА ПРОДАЖ'!J:N, 5, FALSE)</f>
        <v>C</v>
      </c>
      <c r="J379" t="str">
        <f>VLOOKUP(D379, 'МЕСЯЧНАЯ ОБОР.'!$V$4:$W$806, 2, FALSE)</f>
        <v>A</v>
      </c>
    </row>
    <row r="380" spans="1:10" x14ac:dyDescent="0.25">
      <c r="A380" s="9" t="s">
        <v>1032</v>
      </c>
      <c r="B380" s="10">
        <v>1</v>
      </c>
      <c r="D380" t="s">
        <v>1201</v>
      </c>
      <c r="E380">
        <v>1</v>
      </c>
      <c r="F380">
        <f t="shared" si="15"/>
        <v>6.2155775398999025E-4</v>
      </c>
      <c r="G380">
        <f t="shared" si="17"/>
        <v>0.75289290740806969</v>
      </c>
      <c r="H380" t="str">
        <f t="shared" si="16"/>
        <v>A</v>
      </c>
      <c r="I380" t="str">
        <f>VLOOKUP(D380,'СУММА ПРОДАЖ'!J:N, 5, FALSE)</f>
        <v>A</v>
      </c>
      <c r="J380" t="str">
        <f>VLOOKUP(D380, 'МЕСЯЧНАЯ ОБОР.'!$V$4:$W$806, 2, FALSE)</f>
        <v>A</v>
      </c>
    </row>
    <row r="381" spans="1:10" x14ac:dyDescent="0.25">
      <c r="A381" s="9" t="s">
        <v>951</v>
      </c>
      <c r="B381" s="10">
        <v>1</v>
      </c>
      <c r="D381" t="s">
        <v>1159</v>
      </c>
      <c r="E381">
        <v>1</v>
      </c>
      <c r="F381">
        <f t="shared" si="15"/>
        <v>6.2155775398999025E-4</v>
      </c>
      <c r="G381">
        <f t="shared" si="17"/>
        <v>0.75351446516205967</v>
      </c>
      <c r="H381" t="str">
        <f t="shared" si="16"/>
        <v>A</v>
      </c>
      <c r="I381" t="str">
        <f>VLOOKUP(D381,'СУММА ПРОДАЖ'!J:N, 5, FALSE)</f>
        <v>C</v>
      </c>
      <c r="J381" t="str">
        <f>VLOOKUP(D381, 'МЕСЯЧНАЯ ОБОР.'!$V$4:$W$806, 2, FALSE)</f>
        <v>A</v>
      </c>
    </row>
    <row r="382" spans="1:10" x14ac:dyDescent="0.25">
      <c r="A382" s="9" t="s">
        <v>1194</v>
      </c>
      <c r="B382" s="10">
        <v>1</v>
      </c>
      <c r="D382" t="s">
        <v>305</v>
      </c>
      <c r="E382">
        <v>1</v>
      </c>
      <c r="F382">
        <f t="shared" si="15"/>
        <v>6.2155775398999025E-4</v>
      </c>
      <c r="G382">
        <f t="shared" si="17"/>
        <v>0.75413602291604964</v>
      </c>
      <c r="H382" t="str">
        <f t="shared" si="16"/>
        <v>A</v>
      </c>
      <c r="I382" t="str">
        <f>VLOOKUP(D382,'СУММА ПРОДАЖ'!J:N, 5, FALSE)</f>
        <v>B</v>
      </c>
      <c r="J382" t="str">
        <f>VLOOKUP(D382, 'МЕСЯЧНАЯ ОБОР.'!$V$4:$W$806, 2, FALSE)</f>
        <v>A</v>
      </c>
    </row>
    <row r="383" spans="1:10" x14ac:dyDescent="0.25">
      <c r="A383" s="9" t="s">
        <v>744</v>
      </c>
      <c r="B383" s="10">
        <v>1</v>
      </c>
      <c r="D383" t="s">
        <v>668</v>
      </c>
      <c r="E383">
        <v>1</v>
      </c>
      <c r="F383">
        <f t="shared" si="15"/>
        <v>6.2155775398999025E-4</v>
      </c>
      <c r="G383">
        <f t="shared" si="17"/>
        <v>0.75475758067003962</v>
      </c>
      <c r="H383" t="str">
        <f t="shared" si="16"/>
        <v>A</v>
      </c>
      <c r="I383" t="str">
        <f>VLOOKUP(D383,'СУММА ПРОДАЖ'!J:N, 5, FALSE)</f>
        <v>B</v>
      </c>
      <c r="J383" t="str">
        <f>VLOOKUP(D383, 'МЕСЯЧНАЯ ОБОР.'!$V$4:$W$806, 2, FALSE)</f>
        <v>A</v>
      </c>
    </row>
    <row r="384" spans="1:10" x14ac:dyDescent="0.25">
      <c r="A384" s="9" t="s">
        <v>709</v>
      </c>
      <c r="B384" s="10">
        <v>2</v>
      </c>
      <c r="D384" t="s">
        <v>761</v>
      </c>
      <c r="E384">
        <v>1</v>
      </c>
      <c r="F384">
        <f t="shared" si="15"/>
        <v>6.2155775398999025E-4</v>
      </c>
      <c r="G384">
        <f t="shared" si="17"/>
        <v>0.75537913842402959</v>
      </c>
      <c r="H384" t="str">
        <f t="shared" si="16"/>
        <v>A</v>
      </c>
      <c r="I384" t="str">
        <f>VLOOKUP(D384,'СУММА ПРОДАЖ'!J:N, 5, FALSE)</f>
        <v>B</v>
      </c>
      <c r="J384" t="str">
        <f>VLOOKUP(D384, 'МЕСЯЧНАЯ ОБОР.'!$V$4:$W$806, 2, FALSE)</f>
        <v>A</v>
      </c>
    </row>
    <row r="385" spans="1:10" x14ac:dyDescent="0.25">
      <c r="A385" s="9" t="s">
        <v>850</v>
      </c>
      <c r="B385" s="10">
        <v>1</v>
      </c>
      <c r="D385" t="s">
        <v>710</v>
      </c>
      <c r="E385">
        <v>1</v>
      </c>
      <c r="F385">
        <f t="shared" si="15"/>
        <v>6.2155775398999025E-4</v>
      </c>
      <c r="G385">
        <f t="shared" si="17"/>
        <v>0.75600069617801957</v>
      </c>
      <c r="H385" t="str">
        <f t="shared" si="16"/>
        <v>A</v>
      </c>
      <c r="I385" t="str">
        <f>VLOOKUP(D385,'СУММА ПРОДАЖ'!J:N, 5, FALSE)</f>
        <v>C</v>
      </c>
      <c r="J385" t="str">
        <f>VLOOKUP(D385, 'МЕСЯЧНАЯ ОБОР.'!$V$4:$W$806, 2, FALSE)</f>
        <v>A</v>
      </c>
    </row>
    <row r="386" spans="1:10" x14ac:dyDescent="0.25">
      <c r="A386" s="9" t="s">
        <v>942</v>
      </c>
      <c r="B386" s="10">
        <v>1</v>
      </c>
      <c r="D386" t="s">
        <v>683</v>
      </c>
      <c r="E386">
        <v>1</v>
      </c>
      <c r="F386">
        <f t="shared" si="15"/>
        <v>6.2155775398999025E-4</v>
      </c>
      <c r="G386">
        <f t="shared" si="17"/>
        <v>0.75662225393200955</v>
      </c>
      <c r="H386" t="str">
        <f t="shared" si="16"/>
        <v>A</v>
      </c>
      <c r="I386" t="str">
        <f>VLOOKUP(D386,'СУММА ПРОДАЖ'!J:N, 5, FALSE)</f>
        <v>A</v>
      </c>
      <c r="J386" t="str">
        <f>VLOOKUP(D386, 'МЕСЯЧНАЯ ОБОР.'!$V$4:$W$806, 2, FALSE)</f>
        <v>A</v>
      </c>
    </row>
    <row r="387" spans="1:10" x14ac:dyDescent="0.25">
      <c r="A387" s="9" t="s">
        <v>430</v>
      </c>
      <c r="B387" s="10">
        <v>3</v>
      </c>
      <c r="D387" t="s">
        <v>291</v>
      </c>
      <c r="E387">
        <v>1</v>
      </c>
      <c r="F387">
        <f t="shared" si="15"/>
        <v>6.2155775398999025E-4</v>
      </c>
      <c r="G387">
        <f t="shared" si="17"/>
        <v>0.75724381168599952</v>
      </c>
      <c r="H387" t="str">
        <f t="shared" si="16"/>
        <v>A</v>
      </c>
      <c r="I387" t="str">
        <f>VLOOKUP(D387,'СУММА ПРОДАЖ'!J:N, 5, FALSE)</f>
        <v>A</v>
      </c>
      <c r="J387" t="str">
        <f>VLOOKUP(D387, 'МЕСЯЧНАЯ ОБОР.'!$V$4:$W$806, 2, FALSE)</f>
        <v>A</v>
      </c>
    </row>
    <row r="388" spans="1:10" x14ac:dyDescent="0.25">
      <c r="A388" s="9" t="s">
        <v>557</v>
      </c>
      <c r="B388" s="10">
        <v>1</v>
      </c>
      <c r="D388" t="s">
        <v>19</v>
      </c>
      <c r="E388">
        <v>1</v>
      </c>
      <c r="F388">
        <f t="shared" si="15"/>
        <v>6.2155775398999025E-4</v>
      </c>
      <c r="G388">
        <f t="shared" si="17"/>
        <v>0.7578653694399895</v>
      </c>
      <c r="H388" t="str">
        <f t="shared" si="16"/>
        <v>A</v>
      </c>
      <c r="I388" t="str">
        <f>VLOOKUP(D388,'СУММА ПРОДАЖ'!J:N, 5, FALSE)</f>
        <v>B</v>
      </c>
      <c r="J388" t="str">
        <f>VLOOKUP(D388, 'МЕСЯЧНАЯ ОБОР.'!$V$4:$W$806, 2, FALSE)</f>
        <v>A</v>
      </c>
    </row>
    <row r="389" spans="1:10" x14ac:dyDescent="0.25">
      <c r="A389" s="9" t="s">
        <v>1145</v>
      </c>
      <c r="B389" s="10">
        <v>1</v>
      </c>
      <c r="D389" t="s">
        <v>821</v>
      </c>
      <c r="E389">
        <v>1</v>
      </c>
      <c r="F389">
        <f t="shared" ref="F389:F452" si="18">E389/SUM($E$4:$E$806)</f>
        <v>6.2155775398999025E-4</v>
      </c>
      <c r="G389">
        <f t="shared" si="17"/>
        <v>0.75848692719397948</v>
      </c>
      <c r="H389" t="str">
        <f t="shared" ref="H389:H452" si="19">IF(G389&lt;0.8, "A", IF(G389&lt;0.95, "B","C"))</f>
        <v>A</v>
      </c>
      <c r="I389" t="str">
        <f>VLOOKUP(D389,'СУММА ПРОДАЖ'!J:N, 5, FALSE)</f>
        <v>A</v>
      </c>
      <c r="J389" t="str">
        <f>VLOOKUP(D389, 'МЕСЯЧНАЯ ОБОР.'!$V$4:$W$806, 2, FALSE)</f>
        <v>A</v>
      </c>
    </row>
    <row r="390" spans="1:10" x14ac:dyDescent="0.25">
      <c r="A390" s="9" t="s">
        <v>680</v>
      </c>
      <c r="B390" s="10">
        <v>1</v>
      </c>
      <c r="D390" t="s">
        <v>144</v>
      </c>
      <c r="E390">
        <v>1</v>
      </c>
      <c r="F390">
        <f t="shared" si="18"/>
        <v>6.2155775398999025E-4</v>
      </c>
      <c r="G390">
        <f t="shared" ref="G390:G453" si="20">F390+G389</f>
        <v>0.75910848494796945</v>
      </c>
      <c r="H390" t="str">
        <f t="shared" si="19"/>
        <v>A</v>
      </c>
      <c r="I390" t="str">
        <f>VLOOKUP(D390,'СУММА ПРОДАЖ'!J:N, 5, FALSE)</f>
        <v>B</v>
      </c>
      <c r="J390" t="str">
        <f>VLOOKUP(D390, 'МЕСЯЧНАЯ ОБОР.'!$V$4:$W$806, 2, FALSE)</f>
        <v>A</v>
      </c>
    </row>
    <row r="391" spans="1:10" x14ac:dyDescent="0.25">
      <c r="A391" s="9" t="s">
        <v>532</v>
      </c>
      <c r="B391" s="10">
        <v>1</v>
      </c>
      <c r="D391" t="s">
        <v>1166</v>
      </c>
      <c r="E391">
        <v>1</v>
      </c>
      <c r="F391">
        <f t="shared" si="18"/>
        <v>6.2155775398999025E-4</v>
      </c>
      <c r="G391">
        <f t="shared" si="20"/>
        <v>0.75973004270195943</v>
      </c>
      <c r="H391" t="str">
        <f t="shared" si="19"/>
        <v>A</v>
      </c>
      <c r="I391" t="str">
        <f>VLOOKUP(D391,'СУММА ПРОДАЖ'!J:N, 5, FALSE)</f>
        <v>B</v>
      </c>
      <c r="J391" t="str">
        <f>VLOOKUP(D391, 'МЕСЯЧНАЯ ОБОР.'!$V$4:$W$806, 2, FALSE)</f>
        <v>A</v>
      </c>
    </row>
    <row r="392" spans="1:10" x14ac:dyDescent="0.25">
      <c r="A392" s="9" t="s">
        <v>658</v>
      </c>
      <c r="B392" s="10">
        <v>1</v>
      </c>
      <c r="D392" t="s">
        <v>608</v>
      </c>
      <c r="E392">
        <v>1</v>
      </c>
      <c r="F392">
        <f t="shared" si="18"/>
        <v>6.2155775398999025E-4</v>
      </c>
      <c r="G392">
        <f t="shared" si="20"/>
        <v>0.76035160045594941</v>
      </c>
      <c r="H392" t="str">
        <f t="shared" si="19"/>
        <v>A</v>
      </c>
      <c r="I392" t="str">
        <f>VLOOKUP(D392,'СУММА ПРОДАЖ'!J:N, 5, FALSE)</f>
        <v>B</v>
      </c>
      <c r="J392" t="str">
        <f>VLOOKUP(D392, 'МЕСЯЧНАЯ ОБОР.'!$V$4:$W$806, 2, FALSE)</f>
        <v>A</v>
      </c>
    </row>
    <row r="393" spans="1:10" x14ac:dyDescent="0.25">
      <c r="A393" s="9" t="s">
        <v>750</v>
      </c>
      <c r="B393" s="10">
        <v>1</v>
      </c>
      <c r="D393" t="s">
        <v>57</v>
      </c>
      <c r="E393">
        <v>1</v>
      </c>
      <c r="F393">
        <f t="shared" si="18"/>
        <v>6.2155775398999025E-4</v>
      </c>
      <c r="G393">
        <f t="shared" si="20"/>
        <v>0.76097315820993938</v>
      </c>
      <c r="H393" t="str">
        <f t="shared" si="19"/>
        <v>A</v>
      </c>
      <c r="I393" t="str">
        <f>VLOOKUP(D393,'СУММА ПРОДАЖ'!J:N, 5, FALSE)</f>
        <v>A</v>
      </c>
      <c r="J393" t="str">
        <f>VLOOKUP(D393, 'МЕСЯЧНАЯ ОБОР.'!$V$4:$W$806, 2, FALSE)</f>
        <v>A</v>
      </c>
    </row>
    <row r="394" spans="1:10" x14ac:dyDescent="0.25">
      <c r="A394" s="9" t="s">
        <v>943</v>
      </c>
      <c r="B394" s="10">
        <v>1</v>
      </c>
      <c r="D394" t="s">
        <v>1226</v>
      </c>
      <c r="E394">
        <v>1</v>
      </c>
      <c r="F394">
        <f t="shared" si="18"/>
        <v>6.2155775398999025E-4</v>
      </c>
      <c r="G394">
        <f t="shared" si="20"/>
        <v>0.76159471596392936</v>
      </c>
      <c r="H394" t="str">
        <f t="shared" si="19"/>
        <v>A</v>
      </c>
      <c r="I394" t="str">
        <f>VLOOKUP(D394,'СУММА ПРОДАЖ'!J:N, 5, FALSE)</f>
        <v>C</v>
      </c>
      <c r="J394" t="str">
        <f>VLOOKUP(D394, 'МЕСЯЧНАЯ ОБОР.'!$V$4:$W$806, 2, FALSE)</f>
        <v>A</v>
      </c>
    </row>
    <row r="395" spans="1:10" x14ac:dyDescent="0.25">
      <c r="A395" s="9" t="s">
        <v>429</v>
      </c>
      <c r="B395" s="10">
        <v>1</v>
      </c>
      <c r="D395" t="s">
        <v>962</v>
      </c>
      <c r="E395">
        <v>1</v>
      </c>
      <c r="F395">
        <f t="shared" si="18"/>
        <v>6.2155775398999025E-4</v>
      </c>
      <c r="G395">
        <f t="shared" si="20"/>
        <v>0.76221627371791933</v>
      </c>
      <c r="H395" t="str">
        <f t="shared" si="19"/>
        <v>A</v>
      </c>
      <c r="I395" t="str">
        <f>VLOOKUP(D395,'СУММА ПРОДАЖ'!J:N, 5, FALSE)</f>
        <v>B</v>
      </c>
      <c r="J395" t="str">
        <f>VLOOKUP(D395, 'МЕСЯЧНАЯ ОБОР.'!$V$4:$W$806, 2, FALSE)</f>
        <v>A</v>
      </c>
    </row>
    <row r="396" spans="1:10" x14ac:dyDescent="0.25">
      <c r="A396" s="9" t="s">
        <v>251</v>
      </c>
      <c r="B396" s="10">
        <v>9</v>
      </c>
      <c r="D396" t="s">
        <v>1190</v>
      </c>
      <c r="E396">
        <v>1</v>
      </c>
      <c r="F396">
        <f t="shared" si="18"/>
        <v>6.2155775398999025E-4</v>
      </c>
      <c r="G396">
        <f t="shared" si="20"/>
        <v>0.76283783147190931</v>
      </c>
      <c r="H396" t="str">
        <f t="shared" si="19"/>
        <v>A</v>
      </c>
      <c r="I396" t="str">
        <f>VLOOKUP(D396,'СУММА ПРОДАЖ'!J:N, 5, FALSE)</f>
        <v>B</v>
      </c>
      <c r="J396" t="str">
        <f>VLOOKUP(D396, 'МЕСЯЧНАЯ ОБОР.'!$V$4:$W$806, 2, FALSE)</f>
        <v>A</v>
      </c>
    </row>
    <row r="397" spans="1:10" x14ac:dyDescent="0.25">
      <c r="A397" s="9" t="s">
        <v>324</v>
      </c>
      <c r="B397" s="10">
        <v>1</v>
      </c>
      <c r="D397" t="s">
        <v>930</v>
      </c>
      <c r="E397">
        <v>1</v>
      </c>
      <c r="F397">
        <f t="shared" si="18"/>
        <v>6.2155775398999025E-4</v>
      </c>
      <c r="G397">
        <f t="shared" si="20"/>
        <v>0.76345938922589929</v>
      </c>
      <c r="H397" t="str">
        <f t="shared" si="19"/>
        <v>A</v>
      </c>
      <c r="I397" t="str">
        <f>VLOOKUP(D397,'СУММА ПРОДАЖ'!J:N, 5, FALSE)</f>
        <v>A</v>
      </c>
      <c r="J397" t="str">
        <f>VLOOKUP(D397, 'МЕСЯЧНАЯ ОБОР.'!$V$4:$W$806, 2, FALSE)</f>
        <v>A</v>
      </c>
    </row>
    <row r="398" spans="1:10" x14ac:dyDescent="0.25">
      <c r="A398" s="9" t="s">
        <v>190</v>
      </c>
      <c r="B398" s="10">
        <v>1</v>
      </c>
      <c r="D398" t="s">
        <v>224</v>
      </c>
      <c r="E398">
        <v>1</v>
      </c>
      <c r="F398">
        <f t="shared" si="18"/>
        <v>6.2155775398999025E-4</v>
      </c>
      <c r="G398">
        <f t="shared" si="20"/>
        <v>0.76408094697988926</v>
      </c>
      <c r="H398" t="str">
        <f t="shared" si="19"/>
        <v>A</v>
      </c>
      <c r="I398" t="str">
        <f>VLOOKUP(D398,'СУММА ПРОДАЖ'!J:N, 5, FALSE)</f>
        <v>C</v>
      </c>
      <c r="J398" t="str">
        <f>VLOOKUP(D398, 'МЕСЯЧНАЯ ОБОР.'!$V$4:$W$806, 2, FALSE)</f>
        <v>A</v>
      </c>
    </row>
    <row r="399" spans="1:10" x14ac:dyDescent="0.25">
      <c r="A399" s="9" t="s">
        <v>499</v>
      </c>
      <c r="B399" s="10">
        <v>1</v>
      </c>
      <c r="D399" t="s">
        <v>847</v>
      </c>
      <c r="E399">
        <v>1</v>
      </c>
      <c r="F399">
        <f t="shared" si="18"/>
        <v>6.2155775398999025E-4</v>
      </c>
      <c r="G399">
        <f t="shared" si="20"/>
        <v>0.76470250473387924</v>
      </c>
      <c r="H399" t="str">
        <f t="shared" si="19"/>
        <v>A</v>
      </c>
      <c r="I399" t="str">
        <f>VLOOKUP(D399,'СУММА ПРОДАЖ'!J:N, 5, FALSE)</f>
        <v>A</v>
      </c>
      <c r="J399" t="str">
        <f>VLOOKUP(D399, 'МЕСЯЧНАЯ ОБОР.'!$V$4:$W$806, 2, FALSE)</f>
        <v>A</v>
      </c>
    </row>
    <row r="400" spans="1:10" x14ac:dyDescent="0.25">
      <c r="A400" s="9" t="s">
        <v>873</v>
      </c>
      <c r="B400" s="10">
        <v>1</v>
      </c>
      <c r="D400" t="s">
        <v>543</v>
      </c>
      <c r="E400">
        <v>1</v>
      </c>
      <c r="F400">
        <f t="shared" si="18"/>
        <v>6.2155775398999025E-4</v>
      </c>
      <c r="G400">
        <f t="shared" si="20"/>
        <v>0.76532406248786922</v>
      </c>
      <c r="H400" t="str">
        <f t="shared" si="19"/>
        <v>A</v>
      </c>
      <c r="I400" t="str">
        <f>VLOOKUP(D400,'СУММА ПРОДАЖ'!J:N, 5, FALSE)</f>
        <v>B</v>
      </c>
      <c r="J400" t="str">
        <f>VLOOKUP(D400, 'МЕСЯЧНАЯ ОБОР.'!$V$4:$W$806, 2, FALSE)</f>
        <v>A</v>
      </c>
    </row>
    <row r="401" spans="1:10" x14ac:dyDescent="0.25">
      <c r="A401" s="9" t="s">
        <v>1044</v>
      </c>
      <c r="B401" s="10">
        <v>1</v>
      </c>
      <c r="D401" t="s">
        <v>1020</v>
      </c>
      <c r="E401">
        <v>1</v>
      </c>
      <c r="F401">
        <f t="shared" si="18"/>
        <v>6.2155775398999025E-4</v>
      </c>
      <c r="G401">
        <f t="shared" si="20"/>
        <v>0.76594562024185919</v>
      </c>
      <c r="H401" t="str">
        <f t="shared" si="19"/>
        <v>A</v>
      </c>
      <c r="I401" t="str">
        <f>VLOOKUP(D401,'СУММА ПРОДАЖ'!J:N, 5, FALSE)</f>
        <v>A</v>
      </c>
      <c r="J401" t="str">
        <f>VLOOKUP(D401, 'МЕСЯЧНАЯ ОБОР.'!$V$4:$W$806, 2, FALSE)</f>
        <v>A</v>
      </c>
    </row>
    <row r="402" spans="1:10" x14ac:dyDescent="0.25">
      <c r="A402" s="9" t="s">
        <v>552</v>
      </c>
      <c r="B402" s="10">
        <v>5</v>
      </c>
      <c r="D402" t="s">
        <v>789</v>
      </c>
      <c r="E402">
        <v>1</v>
      </c>
      <c r="F402">
        <f t="shared" si="18"/>
        <v>6.2155775398999025E-4</v>
      </c>
      <c r="G402">
        <f t="shared" si="20"/>
        <v>0.76656717799584917</v>
      </c>
      <c r="H402" t="str">
        <f t="shared" si="19"/>
        <v>A</v>
      </c>
      <c r="I402" t="str">
        <f>VLOOKUP(D402,'СУММА ПРОДАЖ'!J:N, 5, FALSE)</f>
        <v>C</v>
      </c>
      <c r="J402" t="str">
        <f>VLOOKUP(D402, 'МЕСЯЧНАЯ ОБОР.'!$V$4:$W$806, 2, FALSE)</f>
        <v>A</v>
      </c>
    </row>
    <row r="403" spans="1:10" x14ac:dyDescent="0.25">
      <c r="A403" s="9" t="s">
        <v>940</v>
      </c>
      <c r="B403" s="10">
        <v>2</v>
      </c>
      <c r="D403" t="s">
        <v>598</v>
      </c>
      <c r="E403">
        <v>1</v>
      </c>
      <c r="F403">
        <f t="shared" si="18"/>
        <v>6.2155775398999025E-4</v>
      </c>
      <c r="G403">
        <f t="shared" si="20"/>
        <v>0.76718873574983915</v>
      </c>
      <c r="H403" t="str">
        <f t="shared" si="19"/>
        <v>A</v>
      </c>
      <c r="I403" t="str">
        <f>VLOOKUP(D403,'СУММА ПРОДАЖ'!J:N, 5, FALSE)</f>
        <v>A</v>
      </c>
      <c r="J403" t="str">
        <f>VLOOKUP(D403, 'МЕСЯЧНАЯ ОБОР.'!$V$4:$W$806, 2, FALSE)</f>
        <v>A</v>
      </c>
    </row>
    <row r="404" spans="1:10" x14ac:dyDescent="0.25">
      <c r="A404" s="9" t="s">
        <v>603</v>
      </c>
      <c r="B404" s="10">
        <v>1</v>
      </c>
      <c r="D404" t="s">
        <v>605</v>
      </c>
      <c r="E404">
        <v>1</v>
      </c>
      <c r="F404">
        <f t="shared" si="18"/>
        <v>6.2155775398999025E-4</v>
      </c>
      <c r="G404">
        <f t="shared" si="20"/>
        <v>0.76781029350382912</v>
      </c>
      <c r="H404" t="str">
        <f t="shared" si="19"/>
        <v>A</v>
      </c>
      <c r="I404" t="str">
        <f>VLOOKUP(D404,'СУММА ПРОДАЖ'!J:N, 5, FALSE)</f>
        <v>A</v>
      </c>
      <c r="J404" t="str">
        <f>VLOOKUP(D404, 'МЕСЯЧНАЯ ОБОР.'!$V$4:$W$806, 2, FALSE)</f>
        <v>A</v>
      </c>
    </row>
    <row r="405" spans="1:10" x14ac:dyDescent="0.25">
      <c r="A405" s="9" t="s">
        <v>63</v>
      </c>
      <c r="B405" s="10">
        <v>2</v>
      </c>
      <c r="D405" t="s">
        <v>1048</v>
      </c>
      <c r="E405">
        <v>1</v>
      </c>
      <c r="F405">
        <f t="shared" si="18"/>
        <v>6.2155775398999025E-4</v>
      </c>
      <c r="G405">
        <f t="shared" si="20"/>
        <v>0.7684318512578191</v>
      </c>
      <c r="H405" t="str">
        <f t="shared" si="19"/>
        <v>A</v>
      </c>
      <c r="I405" t="str">
        <f>VLOOKUP(D405,'СУММА ПРОДАЖ'!J:N, 5, FALSE)</f>
        <v>A</v>
      </c>
      <c r="J405" t="str">
        <f>VLOOKUP(D405, 'МЕСЯЧНАЯ ОБОР.'!$V$4:$W$806, 2, FALSE)</f>
        <v>A</v>
      </c>
    </row>
    <row r="406" spans="1:10" x14ac:dyDescent="0.25">
      <c r="A406" s="9" t="s">
        <v>937</v>
      </c>
      <c r="B406" s="10">
        <v>1</v>
      </c>
      <c r="D406" t="s">
        <v>100</v>
      </c>
      <c r="E406">
        <v>1</v>
      </c>
      <c r="F406">
        <f t="shared" si="18"/>
        <v>6.2155775398999025E-4</v>
      </c>
      <c r="G406">
        <f t="shared" si="20"/>
        <v>0.76905340901180907</v>
      </c>
      <c r="H406" t="str">
        <f t="shared" si="19"/>
        <v>A</v>
      </c>
      <c r="I406" t="str">
        <f>VLOOKUP(D406,'СУММА ПРОДАЖ'!J:N, 5, FALSE)</f>
        <v>C</v>
      </c>
      <c r="J406" t="str">
        <f>VLOOKUP(D406, 'МЕСЯЧНАЯ ОБОР.'!$V$4:$W$806, 2, FALSE)</f>
        <v>A</v>
      </c>
    </row>
    <row r="407" spans="1:10" x14ac:dyDescent="0.25">
      <c r="A407" s="9" t="s">
        <v>1092</v>
      </c>
      <c r="B407" s="10">
        <v>1</v>
      </c>
      <c r="D407" t="s">
        <v>242</v>
      </c>
      <c r="E407">
        <v>1</v>
      </c>
      <c r="F407">
        <f t="shared" si="18"/>
        <v>6.2155775398999025E-4</v>
      </c>
      <c r="G407">
        <f t="shared" si="20"/>
        <v>0.76967496676579905</v>
      </c>
      <c r="H407" t="str">
        <f t="shared" si="19"/>
        <v>A</v>
      </c>
      <c r="I407" t="str">
        <f>VLOOKUP(D407,'СУММА ПРОДАЖ'!J:N, 5, FALSE)</f>
        <v>A</v>
      </c>
      <c r="J407" t="str">
        <f>VLOOKUP(D407, 'МЕСЯЧНАЯ ОБОР.'!$V$4:$W$806, 2, FALSE)</f>
        <v>A</v>
      </c>
    </row>
    <row r="408" spans="1:10" x14ac:dyDescent="0.25">
      <c r="A408" s="9" t="s">
        <v>690</v>
      </c>
      <c r="B408" s="10">
        <v>1</v>
      </c>
      <c r="D408" t="s">
        <v>121</v>
      </c>
      <c r="E408">
        <v>1</v>
      </c>
      <c r="F408">
        <f t="shared" si="18"/>
        <v>6.2155775398999025E-4</v>
      </c>
      <c r="G408">
        <f t="shared" si="20"/>
        <v>0.77029652451978903</v>
      </c>
      <c r="H408" t="str">
        <f t="shared" si="19"/>
        <v>A</v>
      </c>
      <c r="I408" t="str">
        <f>VLOOKUP(D408,'СУММА ПРОДАЖ'!J:N, 5, FALSE)</f>
        <v>B</v>
      </c>
      <c r="J408" t="str">
        <f>VLOOKUP(D408, 'МЕСЯЧНАЯ ОБОР.'!$V$4:$W$806, 2, FALSE)</f>
        <v>A</v>
      </c>
    </row>
    <row r="409" spans="1:10" x14ac:dyDescent="0.25">
      <c r="A409" s="9" t="s">
        <v>353</v>
      </c>
      <c r="B409" s="10">
        <v>0.7</v>
      </c>
      <c r="D409" t="s">
        <v>830</v>
      </c>
      <c r="E409">
        <v>1</v>
      </c>
      <c r="F409">
        <f t="shared" si="18"/>
        <v>6.2155775398999025E-4</v>
      </c>
      <c r="G409">
        <f t="shared" si="20"/>
        <v>0.770918082273779</v>
      </c>
      <c r="H409" t="str">
        <f t="shared" si="19"/>
        <v>A</v>
      </c>
      <c r="I409" t="str">
        <f>VLOOKUP(D409,'СУММА ПРОДАЖ'!J:N, 5, FALSE)</f>
        <v>B</v>
      </c>
      <c r="J409" t="str">
        <f>VLOOKUP(D409, 'МЕСЯЧНАЯ ОБОР.'!$V$4:$W$806, 2, FALSE)</f>
        <v>A</v>
      </c>
    </row>
    <row r="410" spans="1:10" x14ac:dyDescent="0.25">
      <c r="A410" s="9" t="s">
        <v>466</v>
      </c>
      <c r="B410" s="10">
        <v>8</v>
      </c>
      <c r="D410" t="s">
        <v>1096</v>
      </c>
      <c r="E410">
        <v>1</v>
      </c>
      <c r="F410">
        <f t="shared" si="18"/>
        <v>6.2155775398999025E-4</v>
      </c>
      <c r="G410">
        <f t="shared" si="20"/>
        <v>0.77153964002776898</v>
      </c>
      <c r="H410" t="str">
        <f t="shared" si="19"/>
        <v>A</v>
      </c>
      <c r="I410" t="str">
        <f>VLOOKUP(D410,'СУММА ПРОДАЖ'!J:N, 5, FALSE)</f>
        <v>A</v>
      </c>
      <c r="J410" t="str">
        <f>VLOOKUP(D410, 'МЕСЯЧНАЯ ОБОР.'!$V$4:$W$806, 2, FALSE)</f>
        <v>A</v>
      </c>
    </row>
    <row r="411" spans="1:10" x14ac:dyDescent="0.25">
      <c r="A411" s="9" t="s">
        <v>974</v>
      </c>
      <c r="B411" s="10">
        <v>1</v>
      </c>
      <c r="D411" t="s">
        <v>771</v>
      </c>
      <c r="E411">
        <v>1</v>
      </c>
      <c r="F411">
        <f t="shared" si="18"/>
        <v>6.2155775398999025E-4</v>
      </c>
      <c r="G411">
        <f t="shared" si="20"/>
        <v>0.77216119778175896</v>
      </c>
      <c r="H411" t="str">
        <f t="shared" si="19"/>
        <v>A</v>
      </c>
      <c r="I411" t="str">
        <f>VLOOKUP(D411,'СУММА ПРОДАЖ'!J:N, 5, FALSE)</f>
        <v>C</v>
      </c>
      <c r="J411" t="str">
        <f>VLOOKUP(D411, 'МЕСЯЧНАЯ ОБОР.'!$V$4:$W$806, 2, FALSE)</f>
        <v>A</v>
      </c>
    </row>
    <row r="412" spans="1:10" x14ac:dyDescent="0.25">
      <c r="A412" s="9" t="s">
        <v>735</v>
      </c>
      <c r="B412" s="10">
        <v>2</v>
      </c>
      <c r="D412" t="s">
        <v>773</v>
      </c>
      <c r="E412">
        <v>1</v>
      </c>
      <c r="F412">
        <f t="shared" si="18"/>
        <v>6.2155775398999025E-4</v>
      </c>
      <c r="G412">
        <f t="shared" si="20"/>
        <v>0.77278275553574893</v>
      </c>
      <c r="H412" t="str">
        <f t="shared" si="19"/>
        <v>A</v>
      </c>
      <c r="I412" t="str">
        <f>VLOOKUP(D412,'СУММА ПРОДАЖ'!J:N, 5, FALSE)</f>
        <v>C</v>
      </c>
      <c r="J412" t="str">
        <f>VLOOKUP(D412, 'МЕСЯЧНАЯ ОБОР.'!$V$4:$W$806, 2, FALSE)</f>
        <v>A</v>
      </c>
    </row>
    <row r="413" spans="1:10" x14ac:dyDescent="0.25">
      <c r="A413" s="9" t="s">
        <v>526</v>
      </c>
      <c r="B413" s="10">
        <v>3</v>
      </c>
      <c r="D413" t="s">
        <v>869</v>
      </c>
      <c r="E413">
        <v>1</v>
      </c>
      <c r="F413">
        <f t="shared" si="18"/>
        <v>6.2155775398999025E-4</v>
      </c>
      <c r="G413">
        <f t="shared" si="20"/>
        <v>0.77340431328973891</v>
      </c>
      <c r="H413" t="str">
        <f t="shared" si="19"/>
        <v>A</v>
      </c>
      <c r="I413" t="str">
        <f>VLOOKUP(D413,'СУММА ПРОДАЖ'!J:N, 5, FALSE)</f>
        <v>B</v>
      </c>
      <c r="J413" t="str">
        <f>VLOOKUP(D413, 'МЕСЯЧНАЯ ОБОР.'!$V$4:$W$806, 2, FALSE)</f>
        <v>A</v>
      </c>
    </row>
    <row r="414" spans="1:10" x14ac:dyDescent="0.25">
      <c r="A414" s="9" t="s">
        <v>65</v>
      </c>
      <c r="B414" s="10">
        <v>4</v>
      </c>
      <c r="D414" t="s">
        <v>1041</v>
      </c>
      <c r="E414">
        <v>1</v>
      </c>
      <c r="F414">
        <f t="shared" si="18"/>
        <v>6.2155775398999025E-4</v>
      </c>
      <c r="G414">
        <f t="shared" si="20"/>
        <v>0.77402587104372889</v>
      </c>
      <c r="H414" t="str">
        <f t="shared" si="19"/>
        <v>A</v>
      </c>
      <c r="I414" t="str">
        <f>VLOOKUP(D414,'СУММА ПРОДАЖ'!J:N, 5, FALSE)</f>
        <v>B</v>
      </c>
      <c r="J414" t="str">
        <f>VLOOKUP(D414, 'МЕСЯЧНАЯ ОБОР.'!$V$4:$W$806, 2, FALSE)</f>
        <v>A</v>
      </c>
    </row>
    <row r="415" spans="1:10" x14ac:dyDescent="0.25">
      <c r="A415" s="9" t="s">
        <v>826</v>
      </c>
      <c r="B415" s="10">
        <v>3</v>
      </c>
      <c r="D415" t="s">
        <v>732</v>
      </c>
      <c r="E415">
        <v>1</v>
      </c>
      <c r="F415">
        <f t="shared" si="18"/>
        <v>6.2155775398999025E-4</v>
      </c>
      <c r="G415">
        <f t="shared" si="20"/>
        <v>0.77464742879771886</v>
      </c>
      <c r="H415" t="str">
        <f t="shared" si="19"/>
        <v>A</v>
      </c>
      <c r="I415" t="str">
        <f>VLOOKUP(D415,'СУММА ПРОДАЖ'!J:N, 5, FALSE)</f>
        <v>A</v>
      </c>
      <c r="J415" t="str">
        <f>VLOOKUP(D415, 'МЕСЯЧНАЯ ОБОР.'!$V$4:$W$806, 2, FALSE)</f>
        <v>A</v>
      </c>
    </row>
    <row r="416" spans="1:10" x14ac:dyDescent="0.25">
      <c r="A416" s="9" t="s">
        <v>522</v>
      </c>
      <c r="B416" s="10">
        <v>2</v>
      </c>
      <c r="D416" t="s">
        <v>695</v>
      </c>
      <c r="E416">
        <v>1</v>
      </c>
      <c r="F416">
        <f t="shared" si="18"/>
        <v>6.2155775398999025E-4</v>
      </c>
      <c r="G416">
        <f t="shared" si="20"/>
        <v>0.77526898655170884</v>
      </c>
      <c r="H416" t="str">
        <f t="shared" si="19"/>
        <v>A</v>
      </c>
      <c r="I416" t="str">
        <f>VLOOKUP(D416,'СУММА ПРОДАЖ'!J:N, 5, FALSE)</f>
        <v>A</v>
      </c>
      <c r="J416" t="str">
        <f>VLOOKUP(D416, 'МЕСЯЧНАЯ ОБОР.'!$V$4:$W$806, 2, FALSE)</f>
        <v>A</v>
      </c>
    </row>
    <row r="417" spans="1:10" x14ac:dyDescent="0.25">
      <c r="A417" s="9" t="s">
        <v>988</v>
      </c>
      <c r="B417" s="10">
        <v>1</v>
      </c>
      <c r="D417" t="s">
        <v>585</v>
      </c>
      <c r="E417">
        <v>1</v>
      </c>
      <c r="F417">
        <f t="shared" si="18"/>
        <v>6.2155775398999025E-4</v>
      </c>
      <c r="G417">
        <f t="shared" si="20"/>
        <v>0.77589054430569881</v>
      </c>
      <c r="H417" t="str">
        <f t="shared" si="19"/>
        <v>A</v>
      </c>
      <c r="I417" t="str">
        <f>VLOOKUP(D417,'СУММА ПРОДАЖ'!J:N, 5, FALSE)</f>
        <v>A</v>
      </c>
      <c r="J417" t="str">
        <f>VLOOKUP(D417, 'МЕСЯЧНАЯ ОБОР.'!$V$4:$W$806, 2, FALSE)</f>
        <v>A</v>
      </c>
    </row>
    <row r="418" spans="1:10" x14ac:dyDescent="0.25">
      <c r="A418" s="9" t="s">
        <v>1051</v>
      </c>
      <c r="B418" s="10">
        <v>1</v>
      </c>
      <c r="D418" t="s">
        <v>406</v>
      </c>
      <c r="E418">
        <v>1</v>
      </c>
      <c r="F418">
        <f t="shared" si="18"/>
        <v>6.2155775398999025E-4</v>
      </c>
      <c r="G418">
        <f t="shared" si="20"/>
        <v>0.77651210205968879</v>
      </c>
      <c r="H418" t="str">
        <f t="shared" si="19"/>
        <v>A</v>
      </c>
      <c r="I418" t="str">
        <f>VLOOKUP(D418,'СУММА ПРОДАЖ'!J:N, 5, FALSE)</f>
        <v>A</v>
      </c>
      <c r="J418" t="str">
        <f>VLOOKUP(D418, 'МЕСЯЧНАЯ ОБОР.'!$V$4:$W$806, 2, FALSE)</f>
        <v>A</v>
      </c>
    </row>
    <row r="419" spans="1:10" x14ac:dyDescent="0.25">
      <c r="A419" s="9" t="s">
        <v>447</v>
      </c>
      <c r="B419" s="10">
        <v>1</v>
      </c>
      <c r="D419" t="s">
        <v>178</v>
      </c>
      <c r="E419">
        <v>1</v>
      </c>
      <c r="F419">
        <f t="shared" si="18"/>
        <v>6.2155775398999025E-4</v>
      </c>
      <c r="G419">
        <f t="shared" si="20"/>
        <v>0.77713365981367877</v>
      </c>
      <c r="H419" t="str">
        <f t="shared" si="19"/>
        <v>A</v>
      </c>
      <c r="I419" t="str">
        <f>VLOOKUP(D419,'СУММА ПРОДАЖ'!J:N, 5, FALSE)</f>
        <v>A</v>
      </c>
      <c r="J419" t="str">
        <f>VLOOKUP(D419, 'МЕСЯЧНАЯ ОБОР.'!$V$4:$W$806, 2, FALSE)</f>
        <v>A</v>
      </c>
    </row>
    <row r="420" spans="1:10" x14ac:dyDescent="0.25">
      <c r="A420" s="9" t="s">
        <v>481</v>
      </c>
      <c r="B420" s="10">
        <v>1</v>
      </c>
      <c r="D420" t="s">
        <v>1213</v>
      </c>
      <c r="E420">
        <v>1</v>
      </c>
      <c r="F420">
        <f t="shared" si="18"/>
        <v>6.2155775398999025E-4</v>
      </c>
      <c r="G420">
        <f t="shared" si="20"/>
        <v>0.77775521756766874</v>
      </c>
      <c r="H420" t="str">
        <f t="shared" si="19"/>
        <v>A</v>
      </c>
      <c r="I420" t="str">
        <f>VLOOKUP(D420,'СУММА ПРОДАЖ'!J:N, 5, FALSE)</f>
        <v>B</v>
      </c>
      <c r="J420" t="str">
        <f>VLOOKUP(D420, 'МЕСЯЧНАЯ ОБОР.'!$V$4:$W$806, 2, FALSE)</f>
        <v>A</v>
      </c>
    </row>
    <row r="421" spans="1:10" x14ac:dyDescent="0.25">
      <c r="A421" s="9" t="s">
        <v>236</v>
      </c>
      <c r="B421" s="10">
        <v>13</v>
      </c>
      <c r="D421" t="s">
        <v>1063</v>
      </c>
      <c r="E421">
        <v>1</v>
      </c>
      <c r="F421">
        <f t="shared" si="18"/>
        <v>6.2155775398999025E-4</v>
      </c>
      <c r="G421">
        <f t="shared" si="20"/>
        <v>0.77837677532165872</v>
      </c>
      <c r="H421" t="str">
        <f t="shared" si="19"/>
        <v>A</v>
      </c>
      <c r="I421" t="str">
        <f>VLOOKUP(D421,'СУММА ПРОДАЖ'!J:N, 5, FALSE)</f>
        <v>B</v>
      </c>
      <c r="J421" t="str">
        <f>VLOOKUP(D421, 'МЕСЯЧНАЯ ОБОР.'!$V$4:$W$806, 2, FALSE)</f>
        <v>A</v>
      </c>
    </row>
    <row r="422" spans="1:10" x14ac:dyDescent="0.25">
      <c r="A422" s="9" t="s">
        <v>816</v>
      </c>
      <c r="B422" s="10">
        <v>3</v>
      </c>
      <c r="D422" t="s">
        <v>483</v>
      </c>
      <c r="E422">
        <v>1</v>
      </c>
      <c r="F422">
        <f t="shared" si="18"/>
        <v>6.2155775398999025E-4</v>
      </c>
      <c r="G422">
        <f t="shared" si="20"/>
        <v>0.7789983330756487</v>
      </c>
      <c r="H422" t="str">
        <f t="shared" si="19"/>
        <v>A</v>
      </c>
      <c r="I422" t="str">
        <f>VLOOKUP(D422,'СУММА ПРОДАЖ'!J:N, 5, FALSE)</f>
        <v>A</v>
      </c>
      <c r="J422" t="str">
        <f>VLOOKUP(D422, 'МЕСЯЧНАЯ ОБОР.'!$V$4:$W$806, 2, FALSE)</f>
        <v>A</v>
      </c>
    </row>
    <row r="423" spans="1:10" x14ac:dyDescent="0.25">
      <c r="A423" s="9" t="s">
        <v>1224</v>
      </c>
      <c r="B423" s="10">
        <v>4</v>
      </c>
      <c r="D423" t="s">
        <v>1011</v>
      </c>
      <c r="E423">
        <v>1</v>
      </c>
      <c r="F423">
        <f t="shared" si="18"/>
        <v>6.2155775398999025E-4</v>
      </c>
      <c r="G423">
        <f t="shared" si="20"/>
        <v>0.77961989082963867</v>
      </c>
      <c r="H423" t="str">
        <f t="shared" si="19"/>
        <v>A</v>
      </c>
      <c r="I423" t="str">
        <f>VLOOKUP(D423,'СУММА ПРОДАЖ'!J:N, 5, FALSE)</f>
        <v>C</v>
      </c>
      <c r="J423" t="str">
        <f>VLOOKUP(D423, 'МЕСЯЧНАЯ ОБОР.'!$V$4:$W$806, 2, FALSE)</f>
        <v>A</v>
      </c>
    </row>
    <row r="424" spans="1:10" x14ac:dyDescent="0.25">
      <c r="A424" s="9" t="s">
        <v>589</v>
      </c>
      <c r="B424" s="10">
        <v>3</v>
      </c>
      <c r="D424" t="s">
        <v>1109</v>
      </c>
      <c r="E424">
        <v>1</v>
      </c>
      <c r="F424">
        <f t="shared" si="18"/>
        <v>6.2155775398999025E-4</v>
      </c>
      <c r="G424">
        <f t="shared" si="20"/>
        <v>0.78024144858362865</v>
      </c>
      <c r="H424" t="str">
        <f t="shared" si="19"/>
        <v>A</v>
      </c>
      <c r="I424" t="str">
        <f>VLOOKUP(D424,'СУММА ПРОДАЖ'!J:N, 5, FALSE)</f>
        <v>B</v>
      </c>
      <c r="J424" t="str">
        <f>VLOOKUP(D424, 'МЕСЯЧНАЯ ОБОР.'!$V$4:$W$806, 2, FALSE)</f>
        <v>A</v>
      </c>
    </row>
    <row r="425" spans="1:10" x14ac:dyDescent="0.25">
      <c r="A425" s="9" t="s">
        <v>1035</v>
      </c>
      <c r="B425" s="10">
        <v>1</v>
      </c>
      <c r="D425" t="s">
        <v>287</v>
      </c>
      <c r="E425">
        <v>1</v>
      </c>
      <c r="F425">
        <f t="shared" si="18"/>
        <v>6.2155775398999025E-4</v>
      </c>
      <c r="G425">
        <f t="shared" si="20"/>
        <v>0.78086300633761863</v>
      </c>
      <c r="H425" t="str">
        <f t="shared" si="19"/>
        <v>A</v>
      </c>
      <c r="I425" t="str">
        <f>VLOOKUP(D425,'СУММА ПРОДАЖ'!J:N, 5, FALSE)</f>
        <v>C</v>
      </c>
      <c r="J425" t="str">
        <f>VLOOKUP(D425, 'МЕСЯЧНАЯ ОБОР.'!$V$4:$W$806, 2, FALSE)</f>
        <v>A</v>
      </c>
    </row>
    <row r="426" spans="1:10" x14ac:dyDescent="0.25">
      <c r="A426" s="9" t="s">
        <v>1069</v>
      </c>
      <c r="B426" s="10">
        <v>3</v>
      </c>
      <c r="D426" t="s">
        <v>677</v>
      </c>
      <c r="E426">
        <v>1</v>
      </c>
      <c r="F426">
        <f t="shared" si="18"/>
        <v>6.2155775398999025E-4</v>
      </c>
      <c r="G426">
        <f t="shared" si="20"/>
        <v>0.7814845640916086</v>
      </c>
      <c r="H426" t="str">
        <f t="shared" si="19"/>
        <v>A</v>
      </c>
      <c r="I426" t="str">
        <f>VLOOKUP(D426,'СУММА ПРОДАЖ'!J:N, 5, FALSE)</f>
        <v>B</v>
      </c>
      <c r="J426" t="str">
        <f>VLOOKUP(D426, 'МЕСЯЧНАЯ ОБОР.'!$V$4:$W$806, 2, FALSE)</f>
        <v>A</v>
      </c>
    </row>
    <row r="427" spans="1:10" x14ac:dyDescent="0.25">
      <c r="A427" s="9" t="s">
        <v>639</v>
      </c>
      <c r="B427" s="10">
        <v>4</v>
      </c>
      <c r="D427" t="s">
        <v>969</v>
      </c>
      <c r="E427">
        <v>1</v>
      </c>
      <c r="F427">
        <f t="shared" si="18"/>
        <v>6.2155775398999025E-4</v>
      </c>
      <c r="G427">
        <f t="shared" si="20"/>
        <v>0.78210612184559858</v>
      </c>
      <c r="H427" t="str">
        <f t="shared" si="19"/>
        <v>A</v>
      </c>
      <c r="I427" t="str">
        <f>VLOOKUP(D427,'СУММА ПРОДАЖ'!J:N, 5, FALSE)</f>
        <v>B</v>
      </c>
      <c r="J427" t="str">
        <f>VLOOKUP(D427, 'МЕСЯЧНАЯ ОБОР.'!$V$4:$W$806, 2, FALSE)</f>
        <v>A</v>
      </c>
    </row>
    <row r="428" spans="1:10" x14ac:dyDescent="0.25">
      <c r="A428" s="9" t="s">
        <v>386</v>
      </c>
      <c r="B428" s="10">
        <v>3</v>
      </c>
      <c r="D428" t="s">
        <v>1212</v>
      </c>
      <c r="E428">
        <v>1</v>
      </c>
      <c r="F428">
        <f t="shared" si="18"/>
        <v>6.2155775398999025E-4</v>
      </c>
      <c r="G428">
        <f t="shared" si="20"/>
        <v>0.78272767959958855</v>
      </c>
      <c r="H428" t="str">
        <f t="shared" si="19"/>
        <v>A</v>
      </c>
      <c r="I428" t="str">
        <f>VLOOKUP(D428,'СУММА ПРОДАЖ'!J:N, 5, FALSE)</f>
        <v>C</v>
      </c>
      <c r="J428" t="str">
        <f>VLOOKUP(D428, 'МЕСЯЧНАЯ ОБОР.'!$V$4:$W$806, 2, FALSE)</f>
        <v>A</v>
      </c>
    </row>
    <row r="429" spans="1:10" x14ac:dyDescent="0.25">
      <c r="A429" s="9" t="s">
        <v>893</v>
      </c>
      <c r="B429" s="10">
        <v>1</v>
      </c>
      <c r="D429" t="s">
        <v>417</v>
      </c>
      <c r="E429">
        <v>1</v>
      </c>
      <c r="F429">
        <f t="shared" si="18"/>
        <v>6.2155775398999025E-4</v>
      </c>
      <c r="G429">
        <f t="shared" si="20"/>
        <v>0.78334923735357853</v>
      </c>
      <c r="H429" t="str">
        <f t="shared" si="19"/>
        <v>A</v>
      </c>
      <c r="I429" t="str">
        <f>VLOOKUP(D429,'СУММА ПРОДАЖ'!J:N, 5, FALSE)</f>
        <v>A</v>
      </c>
      <c r="J429" t="str">
        <f>VLOOKUP(D429, 'МЕСЯЧНАЯ ОБОР.'!$V$4:$W$806, 2, FALSE)</f>
        <v>A</v>
      </c>
    </row>
    <row r="430" spans="1:10" x14ac:dyDescent="0.25">
      <c r="A430" s="9" t="s">
        <v>472</v>
      </c>
      <c r="B430" s="10">
        <v>2</v>
      </c>
      <c r="D430" t="s">
        <v>944</v>
      </c>
      <c r="E430">
        <v>1</v>
      </c>
      <c r="F430">
        <f t="shared" si="18"/>
        <v>6.2155775398999025E-4</v>
      </c>
      <c r="G430">
        <f t="shared" si="20"/>
        <v>0.78397079510756851</v>
      </c>
      <c r="H430" t="str">
        <f t="shared" si="19"/>
        <v>A</v>
      </c>
      <c r="I430" t="str">
        <f>VLOOKUP(D430,'СУММА ПРОДАЖ'!J:N, 5, FALSE)</f>
        <v>B</v>
      </c>
      <c r="J430" t="str">
        <f>VLOOKUP(D430, 'МЕСЯЧНАЯ ОБОР.'!$V$4:$W$806, 2, FALSE)</f>
        <v>A</v>
      </c>
    </row>
    <row r="431" spans="1:10" x14ac:dyDescent="0.25">
      <c r="A431" s="9" t="s">
        <v>424</v>
      </c>
      <c r="B431" s="10">
        <v>4</v>
      </c>
      <c r="D431" t="s">
        <v>631</v>
      </c>
      <c r="E431">
        <v>1</v>
      </c>
      <c r="F431">
        <f t="shared" si="18"/>
        <v>6.2155775398999025E-4</v>
      </c>
      <c r="G431">
        <f t="shared" si="20"/>
        <v>0.78459235286155848</v>
      </c>
      <c r="H431" t="str">
        <f t="shared" si="19"/>
        <v>A</v>
      </c>
      <c r="I431" t="str">
        <f>VLOOKUP(D431,'СУММА ПРОДАЖ'!J:N, 5, FALSE)</f>
        <v>B</v>
      </c>
      <c r="J431" t="str">
        <f>VLOOKUP(D431, 'МЕСЯЧНАЯ ОБОР.'!$V$4:$W$806, 2, FALSE)</f>
        <v>A</v>
      </c>
    </row>
    <row r="432" spans="1:10" x14ac:dyDescent="0.25">
      <c r="A432" s="9" t="s">
        <v>713</v>
      </c>
      <c r="B432" s="10">
        <v>1</v>
      </c>
      <c r="D432" t="s">
        <v>1025</v>
      </c>
      <c r="E432">
        <v>1</v>
      </c>
      <c r="F432">
        <f t="shared" si="18"/>
        <v>6.2155775398999025E-4</v>
      </c>
      <c r="G432">
        <f t="shared" si="20"/>
        <v>0.78521391061554846</v>
      </c>
      <c r="H432" t="str">
        <f t="shared" si="19"/>
        <v>A</v>
      </c>
      <c r="I432" t="str">
        <f>VLOOKUP(D432,'СУММА ПРОДАЖ'!J:N, 5, FALSE)</f>
        <v>A</v>
      </c>
      <c r="J432" t="str">
        <f>VLOOKUP(D432, 'МЕСЯЧНАЯ ОБОР.'!$V$4:$W$806, 2, FALSE)</f>
        <v>A</v>
      </c>
    </row>
    <row r="433" spans="1:10" x14ac:dyDescent="0.25">
      <c r="A433" s="9" t="s">
        <v>820</v>
      </c>
      <c r="B433" s="10">
        <v>1</v>
      </c>
      <c r="D433" t="s">
        <v>652</v>
      </c>
      <c r="E433">
        <v>1</v>
      </c>
      <c r="F433">
        <f t="shared" si="18"/>
        <v>6.2155775398999025E-4</v>
      </c>
      <c r="G433">
        <f t="shared" si="20"/>
        <v>0.78583546836953844</v>
      </c>
      <c r="H433" t="str">
        <f t="shared" si="19"/>
        <v>A</v>
      </c>
      <c r="I433" t="str">
        <f>VLOOKUP(D433,'СУММА ПРОДАЖ'!J:N, 5, FALSE)</f>
        <v>A</v>
      </c>
      <c r="J433" t="str">
        <f>VLOOKUP(D433, 'МЕСЯЧНАЯ ОБОР.'!$V$4:$W$806, 2, FALSE)</f>
        <v>A</v>
      </c>
    </row>
    <row r="434" spans="1:10" x14ac:dyDescent="0.25">
      <c r="A434" s="9" t="s">
        <v>487</v>
      </c>
      <c r="B434" s="10">
        <v>2</v>
      </c>
      <c r="D434" t="s">
        <v>593</v>
      </c>
      <c r="E434">
        <v>1</v>
      </c>
      <c r="F434">
        <f t="shared" si="18"/>
        <v>6.2155775398999025E-4</v>
      </c>
      <c r="G434">
        <f t="shared" si="20"/>
        <v>0.78645702612352841</v>
      </c>
      <c r="H434" t="str">
        <f t="shared" si="19"/>
        <v>A</v>
      </c>
      <c r="I434" t="str">
        <f>VLOOKUP(D434,'СУММА ПРОДАЖ'!J:N, 5, FALSE)</f>
        <v>A</v>
      </c>
      <c r="J434" t="str">
        <f>VLOOKUP(D434, 'МЕСЯЧНАЯ ОБОР.'!$V$4:$W$806, 2, FALSE)</f>
        <v>A</v>
      </c>
    </row>
    <row r="435" spans="1:10" x14ac:dyDescent="0.25">
      <c r="A435" s="9" t="s">
        <v>488</v>
      </c>
      <c r="B435" s="10">
        <v>1</v>
      </c>
      <c r="D435" t="s">
        <v>1052</v>
      </c>
      <c r="E435">
        <v>1</v>
      </c>
      <c r="F435">
        <f t="shared" si="18"/>
        <v>6.2155775398999025E-4</v>
      </c>
      <c r="G435">
        <f t="shared" si="20"/>
        <v>0.78707858387751839</v>
      </c>
      <c r="H435" t="str">
        <f t="shared" si="19"/>
        <v>A</v>
      </c>
      <c r="I435" t="str">
        <f>VLOOKUP(D435,'СУММА ПРОДАЖ'!J:N, 5, FALSE)</f>
        <v>A</v>
      </c>
      <c r="J435" t="str">
        <f>VLOOKUP(D435, 'МЕСЯЧНАЯ ОБОР.'!$V$4:$W$806, 2, FALSE)</f>
        <v>A</v>
      </c>
    </row>
    <row r="436" spans="1:10" x14ac:dyDescent="0.25">
      <c r="A436" s="9" t="s">
        <v>654</v>
      </c>
      <c r="B436" s="10">
        <v>0.16666666999999999</v>
      </c>
      <c r="D436" t="s">
        <v>950</v>
      </c>
      <c r="E436">
        <v>1</v>
      </c>
      <c r="F436">
        <f t="shared" si="18"/>
        <v>6.2155775398999025E-4</v>
      </c>
      <c r="G436">
        <f t="shared" si="20"/>
        <v>0.78770014163150837</v>
      </c>
      <c r="H436" t="str">
        <f t="shared" si="19"/>
        <v>A</v>
      </c>
      <c r="I436" t="str">
        <f>VLOOKUP(D436,'СУММА ПРОДАЖ'!J:N, 5, FALSE)</f>
        <v>A</v>
      </c>
      <c r="J436" t="str">
        <f>VLOOKUP(D436, 'МЕСЯЧНАЯ ОБОР.'!$V$4:$W$806, 2, FALSE)</f>
        <v>A</v>
      </c>
    </row>
    <row r="437" spans="1:10" x14ac:dyDescent="0.25">
      <c r="A437" s="9" t="s">
        <v>555</v>
      </c>
      <c r="B437" s="10">
        <v>2</v>
      </c>
      <c r="D437" t="s">
        <v>255</v>
      </c>
      <c r="E437">
        <v>1</v>
      </c>
      <c r="F437">
        <f t="shared" si="18"/>
        <v>6.2155775398999025E-4</v>
      </c>
      <c r="G437">
        <f t="shared" si="20"/>
        <v>0.78832169938549834</v>
      </c>
      <c r="H437" t="str">
        <f t="shared" si="19"/>
        <v>A</v>
      </c>
      <c r="I437" t="str">
        <f>VLOOKUP(D437,'СУММА ПРОДАЖ'!J:N, 5, FALSE)</f>
        <v>C</v>
      </c>
      <c r="J437" t="str">
        <f>VLOOKUP(D437, 'МЕСЯЧНАЯ ОБОР.'!$V$4:$W$806, 2, FALSE)</f>
        <v>A</v>
      </c>
    </row>
    <row r="438" spans="1:10" x14ac:dyDescent="0.25">
      <c r="A438" s="9" t="s">
        <v>878</v>
      </c>
      <c r="B438" s="10">
        <v>2</v>
      </c>
      <c r="D438" t="s">
        <v>1039</v>
      </c>
      <c r="E438">
        <v>1</v>
      </c>
      <c r="F438">
        <f t="shared" si="18"/>
        <v>6.2155775398999025E-4</v>
      </c>
      <c r="G438">
        <f t="shared" si="20"/>
        <v>0.78894325713948832</v>
      </c>
      <c r="H438" t="str">
        <f t="shared" si="19"/>
        <v>A</v>
      </c>
      <c r="I438" t="str">
        <f>VLOOKUP(D438,'СУММА ПРОДАЖ'!J:N, 5, FALSE)</f>
        <v>A</v>
      </c>
      <c r="J438" t="str">
        <f>VLOOKUP(D438, 'МЕСЯЧНАЯ ОБОР.'!$V$4:$W$806, 2, FALSE)</f>
        <v>A</v>
      </c>
    </row>
    <row r="439" spans="1:10" x14ac:dyDescent="0.25">
      <c r="A439" s="9" t="s">
        <v>723</v>
      </c>
      <c r="B439" s="10">
        <v>1</v>
      </c>
      <c r="D439" t="s">
        <v>707</v>
      </c>
      <c r="E439">
        <v>1</v>
      </c>
      <c r="F439">
        <f t="shared" si="18"/>
        <v>6.2155775398999025E-4</v>
      </c>
      <c r="G439">
        <f t="shared" si="20"/>
        <v>0.7895648148934783</v>
      </c>
      <c r="H439" t="str">
        <f t="shared" si="19"/>
        <v>A</v>
      </c>
      <c r="I439" t="str">
        <f>VLOOKUP(D439,'СУММА ПРОДАЖ'!J:N, 5, FALSE)</f>
        <v>A</v>
      </c>
      <c r="J439" t="str">
        <f>VLOOKUP(D439, 'МЕСЯЧНАЯ ОБОР.'!$V$4:$W$806, 2, FALSE)</f>
        <v>A</v>
      </c>
    </row>
    <row r="440" spans="1:10" x14ac:dyDescent="0.25">
      <c r="A440" s="9" t="s">
        <v>1068</v>
      </c>
      <c r="B440" s="10">
        <v>1</v>
      </c>
      <c r="D440" t="s">
        <v>1174</v>
      </c>
      <c r="E440">
        <v>1</v>
      </c>
      <c r="F440">
        <f t="shared" si="18"/>
        <v>6.2155775398999025E-4</v>
      </c>
      <c r="G440">
        <f t="shared" si="20"/>
        <v>0.79018637264746827</v>
      </c>
      <c r="H440" t="str">
        <f t="shared" si="19"/>
        <v>A</v>
      </c>
      <c r="I440" t="str">
        <f>VLOOKUP(D440,'СУММА ПРОДАЖ'!J:N, 5, FALSE)</f>
        <v>B</v>
      </c>
      <c r="J440" t="str">
        <f>VLOOKUP(D440, 'МЕСЯЧНАЯ ОБОР.'!$V$4:$W$806, 2, FALSE)</f>
        <v>A</v>
      </c>
    </row>
    <row r="441" spans="1:10" x14ac:dyDescent="0.25">
      <c r="A441" s="9" t="s">
        <v>765</v>
      </c>
      <c r="B441" s="10">
        <v>1</v>
      </c>
      <c r="D441" t="s">
        <v>54</v>
      </c>
      <c r="E441">
        <v>1</v>
      </c>
      <c r="F441">
        <f t="shared" si="18"/>
        <v>6.2155775398999025E-4</v>
      </c>
      <c r="G441">
        <f t="shared" si="20"/>
        <v>0.79080793040145825</v>
      </c>
      <c r="H441" t="str">
        <f t="shared" si="19"/>
        <v>A</v>
      </c>
      <c r="I441" t="str">
        <f>VLOOKUP(D441,'СУММА ПРОДАЖ'!J:N, 5, FALSE)</f>
        <v>A</v>
      </c>
      <c r="J441" t="str">
        <f>VLOOKUP(D441, 'МЕСЯЧНАЯ ОБОР.'!$V$4:$W$806, 2, FALSE)</f>
        <v>A</v>
      </c>
    </row>
    <row r="442" spans="1:10" x14ac:dyDescent="0.25">
      <c r="A442" s="9" t="s">
        <v>1183</v>
      </c>
      <c r="B442" s="10">
        <v>0.2</v>
      </c>
      <c r="D442" t="s">
        <v>966</v>
      </c>
      <c r="E442">
        <v>1</v>
      </c>
      <c r="F442">
        <f t="shared" si="18"/>
        <v>6.2155775398999025E-4</v>
      </c>
      <c r="G442">
        <f t="shared" si="20"/>
        <v>0.79142948815544822</v>
      </c>
      <c r="H442" t="str">
        <f t="shared" si="19"/>
        <v>A</v>
      </c>
      <c r="I442" t="str">
        <f>VLOOKUP(D442,'СУММА ПРОДАЖ'!J:N, 5, FALSE)</f>
        <v>C</v>
      </c>
      <c r="J442" t="str">
        <f>VLOOKUP(D442, 'МЕСЯЧНАЯ ОБОР.'!$V$4:$W$806, 2, FALSE)</f>
        <v>A</v>
      </c>
    </row>
    <row r="443" spans="1:10" x14ac:dyDescent="0.25">
      <c r="A443" s="9" t="s">
        <v>716</v>
      </c>
      <c r="B443" s="10">
        <v>0.5</v>
      </c>
      <c r="D443" t="s">
        <v>398</v>
      </c>
      <c r="E443">
        <v>1</v>
      </c>
      <c r="F443">
        <f t="shared" si="18"/>
        <v>6.2155775398999025E-4</v>
      </c>
      <c r="G443">
        <f t="shared" si="20"/>
        <v>0.7920510459094382</v>
      </c>
      <c r="H443" t="str">
        <f t="shared" si="19"/>
        <v>A</v>
      </c>
      <c r="I443" t="str">
        <f>VLOOKUP(D443,'СУММА ПРОДАЖ'!J:N, 5, FALSE)</f>
        <v>C</v>
      </c>
      <c r="J443" t="str">
        <f>VLOOKUP(D443, 'МЕСЯЧНАЯ ОБОР.'!$V$4:$W$806, 2, FALSE)</f>
        <v>A</v>
      </c>
    </row>
    <row r="444" spans="1:10" x14ac:dyDescent="0.25">
      <c r="A444" s="9" t="s">
        <v>1170</v>
      </c>
      <c r="B444" s="10">
        <v>1</v>
      </c>
      <c r="D444" t="s">
        <v>401</v>
      </c>
      <c r="E444">
        <v>1</v>
      </c>
      <c r="F444">
        <f t="shared" si="18"/>
        <v>6.2155775398999025E-4</v>
      </c>
      <c r="G444">
        <f t="shared" si="20"/>
        <v>0.79267260366342818</v>
      </c>
      <c r="H444" t="str">
        <f t="shared" si="19"/>
        <v>A</v>
      </c>
      <c r="I444" t="str">
        <f>VLOOKUP(D444,'СУММА ПРОДАЖ'!J:N, 5, FALSE)</f>
        <v>B</v>
      </c>
      <c r="J444" t="str">
        <f>VLOOKUP(D444, 'МЕСЯЧНАЯ ОБОР.'!$V$4:$W$806, 2, FALSE)</f>
        <v>A</v>
      </c>
    </row>
    <row r="445" spans="1:10" x14ac:dyDescent="0.25">
      <c r="A445" s="9" t="s">
        <v>640</v>
      </c>
      <c r="B445" s="10">
        <v>1</v>
      </c>
      <c r="D445" t="s">
        <v>1130</v>
      </c>
      <c r="E445">
        <v>1</v>
      </c>
      <c r="F445">
        <f t="shared" si="18"/>
        <v>6.2155775398999025E-4</v>
      </c>
      <c r="G445">
        <f t="shared" si="20"/>
        <v>0.79329416141741815</v>
      </c>
      <c r="H445" t="str">
        <f t="shared" si="19"/>
        <v>A</v>
      </c>
      <c r="I445" t="str">
        <f>VLOOKUP(D445,'СУММА ПРОДАЖ'!J:N, 5, FALSE)</f>
        <v>B</v>
      </c>
      <c r="J445" t="str">
        <f>VLOOKUP(D445, 'МЕСЯЧНАЯ ОБОР.'!$V$4:$W$806, 2, FALSE)</f>
        <v>A</v>
      </c>
    </row>
    <row r="446" spans="1:10" x14ac:dyDescent="0.25">
      <c r="A446" s="9" t="s">
        <v>546</v>
      </c>
      <c r="B446" s="10">
        <v>1</v>
      </c>
      <c r="D446" t="s">
        <v>1055</v>
      </c>
      <c r="E446">
        <v>1</v>
      </c>
      <c r="F446">
        <f t="shared" si="18"/>
        <v>6.2155775398999025E-4</v>
      </c>
      <c r="G446">
        <f t="shared" si="20"/>
        <v>0.79391571917140813</v>
      </c>
      <c r="H446" t="str">
        <f t="shared" si="19"/>
        <v>A</v>
      </c>
      <c r="I446" t="str">
        <f>VLOOKUP(D446,'СУММА ПРОДАЖ'!J:N, 5, FALSE)</f>
        <v>B</v>
      </c>
      <c r="J446" t="str">
        <f>VLOOKUP(D446, 'МЕСЯЧНАЯ ОБОР.'!$V$4:$W$806, 2, FALSE)</f>
        <v>A</v>
      </c>
    </row>
    <row r="447" spans="1:10" x14ac:dyDescent="0.25">
      <c r="A447" s="9" t="s">
        <v>1059</v>
      </c>
      <c r="B447" s="10">
        <v>1</v>
      </c>
      <c r="D447" t="s">
        <v>655</v>
      </c>
      <c r="E447">
        <v>1</v>
      </c>
      <c r="F447">
        <f t="shared" si="18"/>
        <v>6.2155775398999025E-4</v>
      </c>
      <c r="G447">
        <f t="shared" si="20"/>
        <v>0.79453727692539811</v>
      </c>
      <c r="H447" t="str">
        <f t="shared" si="19"/>
        <v>A</v>
      </c>
      <c r="I447" t="str">
        <f>VLOOKUP(D447,'СУММА ПРОДАЖ'!J:N, 5, FALSE)</f>
        <v>B</v>
      </c>
      <c r="J447" t="str">
        <f>VLOOKUP(D447, 'МЕСЯЧНАЯ ОБОР.'!$V$4:$W$806, 2, FALSE)</f>
        <v>A</v>
      </c>
    </row>
    <row r="448" spans="1:10" x14ac:dyDescent="0.25">
      <c r="A448" s="9" t="s">
        <v>364</v>
      </c>
      <c r="B448" s="10">
        <v>1</v>
      </c>
      <c r="D448" t="s">
        <v>610</v>
      </c>
      <c r="E448">
        <v>1</v>
      </c>
      <c r="F448">
        <f t="shared" si="18"/>
        <v>6.2155775398999025E-4</v>
      </c>
      <c r="G448">
        <f t="shared" si="20"/>
        <v>0.79515883467938808</v>
      </c>
      <c r="H448" t="str">
        <f t="shared" si="19"/>
        <v>A</v>
      </c>
      <c r="I448" t="str">
        <f>VLOOKUP(D448,'СУММА ПРОДАЖ'!J:N, 5, FALSE)</f>
        <v>B</v>
      </c>
      <c r="J448" t="str">
        <f>VLOOKUP(D448, 'МЕСЯЧНАЯ ОБОР.'!$V$4:$W$806, 2, FALSE)</f>
        <v>A</v>
      </c>
    </row>
    <row r="449" spans="1:10" x14ac:dyDescent="0.25">
      <c r="A449" s="9" t="s">
        <v>684</v>
      </c>
      <c r="B449" s="10">
        <v>1</v>
      </c>
      <c r="D449" t="s">
        <v>313</v>
      </c>
      <c r="E449">
        <v>1</v>
      </c>
      <c r="F449">
        <f t="shared" si="18"/>
        <v>6.2155775398999025E-4</v>
      </c>
      <c r="G449">
        <f t="shared" si="20"/>
        <v>0.79578039243337806</v>
      </c>
      <c r="H449" t="str">
        <f t="shared" si="19"/>
        <v>A</v>
      </c>
      <c r="I449" t="str">
        <f>VLOOKUP(D449,'СУММА ПРОДАЖ'!J:N, 5, FALSE)</f>
        <v>B</v>
      </c>
      <c r="J449" t="str">
        <f>VLOOKUP(D449, 'МЕСЯЧНАЯ ОБОР.'!$V$4:$W$806, 2, FALSE)</f>
        <v>A</v>
      </c>
    </row>
    <row r="450" spans="1:10" x14ac:dyDescent="0.25">
      <c r="A450" s="9" t="s">
        <v>547</v>
      </c>
      <c r="B450" s="10">
        <v>1</v>
      </c>
      <c r="D450" t="s">
        <v>460</v>
      </c>
      <c r="E450">
        <v>1</v>
      </c>
      <c r="F450">
        <f t="shared" si="18"/>
        <v>6.2155775398999025E-4</v>
      </c>
      <c r="G450">
        <f t="shared" si="20"/>
        <v>0.79640195018736804</v>
      </c>
      <c r="H450" t="str">
        <f t="shared" si="19"/>
        <v>A</v>
      </c>
      <c r="I450" t="str">
        <f>VLOOKUP(D450,'СУММА ПРОДАЖ'!J:N, 5, FALSE)</f>
        <v>C</v>
      </c>
      <c r="J450" t="str">
        <f>VLOOKUP(D450, 'МЕСЯЧНАЯ ОБОР.'!$V$4:$W$806, 2, FALSE)</f>
        <v>A</v>
      </c>
    </row>
    <row r="451" spans="1:10" x14ac:dyDescent="0.25">
      <c r="A451" s="9" t="s">
        <v>423</v>
      </c>
      <c r="B451" s="10">
        <v>1</v>
      </c>
      <c r="D451" t="s">
        <v>1134</v>
      </c>
      <c r="E451">
        <v>1</v>
      </c>
      <c r="F451">
        <f t="shared" si="18"/>
        <v>6.2155775398999025E-4</v>
      </c>
      <c r="G451">
        <f t="shared" si="20"/>
        <v>0.79702350794135801</v>
      </c>
      <c r="H451" t="str">
        <f t="shared" si="19"/>
        <v>A</v>
      </c>
      <c r="I451" t="str">
        <f>VLOOKUP(D451,'СУММА ПРОДАЖ'!J:N, 5, FALSE)</f>
        <v>B</v>
      </c>
      <c r="J451" t="str">
        <f>VLOOKUP(D451, 'МЕСЯЧНАЯ ОБОР.'!$V$4:$W$806, 2, FALSE)</f>
        <v>A</v>
      </c>
    </row>
    <row r="452" spans="1:10" x14ac:dyDescent="0.25">
      <c r="A452" s="9" t="s">
        <v>810</v>
      </c>
      <c r="B452" s="10">
        <v>1</v>
      </c>
      <c r="D452" t="s">
        <v>578</v>
      </c>
      <c r="E452">
        <v>1</v>
      </c>
      <c r="F452">
        <f t="shared" si="18"/>
        <v>6.2155775398999025E-4</v>
      </c>
      <c r="G452">
        <f t="shared" si="20"/>
        <v>0.79764506569534799</v>
      </c>
      <c r="H452" t="str">
        <f t="shared" si="19"/>
        <v>A</v>
      </c>
      <c r="I452" t="str">
        <f>VLOOKUP(D452,'СУММА ПРОДАЖ'!J:N, 5, FALSE)</f>
        <v>B</v>
      </c>
      <c r="J452" t="str">
        <f>VLOOKUP(D452, 'МЕСЯЧНАЯ ОБОР.'!$V$4:$W$806, 2, FALSE)</f>
        <v>A</v>
      </c>
    </row>
    <row r="453" spans="1:10" x14ac:dyDescent="0.25">
      <c r="A453" s="9" t="s">
        <v>812</v>
      </c>
      <c r="B453" s="10">
        <v>1</v>
      </c>
      <c r="D453" t="s">
        <v>874</v>
      </c>
      <c r="E453">
        <v>1</v>
      </c>
      <c r="F453">
        <f t="shared" ref="F453:F516" si="21">E453/SUM($E$4:$E$806)</f>
        <v>6.2155775398999025E-4</v>
      </c>
      <c r="G453">
        <f t="shared" si="20"/>
        <v>0.79826662344933796</v>
      </c>
      <c r="H453" t="str">
        <f t="shared" ref="H453:H516" si="22">IF(G453&lt;0.8, "A", IF(G453&lt;0.95, "B","C"))</f>
        <v>A</v>
      </c>
      <c r="I453" t="str">
        <f>VLOOKUP(D453,'СУММА ПРОДАЖ'!J:N, 5, FALSE)</f>
        <v>C</v>
      </c>
      <c r="J453" t="str">
        <f>VLOOKUP(D453, 'МЕСЯЧНАЯ ОБОР.'!$V$4:$W$806, 2, FALSE)</f>
        <v>A</v>
      </c>
    </row>
    <row r="454" spans="1:10" x14ac:dyDescent="0.25">
      <c r="A454" s="9" t="s">
        <v>811</v>
      </c>
      <c r="B454" s="10">
        <v>1</v>
      </c>
      <c r="D454" t="s">
        <v>777</v>
      </c>
      <c r="E454">
        <v>1</v>
      </c>
      <c r="F454">
        <f t="shared" si="21"/>
        <v>6.2155775398999025E-4</v>
      </c>
      <c r="G454">
        <f t="shared" ref="G454:G517" si="23">F454+G453</f>
        <v>0.79888818120332794</v>
      </c>
      <c r="H454" t="str">
        <f t="shared" si="22"/>
        <v>A</v>
      </c>
      <c r="I454" t="str">
        <f>VLOOKUP(D454,'СУММА ПРОДАЖ'!J:N, 5, FALSE)</f>
        <v>C</v>
      </c>
      <c r="J454" t="str">
        <f>VLOOKUP(D454, 'МЕСЯЧНАЯ ОБОР.'!$V$4:$W$806, 2, FALSE)</f>
        <v>A</v>
      </c>
    </row>
    <row r="455" spans="1:10" x14ac:dyDescent="0.25">
      <c r="A455" s="9" t="s">
        <v>454</v>
      </c>
      <c r="B455" s="10">
        <v>1</v>
      </c>
      <c r="D455" t="s">
        <v>1081</v>
      </c>
      <c r="E455">
        <v>1</v>
      </c>
      <c r="F455">
        <f t="shared" si="21"/>
        <v>6.2155775398999025E-4</v>
      </c>
      <c r="G455">
        <f t="shared" si="23"/>
        <v>0.79950973895731792</v>
      </c>
      <c r="H455" t="str">
        <f t="shared" si="22"/>
        <v>A</v>
      </c>
      <c r="I455" t="str">
        <f>VLOOKUP(D455,'СУММА ПРОДАЖ'!J:N, 5, FALSE)</f>
        <v>C</v>
      </c>
      <c r="J455" t="str">
        <f>VLOOKUP(D455, 'МЕСЯЧНАЯ ОБОР.'!$V$4:$W$806, 2, FALSE)</f>
        <v>A</v>
      </c>
    </row>
    <row r="456" spans="1:10" x14ac:dyDescent="0.25">
      <c r="A456" s="9" t="s">
        <v>803</v>
      </c>
      <c r="B456" s="10">
        <v>2</v>
      </c>
      <c r="D456" t="s">
        <v>657</v>
      </c>
      <c r="E456">
        <v>1</v>
      </c>
      <c r="F456">
        <f t="shared" si="21"/>
        <v>6.2155775398999025E-4</v>
      </c>
      <c r="G456">
        <f t="shared" si="23"/>
        <v>0.80013129671130789</v>
      </c>
      <c r="H456" t="str">
        <f t="shared" si="22"/>
        <v>B</v>
      </c>
      <c r="I456" t="str">
        <f>VLOOKUP(D456,'СУММА ПРОДАЖ'!J:N, 5, FALSE)</f>
        <v>A</v>
      </c>
      <c r="J456" t="str">
        <f>VLOOKUP(D456, 'МЕСЯЧНАЯ ОБОР.'!$V$4:$W$806, 2, FALSE)</f>
        <v>B</v>
      </c>
    </row>
    <row r="457" spans="1:10" x14ac:dyDescent="0.25">
      <c r="A457" s="9" t="s">
        <v>1161</v>
      </c>
      <c r="B457" s="10">
        <v>1</v>
      </c>
      <c r="D457" t="s">
        <v>992</v>
      </c>
      <c r="E457">
        <v>1</v>
      </c>
      <c r="F457">
        <f t="shared" si="21"/>
        <v>6.2155775398999025E-4</v>
      </c>
      <c r="G457">
        <f t="shared" si="23"/>
        <v>0.80075285446529787</v>
      </c>
      <c r="H457" t="str">
        <f t="shared" si="22"/>
        <v>B</v>
      </c>
      <c r="I457" t="str">
        <f>VLOOKUP(D457,'СУММА ПРОДАЖ'!J:N, 5, FALSE)</f>
        <v>B</v>
      </c>
      <c r="J457" t="str">
        <f>VLOOKUP(D457, 'МЕСЯЧНАЯ ОБОР.'!$V$4:$W$806, 2, FALSE)</f>
        <v>B</v>
      </c>
    </row>
    <row r="458" spans="1:10" x14ac:dyDescent="0.25">
      <c r="A458" s="9" t="s">
        <v>725</v>
      </c>
      <c r="B458" s="10">
        <v>1</v>
      </c>
      <c r="D458" t="s">
        <v>926</v>
      </c>
      <c r="E458">
        <v>1</v>
      </c>
      <c r="F458">
        <f t="shared" si="21"/>
        <v>6.2155775398999025E-4</v>
      </c>
      <c r="G458">
        <f t="shared" si="23"/>
        <v>0.80137441221928785</v>
      </c>
      <c r="H458" t="str">
        <f t="shared" si="22"/>
        <v>B</v>
      </c>
      <c r="I458" t="str">
        <f>VLOOKUP(D458,'СУММА ПРОДАЖ'!J:N, 5, FALSE)</f>
        <v>B</v>
      </c>
      <c r="J458" t="str">
        <f>VLOOKUP(D458, 'МЕСЯЧНАЯ ОБОР.'!$V$4:$W$806, 2, FALSE)</f>
        <v>B</v>
      </c>
    </row>
    <row r="459" spans="1:10" x14ac:dyDescent="0.25">
      <c r="A459" s="9" t="s">
        <v>566</v>
      </c>
      <c r="B459" s="10">
        <v>2</v>
      </c>
      <c r="D459" t="s">
        <v>1022</v>
      </c>
      <c r="E459">
        <v>1</v>
      </c>
      <c r="F459">
        <f t="shared" si="21"/>
        <v>6.2155775398999025E-4</v>
      </c>
      <c r="G459">
        <f t="shared" si="23"/>
        <v>0.80199596997327782</v>
      </c>
      <c r="H459" t="str">
        <f t="shared" si="22"/>
        <v>B</v>
      </c>
      <c r="I459" t="str">
        <f>VLOOKUP(D459,'СУММА ПРОДАЖ'!J:N, 5, FALSE)</f>
        <v>B</v>
      </c>
      <c r="J459" t="str">
        <f>VLOOKUP(D459, 'МЕСЯЧНАЯ ОБОР.'!$V$4:$W$806, 2, FALSE)</f>
        <v>B</v>
      </c>
    </row>
    <row r="460" spans="1:10" x14ac:dyDescent="0.25">
      <c r="A460" s="9" t="s">
        <v>632</v>
      </c>
      <c r="B460" s="10">
        <v>1</v>
      </c>
      <c r="D460" t="s">
        <v>775</v>
      </c>
      <c r="E460">
        <v>1</v>
      </c>
      <c r="F460">
        <f t="shared" si="21"/>
        <v>6.2155775398999025E-4</v>
      </c>
      <c r="G460">
        <f t="shared" si="23"/>
        <v>0.8026175277272678</v>
      </c>
      <c r="H460" t="str">
        <f t="shared" si="22"/>
        <v>B</v>
      </c>
      <c r="I460" t="str">
        <f>VLOOKUP(D460,'СУММА ПРОДАЖ'!J:N, 5, FALSE)</f>
        <v>A</v>
      </c>
      <c r="J460" t="str">
        <f>VLOOKUP(D460, 'МЕСЯЧНАЯ ОБОР.'!$V$4:$W$806, 2, FALSE)</f>
        <v>B</v>
      </c>
    </row>
    <row r="461" spans="1:10" x14ac:dyDescent="0.25">
      <c r="A461" s="9" t="s">
        <v>848</v>
      </c>
      <c r="B461" s="10">
        <v>1</v>
      </c>
      <c r="D461" t="s">
        <v>67</v>
      </c>
      <c r="E461">
        <v>1</v>
      </c>
      <c r="F461">
        <f t="shared" si="21"/>
        <v>6.2155775398999025E-4</v>
      </c>
      <c r="G461">
        <f t="shared" si="23"/>
        <v>0.80323908548125778</v>
      </c>
      <c r="H461" t="str">
        <f t="shared" si="22"/>
        <v>B</v>
      </c>
      <c r="I461" t="str">
        <f>VLOOKUP(D461,'СУММА ПРОДАЖ'!J:N, 5, FALSE)</f>
        <v>A</v>
      </c>
      <c r="J461" t="str">
        <f>VLOOKUP(D461, 'МЕСЯЧНАЯ ОБОР.'!$V$4:$W$806, 2, FALSE)</f>
        <v>B</v>
      </c>
    </row>
    <row r="462" spans="1:10" x14ac:dyDescent="0.25">
      <c r="A462" s="9" t="s">
        <v>1083</v>
      </c>
      <c r="B462" s="10">
        <v>1</v>
      </c>
      <c r="D462" t="s">
        <v>666</v>
      </c>
      <c r="E462">
        <v>1</v>
      </c>
      <c r="F462">
        <f t="shared" si="21"/>
        <v>6.2155775398999025E-4</v>
      </c>
      <c r="G462">
        <f t="shared" si="23"/>
        <v>0.80386064323524775</v>
      </c>
      <c r="H462" t="str">
        <f t="shared" si="22"/>
        <v>B</v>
      </c>
      <c r="I462" t="str">
        <f>VLOOKUP(D462,'СУММА ПРОДАЖ'!J:N, 5, FALSE)</f>
        <v>C</v>
      </c>
      <c r="J462" t="str">
        <f>VLOOKUP(D462, 'МЕСЯЧНАЯ ОБОР.'!$V$4:$W$806, 2, FALSE)</f>
        <v>B</v>
      </c>
    </row>
    <row r="463" spans="1:10" x14ac:dyDescent="0.25">
      <c r="A463" s="9" t="s">
        <v>1114</v>
      </c>
      <c r="B463" s="10">
        <v>1</v>
      </c>
      <c r="D463" t="s">
        <v>384</v>
      </c>
      <c r="E463">
        <v>1</v>
      </c>
      <c r="F463">
        <f t="shared" si="21"/>
        <v>6.2155775398999025E-4</v>
      </c>
      <c r="G463">
        <f t="shared" si="23"/>
        <v>0.80448220098923773</v>
      </c>
      <c r="H463" t="str">
        <f t="shared" si="22"/>
        <v>B</v>
      </c>
      <c r="I463" t="str">
        <f>VLOOKUP(D463,'СУММА ПРОДАЖ'!J:N, 5, FALSE)</f>
        <v>A</v>
      </c>
      <c r="J463" t="str">
        <f>VLOOKUP(D463, 'МЕСЯЧНАЯ ОБОР.'!$V$4:$W$806, 2, FALSE)</f>
        <v>B</v>
      </c>
    </row>
    <row r="464" spans="1:10" x14ac:dyDescent="0.25">
      <c r="A464" s="9" t="s">
        <v>1123</v>
      </c>
      <c r="B464" s="10">
        <v>1</v>
      </c>
      <c r="D464" t="s">
        <v>886</v>
      </c>
      <c r="E464">
        <v>1</v>
      </c>
      <c r="F464">
        <f t="shared" si="21"/>
        <v>6.2155775398999025E-4</v>
      </c>
      <c r="G464">
        <f t="shared" si="23"/>
        <v>0.8051037587432277</v>
      </c>
      <c r="H464" t="str">
        <f t="shared" si="22"/>
        <v>B</v>
      </c>
      <c r="I464" t="str">
        <f>VLOOKUP(D464,'СУММА ПРОДАЖ'!J:N, 5, FALSE)</f>
        <v>A</v>
      </c>
      <c r="J464" t="str">
        <f>VLOOKUP(D464, 'МЕСЯЧНАЯ ОБОР.'!$V$4:$W$806, 2, FALSE)</f>
        <v>B</v>
      </c>
    </row>
    <row r="465" spans="1:10" x14ac:dyDescent="0.25">
      <c r="A465" s="9" t="s">
        <v>308</v>
      </c>
      <c r="B465" s="10">
        <v>1</v>
      </c>
      <c r="D465" t="s">
        <v>1070</v>
      </c>
      <c r="E465">
        <v>1</v>
      </c>
      <c r="F465">
        <f t="shared" si="21"/>
        <v>6.2155775398999025E-4</v>
      </c>
      <c r="G465">
        <f t="shared" si="23"/>
        <v>0.80572531649721768</v>
      </c>
      <c r="H465" t="str">
        <f t="shared" si="22"/>
        <v>B</v>
      </c>
      <c r="I465" t="str">
        <f>VLOOKUP(D465,'СУММА ПРОДАЖ'!J:N, 5, FALSE)</f>
        <v>B</v>
      </c>
      <c r="J465" t="str">
        <f>VLOOKUP(D465, 'МЕСЯЧНАЯ ОБОР.'!$V$4:$W$806, 2, FALSE)</f>
        <v>B</v>
      </c>
    </row>
    <row r="466" spans="1:10" x14ac:dyDescent="0.25">
      <c r="A466" s="9" t="s">
        <v>382</v>
      </c>
      <c r="B466" s="10">
        <v>3</v>
      </c>
      <c r="D466" t="s">
        <v>1100</v>
      </c>
      <c r="E466">
        <v>1</v>
      </c>
      <c r="F466">
        <f t="shared" si="21"/>
        <v>6.2155775398999025E-4</v>
      </c>
      <c r="G466">
        <f t="shared" si="23"/>
        <v>0.80634687425120766</v>
      </c>
      <c r="H466" t="str">
        <f t="shared" si="22"/>
        <v>B</v>
      </c>
      <c r="I466" t="str">
        <f>VLOOKUP(D466,'СУММА ПРОДАЖ'!J:N, 5, FALSE)</f>
        <v>C</v>
      </c>
      <c r="J466" t="str">
        <f>VLOOKUP(D466, 'МЕСЯЧНАЯ ОБОР.'!$V$4:$W$806, 2, FALSE)</f>
        <v>B</v>
      </c>
    </row>
    <row r="467" spans="1:10" x14ac:dyDescent="0.25">
      <c r="A467" s="9" t="s">
        <v>99</v>
      </c>
      <c r="B467" s="10">
        <v>1</v>
      </c>
      <c r="D467" t="s">
        <v>1177</v>
      </c>
      <c r="E467">
        <v>1</v>
      </c>
      <c r="F467">
        <f t="shared" si="21"/>
        <v>6.2155775398999025E-4</v>
      </c>
      <c r="G467">
        <f t="shared" si="23"/>
        <v>0.80696843200519763</v>
      </c>
      <c r="H467" t="str">
        <f t="shared" si="22"/>
        <v>B</v>
      </c>
      <c r="I467" t="str">
        <f>VLOOKUP(D467,'СУММА ПРОДАЖ'!J:N, 5, FALSE)</f>
        <v>A</v>
      </c>
      <c r="J467" t="str">
        <f>VLOOKUP(D467, 'МЕСЯЧНАЯ ОБОР.'!$V$4:$W$806, 2, FALSE)</f>
        <v>B</v>
      </c>
    </row>
    <row r="468" spans="1:10" x14ac:dyDescent="0.25">
      <c r="A468" s="9" t="s">
        <v>282</v>
      </c>
      <c r="B468" s="10">
        <v>2</v>
      </c>
      <c r="D468" t="s">
        <v>1119</v>
      </c>
      <c r="E468">
        <v>1</v>
      </c>
      <c r="F468">
        <f t="shared" si="21"/>
        <v>6.2155775398999025E-4</v>
      </c>
      <c r="G468">
        <f t="shared" si="23"/>
        <v>0.80758998975918761</v>
      </c>
      <c r="H468" t="str">
        <f t="shared" si="22"/>
        <v>B</v>
      </c>
      <c r="I468" t="str">
        <f>VLOOKUP(D468,'СУММА ПРОДАЖ'!J:N, 5, FALSE)</f>
        <v>B</v>
      </c>
      <c r="J468" t="str">
        <f>VLOOKUP(D468, 'МЕСЯЧНАЯ ОБОР.'!$V$4:$W$806, 2, FALSE)</f>
        <v>B</v>
      </c>
    </row>
    <row r="469" spans="1:10" x14ac:dyDescent="0.25">
      <c r="A469" s="9" t="s">
        <v>650</v>
      </c>
      <c r="B469" s="10">
        <v>1</v>
      </c>
      <c r="D469" t="s">
        <v>458</v>
      </c>
      <c r="E469">
        <v>1</v>
      </c>
      <c r="F469">
        <f t="shared" si="21"/>
        <v>6.2155775398999025E-4</v>
      </c>
      <c r="G469">
        <f t="shared" si="23"/>
        <v>0.80821154751317759</v>
      </c>
      <c r="H469" t="str">
        <f t="shared" si="22"/>
        <v>B</v>
      </c>
      <c r="I469" t="str">
        <f>VLOOKUP(D469,'СУММА ПРОДАЖ'!J:N, 5, FALSE)</f>
        <v>A</v>
      </c>
      <c r="J469" t="str">
        <f>VLOOKUP(D469, 'МЕСЯЧНАЯ ОБОР.'!$V$4:$W$806, 2, FALSE)</f>
        <v>B</v>
      </c>
    </row>
    <row r="470" spans="1:10" x14ac:dyDescent="0.25">
      <c r="A470" s="9" t="s">
        <v>397</v>
      </c>
      <c r="B470" s="10">
        <v>2</v>
      </c>
      <c r="D470" t="s">
        <v>838</v>
      </c>
      <c r="E470">
        <v>1</v>
      </c>
      <c r="F470">
        <f t="shared" si="21"/>
        <v>6.2155775398999025E-4</v>
      </c>
      <c r="G470">
        <f t="shared" si="23"/>
        <v>0.80883310526716756</v>
      </c>
      <c r="H470" t="str">
        <f t="shared" si="22"/>
        <v>B</v>
      </c>
      <c r="I470" t="str">
        <f>VLOOKUP(D470,'СУММА ПРОДАЖ'!J:N, 5, FALSE)</f>
        <v>A</v>
      </c>
      <c r="J470" t="str">
        <f>VLOOKUP(D470, 'МЕСЯЧНАЯ ОБОР.'!$V$4:$W$806, 2, FALSE)</f>
        <v>B</v>
      </c>
    </row>
    <row r="471" spans="1:10" x14ac:dyDescent="0.25">
      <c r="A471" s="9" t="s">
        <v>368</v>
      </c>
      <c r="B471" s="10">
        <v>1</v>
      </c>
      <c r="D471" t="s">
        <v>108</v>
      </c>
      <c r="E471">
        <v>1</v>
      </c>
      <c r="F471">
        <f t="shared" si="21"/>
        <v>6.2155775398999025E-4</v>
      </c>
      <c r="G471">
        <f t="shared" si="23"/>
        <v>0.80945466302115754</v>
      </c>
      <c r="H471" t="str">
        <f t="shared" si="22"/>
        <v>B</v>
      </c>
      <c r="I471" t="str">
        <f>VLOOKUP(D471,'СУММА ПРОДАЖ'!J:N, 5, FALSE)</f>
        <v>B</v>
      </c>
      <c r="J471" t="str">
        <f>VLOOKUP(D471, 'МЕСЯЧНАЯ ОБОР.'!$V$4:$W$806, 2, FALSE)</f>
        <v>B</v>
      </c>
    </row>
    <row r="472" spans="1:10" x14ac:dyDescent="0.25">
      <c r="A472" s="9" t="s">
        <v>328</v>
      </c>
      <c r="B472" s="10">
        <v>0.53571440000000004</v>
      </c>
      <c r="D472" t="s">
        <v>411</v>
      </c>
      <c r="E472">
        <v>1</v>
      </c>
      <c r="F472">
        <f t="shared" si="21"/>
        <v>6.2155775398999025E-4</v>
      </c>
      <c r="G472">
        <f t="shared" si="23"/>
        <v>0.81007622077514752</v>
      </c>
      <c r="H472" t="str">
        <f t="shared" si="22"/>
        <v>B</v>
      </c>
      <c r="I472" t="str">
        <f>VLOOKUP(D472,'СУММА ПРОДАЖ'!J:N, 5, FALSE)</f>
        <v>B</v>
      </c>
      <c r="J472" t="str">
        <f>VLOOKUP(D472, 'МЕСЯЧНАЯ ОБОР.'!$V$4:$W$806, 2, FALSE)</f>
        <v>B</v>
      </c>
    </row>
    <row r="473" spans="1:10" x14ac:dyDescent="0.25">
      <c r="A473" s="9" t="s">
        <v>509</v>
      </c>
      <c r="B473" s="10">
        <v>1</v>
      </c>
      <c r="D473" t="s">
        <v>436</v>
      </c>
      <c r="E473">
        <v>1</v>
      </c>
      <c r="F473">
        <f t="shared" si="21"/>
        <v>6.2155775398999025E-4</v>
      </c>
      <c r="G473">
        <f t="shared" si="23"/>
        <v>0.81069777852913749</v>
      </c>
      <c r="H473" t="str">
        <f t="shared" si="22"/>
        <v>B</v>
      </c>
      <c r="I473" t="str">
        <f>VLOOKUP(D473,'СУММА ПРОДАЖ'!J:N, 5, FALSE)</f>
        <v>B</v>
      </c>
      <c r="J473" t="str">
        <f>VLOOKUP(D473, 'МЕСЯЧНАЯ ОБОР.'!$V$4:$W$806, 2, FALSE)</f>
        <v>B</v>
      </c>
    </row>
    <row r="474" spans="1:10" x14ac:dyDescent="0.25">
      <c r="A474" s="9" t="s">
        <v>1074</v>
      </c>
      <c r="B474" s="10">
        <v>1</v>
      </c>
      <c r="D474" t="s">
        <v>1155</v>
      </c>
      <c r="E474">
        <v>1</v>
      </c>
      <c r="F474">
        <f t="shared" si="21"/>
        <v>6.2155775398999025E-4</v>
      </c>
      <c r="G474">
        <f t="shared" si="23"/>
        <v>0.81131933628312747</v>
      </c>
      <c r="H474" t="str">
        <f t="shared" si="22"/>
        <v>B</v>
      </c>
      <c r="I474" t="str">
        <f>VLOOKUP(D474,'СУММА ПРОДАЖ'!J:N, 5, FALSE)</f>
        <v>C</v>
      </c>
      <c r="J474" t="str">
        <f>VLOOKUP(D474, 'МЕСЯЧНАЯ ОБОР.'!$V$4:$W$806, 2, FALSE)</f>
        <v>B</v>
      </c>
    </row>
    <row r="475" spans="1:10" x14ac:dyDescent="0.25">
      <c r="A475" s="9" t="s">
        <v>297</v>
      </c>
      <c r="B475" s="10">
        <v>1</v>
      </c>
      <c r="D475" t="s">
        <v>1154</v>
      </c>
      <c r="E475">
        <v>1</v>
      </c>
      <c r="F475">
        <f t="shared" si="21"/>
        <v>6.2155775398999025E-4</v>
      </c>
      <c r="G475">
        <f t="shared" si="23"/>
        <v>0.81194089403711744</v>
      </c>
      <c r="H475" t="str">
        <f t="shared" si="22"/>
        <v>B</v>
      </c>
      <c r="I475" t="str">
        <f>VLOOKUP(D475,'СУММА ПРОДАЖ'!J:N, 5, FALSE)</f>
        <v>C</v>
      </c>
      <c r="J475" t="str">
        <f>VLOOKUP(D475, 'МЕСЯЧНАЯ ОБОР.'!$V$4:$W$806, 2, FALSE)</f>
        <v>B</v>
      </c>
    </row>
    <row r="476" spans="1:10" x14ac:dyDescent="0.25">
      <c r="A476" s="9" t="s">
        <v>416</v>
      </c>
      <c r="B476" s="10">
        <v>35</v>
      </c>
      <c r="D476" t="s">
        <v>769</v>
      </c>
      <c r="E476">
        <v>1</v>
      </c>
      <c r="F476">
        <f t="shared" si="21"/>
        <v>6.2155775398999025E-4</v>
      </c>
      <c r="G476">
        <f t="shared" si="23"/>
        <v>0.81256245179110742</v>
      </c>
      <c r="H476" t="str">
        <f t="shared" si="22"/>
        <v>B</v>
      </c>
      <c r="I476" t="str">
        <f>VLOOKUP(D476,'СУММА ПРОДАЖ'!J:N, 5, FALSE)</f>
        <v>A</v>
      </c>
      <c r="J476" t="str">
        <f>VLOOKUP(D476, 'МЕСЯЧНАЯ ОБОР.'!$V$4:$W$806, 2, FALSE)</f>
        <v>B</v>
      </c>
    </row>
    <row r="477" spans="1:10" x14ac:dyDescent="0.25">
      <c r="A477" s="9" t="s">
        <v>931</v>
      </c>
      <c r="B477" s="10">
        <v>1</v>
      </c>
      <c r="D477" t="s">
        <v>840</v>
      </c>
      <c r="E477">
        <v>1</v>
      </c>
      <c r="F477">
        <f t="shared" si="21"/>
        <v>6.2155775398999025E-4</v>
      </c>
      <c r="G477">
        <f t="shared" si="23"/>
        <v>0.8131840095450974</v>
      </c>
      <c r="H477" t="str">
        <f t="shared" si="22"/>
        <v>B</v>
      </c>
      <c r="I477" t="str">
        <f>VLOOKUP(D477,'СУММА ПРОДАЖ'!J:N, 5, FALSE)</f>
        <v>B</v>
      </c>
      <c r="J477" t="str">
        <f>VLOOKUP(D477, 'МЕСЯЧНАЯ ОБОР.'!$V$4:$W$806, 2, FALSE)</f>
        <v>B</v>
      </c>
    </row>
    <row r="478" spans="1:10" x14ac:dyDescent="0.25">
      <c r="A478" s="9" t="s">
        <v>1181</v>
      </c>
      <c r="B478" s="10">
        <v>1</v>
      </c>
      <c r="D478" t="s">
        <v>184</v>
      </c>
      <c r="E478">
        <v>1</v>
      </c>
      <c r="F478">
        <f t="shared" si="21"/>
        <v>6.2155775398999025E-4</v>
      </c>
      <c r="G478">
        <f t="shared" si="23"/>
        <v>0.81380556729908737</v>
      </c>
      <c r="H478" t="str">
        <f t="shared" si="22"/>
        <v>B</v>
      </c>
      <c r="I478" t="str">
        <f>VLOOKUP(D478,'СУММА ПРОДАЖ'!J:N, 5, FALSE)</f>
        <v>C</v>
      </c>
      <c r="J478" t="str">
        <f>VLOOKUP(D478, 'МЕСЯЧНАЯ ОБОР.'!$V$4:$W$806, 2, FALSE)</f>
        <v>B</v>
      </c>
    </row>
    <row r="479" spans="1:10" x14ac:dyDescent="0.25">
      <c r="A479" s="9" t="s">
        <v>531</v>
      </c>
      <c r="B479" s="10">
        <v>1</v>
      </c>
      <c r="D479" t="s">
        <v>50</v>
      </c>
      <c r="E479">
        <v>1</v>
      </c>
      <c r="F479">
        <f t="shared" si="21"/>
        <v>6.2155775398999025E-4</v>
      </c>
      <c r="G479">
        <f t="shared" si="23"/>
        <v>0.81442712505307735</v>
      </c>
      <c r="H479" t="str">
        <f t="shared" si="22"/>
        <v>B</v>
      </c>
      <c r="I479" t="str">
        <f>VLOOKUP(D479,'СУММА ПРОДАЖ'!J:N, 5, FALSE)</f>
        <v>C</v>
      </c>
      <c r="J479" t="str">
        <f>VLOOKUP(D479, 'МЕСЯЧНАЯ ОБОР.'!$V$4:$W$806, 2, FALSE)</f>
        <v>B</v>
      </c>
    </row>
    <row r="480" spans="1:10" x14ac:dyDescent="0.25">
      <c r="A480" s="9" t="s">
        <v>469</v>
      </c>
      <c r="B480" s="10">
        <v>1</v>
      </c>
      <c r="D480" t="s">
        <v>35</v>
      </c>
      <c r="E480">
        <v>1</v>
      </c>
      <c r="F480">
        <f t="shared" si="21"/>
        <v>6.2155775398999025E-4</v>
      </c>
      <c r="G480">
        <f t="shared" si="23"/>
        <v>0.81504868280706733</v>
      </c>
      <c r="H480" t="str">
        <f t="shared" si="22"/>
        <v>B</v>
      </c>
      <c r="I480" t="str">
        <f>VLOOKUP(D480,'СУММА ПРОДАЖ'!J:N, 5, FALSE)</f>
        <v>A</v>
      </c>
      <c r="J480" t="str">
        <f>VLOOKUP(D480, 'МЕСЯЧНАЯ ОБОР.'!$V$4:$W$806, 2, FALSE)</f>
        <v>B</v>
      </c>
    </row>
    <row r="481" spans="1:10" x14ac:dyDescent="0.25">
      <c r="A481" s="9" t="s">
        <v>828</v>
      </c>
      <c r="B481" s="10">
        <v>1</v>
      </c>
      <c r="D481" t="s">
        <v>1195</v>
      </c>
      <c r="E481">
        <v>1</v>
      </c>
      <c r="F481">
        <f t="shared" si="21"/>
        <v>6.2155775398999025E-4</v>
      </c>
      <c r="G481">
        <f t="shared" si="23"/>
        <v>0.8156702405610573</v>
      </c>
      <c r="H481" t="str">
        <f t="shared" si="22"/>
        <v>B</v>
      </c>
      <c r="I481" t="str">
        <f>VLOOKUP(D481,'СУММА ПРОДАЖ'!J:N, 5, FALSE)</f>
        <v>A</v>
      </c>
      <c r="J481" t="str">
        <f>VLOOKUP(D481, 'МЕСЯЧНАЯ ОБОР.'!$V$4:$W$806, 2, FALSE)</f>
        <v>B</v>
      </c>
    </row>
    <row r="482" spans="1:10" x14ac:dyDescent="0.25">
      <c r="A482" s="9" t="s">
        <v>1072</v>
      </c>
      <c r="B482" s="10">
        <v>1</v>
      </c>
      <c r="D482" t="s">
        <v>1146</v>
      </c>
      <c r="E482">
        <v>1</v>
      </c>
      <c r="F482">
        <f t="shared" si="21"/>
        <v>6.2155775398999025E-4</v>
      </c>
      <c r="G482">
        <f t="shared" si="23"/>
        <v>0.81629179831504728</v>
      </c>
      <c r="H482" t="str">
        <f t="shared" si="22"/>
        <v>B</v>
      </c>
      <c r="I482" t="str">
        <f>VLOOKUP(D482,'СУММА ПРОДАЖ'!J:N, 5, FALSE)</f>
        <v>B</v>
      </c>
      <c r="J482" t="str">
        <f>VLOOKUP(D482, 'МЕСЯЧНАЯ ОБОР.'!$V$4:$W$806, 2, FALSE)</f>
        <v>B</v>
      </c>
    </row>
    <row r="483" spans="1:10" x14ac:dyDescent="0.25">
      <c r="A483" s="9" t="s">
        <v>520</v>
      </c>
      <c r="B483" s="10">
        <v>1</v>
      </c>
      <c r="D483" t="s">
        <v>280</v>
      </c>
      <c r="E483">
        <v>1</v>
      </c>
      <c r="F483">
        <f t="shared" si="21"/>
        <v>6.2155775398999025E-4</v>
      </c>
      <c r="G483">
        <f t="shared" si="23"/>
        <v>0.81691335606903726</v>
      </c>
      <c r="H483" t="str">
        <f t="shared" si="22"/>
        <v>B</v>
      </c>
      <c r="I483" t="str">
        <f>VLOOKUP(D483,'СУММА ПРОДАЖ'!J:N, 5, FALSE)</f>
        <v>A</v>
      </c>
      <c r="J483" t="str">
        <f>VLOOKUP(D483, 'МЕСЯЧНАЯ ОБОР.'!$V$4:$W$806, 2, FALSE)</f>
        <v>B</v>
      </c>
    </row>
    <row r="484" spans="1:10" x14ac:dyDescent="0.25">
      <c r="A484" s="9" t="s">
        <v>496</v>
      </c>
      <c r="B484" s="10">
        <v>1</v>
      </c>
      <c r="D484" t="s">
        <v>933</v>
      </c>
      <c r="E484">
        <v>1</v>
      </c>
      <c r="F484">
        <f t="shared" si="21"/>
        <v>6.2155775398999025E-4</v>
      </c>
      <c r="G484">
        <f t="shared" si="23"/>
        <v>0.81753491382302723</v>
      </c>
      <c r="H484" t="str">
        <f t="shared" si="22"/>
        <v>B</v>
      </c>
      <c r="I484" t="str">
        <f>VLOOKUP(D484,'СУММА ПРОДАЖ'!J:N, 5, FALSE)</f>
        <v>B</v>
      </c>
      <c r="J484" t="str">
        <f>VLOOKUP(D484, 'МЕСЯЧНАЯ ОБОР.'!$V$4:$W$806, 2, FALSE)</f>
        <v>B</v>
      </c>
    </row>
    <row r="485" spans="1:10" x14ac:dyDescent="0.25">
      <c r="A485" s="9" t="s">
        <v>490</v>
      </c>
      <c r="B485" s="10">
        <v>1</v>
      </c>
      <c r="D485" t="s">
        <v>1210</v>
      </c>
      <c r="E485">
        <v>1</v>
      </c>
      <c r="F485">
        <f t="shared" si="21"/>
        <v>6.2155775398999025E-4</v>
      </c>
      <c r="G485">
        <f t="shared" si="23"/>
        <v>0.81815647157701721</v>
      </c>
      <c r="H485" t="str">
        <f t="shared" si="22"/>
        <v>B</v>
      </c>
      <c r="I485" t="str">
        <f>VLOOKUP(D485,'СУММА ПРОДАЖ'!J:N, 5, FALSE)</f>
        <v>A</v>
      </c>
      <c r="J485" t="str">
        <f>VLOOKUP(D485, 'МЕСЯЧНАЯ ОБОР.'!$V$4:$W$806, 2, FALSE)</f>
        <v>B</v>
      </c>
    </row>
    <row r="486" spans="1:10" x14ac:dyDescent="0.25">
      <c r="A486" s="9" t="s">
        <v>413</v>
      </c>
      <c r="B486" s="10">
        <v>1.3</v>
      </c>
      <c r="D486" t="s">
        <v>193</v>
      </c>
      <c r="E486">
        <v>1</v>
      </c>
      <c r="F486">
        <f t="shared" si="21"/>
        <v>6.2155775398999025E-4</v>
      </c>
      <c r="G486">
        <f t="shared" si="23"/>
        <v>0.81877802933100718</v>
      </c>
      <c r="H486" t="str">
        <f t="shared" si="22"/>
        <v>B</v>
      </c>
      <c r="I486" t="str">
        <f>VLOOKUP(D486,'СУММА ПРОДАЖ'!J:N, 5, FALSE)</f>
        <v>A</v>
      </c>
      <c r="J486" t="str">
        <f>VLOOKUP(D486, 'МЕСЯЧНАЯ ОБОР.'!$V$4:$W$806, 2, FALSE)</f>
        <v>B</v>
      </c>
    </row>
    <row r="487" spans="1:10" x14ac:dyDescent="0.25">
      <c r="A487" s="9" t="s">
        <v>907</v>
      </c>
      <c r="B487" s="10">
        <v>1</v>
      </c>
      <c r="D487" t="s">
        <v>921</v>
      </c>
      <c r="E487">
        <v>1</v>
      </c>
      <c r="F487">
        <f t="shared" si="21"/>
        <v>6.2155775398999025E-4</v>
      </c>
      <c r="G487">
        <f t="shared" si="23"/>
        <v>0.81939958708499716</v>
      </c>
      <c r="H487" t="str">
        <f t="shared" si="22"/>
        <v>B</v>
      </c>
      <c r="I487" t="str">
        <f>VLOOKUP(D487,'СУММА ПРОДАЖ'!J:N, 5, FALSE)</f>
        <v>B</v>
      </c>
      <c r="J487" t="str">
        <f>VLOOKUP(D487, 'МЕСЯЧНАЯ ОБОР.'!$V$4:$W$806, 2, FALSE)</f>
        <v>B</v>
      </c>
    </row>
    <row r="488" spans="1:10" x14ac:dyDescent="0.25">
      <c r="A488" s="9" t="s">
        <v>922</v>
      </c>
      <c r="B488" s="10">
        <v>1</v>
      </c>
      <c r="D488" t="s">
        <v>554</v>
      </c>
      <c r="E488">
        <v>1</v>
      </c>
      <c r="F488">
        <f t="shared" si="21"/>
        <v>6.2155775398999025E-4</v>
      </c>
      <c r="G488">
        <f t="shared" si="23"/>
        <v>0.82002114483898714</v>
      </c>
      <c r="H488" t="str">
        <f t="shared" si="22"/>
        <v>B</v>
      </c>
      <c r="I488" t="str">
        <f>VLOOKUP(D488,'СУММА ПРОДАЖ'!J:N, 5, FALSE)</f>
        <v>B</v>
      </c>
      <c r="J488" t="str">
        <f>VLOOKUP(D488, 'МЕСЯЧНАЯ ОБОР.'!$V$4:$W$806, 2, FALSE)</f>
        <v>B</v>
      </c>
    </row>
    <row r="489" spans="1:10" x14ac:dyDescent="0.25">
      <c r="A489" s="9" t="s">
        <v>288</v>
      </c>
      <c r="B489" s="10">
        <v>3</v>
      </c>
      <c r="D489" t="s">
        <v>1153</v>
      </c>
      <c r="E489">
        <v>1</v>
      </c>
      <c r="F489">
        <f t="shared" si="21"/>
        <v>6.2155775398999025E-4</v>
      </c>
      <c r="G489">
        <f t="shared" si="23"/>
        <v>0.82064270259297711</v>
      </c>
      <c r="H489" t="str">
        <f t="shared" si="22"/>
        <v>B</v>
      </c>
      <c r="I489" t="str">
        <f>VLOOKUP(D489,'СУММА ПРОДАЖ'!J:N, 5, FALSE)</f>
        <v>B</v>
      </c>
      <c r="J489" t="str">
        <f>VLOOKUP(D489, 'МЕСЯЧНАЯ ОБОР.'!$V$4:$W$806, 2, FALSE)</f>
        <v>B</v>
      </c>
    </row>
    <row r="490" spans="1:10" x14ac:dyDescent="0.25">
      <c r="A490" s="9" t="s">
        <v>891</v>
      </c>
      <c r="B490" s="10">
        <v>0.33333332999999998</v>
      </c>
      <c r="D490" t="s">
        <v>362</v>
      </c>
      <c r="E490">
        <v>1</v>
      </c>
      <c r="F490">
        <f t="shared" si="21"/>
        <v>6.2155775398999025E-4</v>
      </c>
      <c r="G490">
        <f t="shared" si="23"/>
        <v>0.82126426034696709</v>
      </c>
      <c r="H490" t="str">
        <f t="shared" si="22"/>
        <v>B</v>
      </c>
      <c r="I490" t="str">
        <f>VLOOKUP(D490,'СУММА ПРОДАЖ'!J:N, 5, FALSE)</f>
        <v>B</v>
      </c>
      <c r="J490" t="str">
        <f>VLOOKUP(D490, 'МЕСЯЧНАЯ ОБОР.'!$V$4:$W$806, 2, FALSE)</f>
        <v>B</v>
      </c>
    </row>
    <row r="491" spans="1:10" x14ac:dyDescent="0.25">
      <c r="A491" s="9" t="s">
        <v>272</v>
      </c>
      <c r="B491" s="10">
        <v>1</v>
      </c>
      <c r="D491" t="s">
        <v>660</v>
      </c>
      <c r="E491">
        <v>1</v>
      </c>
      <c r="F491">
        <f t="shared" si="21"/>
        <v>6.2155775398999025E-4</v>
      </c>
      <c r="G491">
        <f t="shared" si="23"/>
        <v>0.82188581810095707</v>
      </c>
      <c r="H491" t="str">
        <f t="shared" si="22"/>
        <v>B</v>
      </c>
      <c r="I491" t="str">
        <f>VLOOKUP(D491,'СУММА ПРОДАЖ'!J:N, 5, FALSE)</f>
        <v>A</v>
      </c>
      <c r="J491" t="str">
        <f>VLOOKUP(D491, 'МЕСЯЧНАЯ ОБОР.'!$V$4:$W$806, 2, FALSE)</f>
        <v>B</v>
      </c>
    </row>
    <row r="492" spans="1:10" x14ac:dyDescent="0.25">
      <c r="A492" s="9" t="s">
        <v>432</v>
      </c>
      <c r="B492" s="10">
        <v>2</v>
      </c>
      <c r="D492" t="s">
        <v>973</v>
      </c>
      <c r="E492">
        <v>1</v>
      </c>
      <c r="F492">
        <f t="shared" si="21"/>
        <v>6.2155775398999025E-4</v>
      </c>
      <c r="G492">
        <f t="shared" si="23"/>
        <v>0.82250737585494704</v>
      </c>
      <c r="H492" t="str">
        <f t="shared" si="22"/>
        <v>B</v>
      </c>
      <c r="I492" t="str">
        <f>VLOOKUP(D492,'СУММА ПРОДАЖ'!J:N, 5, FALSE)</f>
        <v>C</v>
      </c>
      <c r="J492" t="str">
        <f>VLOOKUP(D492, 'МЕСЯЧНАЯ ОБОР.'!$V$4:$W$806, 2, FALSE)</f>
        <v>B</v>
      </c>
    </row>
    <row r="493" spans="1:10" x14ac:dyDescent="0.25">
      <c r="A493" s="9" t="s">
        <v>482</v>
      </c>
      <c r="B493" s="10">
        <v>2</v>
      </c>
      <c r="D493" t="s">
        <v>870</v>
      </c>
      <c r="E493">
        <v>1</v>
      </c>
      <c r="F493">
        <f t="shared" si="21"/>
        <v>6.2155775398999025E-4</v>
      </c>
      <c r="G493">
        <f t="shared" si="23"/>
        <v>0.82312893360893702</v>
      </c>
      <c r="H493" t="str">
        <f t="shared" si="22"/>
        <v>B</v>
      </c>
      <c r="I493" t="str">
        <f>VLOOKUP(D493,'СУММА ПРОДАЖ'!J:N, 5, FALSE)</f>
        <v>A</v>
      </c>
      <c r="J493" t="str">
        <f>VLOOKUP(D493, 'МЕСЯЧНАЯ ОБОР.'!$V$4:$W$806, 2, FALSE)</f>
        <v>B</v>
      </c>
    </row>
    <row r="494" spans="1:10" x14ac:dyDescent="0.25">
      <c r="A494" s="9" t="s">
        <v>872</v>
      </c>
      <c r="B494" s="10">
        <v>2</v>
      </c>
      <c r="D494" t="s">
        <v>1029</v>
      </c>
      <c r="E494">
        <v>1</v>
      </c>
      <c r="F494">
        <f t="shared" si="21"/>
        <v>6.2155775398999025E-4</v>
      </c>
      <c r="G494">
        <f t="shared" si="23"/>
        <v>0.823750491362927</v>
      </c>
      <c r="H494" t="str">
        <f t="shared" si="22"/>
        <v>B</v>
      </c>
      <c r="I494" t="str">
        <f>VLOOKUP(D494,'СУММА ПРОДАЖ'!J:N, 5, FALSE)</f>
        <v>B</v>
      </c>
      <c r="J494" t="str">
        <f>VLOOKUP(D494, 'МЕСЯЧНАЯ ОБОР.'!$V$4:$W$806, 2, FALSE)</f>
        <v>B</v>
      </c>
    </row>
    <row r="495" spans="1:10" x14ac:dyDescent="0.25">
      <c r="A495" s="9" t="s">
        <v>600</v>
      </c>
      <c r="B495" s="10">
        <v>1</v>
      </c>
      <c r="D495" t="s">
        <v>1053</v>
      </c>
      <c r="E495">
        <v>1</v>
      </c>
      <c r="F495">
        <f t="shared" si="21"/>
        <v>6.2155775398999025E-4</v>
      </c>
      <c r="G495">
        <f t="shared" si="23"/>
        <v>0.82437204911691697</v>
      </c>
      <c r="H495" t="str">
        <f t="shared" si="22"/>
        <v>B</v>
      </c>
      <c r="I495" t="str">
        <f>VLOOKUP(D495,'СУММА ПРОДАЖ'!J:N, 5, FALSE)</f>
        <v>B</v>
      </c>
      <c r="J495" t="str">
        <f>VLOOKUP(D495, 'МЕСЯЧНАЯ ОБОР.'!$V$4:$W$806, 2, FALSE)</f>
        <v>B</v>
      </c>
    </row>
    <row r="496" spans="1:10" x14ac:dyDescent="0.25">
      <c r="A496" s="9" t="s">
        <v>1046</v>
      </c>
      <c r="B496" s="10">
        <v>1</v>
      </c>
      <c r="D496" t="s">
        <v>805</v>
      </c>
      <c r="E496">
        <v>1</v>
      </c>
      <c r="F496">
        <f t="shared" si="21"/>
        <v>6.2155775398999025E-4</v>
      </c>
      <c r="G496">
        <f t="shared" si="23"/>
        <v>0.82499360687090695</v>
      </c>
      <c r="H496" t="str">
        <f t="shared" si="22"/>
        <v>B</v>
      </c>
      <c r="I496" t="str">
        <f>VLOOKUP(D496,'СУММА ПРОДАЖ'!J:N, 5, FALSE)</f>
        <v>A</v>
      </c>
      <c r="J496" t="str">
        <f>VLOOKUP(D496, 'МЕСЯЧНАЯ ОБОР.'!$V$4:$W$806, 2, FALSE)</f>
        <v>B</v>
      </c>
    </row>
    <row r="497" spans="1:10" x14ac:dyDescent="0.25">
      <c r="A497" s="9" t="s">
        <v>1078</v>
      </c>
      <c r="B497" s="10">
        <v>0.2</v>
      </c>
      <c r="D497" t="s">
        <v>641</v>
      </c>
      <c r="E497">
        <v>1</v>
      </c>
      <c r="F497">
        <f t="shared" si="21"/>
        <v>6.2155775398999025E-4</v>
      </c>
      <c r="G497">
        <f t="shared" si="23"/>
        <v>0.82561516462489692</v>
      </c>
      <c r="H497" t="str">
        <f t="shared" si="22"/>
        <v>B</v>
      </c>
      <c r="I497" t="str">
        <f>VLOOKUP(D497,'СУММА ПРОДАЖ'!J:N, 5, FALSE)</f>
        <v>A</v>
      </c>
      <c r="J497" t="str">
        <f>VLOOKUP(D497, 'МЕСЯЧНАЯ ОБОР.'!$V$4:$W$806, 2, FALSE)</f>
        <v>B</v>
      </c>
    </row>
    <row r="498" spans="1:10" x14ac:dyDescent="0.25">
      <c r="A498" s="9" t="s">
        <v>519</v>
      </c>
      <c r="B498" s="10">
        <v>3</v>
      </c>
      <c r="D498" t="s">
        <v>1219</v>
      </c>
      <c r="E498">
        <v>1</v>
      </c>
      <c r="F498">
        <f t="shared" si="21"/>
        <v>6.2155775398999025E-4</v>
      </c>
      <c r="G498">
        <f t="shared" si="23"/>
        <v>0.8262367223788869</v>
      </c>
      <c r="H498" t="str">
        <f t="shared" si="22"/>
        <v>B</v>
      </c>
      <c r="I498" t="str">
        <f>VLOOKUP(D498,'СУММА ПРОДАЖ'!J:N, 5, FALSE)</f>
        <v>C</v>
      </c>
      <c r="J498" t="str">
        <f>VLOOKUP(D498, 'МЕСЯЧНАЯ ОБОР.'!$V$4:$W$806, 2, FALSE)</f>
        <v>B</v>
      </c>
    </row>
    <row r="499" spans="1:10" x14ac:dyDescent="0.25">
      <c r="A499" s="9" t="s">
        <v>445</v>
      </c>
      <c r="B499" s="10">
        <v>1</v>
      </c>
      <c r="D499" t="s">
        <v>208</v>
      </c>
      <c r="E499">
        <v>1</v>
      </c>
      <c r="F499">
        <f t="shared" si="21"/>
        <v>6.2155775398999025E-4</v>
      </c>
      <c r="G499">
        <f t="shared" si="23"/>
        <v>0.82685828013287688</v>
      </c>
      <c r="H499" t="str">
        <f t="shared" si="22"/>
        <v>B</v>
      </c>
      <c r="I499" t="str">
        <f>VLOOKUP(D499,'СУММА ПРОДАЖ'!J:N, 5, FALSE)</f>
        <v>C</v>
      </c>
      <c r="J499" t="str">
        <f>VLOOKUP(D499, 'МЕСЯЧНАЯ ОБОР.'!$V$4:$W$806, 2, FALSE)</f>
        <v>B</v>
      </c>
    </row>
    <row r="500" spans="1:10" x14ac:dyDescent="0.25">
      <c r="A500" s="9" t="s">
        <v>147</v>
      </c>
      <c r="B500" s="10">
        <v>3</v>
      </c>
      <c r="D500" t="s">
        <v>39</v>
      </c>
      <c r="E500">
        <v>1</v>
      </c>
      <c r="F500">
        <f t="shared" si="21"/>
        <v>6.2155775398999025E-4</v>
      </c>
      <c r="G500">
        <f t="shared" si="23"/>
        <v>0.82747983788686685</v>
      </c>
      <c r="H500" t="str">
        <f t="shared" si="22"/>
        <v>B</v>
      </c>
      <c r="I500" t="str">
        <f>VLOOKUP(D500,'СУММА ПРОДАЖ'!J:N, 5, FALSE)</f>
        <v>B</v>
      </c>
      <c r="J500" t="str">
        <f>VLOOKUP(D500, 'МЕСЯЧНАЯ ОБОР.'!$V$4:$W$806, 2, FALSE)</f>
        <v>B</v>
      </c>
    </row>
    <row r="501" spans="1:10" x14ac:dyDescent="0.25">
      <c r="A501" s="9" t="s">
        <v>535</v>
      </c>
      <c r="B501" s="10">
        <v>1</v>
      </c>
      <c r="D501" t="s">
        <v>904</v>
      </c>
      <c r="E501">
        <v>1</v>
      </c>
      <c r="F501">
        <f t="shared" si="21"/>
        <v>6.2155775398999025E-4</v>
      </c>
      <c r="G501">
        <f t="shared" si="23"/>
        <v>0.82810139564085683</v>
      </c>
      <c r="H501" t="str">
        <f t="shared" si="22"/>
        <v>B</v>
      </c>
      <c r="I501" t="str">
        <f>VLOOKUP(D501,'СУММА ПРОДАЖ'!J:N, 5, FALSE)</f>
        <v>A</v>
      </c>
      <c r="J501" t="str">
        <f>VLOOKUP(D501, 'МЕСЯЧНАЯ ОБОР.'!$V$4:$W$806, 2, FALSE)</f>
        <v>B</v>
      </c>
    </row>
    <row r="502" spans="1:10" x14ac:dyDescent="0.25">
      <c r="A502" s="9" t="s">
        <v>1191</v>
      </c>
      <c r="B502" s="10">
        <v>1</v>
      </c>
      <c r="D502" t="s">
        <v>320</v>
      </c>
      <c r="E502">
        <v>1</v>
      </c>
      <c r="F502">
        <f t="shared" si="21"/>
        <v>6.2155775398999025E-4</v>
      </c>
      <c r="G502">
        <f t="shared" si="23"/>
        <v>0.82872295339484681</v>
      </c>
      <c r="H502" t="str">
        <f t="shared" si="22"/>
        <v>B</v>
      </c>
      <c r="I502" t="str">
        <f>VLOOKUP(D502,'СУММА ПРОДАЖ'!J:N, 5, FALSE)</f>
        <v>B</v>
      </c>
      <c r="J502" t="str">
        <f>VLOOKUP(D502, 'МЕСЯЧНАЯ ОБОР.'!$V$4:$W$806, 2, FALSE)</f>
        <v>B</v>
      </c>
    </row>
    <row r="503" spans="1:10" x14ac:dyDescent="0.25">
      <c r="A503" s="9" t="s">
        <v>188</v>
      </c>
      <c r="B503" s="10">
        <v>1</v>
      </c>
      <c r="D503" t="s">
        <v>1120</v>
      </c>
      <c r="E503">
        <v>1</v>
      </c>
      <c r="F503">
        <f t="shared" si="21"/>
        <v>6.2155775398999025E-4</v>
      </c>
      <c r="G503">
        <f t="shared" si="23"/>
        <v>0.82934451114883678</v>
      </c>
      <c r="H503" t="str">
        <f t="shared" si="22"/>
        <v>B</v>
      </c>
      <c r="I503" t="str">
        <f>VLOOKUP(D503,'СУММА ПРОДАЖ'!J:N, 5, FALSE)</f>
        <v>B</v>
      </c>
      <c r="J503" t="str">
        <f>VLOOKUP(D503, 'МЕСЯЧНАЯ ОБОР.'!$V$4:$W$806, 2, FALSE)</f>
        <v>B</v>
      </c>
    </row>
    <row r="504" spans="1:10" x14ac:dyDescent="0.25">
      <c r="A504" s="9" t="s">
        <v>570</v>
      </c>
      <c r="B504" s="10">
        <v>1</v>
      </c>
      <c r="D504" t="s">
        <v>1112</v>
      </c>
      <c r="E504">
        <v>1</v>
      </c>
      <c r="F504">
        <f t="shared" si="21"/>
        <v>6.2155775398999025E-4</v>
      </c>
      <c r="G504">
        <f t="shared" si="23"/>
        <v>0.82996606890282676</v>
      </c>
      <c r="H504" t="str">
        <f t="shared" si="22"/>
        <v>B</v>
      </c>
      <c r="I504" t="str">
        <f>VLOOKUP(D504,'СУММА ПРОДАЖ'!J:N, 5, FALSE)</f>
        <v>C</v>
      </c>
      <c r="J504" t="str">
        <f>VLOOKUP(D504, 'МЕСЯЧНАЯ ОБОР.'!$V$4:$W$806, 2, FALSE)</f>
        <v>B</v>
      </c>
    </row>
    <row r="505" spans="1:10" x14ac:dyDescent="0.25">
      <c r="A505" s="9" t="s">
        <v>228</v>
      </c>
      <c r="B505" s="10">
        <v>4</v>
      </c>
      <c r="D505" t="s">
        <v>733</v>
      </c>
      <c r="E505">
        <v>1</v>
      </c>
      <c r="F505">
        <f t="shared" si="21"/>
        <v>6.2155775398999025E-4</v>
      </c>
      <c r="G505">
        <f t="shared" si="23"/>
        <v>0.83058762665681674</v>
      </c>
      <c r="H505" t="str">
        <f t="shared" si="22"/>
        <v>B</v>
      </c>
      <c r="I505" t="str">
        <f>VLOOKUP(D505,'СУММА ПРОДАЖ'!J:N, 5, FALSE)</f>
        <v>C</v>
      </c>
      <c r="J505" t="str">
        <f>VLOOKUP(D505, 'МЕСЯЧНАЯ ОБОР.'!$V$4:$W$806, 2, FALSE)</f>
        <v>B</v>
      </c>
    </row>
    <row r="506" spans="1:10" x14ac:dyDescent="0.25">
      <c r="A506" s="9" t="s">
        <v>1064</v>
      </c>
      <c r="B506" s="10">
        <v>1</v>
      </c>
      <c r="D506" t="s">
        <v>647</v>
      </c>
      <c r="E506">
        <v>1</v>
      </c>
      <c r="F506">
        <f t="shared" si="21"/>
        <v>6.2155775398999025E-4</v>
      </c>
      <c r="G506">
        <f t="shared" si="23"/>
        <v>0.83120918441080671</v>
      </c>
      <c r="H506" t="str">
        <f t="shared" si="22"/>
        <v>B</v>
      </c>
      <c r="I506" t="str">
        <f>VLOOKUP(D506,'СУММА ПРОДАЖ'!J:N, 5, FALSE)</f>
        <v>C</v>
      </c>
      <c r="J506" t="str">
        <f>VLOOKUP(D506, 'МЕСЯЧНАЯ ОБОР.'!$V$4:$W$806, 2, FALSE)</f>
        <v>B</v>
      </c>
    </row>
    <row r="507" spans="1:10" x14ac:dyDescent="0.25">
      <c r="A507" s="9" t="s">
        <v>948</v>
      </c>
      <c r="B507" s="10">
        <v>1</v>
      </c>
      <c r="D507" t="s">
        <v>949</v>
      </c>
      <c r="E507">
        <v>1</v>
      </c>
      <c r="F507">
        <f t="shared" si="21"/>
        <v>6.2155775398999025E-4</v>
      </c>
      <c r="G507">
        <f t="shared" si="23"/>
        <v>0.83183074216479669</v>
      </c>
      <c r="H507" t="str">
        <f t="shared" si="22"/>
        <v>B</v>
      </c>
      <c r="I507" t="str">
        <f>VLOOKUP(D507,'СУММА ПРОДАЖ'!J:N, 5, FALSE)</f>
        <v>C</v>
      </c>
      <c r="J507" t="str">
        <f>VLOOKUP(D507, 'МЕСЯЧНАЯ ОБОР.'!$V$4:$W$806, 2, FALSE)</f>
        <v>B</v>
      </c>
    </row>
    <row r="508" spans="1:10" x14ac:dyDescent="0.25">
      <c r="A508" s="9" t="s">
        <v>622</v>
      </c>
      <c r="B508" s="10">
        <v>2</v>
      </c>
      <c r="D508" t="s">
        <v>1032</v>
      </c>
      <c r="E508">
        <v>1</v>
      </c>
      <c r="F508">
        <f t="shared" si="21"/>
        <v>6.2155775398999025E-4</v>
      </c>
      <c r="G508">
        <f t="shared" si="23"/>
        <v>0.83245229991878666</v>
      </c>
      <c r="H508" t="str">
        <f t="shared" si="22"/>
        <v>B</v>
      </c>
      <c r="I508" t="str">
        <f>VLOOKUP(D508,'СУММА ПРОДАЖ'!J:N, 5, FALSE)</f>
        <v>A</v>
      </c>
      <c r="J508" t="str">
        <f>VLOOKUP(D508, 'МЕСЯЧНАЯ ОБОР.'!$V$4:$W$806, 2, FALSE)</f>
        <v>B</v>
      </c>
    </row>
    <row r="509" spans="1:10" x14ac:dyDescent="0.25">
      <c r="A509" s="9" t="s">
        <v>1080</v>
      </c>
      <c r="B509" s="10">
        <v>1</v>
      </c>
      <c r="D509" t="s">
        <v>951</v>
      </c>
      <c r="E509">
        <v>1</v>
      </c>
      <c r="F509">
        <f t="shared" si="21"/>
        <v>6.2155775398999025E-4</v>
      </c>
      <c r="G509">
        <f t="shared" si="23"/>
        <v>0.83307385767277664</v>
      </c>
      <c r="H509" t="str">
        <f t="shared" si="22"/>
        <v>B</v>
      </c>
      <c r="I509" t="str">
        <f>VLOOKUP(D509,'СУММА ПРОДАЖ'!J:N, 5, FALSE)</f>
        <v>B</v>
      </c>
      <c r="J509" t="str">
        <f>VLOOKUP(D509, 'МЕСЯЧНАЯ ОБОР.'!$V$4:$W$806, 2, FALSE)</f>
        <v>B</v>
      </c>
    </row>
    <row r="510" spans="1:10" x14ac:dyDescent="0.25">
      <c r="A510" s="9" t="s">
        <v>363</v>
      </c>
      <c r="B510" s="10">
        <v>1</v>
      </c>
      <c r="D510" t="s">
        <v>1194</v>
      </c>
      <c r="E510">
        <v>1</v>
      </c>
      <c r="F510">
        <f t="shared" si="21"/>
        <v>6.2155775398999025E-4</v>
      </c>
      <c r="G510">
        <f t="shared" si="23"/>
        <v>0.83369541542676662</v>
      </c>
      <c r="H510" t="str">
        <f t="shared" si="22"/>
        <v>B</v>
      </c>
      <c r="I510" t="str">
        <f>VLOOKUP(D510,'СУММА ПРОДАЖ'!J:N, 5, FALSE)</f>
        <v>B</v>
      </c>
      <c r="J510" t="str">
        <f>VLOOKUP(D510, 'МЕСЯЧНАЯ ОБОР.'!$V$4:$W$806, 2, FALSE)</f>
        <v>B</v>
      </c>
    </row>
    <row r="511" spans="1:10" x14ac:dyDescent="0.25">
      <c r="A511" s="9" t="s">
        <v>738</v>
      </c>
      <c r="B511" s="10">
        <v>1</v>
      </c>
      <c r="D511" t="s">
        <v>744</v>
      </c>
      <c r="E511">
        <v>1</v>
      </c>
      <c r="F511">
        <f t="shared" si="21"/>
        <v>6.2155775398999025E-4</v>
      </c>
      <c r="G511">
        <f t="shared" si="23"/>
        <v>0.83431697318075659</v>
      </c>
      <c r="H511" t="str">
        <f t="shared" si="22"/>
        <v>B</v>
      </c>
      <c r="I511" t="str">
        <f>VLOOKUP(D511,'СУММА ПРОДАЖ'!J:N, 5, FALSE)</f>
        <v>A</v>
      </c>
      <c r="J511" t="str">
        <f>VLOOKUP(D511, 'МЕСЯЧНАЯ ОБОР.'!$V$4:$W$806, 2, FALSE)</f>
        <v>B</v>
      </c>
    </row>
    <row r="512" spans="1:10" x14ac:dyDescent="0.25">
      <c r="A512" s="9" t="s">
        <v>186</v>
      </c>
      <c r="B512" s="10">
        <v>1</v>
      </c>
      <c r="D512" t="s">
        <v>850</v>
      </c>
      <c r="E512">
        <v>1</v>
      </c>
      <c r="F512">
        <f t="shared" si="21"/>
        <v>6.2155775398999025E-4</v>
      </c>
      <c r="G512">
        <f t="shared" si="23"/>
        <v>0.83493853093474657</v>
      </c>
      <c r="H512" t="str">
        <f t="shared" si="22"/>
        <v>B</v>
      </c>
      <c r="I512" t="str">
        <f>VLOOKUP(D512,'СУММА ПРОДАЖ'!J:N, 5, FALSE)</f>
        <v>C</v>
      </c>
      <c r="J512" t="str">
        <f>VLOOKUP(D512, 'МЕСЯЧНАЯ ОБОР.'!$V$4:$W$806, 2, FALSE)</f>
        <v>B</v>
      </c>
    </row>
    <row r="513" spans="1:10" x14ac:dyDescent="0.25">
      <c r="A513" s="9" t="s">
        <v>78</v>
      </c>
      <c r="B513" s="10">
        <v>9</v>
      </c>
      <c r="D513" t="s">
        <v>942</v>
      </c>
      <c r="E513">
        <v>1</v>
      </c>
      <c r="F513">
        <f t="shared" si="21"/>
        <v>6.2155775398999025E-4</v>
      </c>
      <c r="G513">
        <f t="shared" si="23"/>
        <v>0.83556008868873655</v>
      </c>
      <c r="H513" t="str">
        <f t="shared" si="22"/>
        <v>B</v>
      </c>
      <c r="I513" t="str">
        <f>VLOOKUP(D513,'СУММА ПРОДАЖ'!J:N, 5, FALSE)</f>
        <v>C</v>
      </c>
      <c r="J513" t="str">
        <f>VLOOKUP(D513, 'МЕСЯЧНАЯ ОБОР.'!$V$4:$W$806, 2, FALSE)</f>
        <v>B</v>
      </c>
    </row>
    <row r="514" spans="1:10" x14ac:dyDescent="0.25">
      <c r="A514" s="9" t="s">
        <v>89</v>
      </c>
      <c r="B514" s="10">
        <v>11</v>
      </c>
      <c r="D514" t="s">
        <v>557</v>
      </c>
      <c r="E514">
        <v>1</v>
      </c>
      <c r="F514">
        <f t="shared" si="21"/>
        <v>6.2155775398999025E-4</v>
      </c>
      <c r="G514">
        <f t="shared" si="23"/>
        <v>0.83618164644272652</v>
      </c>
      <c r="H514" t="str">
        <f t="shared" si="22"/>
        <v>B</v>
      </c>
      <c r="I514" t="str">
        <f>VLOOKUP(D514,'СУММА ПРОДАЖ'!J:N, 5, FALSE)</f>
        <v>C</v>
      </c>
      <c r="J514" t="str">
        <f>VLOOKUP(D514, 'МЕСЯЧНАЯ ОБОР.'!$V$4:$W$806, 2, FALSE)</f>
        <v>B</v>
      </c>
    </row>
    <row r="515" spans="1:10" x14ac:dyDescent="0.25">
      <c r="A515" s="9" t="s">
        <v>202</v>
      </c>
      <c r="B515" s="10">
        <v>1</v>
      </c>
      <c r="D515" t="s">
        <v>1145</v>
      </c>
      <c r="E515">
        <v>1</v>
      </c>
      <c r="F515">
        <f t="shared" si="21"/>
        <v>6.2155775398999025E-4</v>
      </c>
      <c r="G515">
        <f t="shared" si="23"/>
        <v>0.8368032041967165</v>
      </c>
      <c r="H515" t="str">
        <f t="shared" si="22"/>
        <v>B</v>
      </c>
      <c r="I515" t="str">
        <f>VLOOKUP(D515,'СУММА ПРОДАЖ'!J:N, 5, FALSE)</f>
        <v>A</v>
      </c>
      <c r="J515" t="str">
        <f>VLOOKUP(D515, 'МЕСЯЧНАЯ ОБОР.'!$V$4:$W$806, 2, FALSE)</f>
        <v>B</v>
      </c>
    </row>
    <row r="516" spans="1:10" x14ac:dyDescent="0.25">
      <c r="A516" s="9" t="s">
        <v>1067</v>
      </c>
      <c r="B516" s="10">
        <v>1</v>
      </c>
      <c r="D516" t="s">
        <v>680</v>
      </c>
      <c r="E516">
        <v>1</v>
      </c>
      <c r="F516">
        <f t="shared" si="21"/>
        <v>6.2155775398999025E-4</v>
      </c>
      <c r="G516">
        <f t="shared" si="23"/>
        <v>0.83742476195070648</v>
      </c>
      <c r="H516" t="str">
        <f t="shared" si="22"/>
        <v>B</v>
      </c>
      <c r="I516" t="str">
        <f>VLOOKUP(D516,'СУММА ПРОДАЖ'!J:N, 5, FALSE)</f>
        <v>B</v>
      </c>
      <c r="J516" t="str">
        <f>VLOOKUP(D516, 'МЕСЯЧНАЯ ОБОР.'!$V$4:$W$806, 2, FALSE)</f>
        <v>B</v>
      </c>
    </row>
    <row r="517" spans="1:10" x14ac:dyDescent="0.25">
      <c r="A517" s="9" t="s">
        <v>645</v>
      </c>
      <c r="B517" s="10">
        <v>1</v>
      </c>
      <c r="D517" t="s">
        <v>532</v>
      </c>
      <c r="E517">
        <v>1</v>
      </c>
      <c r="F517">
        <f t="shared" ref="F517:F580" si="24">E517/SUM($E$4:$E$806)</f>
        <v>6.2155775398999025E-4</v>
      </c>
      <c r="G517">
        <f t="shared" si="23"/>
        <v>0.83804631970469645</v>
      </c>
      <c r="H517" t="str">
        <f t="shared" ref="H517:H580" si="25">IF(G517&lt;0.8, "A", IF(G517&lt;0.95, "B","C"))</f>
        <v>B</v>
      </c>
      <c r="I517" t="str">
        <f>VLOOKUP(D517,'СУММА ПРОДАЖ'!J:N, 5, FALSE)</f>
        <v>A</v>
      </c>
      <c r="J517" t="str">
        <f>VLOOKUP(D517, 'МЕСЯЧНАЯ ОБОР.'!$V$4:$W$806, 2, FALSE)</f>
        <v>B</v>
      </c>
    </row>
    <row r="518" spans="1:10" x14ac:dyDescent="0.25">
      <c r="A518" s="9" t="s">
        <v>204</v>
      </c>
      <c r="B518" s="10">
        <v>1</v>
      </c>
      <c r="D518" t="s">
        <v>658</v>
      </c>
      <c r="E518">
        <v>1</v>
      </c>
      <c r="F518">
        <f t="shared" si="24"/>
        <v>6.2155775398999025E-4</v>
      </c>
      <c r="G518">
        <f t="shared" ref="G518:G581" si="26">F518+G517</f>
        <v>0.83866787745868643</v>
      </c>
      <c r="H518" t="str">
        <f t="shared" si="25"/>
        <v>B</v>
      </c>
      <c r="I518" t="str">
        <f>VLOOKUP(D518,'СУММА ПРОДАЖ'!J:N, 5, FALSE)</f>
        <v>A</v>
      </c>
      <c r="J518" t="str">
        <f>VLOOKUP(D518, 'МЕСЯЧНАЯ ОБОР.'!$V$4:$W$806, 2, FALSE)</f>
        <v>B</v>
      </c>
    </row>
    <row r="519" spans="1:10" x14ac:dyDescent="0.25">
      <c r="A519" s="9" t="s">
        <v>1208</v>
      </c>
      <c r="B519" s="10">
        <v>1</v>
      </c>
      <c r="D519" t="s">
        <v>750</v>
      </c>
      <c r="E519">
        <v>1</v>
      </c>
      <c r="F519">
        <f t="shared" si="24"/>
        <v>6.2155775398999025E-4</v>
      </c>
      <c r="G519">
        <f t="shared" si="26"/>
        <v>0.8392894352126764</v>
      </c>
      <c r="H519" t="str">
        <f t="shared" si="25"/>
        <v>B</v>
      </c>
      <c r="I519" t="str">
        <f>VLOOKUP(D519,'СУММА ПРОДАЖ'!J:N, 5, FALSE)</f>
        <v>A</v>
      </c>
      <c r="J519" t="str">
        <f>VLOOKUP(D519, 'МЕСЯЧНАЯ ОБОР.'!$V$4:$W$806, 2, FALSE)</f>
        <v>B</v>
      </c>
    </row>
    <row r="520" spans="1:10" x14ac:dyDescent="0.25">
      <c r="A520" s="9" t="s">
        <v>350</v>
      </c>
      <c r="B520" s="10">
        <v>1</v>
      </c>
      <c r="D520" t="s">
        <v>943</v>
      </c>
      <c r="E520">
        <v>1</v>
      </c>
      <c r="F520">
        <f t="shared" si="24"/>
        <v>6.2155775398999025E-4</v>
      </c>
      <c r="G520">
        <f t="shared" si="26"/>
        <v>0.83991099296666638</v>
      </c>
      <c r="H520" t="str">
        <f t="shared" si="25"/>
        <v>B</v>
      </c>
      <c r="I520" t="str">
        <f>VLOOKUP(D520,'СУММА ПРОДАЖ'!J:N, 5, FALSE)</f>
        <v>A</v>
      </c>
      <c r="J520" t="str">
        <f>VLOOKUP(D520, 'МЕСЯЧНАЯ ОБОР.'!$V$4:$W$806, 2, FALSE)</f>
        <v>B</v>
      </c>
    </row>
    <row r="521" spans="1:10" x14ac:dyDescent="0.25">
      <c r="A521" s="9" t="s">
        <v>1122</v>
      </c>
      <c r="B521" s="10">
        <v>1</v>
      </c>
      <c r="D521" t="s">
        <v>429</v>
      </c>
      <c r="E521">
        <v>1</v>
      </c>
      <c r="F521">
        <f t="shared" si="24"/>
        <v>6.2155775398999025E-4</v>
      </c>
      <c r="G521">
        <f t="shared" si="26"/>
        <v>0.84053255072065636</v>
      </c>
      <c r="H521" t="str">
        <f t="shared" si="25"/>
        <v>B</v>
      </c>
      <c r="I521" t="str">
        <f>VLOOKUP(D521,'СУММА ПРОДАЖ'!J:N, 5, FALSE)</f>
        <v>C</v>
      </c>
      <c r="J521" t="str">
        <f>VLOOKUP(D521, 'МЕСЯЧНАЯ ОБОР.'!$V$4:$W$806, 2, FALSE)</f>
        <v>B</v>
      </c>
    </row>
    <row r="522" spans="1:10" x14ac:dyDescent="0.25">
      <c r="A522" s="9" t="s">
        <v>1144</v>
      </c>
      <c r="B522" s="10">
        <v>1</v>
      </c>
      <c r="D522" t="s">
        <v>324</v>
      </c>
      <c r="E522">
        <v>1</v>
      </c>
      <c r="F522">
        <f t="shared" si="24"/>
        <v>6.2155775398999025E-4</v>
      </c>
      <c r="G522">
        <f t="shared" si="26"/>
        <v>0.84115410847464633</v>
      </c>
      <c r="H522" t="str">
        <f t="shared" si="25"/>
        <v>B</v>
      </c>
      <c r="I522" t="str">
        <f>VLOOKUP(D522,'СУММА ПРОДАЖ'!J:N, 5, FALSE)</f>
        <v>C</v>
      </c>
      <c r="J522" t="str">
        <f>VLOOKUP(D522, 'МЕСЯЧНАЯ ОБОР.'!$V$4:$W$806, 2, FALSE)</f>
        <v>B</v>
      </c>
    </row>
    <row r="523" spans="1:10" x14ac:dyDescent="0.25">
      <c r="A523" s="9" t="s">
        <v>995</v>
      </c>
      <c r="B523" s="10">
        <v>3</v>
      </c>
      <c r="D523" t="s">
        <v>190</v>
      </c>
      <c r="E523">
        <v>1</v>
      </c>
      <c r="F523">
        <f t="shared" si="24"/>
        <v>6.2155775398999025E-4</v>
      </c>
      <c r="G523">
        <f t="shared" si="26"/>
        <v>0.84177566622863631</v>
      </c>
      <c r="H523" t="str">
        <f t="shared" si="25"/>
        <v>B</v>
      </c>
      <c r="I523" t="str">
        <f>VLOOKUP(D523,'СУММА ПРОДАЖ'!J:N, 5, FALSE)</f>
        <v>C</v>
      </c>
      <c r="J523" t="str">
        <f>VLOOKUP(D523, 'МЕСЯЧНАЯ ОБОР.'!$V$4:$W$806, 2, FALSE)</f>
        <v>B</v>
      </c>
    </row>
    <row r="524" spans="1:10" x14ac:dyDescent="0.25">
      <c r="A524" s="9" t="s">
        <v>91</v>
      </c>
      <c r="B524" s="10">
        <v>26</v>
      </c>
      <c r="D524" t="s">
        <v>499</v>
      </c>
      <c r="E524">
        <v>1</v>
      </c>
      <c r="F524">
        <f t="shared" si="24"/>
        <v>6.2155775398999025E-4</v>
      </c>
      <c r="G524">
        <f t="shared" si="26"/>
        <v>0.84239722398262629</v>
      </c>
      <c r="H524" t="str">
        <f t="shared" si="25"/>
        <v>B</v>
      </c>
      <c r="I524" t="str">
        <f>VLOOKUP(D524,'СУММА ПРОДАЖ'!J:N, 5, FALSE)</f>
        <v>C</v>
      </c>
      <c r="J524" t="str">
        <f>VLOOKUP(D524, 'МЕСЯЧНАЯ ОБОР.'!$V$4:$W$806, 2, FALSE)</f>
        <v>B</v>
      </c>
    </row>
    <row r="525" spans="1:10" x14ac:dyDescent="0.25">
      <c r="A525" s="9" t="s">
        <v>1009</v>
      </c>
      <c r="B525" s="10">
        <v>2</v>
      </c>
      <c r="D525" t="s">
        <v>873</v>
      </c>
      <c r="E525">
        <v>1</v>
      </c>
      <c r="F525">
        <f t="shared" si="24"/>
        <v>6.2155775398999025E-4</v>
      </c>
      <c r="G525">
        <f t="shared" si="26"/>
        <v>0.84301878173661626</v>
      </c>
      <c r="H525" t="str">
        <f t="shared" si="25"/>
        <v>B</v>
      </c>
      <c r="I525" t="str">
        <f>VLOOKUP(D525,'СУММА ПРОДАЖ'!J:N, 5, FALSE)</f>
        <v>C</v>
      </c>
      <c r="J525" t="str">
        <f>VLOOKUP(D525, 'МЕСЯЧНАЯ ОБОР.'!$V$4:$W$806, 2, FALSE)</f>
        <v>B</v>
      </c>
    </row>
    <row r="526" spans="1:10" x14ac:dyDescent="0.25">
      <c r="A526" s="9" t="s">
        <v>987</v>
      </c>
      <c r="B526" s="10">
        <v>1</v>
      </c>
      <c r="D526" t="s">
        <v>1044</v>
      </c>
      <c r="E526">
        <v>1</v>
      </c>
      <c r="F526">
        <f t="shared" si="24"/>
        <v>6.2155775398999025E-4</v>
      </c>
      <c r="G526">
        <f t="shared" si="26"/>
        <v>0.84364033949060624</v>
      </c>
      <c r="H526" t="str">
        <f t="shared" si="25"/>
        <v>B</v>
      </c>
      <c r="I526" t="str">
        <f>VLOOKUP(D526,'СУММА ПРОДАЖ'!J:N, 5, FALSE)</f>
        <v>C</v>
      </c>
      <c r="J526" t="str">
        <f>VLOOKUP(D526, 'МЕСЯЧНАЯ ОБОР.'!$V$4:$W$806, 2, FALSE)</f>
        <v>B</v>
      </c>
    </row>
    <row r="527" spans="1:10" x14ac:dyDescent="0.25">
      <c r="A527" s="9" t="s">
        <v>1220</v>
      </c>
      <c r="B527" s="10">
        <v>1</v>
      </c>
      <c r="D527" t="s">
        <v>603</v>
      </c>
      <c r="E527">
        <v>1</v>
      </c>
      <c r="F527">
        <f t="shared" si="24"/>
        <v>6.2155775398999025E-4</v>
      </c>
      <c r="G527">
        <f t="shared" si="26"/>
        <v>0.84426189724459622</v>
      </c>
      <c r="H527" t="str">
        <f t="shared" si="25"/>
        <v>B</v>
      </c>
      <c r="I527" t="str">
        <f>VLOOKUP(D527,'СУММА ПРОДАЖ'!J:N, 5, FALSE)</f>
        <v>A</v>
      </c>
      <c r="J527" t="str">
        <f>VLOOKUP(D527, 'МЕСЯЧНАЯ ОБОР.'!$V$4:$W$806, 2, FALSE)</f>
        <v>B</v>
      </c>
    </row>
    <row r="528" spans="1:10" x14ac:dyDescent="0.25">
      <c r="A528" s="9" t="s">
        <v>214</v>
      </c>
      <c r="B528" s="10">
        <v>7</v>
      </c>
      <c r="D528" t="s">
        <v>937</v>
      </c>
      <c r="E528">
        <v>1</v>
      </c>
      <c r="F528">
        <f t="shared" si="24"/>
        <v>6.2155775398999025E-4</v>
      </c>
      <c r="G528">
        <f t="shared" si="26"/>
        <v>0.84488345499858619</v>
      </c>
      <c r="H528" t="str">
        <f t="shared" si="25"/>
        <v>B</v>
      </c>
      <c r="I528" t="str">
        <f>VLOOKUP(D528,'СУММА ПРОДАЖ'!J:N, 5, FALSE)</f>
        <v>A</v>
      </c>
      <c r="J528" t="str">
        <f>VLOOKUP(D528, 'МЕСЯЧНАЯ ОБОР.'!$V$4:$W$806, 2, FALSE)</f>
        <v>B</v>
      </c>
    </row>
    <row r="529" spans="1:10" x14ac:dyDescent="0.25">
      <c r="A529" s="9" t="s">
        <v>443</v>
      </c>
      <c r="B529" s="10">
        <v>2</v>
      </c>
      <c r="D529" t="s">
        <v>1092</v>
      </c>
      <c r="E529">
        <v>1</v>
      </c>
      <c r="F529">
        <f t="shared" si="24"/>
        <v>6.2155775398999025E-4</v>
      </c>
      <c r="G529">
        <f t="shared" si="26"/>
        <v>0.84550501275257617</v>
      </c>
      <c r="H529" t="str">
        <f t="shared" si="25"/>
        <v>B</v>
      </c>
      <c r="I529" t="str">
        <f>VLOOKUP(D529,'СУММА ПРОДАЖ'!J:N, 5, FALSE)</f>
        <v>B</v>
      </c>
      <c r="J529" t="str">
        <f>VLOOKUP(D529, 'МЕСЯЧНАЯ ОБОР.'!$V$4:$W$806, 2, FALSE)</f>
        <v>B</v>
      </c>
    </row>
    <row r="530" spans="1:10" x14ac:dyDescent="0.25">
      <c r="A530" s="9" t="s">
        <v>798</v>
      </c>
      <c r="B530" s="10">
        <v>1</v>
      </c>
      <c r="D530" t="s">
        <v>690</v>
      </c>
      <c r="E530">
        <v>1</v>
      </c>
      <c r="F530">
        <f t="shared" si="24"/>
        <v>6.2155775398999025E-4</v>
      </c>
      <c r="G530">
        <f t="shared" si="26"/>
        <v>0.84612657050656614</v>
      </c>
      <c r="H530" t="str">
        <f t="shared" si="25"/>
        <v>B</v>
      </c>
      <c r="I530" t="str">
        <f>VLOOKUP(D530,'СУММА ПРОДАЖ'!J:N, 5, FALSE)</f>
        <v>A</v>
      </c>
      <c r="J530" t="str">
        <f>VLOOKUP(D530, 'МЕСЯЧНАЯ ОБОР.'!$V$4:$W$806, 2, FALSE)</f>
        <v>B</v>
      </c>
    </row>
    <row r="531" spans="1:10" x14ac:dyDescent="0.25">
      <c r="A531" s="9" t="s">
        <v>118</v>
      </c>
      <c r="B531" s="10">
        <v>4</v>
      </c>
      <c r="D531" t="s">
        <v>974</v>
      </c>
      <c r="E531">
        <v>1</v>
      </c>
      <c r="F531">
        <f t="shared" si="24"/>
        <v>6.2155775398999025E-4</v>
      </c>
      <c r="G531">
        <f t="shared" si="26"/>
        <v>0.84674812826055612</v>
      </c>
      <c r="H531" t="str">
        <f t="shared" si="25"/>
        <v>B</v>
      </c>
      <c r="I531" t="str">
        <f>VLOOKUP(D531,'СУММА ПРОДАЖ'!J:N, 5, FALSE)</f>
        <v>C</v>
      </c>
      <c r="J531" t="str">
        <f>VLOOKUP(D531, 'МЕСЯЧНАЯ ОБОР.'!$V$4:$W$806, 2, FALSE)</f>
        <v>B</v>
      </c>
    </row>
    <row r="532" spans="1:10" x14ac:dyDescent="0.25">
      <c r="A532" s="9" t="s">
        <v>917</v>
      </c>
      <c r="B532" s="10">
        <v>2</v>
      </c>
      <c r="D532" t="s">
        <v>988</v>
      </c>
      <c r="E532">
        <v>1</v>
      </c>
      <c r="F532">
        <f t="shared" si="24"/>
        <v>6.2155775398999025E-4</v>
      </c>
      <c r="G532">
        <f t="shared" si="26"/>
        <v>0.8473696860145461</v>
      </c>
      <c r="H532" t="str">
        <f t="shared" si="25"/>
        <v>B</v>
      </c>
      <c r="I532" t="str">
        <f>VLOOKUP(D532,'СУММА ПРОДАЖ'!J:N, 5, FALSE)</f>
        <v>A</v>
      </c>
      <c r="J532" t="str">
        <f>VLOOKUP(D532, 'МЕСЯЧНАЯ ОБОР.'!$V$4:$W$806, 2, FALSE)</f>
        <v>B</v>
      </c>
    </row>
    <row r="533" spans="1:10" x14ac:dyDescent="0.25">
      <c r="A533" s="9" t="s">
        <v>47</v>
      </c>
      <c r="B533" s="10">
        <v>2</v>
      </c>
      <c r="D533" t="s">
        <v>1051</v>
      </c>
      <c r="E533">
        <v>1</v>
      </c>
      <c r="F533">
        <f t="shared" si="24"/>
        <v>6.2155775398999025E-4</v>
      </c>
      <c r="G533">
        <f t="shared" si="26"/>
        <v>0.84799124376853607</v>
      </c>
      <c r="H533" t="str">
        <f t="shared" si="25"/>
        <v>B</v>
      </c>
      <c r="I533" t="str">
        <f>VLOOKUP(D533,'СУММА ПРОДАЖ'!J:N, 5, FALSE)</f>
        <v>A</v>
      </c>
      <c r="J533" t="str">
        <f>VLOOKUP(D533, 'МЕСЯЧНАЯ ОБОР.'!$V$4:$W$806, 2, FALSE)</f>
        <v>B</v>
      </c>
    </row>
    <row r="534" spans="1:10" x14ac:dyDescent="0.25">
      <c r="A534" s="9" t="s">
        <v>112</v>
      </c>
      <c r="B534" s="10">
        <v>6</v>
      </c>
      <c r="D534" t="s">
        <v>447</v>
      </c>
      <c r="E534">
        <v>1</v>
      </c>
      <c r="F534">
        <f t="shared" si="24"/>
        <v>6.2155775398999025E-4</v>
      </c>
      <c r="G534">
        <f t="shared" si="26"/>
        <v>0.84861280152252605</v>
      </c>
      <c r="H534" t="str">
        <f t="shared" si="25"/>
        <v>B</v>
      </c>
      <c r="I534" t="str">
        <f>VLOOKUP(D534,'СУММА ПРОДАЖ'!J:N, 5, FALSE)</f>
        <v>A</v>
      </c>
      <c r="J534" t="str">
        <f>VLOOKUP(D534, 'МЕСЯЧНАЯ ОБОР.'!$V$4:$W$806, 2, FALSE)</f>
        <v>B</v>
      </c>
    </row>
    <row r="535" spans="1:10" x14ac:dyDescent="0.25">
      <c r="A535" s="9" t="s">
        <v>492</v>
      </c>
      <c r="B535" s="10">
        <v>5</v>
      </c>
      <c r="D535" t="s">
        <v>481</v>
      </c>
      <c r="E535">
        <v>1</v>
      </c>
      <c r="F535">
        <f t="shared" si="24"/>
        <v>6.2155775398999025E-4</v>
      </c>
      <c r="G535">
        <f t="shared" si="26"/>
        <v>0.84923435927651603</v>
      </c>
      <c r="H535" t="str">
        <f t="shared" si="25"/>
        <v>B</v>
      </c>
      <c r="I535" t="str">
        <f>VLOOKUP(D535,'СУММА ПРОДАЖ'!J:N, 5, FALSE)</f>
        <v>B</v>
      </c>
      <c r="J535" t="str">
        <f>VLOOKUP(D535, 'МЕСЯЧНАЯ ОБОР.'!$V$4:$W$806, 2, FALSE)</f>
        <v>B</v>
      </c>
    </row>
    <row r="536" spans="1:10" x14ac:dyDescent="0.25">
      <c r="A536" s="9" t="s">
        <v>1158</v>
      </c>
      <c r="B536" s="10">
        <v>1</v>
      </c>
      <c r="D536" t="s">
        <v>1035</v>
      </c>
      <c r="E536">
        <v>1</v>
      </c>
      <c r="F536">
        <f t="shared" si="24"/>
        <v>6.2155775398999025E-4</v>
      </c>
      <c r="G536">
        <f t="shared" si="26"/>
        <v>0.849855917030506</v>
      </c>
      <c r="H536" t="str">
        <f t="shared" si="25"/>
        <v>B</v>
      </c>
      <c r="I536" t="str">
        <f>VLOOKUP(D536,'СУММА ПРОДАЖ'!J:N, 5, FALSE)</f>
        <v>C</v>
      </c>
      <c r="J536" t="str">
        <f>VLOOKUP(D536, 'МЕСЯЧНАЯ ОБОР.'!$V$4:$W$806, 2, FALSE)</f>
        <v>B</v>
      </c>
    </row>
    <row r="537" spans="1:10" x14ac:dyDescent="0.25">
      <c r="A537" s="9" t="s">
        <v>98</v>
      </c>
      <c r="B537" s="10">
        <v>10</v>
      </c>
      <c r="D537" t="s">
        <v>893</v>
      </c>
      <c r="E537">
        <v>1</v>
      </c>
      <c r="F537">
        <f t="shared" si="24"/>
        <v>6.2155775398999025E-4</v>
      </c>
      <c r="G537">
        <f t="shared" si="26"/>
        <v>0.85047747478449598</v>
      </c>
      <c r="H537" t="str">
        <f t="shared" si="25"/>
        <v>B</v>
      </c>
      <c r="I537" t="str">
        <f>VLOOKUP(D537,'СУММА ПРОДАЖ'!J:N, 5, FALSE)</f>
        <v>C</v>
      </c>
      <c r="J537" t="str">
        <f>VLOOKUP(D537, 'МЕСЯЧНАЯ ОБОР.'!$V$4:$W$806, 2, FALSE)</f>
        <v>B</v>
      </c>
    </row>
    <row r="538" spans="1:10" x14ac:dyDescent="0.25">
      <c r="A538" s="9" t="s">
        <v>449</v>
      </c>
      <c r="B538" s="10">
        <v>1</v>
      </c>
      <c r="D538" t="s">
        <v>713</v>
      </c>
      <c r="E538">
        <v>1</v>
      </c>
      <c r="F538">
        <f t="shared" si="24"/>
        <v>6.2155775398999025E-4</v>
      </c>
      <c r="G538">
        <f t="shared" si="26"/>
        <v>0.85109903253848596</v>
      </c>
      <c r="H538" t="str">
        <f t="shared" si="25"/>
        <v>B</v>
      </c>
      <c r="I538" t="str">
        <f>VLOOKUP(D538,'СУММА ПРОДАЖ'!J:N, 5, FALSE)</f>
        <v>A</v>
      </c>
      <c r="J538" t="str">
        <f>VLOOKUP(D538, 'МЕСЯЧНАЯ ОБОР.'!$V$4:$W$806, 2, FALSE)</f>
        <v>B</v>
      </c>
    </row>
    <row r="539" spans="1:10" x14ac:dyDescent="0.25">
      <c r="A539" s="9" t="s">
        <v>1013</v>
      </c>
      <c r="B539" s="10">
        <v>1</v>
      </c>
      <c r="D539" t="s">
        <v>820</v>
      </c>
      <c r="E539">
        <v>1</v>
      </c>
      <c r="F539">
        <f t="shared" si="24"/>
        <v>6.2155775398999025E-4</v>
      </c>
      <c r="G539">
        <f t="shared" si="26"/>
        <v>0.85172059029247593</v>
      </c>
      <c r="H539" t="str">
        <f t="shared" si="25"/>
        <v>B</v>
      </c>
      <c r="I539" t="str">
        <f>VLOOKUP(D539,'СУММА ПРОДАЖ'!J:N, 5, FALSE)</f>
        <v>A</v>
      </c>
      <c r="J539" t="str">
        <f>VLOOKUP(D539, 'МЕСЯЧНАЯ ОБОР.'!$V$4:$W$806, 2, FALSE)</f>
        <v>B</v>
      </c>
    </row>
    <row r="540" spans="1:10" x14ac:dyDescent="0.25">
      <c r="A540" s="9" t="s">
        <v>591</v>
      </c>
      <c r="B540" s="10">
        <v>13</v>
      </c>
      <c r="D540" t="s">
        <v>488</v>
      </c>
      <c r="E540">
        <v>1</v>
      </c>
      <c r="F540">
        <f t="shared" si="24"/>
        <v>6.2155775398999025E-4</v>
      </c>
      <c r="G540">
        <f t="shared" si="26"/>
        <v>0.85234214804646591</v>
      </c>
      <c r="H540" t="str">
        <f t="shared" si="25"/>
        <v>B</v>
      </c>
      <c r="I540" t="str">
        <f>VLOOKUP(D540,'СУММА ПРОДАЖ'!J:N, 5, FALSE)</f>
        <v>A</v>
      </c>
      <c r="J540" t="str">
        <f>VLOOKUP(D540, 'МЕСЯЧНАЯ ОБОР.'!$V$4:$W$806, 2, FALSE)</f>
        <v>B</v>
      </c>
    </row>
    <row r="541" spans="1:10" x14ac:dyDescent="0.25">
      <c r="A541" s="9" t="s">
        <v>93</v>
      </c>
      <c r="B541" s="10">
        <v>2</v>
      </c>
      <c r="D541" t="s">
        <v>723</v>
      </c>
      <c r="E541">
        <v>1</v>
      </c>
      <c r="F541">
        <f t="shared" si="24"/>
        <v>6.2155775398999025E-4</v>
      </c>
      <c r="G541">
        <f t="shared" si="26"/>
        <v>0.85296370580045588</v>
      </c>
      <c r="H541" t="str">
        <f t="shared" si="25"/>
        <v>B</v>
      </c>
      <c r="I541" t="str">
        <f>VLOOKUP(D541,'СУММА ПРОДАЖ'!J:N, 5, FALSE)</f>
        <v>A</v>
      </c>
      <c r="J541" t="str">
        <f>VLOOKUP(D541, 'МЕСЯЧНАЯ ОБОР.'!$V$4:$W$806, 2, FALSE)</f>
        <v>B</v>
      </c>
    </row>
    <row r="542" spans="1:10" x14ac:dyDescent="0.25">
      <c r="A542" s="9" t="s">
        <v>1005</v>
      </c>
      <c r="B542" s="10">
        <v>2</v>
      </c>
      <c r="D542" t="s">
        <v>1068</v>
      </c>
      <c r="E542">
        <v>1</v>
      </c>
      <c r="F542">
        <f t="shared" si="24"/>
        <v>6.2155775398999025E-4</v>
      </c>
      <c r="G542">
        <f t="shared" si="26"/>
        <v>0.85358526355444586</v>
      </c>
      <c r="H542" t="str">
        <f t="shared" si="25"/>
        <v>B</v>
      </c>
      <c r="I542" t="str">
        <f>VLOOKUP(D542,'СУММА ПРОДАЖ'!J:N, 5, FALSE)</f>
        <v>B</v>
      </c>
      <c r="J542" t="str">
        <f>VLOOKUP(D542, 'МЕСЯЧНАЯ ОБОР.'!$V$4:$W$806, 2, FALSE)</f>
        <v>B</v>
      </c>
    </row>
    <row r="543" spans="1:10" x14ac:dyDescent="0.25">
      <c r="A543" s="9" t="s">
        <v>592</v>
      </c>
      <c r="B543" s="10">
        <v>5</v>
      </c>
      <c r="D543" t="s">
        <v>765</v>
      </c>
      <c r="E543">
        <v>1</v>
      </c>
      <c r="F543">
        <f t="shared" si="24"/>
        <v>6.2155775398999025E-4</v>
      </c>
      <c r="G543">
        <f t="shared" si="26"/>
        <v>0.85420682130843584</v>
      </c>
      <c r="H543" t="str">
        <f t="shared" si="25"/>
        <v>B</v>
      </c>
      <c r="I543" t="str">
        <f>VLOOKUP(D543,'СУММА ПРОДАЖ'!J:N, 5, FALSE)</f>
        <v>A</v>
      </c>
      <c r="J543" t="str">
        <f>VLOOKUP(D543, 'МЕСЯЧНАЯ ОБОР.'!$V$4:$W$806, 2, FALSE)</f>
        <v>B</v>
      </c>
    </row>
    <row r="544" spans="1:10" x14ac:dyDescent="0.25">
      <c r="A544" s="9" t="s">
        <v>1014</v>
      </c>
      <c r="B544" s="10">
        <v>1</v>
      </c>
      <c r="D544" t="s">
        <v>1170</v>
      </c>
      <c r="E544">
        <v>1</v>
      </c>
      <c r="F544">
        <f t="shared" si="24"/>
        <v>6.2155775398999025E-4</v>
      </c>
      <c r="G544">
        <f t="shared" si="26"/>
        <v>0.85482837906242581</v>
      </c>
      <c r="H544" t="str">
        <f t="shared" si="25"/>
        <v>B</v>
      </c>
      <c r="I544" t="str">
        <f>VLOOKUP(D544,'СУММА ПРОДАЖ'!J:N, 5, FALSE)</f>
        <v>A</v>
      </c>
      <c r="J544" t="str">
        <f>VLOOKUP(D544, 'МЕСЯЧНАЯ ОБОР.'!$V$4:$W$806, 2, FALSE)</f>
        <v>B</v>
      </c>
    </row>
    <row r="545" spans="1:10" x14ac:dyDescent="0.25">
      <c r="A545" s="9" t="s">
        <v>702</v>
      </c>
      <c r="B545" s="10">
        <v>2</v>
      </c>
      <c r="D545" t="s">
        <v>640</v>
      </c>
      <c r="E545">
        <v>1</v>
      </c>
      <c r="F545">
        <f t="shared" si="24"/>
        <v>6.2155775398999025E-4</v>
      </c>
      <c r="G545">
        <f t="shared" si="26"/>
        <v>0.85544993681641579</v>
      </c>
      <c r="H545" t="str">
        <f t="shared" si="25"/>
        <v>B</v>
      </c>
      <c r="I545" t="str">
        <f>VLOOKUP(D545,'СУММА ПРОДАЖ'!J:N, 5, FALSE)</f>
        <v>C</v>
      </c>
      <c r="J545" t="str">
        <f>VLOOKUP(D545, 'МЕСЯЧНАЯ ОБОР.'!$V$4:$W$806, 2, FALSE)</f>
        <v>B</v>
      </c>
    </row>
    <row r="546" spans="1:10" x14ac:dyDescent="0.25">
      <c r="A546" s="9" t="s">
        <v>434</v>
      </c>
      <c r="B546" s="10">
        <v>2</v>
      </c>
      <c r="D546" t="s">
        <v>546</v>
      </c>
      <c r="E546">
        <v>1</v>
      </c>
      <c r="F546">
        <f t="shared" si="24"/>
        <v>6.2155775398999025E-4</v>
      </c>
      <c r="G546">
        <f t="shared" si="26"/>
        <v>0.85607149457040577</v>
      </c>
      <c r="H546" t="str">
        <f t="shared" si="25"/>
        <v>B</v>
      </c>
      <c r="I546" t="str">
        <f>VLOOKUP(D546,'СУММА ПРОДАЖ'!J:N, 5, FALSE)</f>
        <v>C</v>
      </c>
      <c r="J546" t="str">
        <f>VLOOKUP(D546, 'МЕСЯЧНАЯ ОБОР.'!$V$4:$W$806, 2, FALSE)</f>
        <v>B</v>
      </c>
    </row>
    <row r="547" spans="1:10" x14ac:dyDescent="0.25">
      <c r="A547" s="9" t="s">
        <v>285</v>
      </c>
      <c r="B547" s="10">
        <v>3</v>
      </c>
      <c r="D547" t="s">
        <v>1059</v>
      </c>
      <c r="E547">
        <v>1</v>
      </c>
      <c r="F547">
        <f t="shared" si="24"/>
        <v>6.2155775398999025E-4</v>
      </c>
      <c r="G547">
        <f t="shared" si="26"/>
        <v>0.85669305232439574</v>
      </c>
      <c r="H547" t="str">
        <f t="shared" si="25"/>
        <v>B</v>
      </c>
      <c r="I547" t="str">
        <f>VLOOKUP(D547,'СУММА ПРОДАЖ'!J:N, 5, FALSE)</f>
        <v>A</v>
      </c>
      <c r="J547" t="str">
        <f>VLOOKUP(D547, 'МЕСЯЧНАЯ ОБОР.'!$V$4:$W$806, 2, FALSE)</f>
        <v>B</v>
      </c>
    </row>
    <row r="548" spans="1:10" x14ac:dyDescent="0.25">
      <c r="A548" s="9" t="s">
        <v>129</v>
      </c>
      <c r="B548" s="10">
        <v>1</v>
      </c>
      <c r="D548" t="s">
        <v>364</v>
      </c>
      <c r="E548">
        <v>1</v>
      </c>
      <c r="F548">
        <f t="shared" si="24"/>
        <v>6.2155775398999025E-4</v>
      </c>
      <c r="G548">
        <f t="shared" si="26"/>
        <v>0.85731461007838572</v>
      </c>
      <c r="H548" t="str">
        <f t="shared" si="25"/>
        <v>B</v>
      </c>
      <c r="I548" t="str">
        <f>VLOOKUP(D548,'СУММА ПРОДАЖ'!J:N, 5, FALSE)</f>
        <v>B</v>
      </c>
      <c r="J548" t="str">
        <f>VLOOKUP(D548, 'МЕСЯЧНАЯ ОБОР.'!$V$4:$W$806, 2, FALSE)</f>
        <v>B</v>
      </c>
    </row>
    <row r="549" spans="1:10" x14ac:dyDescent="0.25">
      <c r="A549" s="9" t="s">
        <v>964</v>
      </c>
      <c r="B549" s="10">
        <v>2</v>
      </c>
      <c r="D549" t="s">
        <v>684</v>
      </c>
      <c r="E549">
        <v>1</v>
      </c>
      <c r="F549">
        <f t="shared" si="24"/>
        <v>6.2155775398999025E-4</v>
      </c>
      <c r="G549">
        <f t="shared" si="26"/>
        <v>0.8579361678323757</v>
      </c>
      <c r="H549" t="str">
        <f t="shared" si="25"/>
        <v>B</v>
      </c>
      <c r="I549" t="str">
        <f>VLOOKUP(D549,'СУММА ПРОДАЖ'!J:N, 5, FALSE)</f>
        <v>A</v>
      </c>
      <c r="J549" t="str">
        <f>VLOOKUP(D549, 'МЕСЯЧНАЯ ОБОР.'!$V$4:$W$806, 2, FALSE)</f>
        <v>B</v>
      </c>
    </row>
    <row r="550" spans="1:10" x14ac:dyDescent="0.25">
      <c r="A550" s="9" t="s">
        <v>896</v>
      </c>
      <c r="B550" s="10">
        <v>2</v>
      </c>
      <c r="D550" t="s">
        <v>547</v>
      </c>
      <c r="E550">
        <v>1</v>
      </c>
      <c r="F550">
        <f t="shared" si="24"/>
        <v>6.2155775398999025E-4</v>
      </c>
      <c r="G550">
        <f t="shared" si="26"/>
        <v>0.85855772558636567</v>
      </c>
      <c r="H550" t="str">
        <f t="shared" si="25"/>
        <v>B</v>
      </c>
      <c r="I550" t="str">
        <f>VLOOKUP(D550,'СУММА ПРОДАЖ'!J:N, 5, FALSE)</f>
        <v>C</v>
      </c>
      <c r="J550" t="str">
        <f>VLOOKUP(D550, 'МЕСЯЧНАЯ ОБОР.'!$V$4:$W$806, 2, FALSE)</f>
        <v>B</v>
      </c>
    </row>
    <row r="551" spans="1:10" x14ac:dyDescent="0.25">
      <c r="A551" s="9" t="s">
        <v>60</v>
      </c>
      <c r="B551" s="10">
        <v>1</v>
      </c>
      <c r="D551" t="s">
        <v>423</v>
      </c>
      <c r="E551">
        <v>1</v>
      </c>
      <c r="F551">
        <f t="shared" si="24"/>
        <v>6.2155775398999025E-4</v>
      </c>
      <c r="G551">
        <f t="shared" si="26"/>
        <v>0.85917928334035565</v>
      </c>
      <c r="H551" t="str">
        <f t="shared" si="25"/>
        <v>B</v>
      </c>
      <c r="I551" t="str">
        <f>VLOOKUP(D551,'СУММА ПРОДАЖ'!J:N, 5, FALSE)</f>
        <v>B</v>
      </c>
      <c r="J551" t="str">
        <f>VLOOKUP(D551, 'МЕСЯЧНАЯ ОБОР.'!$V$4:$W$806, 2, FALSE)</f>
        <v>B</v>
      </c>
    </row>
    <row r="552" spans="1:10" x14ac:dyDescent="0.25">
      <c r="A552" s="9" t="s">
        <v>698</v>
      </c>
      <c r="B552" s="10">
        <v>1</v>
      </c>
      <c r="D552" t="s">
        <v>810</v>
      </c>
      <c r="E552">
        <v>1</v>
      </c>
      <c r="F552">
        <f t="shared" si="24"/>
        <v>6.2155775398999025E-4</v>
      </c>
      <c r="G552">
        <f t="shared" si="26"/>
        <v>0.85980084109434562</v>
      </c>
      <c r="H552" t="str">
        <f t="shared" si="25"/>
        <v>B</v>
      </c>
      <c r="I552" t="str">
        <f>VLOOKUP(D552,'СУММА ПРОДАЖ'!J:N, 5, FALSE)</f>
        <v>B</v>
      </c>
      <c r="J552" t="str">
        <f>VLOOKUP(D552, 'МЕСЯЧНАЯ ОБОР.'!$V$4:$W$806, 2, FALSE)</f>
        <v>B</v>
      </c>
    </row>
    <row r="553" spans="1:10" x14ac:dyDescent="0.25">
      <c r="A553" s="9" t="s">
        <v>159</v>
      </c>
      <c r="B553" s="10">
        <v>2</v>
      </c>
      <c r="D553" t="s">
        <v>812</v>
      </c>
      <c r="E553">
        <v>1</v>
      </c>
      <c r="F553">
        <f t="shared" si="24"/>
        <v>6.2155775398999025E-4</v>
      </c>
      <c r="G553">
        <f t="shared" si="26"/>
        <v>0.8604223988483356</v>
      </c>
      <c r="H553" t="str">
        <f t="shared" si="25"/>
        <v>B</v>
      </c>
      <c r="I553" t="str">
        <f>VLOOKUP(D553,'СУММА ПРОДАЖ'!J:N, 5, FALSE)</f>
        <v>C</v>
      </c>
      <c r="J553" t="str">
        <f>VLOOKUP(D553, 'МЕСЯЧНАЯ ОБОР.'!$V$4:$W$806, 2, FALSE)</f>
        <v>B</v>
      </c>
    </row>
    <row r="554" spans="1:10" x14ac:dyDescent="0.25">
      <c r="A554" s="9" t="s">
        <v>580</v>
      </c>
      <c r="B554" s="10">
        <v>1</v>
      </c>
      <c r="D554" t="s">
        <v>811</v>
      </c>
      <c r="E554">
        <v>1</v>
      </c>
      <c r="F554">
        <f t="shared" si="24"/>
        <v>6.2155775398999025E-4</v>
      </c>
      <c r="G554">
        <f t="shared" si="26"/>
        <v>0.86104395660232558</v>
      </c>
      <c r="H554" t="str">
        <f t="shared" si="25"/>
        <v>B</v>
      </c>
      <c r="I554" t="str">
        <f>VLOOKUP(D554,'СУММА ПРОДАЖ'!J:N, 5, FALSE)</f>
        <v>C</v>
      </c>
      <c r="J554" t="str">
        <f>VLOOKUP(D554, 'МЕСЯЧНАЯ ОБОР.'!$V$4:$W$806, 2, FALSE)</f>
        <v>B</v>
      </c>
    </row>
    <row r="555" spans="1:10" x14ac:dyDescent="0.25">
      <c r="A555" s="9" t="s">
        <v>1058</v>
      </c>
      <c r="B555" s="10">
        <v>1</v>
      </c>
      <c r="D555" t="s">
        <v>454</v>
      </c>
      <c r="E555">
        <v>1</v>
      </c>
      <c r="F555">
        <f t="shared" si="24"/>
        <v>6.2155775398999025E-4</v>
      </c>
      <c r="G555">
        <f t="shared" si="26"/>
        <v>0.86166551435631555</v>
      </c>
      <c r="H555" t="str">
        <f t="shared" si="25"/>
        <v>B</v>
      </c>
      <c r="I555" t="str">
        <f>VLOOKUP(D555,'СУММА ПРОДАЖ'!J:N, 5, FALSE)</f>
        <v>B</v>
      </c>
      <c r="J555" t="str">
        <f>VLOOKUP(D555, 'МЕСЯЧНАЯ ОБОР.'!$V$4:$W$806, 2, FALSE)</f>
        <v>B</v>
      </c>
    </row>
    <row r="556" spans="1:10" x14ac:dyDescent="0.25">
      <c r="A556" s="9" t="s">
        <v>351</v>
      </c>
      <c r="B556" s="10">
        <v>1</v>
      </c>
      <c r="D556" t="s">
        <v>1161</v>
      </c>
      <c r="E556">
        <v>1</v>
      </c>
      <c r="F556">
        <f t="shared" si="24"/>
        <v>6.2155775398999025E-4</v>
      </c>
      <c r="G556">
        <f t="shared" si="26"/>
        <v>0.86228707211030553</v>
      </c>
      <c r="H556" t="str">
        <f t="shared" si="25"/>
        <v>B</v>
      </c>
      <c r="I556" t="str">
        <f>VLOOKUP(D556,'СУММА ПРОДАЖ'!J:N, 5, FALSE)</f>
        <v>A</v>
      </c>
      <c r="J556" t="str">
        <f>VLOOKUP(D556, 'МЕСЯЧНАЯ ОБОР.'!$V$4:$W$806, 2, FALSE)</f>
        <v>B</v>
      </c>
    </row>
    <row r="557" spans="1:10" x14ac:dyDescent="0.25">
      <c r="A557" s="9" t="s">
        <v>1027</v>
      </c>
      <c r="B557" s="10">
        <v>1</v>
      </c>
      <c r="D557" t="s">
        <v>725</v>
      </c>
      <c r="E557">
        <v>1</v>
      </c>
      <c r="F557">
        <f t="shared" si="24"/>
        <v>6.2155775398999025E-4</v>
      </c>
      <c r="G557">
        <f t="shared" si="26"/>
        <v>0.86290862986429551</v>
      </c>
      <c r="H557" t="str">
        <f t="shared" si="25"/>
        <v>B</v>
      </c>
      <c r="I557" t="str">
        <f>VLOOKUP(D557,'СУММА ПРОДАЖ'!J:N, 5, FALSE)</f>
        <v>B</v>
      </c>
      <c r="J557" t="str">
        <f>VLOOKUP(D557, 'МЕСЯЧНАЯ ОБОР.'!$V$4:$W$806, 2, FALSE)</f>
        <v>B</v>
      </c>
    </row>
    <row r="558" spans="1:10" x14ac:dyDescent="0.25">
      <c r="A558" s="9" t="s">
        <v>576</v>
      </c>
      <c r="B558" s="10">
        <v>1</v>
      </c>
      <c r="D558" t="s">
        <v>632</v>
      </c>
      <c r="E558">
        <v>1</v>
      </c>
      <c r="F558">
        <f t="shared" si="24"/>
        <v>6.2155775398999025E-4</v>
      </c>
      <c r="G558">
        <f t="shared" si="26"/>
        <v>0.86353018761828548</v>
      </c>
      <c r="H558" t="str">
        <f t="shared" si="25"/>
        <v>B</v>
      </c>
      <c r="I558" t="str">
        <f>VLOOKUP(D558,'СУММА ПРОДАЖ'!J:N, 5, FALSE)</f>
        <v>C</v>
      </c>
      <c r="J558" t="str">
        <f>VLOOKUP(D558, 'МЕСЯЧНАЯ ОБОР.'!$V$4:$W$806, 2, FALSE)</f>
        <v>B</v>
      </c>
    </row>
    <row r="559" spans="1:10" x14ac:dyDescent="0.25">
      <c r="A559" s="9" t="s">
        <v>997</v>
      </c>
      <c r="B559" s="10">
        <v>1</v>
      </c>
      <c r="D559" t="s">
        <v>848</v>
      </c>
      <c r="E559">
        <v>1</v>
      </c>
      <c r="F559">
        <f t="shared" si="24"/>
        <v>6.2155775398999025E-4</v>
      </c>
      <c r="G559">
        <f t="shared" si="26"/>
        <v>0.86415174537227546</v>
      </c>
      <c r="H559" t="str">
        <f t="shared" si="25"/>
        <v>B</v>
      </c>
      <c r="I559" t="str">
        <f>VLOOKUP(D559,'СУММА ПРОДАЖ'!J:N, 5, FALSE)</f>
        <v>B</v>
      </c>
      <c r="J559" t="str">
        <f>VLOOKUP(D559, 'МЕСЯЧНАЯ ОБОР.'!$V$4:$W$806, 2, FALSE)</f>
        <v>B</v>
      </c>
    </row>
    <row r="560" spans="1:10" x14ac:dyDescent="0.25">
      <c r="A560" s="9" t="s">
        <v>1018</v>
      </c>
      <c r="B560" s="10">
        <v>0.33333332999999998</v>
      </c>
      <c r="D560" t="s">
        <v>1083</v>
      </c>
      <c r="E560">
        <v>1</v>
      </c>
      <c r="F560">
        <f t="shared" si="24"/>
        <v>6.2155775398999025E-4</v>
      </c>
      <c r="G560">
        <f t="shared" si="26"/>
        <v>0.86477330312626544</v>
      </c>
      <c r="H560" t="str">
        <f t="shared" si="25"/>
        <v>B</v>
      </c>
      <c r="I560" t="str">
        <f>VLOOKUP(D560,'СУММА ПРОДАЖ'!J:N, 5, FALSE)</f>
        <v>B</v>
      </c>
      <c r="J560" t="str">
        <f>VLOOKUP(D560, 'МЕСЯЧНАЯ ОБОР.'!$V$4:$W$806, 2, FALSE)</f>
        <v>B</v>
      </c>
    </row>
    <row r="561" spans="1:10" x14ac:dyDescent="0.25">
      <c r="A561" s="9" t="s">
        <v>175</v>
      </c>
      <c r="B561" s="10">
        <v>1</v>
      </c>
      <c r="D561" t="s">
        <v>1114</v>
      </c>
      <c r="E561">
        <v>1</v>
      </c>
      <c r="F561">
        <f t="shared" si="24"/>
        <v>6.2155775398999025E-4</v>
      </c>
      <c r="G561">
        <f t="shared" si="26"/>
        <v>0.86539486088025541</v>
      </c>
      <c r="H561" t="str">
        <f t="shared" si="25"/>
        <v>B</v>
      </c>
      <c r="I561" t="str">
        <f>VLOOKUP(D561,'СУММА ПРОДАЖ'!J:N, 5, FALSE)</f>
        <v>A</v>
      </c>
      <c r="J561" t="str">
        <f>VLOOKUP(D561, 'МЕСЯЧНАЯ ОБОР.'!$V$4:$W$806, 2, FALSE)</f>
        <v>B</v>
      </c>
    </row>
    <row r="562" spans="1:10" x14ac:dyDescent="0.25">
      <c r="A562" s="9" t="s">
        <v>906</v>
      </c>
      <c r="B562" s="10">
        <v>1</v>
      </c>
      <c r="D562" t="s">
        <v>1123</v>
      </c>
      <c r="E562">
        <v>1</v>
      </c>
      <c r="F562">
        <f t="shared" si="24"/>
        <v>6.2155775398999025E-4</v>
      </c>
      <c r="G562">
        <f t="shared" si="26"/>
        <v>0.86601641863424539</v>
      </c>
      <c r="H562" t="str">
        <f t="shared" si="25"/>
        <v>B</v>
      </c>
      <c r="I562" t="str">
        <f>VLOOKUP(D562,'СУММА ПРОДАЖ'!J:N, 5, FALSE)</f>
        <v>A</v>
      </c>
      <c r="J562" t="str">
        <f>VLOOKUP(D562, 'МЕСЯЧНАЯ ОБОР.'!$V$4:$W$806, 2, FALSE)</f>
        <v>B</v>
      </c>
    </row>
    <row r="563" spans="1:10" x14ac:dyDescent="0.25">
      <c r="A563" s="9" t="s">
        <v>612</v>
      </c>
      <c r="B563" s="10">
        <v>2</v>
      </c>
      <c r="D563" t="s">
        <v>308</v>
      </c>
      <c r="E563">
        <v>1</v>
      </c>
      <c r="F563">
        <f t="shared" si="24"/>
        <v>6.2155775398999025E-4</v>
      </c>
      <c r="G563">
        <f t="shared" si="26"/>
        <v>0.86663797638823536</v>
      </c>
      <c r="H563" t="str">
        <f t="shared" si="25"/>
        <v>B</v>
      </c>
      <c r="I563" t="str">
        <f>VLOOKUP(D563,'СУММА ПРОДАЖ'!J:N, 5, FALSE)</f>
        <v>B</v>
      </c>
      <c r="J563" t="str">
        <f>VLOOKUP(D563, 'МЕСЯЧНАЯ ОБОР.'!$V$4:$W$806, 2, FALSE)</f>
        <v>B</v>
      </c>
    </row>
    <row r="564" spans="1:10" x14ac:dyDescent="0.25">
      <c r="A564" s="9" t="s">
        <v>782</v>
      </c>
      <c r="B564" s="10">
        <v>1</v>
      </c>
      <c r="D564" t="s">
        <v>99</v>
      </c>
      <c r="E564">
        <v>1</v>
      </c>
      <c r="F564">
        <f t="shared" si="24"/>
        <v>6.2155775398999025E-4</v>
      </c>
      <c r="G564">
        <f t="shared" si="26"/>
        <v>0.86725953414222534</v>
      </c>
      <c r="H564" t="str">
        <f t="shared" si="25"/>
        <v>B</v>
      </c>
      <c r="I564" t="str">
        <f>VLOOKUP(D564,'СУММА ПРОДАЖ'!J:N, 5, FALSE)</f>
        <v>A</v>
      </c>
      <c r="J564" t="str">
        <f>VLOOKUP(D564, 'МЕСЯЧНАЯ ОБОР.'!$V$4:$W$806, 2, FALSE)</f>
        <v>B</v>
      </c>
    </row>
    <row r="565" spans="1:10" x14ac:dyDescent="0.25">
      <c r="A565" s="9" t="s">
        <v>781</v>
      </c>
      <c r="B565" s="10">
        <v>2</v>
      </c>
      <c r="D565" t="s">
        <v>650</v>
      </c>
      <c r="E565">
        <v>1</v>
      </c>
      <c r="F565">
        <f t="shared" si="24"/>
        <v>6.2155775398999025E-4</v>
      </c>
      <c r="G565">
        <f t="shared" si="26"/>
        <v>0.86788109189621532</v>
      </c>
      <c r="H565" t="str">
        <f t="shared" si="25"/>
        <v>B</v>
      </c>
      <c r="I565" t="str">
        <f>VLOOKUP(D565,'СУММА ПРОДАЖ'!J:N, 5, FALSE)</f>
        <v>C</v>
      </c>
      <c r="J565" t="str">
        <f>VLOOKUP(D565, 'МЕСЯЧНАЯ ОБОР.'!$V$4:$W$806, 2, FALSE)</f>
        <v>B</v>
      </c>
    </row>
    <row r="566" spans="1:10" x14ac:dyDescent="0.25">
      <c r="A566" s="9" t="s">
        <v>1138</v>
      </c>
      <c r="B566" s="10">
        <v>1</v>
      </c>
      <c r="D566" t="s">
        <v>368</v>
      </c>
      <c r="E566">
        <v>1</v>
      </c>
      <c r="F566">
        <f t="shared" si="24"/>
        <v>6.2155775398999025E-4</v>
      </c>
      <c r="G566">
        <f t="shared" si="26"/>
        <v>0.86850264965020529</v>
      </c>
      <c r="H566" t="str">
        <f t="shared" si="25"/>
        <v>B</v>
      </c>
      <c r="I566" t="str">
        <f>VLOOKUP(D566,'СУММА ПРОДАЖ'!J:N, 5, FALSE)</f>
        <v>A</v>
      </c>
      <c r="J566" t="str">
        <f>VLOOKUP(D566, 'МЕСЯЧНАЯ ОБОР.'!$V$4:$W$806, 2, FALSE)</f>
        <v>B</v>
      </c>
    </row>
    <row r="567" spans="1:10" x14ac:dyDescent="0.25">
      <c r="A567" s="9" t="s">
        <v>180</v>
      </c>
      <c r="B567" s="10">
        <v>1</v>
      </c>
      <c r="D567" t="s">
        <v>509</v>
      </c>
      <c r="E567">
        <v>1</v>
      </c>
      <c r="F567">
        <f t="shared" si="24"/>
        <v>6.2155775398999025E-4</v>
      </c>
      <c r="G567">
        <f t="shared" si="26"/>
        <v>0.86912420740419527</v>
      </c>
      <c r="H567" t="str">
        <f t="shared" si="25"/>
        <v>B</v>
      </c>
      <c r="I567" t="str">
        <f>VLOOKUP(D567,'СУММА ПРОДАЖ'!J:N, 5, FALSE)</f>
        <v>B</v>
      </c>
      <c r="J567" t="str">
        <f>VLOOKUP(D567, 'МЕСЯЧНАЯ ОБОР.'!$V$4:$W$806, 2, FALSE)</f>
        <v>B</v>
      </c>
    </row>
    <row r="568" spans="1:10" x14ac:dyDescent="0.25">
      <c r="A568" s="9" t="s">
        <v>1021</v>
      </c>
      <c r="B568" s="10">
        <v>1</v>
      </c>
      <c r="D568" t="s">
        <v>1074</v>
      </c>
      <c r="E568">
        <v>1</v>
      </c>
      <c r="F568">
        <f t="shared" si="24"/>
        <v>6.2155775398999025E-4</v>
      </c>
      <c r="G568">
        <f t="shared" si="26"/>
        <v>0.86974576515818525</v>
      </c>
      <c r="H568" t="str">
        <f t="shared" si="25"/>
        <v>B</v>
      </c>
      <c r="I568" t="str">
        <f>VLOOKUP(D568,'СУММА ПРОДАЖ'!J:N, 5, FALSE)</f>
        <v>C</v>
      </c>
      <c r="J568" t="str">
        <f>VLOOKUP(D568, 'МЕСЯЧНАЯ ОБОР.'!$V$4:$W$806, 2, FALSE)</f>
        <v>B</v>
      </c>
    </row>
    <row r="569" spans="1:10" x14ac:dyDescent="0.25">
      <c r="A569" s="9" t="s">
        <v>123</v>
      </c>
      <c r="B569" s="10">
        <v>1</v>
      </c>
      <c r="D569" t="s">
        <v>297</v>
      </c>
      <c r="E569">
        <v>1</v>
      </c>
      <c r="F569">
        <f t="shared" si="24"/>
        <v>6.2155775398999025E-4</v>
      </c>
      <c r="G569">
        <f t="shared" si="26"/>
        <v>0.87036732291217522</v>
      </c>
      <c r="H569" t="str">
        <f t="shared" si="25"/>
        <v>B</v>
      </c>
      <c r="I569" t="str">
        <f>VLOOKUP(D569,'СУММА ПРОДАЖ'!J:N, 5, FALSE)</f>
        <v>C</v>
      </c>
      <c r="J569" t="str">
        <f>VLOOKUP(D569, 'МЕСЯЧНАЯ ОБОР.'!$V$4:$W$806, 2, FALSE)</f>
        <v>B</v>
      </c>
    </row>
    <row r="570" spans="1:10" x14ac:dyDescent="0.25">
      <c r="A570" s="9" t="s">
        <v>507</v>
      </c>
      <c r="B570" s="10">
        <v>1</v>
      </c>
      <c r="D570" t="s">
        <v>931</v>
      </c>
      <c r="E570">
        <v>1</v>
      </c>
      <c r="F570">
        <f t="shared" si="24"/>
        <v>6.2155775398999025E-4</v>
      </c>
      <c r="G570">
        <f t="shared" si="26"/>
        <v>0.8709888806661652</v>
      </c>
      <c r="H570" t="str">
        <f t="shared" si="25"/>
        <v>B</v>
      </c>
      <c r="I570" t="str">
        <f>VLOOKUP(D570,'СУММА ПРОДАЖ'!J:N, 5, FALSE)</f>
        <v>A</v>
      </c>
      <c r="J570" t="str">
        <f>VLOOKUP(D570, 'МЕСЯЧНАЯ ОБОР.'!$V$4:$W$806, 2, FALSE)</f>
        <v>B</v>
      </c>
    </row>
    <row r="571" spans="1:10" x14ac:dyDescent="0.25">
      <c r="A571" s="9" t="s">
        <v>599</v>
      </c>
      <c r="B571" s="10">
        <v>1</v>
      </c>
      <c r="D571" t="s">
        <v>1181</v>
      </c>
      <c r="E571">
        <v>1</v>
      </c>
      <c r="F571">
        <f t="shared" si="24"/>
        <v>6.2155775398999025E-4</v>
      </c>
      <c r="G571">
        <f t="shared" si="26"/>
        <v>0.87161043842015518</v>
      </c>
      <c r="H571" t="str">
        <f t="shared" si="25"/>
        <v>B</v>
      </c>
      <c r="I571" t="str">
        <f>VLOOKUP(D571,'СУММА ПРОДАЖ'!J:N, 5, FALSE)</f>
        <v>A</v>
      </c>
      <c r="J571" t="str">
        <f>VLOOKUP(D571, 'МЕСЯЧНАЯ ОБОР.'!$V$4:$W$806, 2, FALSE)</f>
        <v>B</v>
      </c>
    </row>
    <row r="572" spans="1:10" x14ac:dyDescent="0.25">
      <c r="A572" s="9" t="s">
        <v>895</v>
      </c>
      <c r="B572" s="10">
        <v>1</v>
      </c>
      <c r="D572" t="s">
        <v>531</v>
      </c>
      <c r="E572">
        <v>1</v>
      </c>
      <c r="F572">
        <f t="shared" si="24"/>
        <v>6.2155775398999025E-4</v>
      </c>
      <c r="G572">
        <f t="shared" si="26"/>
        <v>0.87223199617414515</v>
      </c>
      <c r="H572" t="str">
        <f t="shared" si="25"/>
        <v>B</v>
      </c>
      <c r="I572" t="str">
        <f>VLOOKUP(D572,'СУММА ПРОДАЖ'!J:N, 5, FALSE)</f>
        <v>B</v>
      </c>
      <c r="J572" t="str">
        <f>VLOOKUP(D572, 'МЕСЯЧНАЯ ОБОР.'!$V$4:$W$806, 2, FALSE)</f>
        <v>B</v>
      </c>
    </row>
    <row r="573" spans="1:10" x14ac:dyDescent="0.25">
      <c r="A573" s="9" t="s">
        <v>464</v>
      </c>
      <c r="B573" s="10">
        <v>1</v>
      </c>
      <c r="D573" t="s">
        <v>469</v>
      </c>
      <c r="E573">
        <v>1</v>
      </c>
      <c r="F573">
        <f t="shared" si="24"/>
        <v>6.2155775398999025E-4</v>
      </c>
      <c r="G573">
        <f t="shared" si="26"/>
        <v>0.87285355392813513</v>
      </c>
      <c r="H573" t="str">
        <f t="shared" si="25"/>
        <v>B</v>
      </c>
      <c r="I573" t="str">
        <f>VLOOKUP(D573,'СУММА ПРОДАЖ'!J:N, 5, FALSE)</f>
        <v>B</v>
      </c>
      <c r="J573" t="str">
        <f>VLOOKUP(D573, 'МЕСЯЧНАЯ ОБОР.'!$V$4:$W$806, 2, FALSE)</f>
        <v>B</v>
      </c>
    </row>
    <row r="574" spans="1:10" x14ac:dyDescent="0.25">
      <c r="A574" s="9" t="s">
        <v>602</v>
      </c>
      <c r="B574" s="10">
        <v>0.5</v>
      </c>
      <c r="D574" t="s">
        <v>828</v>
      </c>
      <c r="E574">
        <v>1</v>
      </c>
      <c r="F574">
        <f t="shared" si="24"/>
        <v>6.2155775398999025E-4</v>
      </c>
      <c r="G574">
        <f t="shared" si="26"/>
        <v>0.8734751116821251</v>
      </c>
      <c r="H574" t="str">
        <f t="shared" si="25"/>
        <v>B</v>
      </c>
      <c r="I574" t="str">
        <f>VLOOKUP(D574,'СУММА ПРОДАЖ'!J:N, 5, FALSE)</f>
        <v>B</v>
      </c>
      <c r="J574" t="str">
        <f>VLOOKUP(D574, 'МЕСЯЧНАЯ ОБОР.'!$V$4:$W$806, 2, FALSE)</f>
        <v>B</v>
      </c>
    </row>
    <row r="575" spans="1:10" x14ac:dyDescent="0.25">
      <c r="A575" s="9" t="s">
        <v>247</v>
      </c>
      <c r="B575" s="10">
        <v>7</v>
      </c>
      <c r="D575" t="s">
        <v>1072</v>
      </c>
      <c r="E575">
        <v>1</v>
      </c>
      <c r="F575">
        <f t="shared" si="24"/>
        <v>6.2155775398999025E-4</v>
      </c>
      <c r="G575">
        <f t="shared" si="26"/>
        <v>0.87409666943611508</v>
      </c>
      <c r="H575" t="str">
        <f t="shared" si="25"/>
        <v>B</v>
      </c>
      <c r="I575" t="str">
        <f>VLOOKUP(D575,'СУММА ПРОДАЖ'!J:N, 5, FALSE)</f>
        <v>A</v>
      </c>
      <c r="J575" t="str">
        <f>VLOOKUP(D575, 'МЕСЯЧНАЯ ОБОР.'!$V$4:$W$806, 2, FALSE)</f>
        <v>B</v>
      </c>
    </row>
    <row r="576" spans="1:10" x14ac:dyDescent="0.25">
      <c r="A576" s="9" t="s">
        <v>825</v>
      </c>
      <c r="B576" s="10">
        <v>6</v>
      </c>
      <c r="D576" t="s">
        <v>520</v>
      </c>
      <c r="E576">
        <v>1</v>
      </c>
      <c r="F576">
        <f t="shared" si="24"/>
        <v>6.2155775398999025E-4</v>
      </c>
      <c r="G576">
        <f t="shared" si="26"/>
        <v>0.87471822719010506</v>
      </c>
      <c r="H576" t="str">
        <f t="shared" si="25"/>
        <v>B</v>
      </c>
      <c r="I576" t="str">
        <f>VLOOKUP(D576,'СУММА ПРОДАЖ'!J:N, 5, FALSE)</f>
        <v>A</v>
      </c>
      <c r="J576" t="str">
        <f>VLOOKUP(D576, 'МЕСЯЧНАЯ ОБОР.'!$V$4:$W$806, 2, FALSE)</f>
        <v>B</v>
      </c>
    </row>
    <row r="577" spans="1:10" x14ac:dyDescent="0.25">
      <c r="A577" s="9" t="s">
        <v>898</v>
      </c>
      <c r="B577" s="10">
        <v>1</v>
      </c>
      <c r="D577" t="s">
        <v>496</v>
      </c>
      <c r="E577">
        <v>1</v>
      </c>
      <c r="F577">
        <f t="shared" si="24"/>
        <v>6.2155775398999025E-4</v>
      </c>
      <c r="G577">
        <f t="shared" si="26"/>
        <v>0.87533978494409503</v>
      </c>
      <c r="H577" t="str">
        <f t="shared" si="25"/>
        <v>B</v>
      </c>
      <c r="I577" t="str">
        <f>VLOOKUP(D577,'СУММА ПРОДАЖ'!J:N, 5, FALSE)</f>
        <v>A</v>
      </c>
      <c r="J577" t="str">
        <f>VLOOKUP(D577, 'МЕСЯЧНАЯ ОБОР.'!$V$4:$W$806, 2, FALSE)</f>
        <v>B</v>
      </c>
    </row>
    <row r="578" spans="1:10" x14ac:dyDescent="0.25">
      <c r="A578" s="9" t="s">
        <v>149</v>
      </c>
      <c r="B578" s="10">
        <v>1</v>
      </c>
      <c r="D578" t="s">
        <v>490</v>
      </c>
      <c r="E578">
        <v>1</v>
      </c>
      <c r="F578">
        <f t="shared" si="24"/>
        <v>6.2155775398999025E-4</v>
      </c>
      <c r="G578">
        <f t="shared" si="26"/>
        <v>0.87596134269808501</v>
      </c>
      <c r="H578" t="str">
        <f t="shared" si="25"/>
        <v>B</v>
      </c>
      <c r="I578" t="str">
        <f>VLOOKUP(D578,'СУММА ПРОДАЖ'!J:N, 5, FALSE)</f>
        <v>B</v>
      </c>
      <c r="J578" t="str">
        <f>VLOOKUP(D578, 'МЕСЯЧНАЯ ОБОР.'!$V$4:$W$806, 2, FALSE)</f>
        <v>B</v>
      </c>
    </row>
    <row r="579" spans="1:10" x14ac:dyDescent="0.25">
      <c r="A579" s="9" t="s">
        <v>511</v>
      </c>
      <c r="B579" s="10">
        <v>1</v>
      </c>
      <c r="D579" t="s">
        <v>907</v>
      </c>
      <c r="E579">
        <v>1</v>
      </c>
      <c r="F579">
        <f t="shared" si="24"/>
        <v>6.2155775398999025E-4</v>
      </c>
      <c r="G579">
        <f t="shared" si="26"/>
        <v>0.87658290045207499</v>
      </c>
      <c r="H579" t="str">
        <f t="shared" si="25"/>
        <v>B</v>
      </c>
      <c r="I579" t="str">
        <f>VLOOKUP(D579,'СУММА ПРОДАЖ'!J:N, 5, FALSE)</f>
        <v>C</v>
      </c>
      <c r="J579" t="str">
        <f>VLOOKUP(D579, 'МЕСЯЧНАЯ ОБОР.'!$V$4:$W$806, 2, FALSE)</f>
        <v>B</v>
      </c>
    </row>
    <row r="580" spans="1:10" x14ac:dyDescent="0.25">
      <c r="A580" s="9" t="s">
        <v>1140</v>
      </c>
      <c r="B580" s="10">
        <v>13</v>
      </c>
      <c r="D580" t="s">
        <v>922</v>
      </c>
      <c r="E580">
        <v>1</v>
      </c>
      <c r="F580">
        <f t="shared" si="24"/>
        <v>6.2155775398999025E-4</v>
      </c>
      <c r="G580">
        <f t="shared" si="26"/>
        <v>0.87720445820606496</v>
      </c>
      <c r="H580" t="str">
        <f t="shared" si="25"/>
        <v>B</v>
      </c>
      <c r="I580" t="str">
        <f>VLOOKUP(D580,'СУММА ПРОДАЖ'!J:N, 5, FALSE)</f>
        <v>A</v>
      </c>
      <c r="J580" t="str">
        <f>VLOOKUP(D580, 'МЕСЯЧНАЯ ОБОР.'!$V$4:$W$806, 2, FALSE)</f>
        <v>B</v>
      </c>
    </row>
    <row r="581" spans="1:10" x14ac:dyDescent="0.25">
      <c r="A581" s="9" t="s">
        <v>1098</v>
      </c>
      <c r="B581" s="10">
        <v>2</v>
      </c>
      <c r="D581" t="s">
        <v>272</v>
      </c>
      <c r="E581">
        <v>1</v>
      </c>
      <c r="F581">
        <f t="shared" ref="F581:F644" si="27">E581/SUM($E$4:$E$806)</f>
        <v>6.2155775398999025E-4</v>
      </c>
      <c r="G581">
        <f t="shared" si="26"/>
        <v>0.87782601596005494</v>
      </c>
      <c r="H581" t="str">
        <f t="shared" ref="H581:H644" si="28">IF(G581&lt;0.8, "A", IF(G581&lt;0.95, "B","C"))</f>
        <v>B</v>
      </c>
      <c r="I581" t="str">
        <f>VLOOKUP(D581,'СУММА ПРОДАЖ'!J:N, 5, FALSE)</f>
        <v>A</v>
      </c>
      <c r="J581" t="str">
        <f>VLOOKUP(D581, 'МЕСЯЧНАЯ ОБОР.'!$V$4:$W$806, 2, FALSE)</f>
        <v>B</v>
      </c>
    </row>
    <row r="582" spans="1:10" x14ac:dyDescent="0.25">
      <c r="A582" s="9" t="s">
        <v>161</v>
      </c>
      <c r="B582" s="10">
        <v>1</v>
      </c>
      <c r="D582" t="s">
        <v>600</v>
      </c>
      <c r="E582">
        <v>1</v>
      </c>
      <c r="F582">
        <f t="shared" si="27"/>
        <v>6.2155775398999025E-4</v>
      </c>
      <c r="G582">
        <f t="shared" ref="G582:G645" si="29">F582+G581</f>
        <v>0.87844757371404492</v>
      </c>
      <c r="H582" t="str">
        <f t="shared" si="28"/>
        <v>B</v>
      </c>
      <c r="I582" t="str">
        <f>VLOOKUP(D582,'СУММА ПРОДАЖ'!J:N, 5, FALSE)</f>
        <v>A</v>
      </c>
      <c r="J582" t="str">
        <f>VLOOKUP(D582, 'МЕСЯЧНАЯ ОБОР.'!$V$4:$W$806, 2, FALSE)</f>
        <v>B</v>
      </c>
    </row>
    <row r="583" spans="1:10" x14ac:dyDescent="0.25">
      <c r="A583" s="9" t="s">
        <v>876</v>
      </c>
      <c r="B583" s="10">
        <v>0.1</v>
      </c>
      <c r="D583" t="s">
        <v>1046</v>
      </c>
      <c r="E583">
        <v>1</v>
      </c>
      <c r="F583">
        <f t="shared" si="27"/>
        <v>6.2155775398999025E-4</v>
      </c>
      <c r="G583">
        <f t="shared" si="29"/>
        <v>0.87906913146803489</v>
      </c>
      <c r="H583" t="str">
        <f t="shared" si="28"/>
        <v>B</v>
      </c>
      <c r="I583" t="str">
        <f>VLOOKUP(D583,'СУММА ПРОДАЖ'!J:N, 5, FALSE)</f>
        <v>B</v>
      </c>
      <c r="J583" t="str">
        <f>VLOOKUP(D583, 'МЕСЯЧНАЯ ОБОР.'!$V$4:$W$806, 2, FALSE)</f>
        <v>B</v>
      </c>
    </row>
    <row r="584" spans="1:10" x14ac:dyDescent="0.25">
      <c r="A584" s="9" t="s">
        <v>1082</v>
      </c>
      <c r="B584" s="10">
        <v>0.33333332999999998</v>
      </c>
      <c r="D584" t="s">
        <v>445</v>
      </c>
      <c r="E584">
        <v>1</v>
      </c>
      <c r="F584">
        <f t="shared" si="27"/>
        <v>6.2155775398999025E-4</v>
      </c>
      <c r="G584">
        <f t="shared" si="29"/>
        <v>0.87969068922202487</v>
      </c>
      <c r="H584" t="str">
        <f t="shared" si="28"/>
        <v>B</v>
      </c>
      <c r="I584" t="str">
        <f>VLOOKUP(D584,'СУММА ПРОДАЖ'!J:N, 5, FALSE)</f>
        <v>B</v>
      </c>
      <c r="J584" t="str">
        <f>VLOOKUP(D584, 'МЕСЯЧНАЯ ОБОР.'!$V$4:$W$806, 2, FALSE)</f>
        <v>B</v>
      </c>
    </row>
    <row r="585" spans="1:10" x14ac:dyDescent="0.25">
      <c r="A585" s="9" t="s">
        <v>889</v>
      </c>
      <c r="B585" s="10">
        <v>1</v>
      </c>
      <c r="D585" t="s">
        <v>535</v>
      </c>
      <c r="E585">
        <v>1</v>
      </c>
      <c r="F585">
        <f t="shared" si="27"/>
        <v>6.2155775398999025E-4</v>
      </c>
      <c r="G585">
        <f t="shared" si="29"/>
        <v>0.88031224697601484</v>
      </c>
      <c r="H585" t="str">
        <f t="shared" si="28"/>
        <v>B</v>
      </c>
      <c r="I585" t="str">
        <f>VLOOKUP(D585,'СУММА ПРОДАЖ'!J:N, 5, FALSE)</f>
        <v>B</v>
      </c>
      <c r="J585" t="str">
        <f>VLOOKUP(D585, 'МЕСЯЧНАЯ ОБОР.'!$V$4:$W$806, 2, FALSE)</f>
        <v>B</v>
      </c>
    </row>
    <row r="586" spans="1:10" x14ac:dyDescent="0.25">
      <c r="A586" s="9" t="s">
        <v>1172</v>
      </c>
      <c r="B586" s="10">
        <v>2</v>
      </c>
      <c r="D586" t="s">
        <v>1191</v>
      </c>
      <c r="E586">
        <v>1</v>
      </c>
      <c r="F586">
        <f t="shared" si="27"/>
        <v>6.2155775398999025E-4</v>
      </c>
      <c r="G586">
        <f t="shared" si="29"/>
        <v>0.88093380473000482</v>
      </c>
      <c r="H586" t="str">
        <f t="shared" si="28"/>
        <v>B</v>
      </c>
      <c r="I586" t="str">
        <f>VLOOKUP(D586,'СУММА ПРОДАЖ'!J:N, 5, FALSE)</f>
        <v>B</v>
      </c>
      <c r="J586" t="str">
        <f>VLOOKUP(D586, 'МЕСЯЧНАЯ ОБОР.'!$V$4:$W$806, 2, FALSE)</f>
        <v>B</v>
      </c>
    </row>
    <row r="587" spans="1:10" x14ac:dyDescent="0.25">
      <c r="A587" s="9" t="s">
        <v>409</v>
      </c>
      <c r="B587" s="10">
        <v>1</v>
      </c>
      <c r="D587" t="s">
        <v>188</v>
      </c>
      <c r="E587">
        <v>1</v>
      </c>
      <c r="F587">
        <f t="shared" si="27"/>
        <v>6.2155775398999025E-4</v>
      </c>
      <c r="G587">
        <f t="shared" si="29"/>
        <v>0.8815553624839948</v>
      </c>
      <c r="H587" t="str">
        <f t="shared" si="28"/>
        <v>B</v>
      </c>
      <c r="I587" t="str">
        <f>VLOOKUP(D587,'СУММА ПРОДАЖ'!J:N, 5, FALSE)</f>
        <v>C</v>
      </c>
      <c r="J587" t="str">
        <f>VLOOKUP(D587, 'МЕСЯЧНАЯ ОБОР.'!$V$4:$W$806, 2, FALSE)</f>
        <v>B</v>
      </c>
    </row>
    <row r="588" spans="1:10" x14ac:dyDescent="0.25">
      <c r="A588" s="9" t="s">
        <v>1129</v>
      </c>
      <c r="B588" s="10">
        <v>1</v>
      </c>
      <c r="D588" t="s">
        <v>570</v>
      </c>
      <c r="E588">
        <v>1</v>
      </c>
      <c r="F588">
        <f t="shared" si="27"/>
        <v>6.2155775398999025E-4</v>
      </c>
      <c r="G588">
        <f t="shared" si="29"/>
        <v>0.88217692023798477</v>
      </c>
      <c r="H588" t="str">
        <f t="shared" si="28"/>
        <v>B</v>
      </c>
      <c r="I588" t="str">
        <f>VLOOKUP(D588,'СУММА ПРОДАЖ'!J:N, 5, FALSE)</f>
        <v>B</v>
      </c>
      <c r="J588" t="str">
        <f>VLOOKUP(D588, 'МЕСЯЧНАЯ ОБОР.'!$V$4:$W$806, 2, FALSE)</f>
        <v>B</v>
      </c>
    </row>
    <row r="589" spans="1:10" x14ac:dyDescent="0.25">
      <c r="A589" s="9" t="s">
        <v>627</v>
      </c>
      <c r="B589" s="10">
        <v>1</v>
      </c>
      <c r="D589" t="s">
        <v>1064</v>
      </c>
      <c r="E589">
        <v>1</v>
      </c>
      <c r="F589">
        <f t="shared" si="27"/>
        <v>6.2155775398999025E-4</v>
      </c>
      <c r="G589">
        <f t="shared" si="29"/>
        <v>0.88279847799197475</v>
      </c>
      <c r="H589" t="str">
        <f t="shared" si="28"/>
        <v>B</v>
      </c>
      <c r="I589" t="str">
        <f>VLOOKUP(D589,'СУММА ПРОДАЖ'!J:N, 5, FALSE)</f>
        <v>A</v>
      </c>
      <c r="J589" t="str">
        <f>VLOOKUP(D589, 'МЕСЯЧНАЯ ОБОР.'!$V$4:$W$806, 2, FALSE)</f>
        <v>B</v>
      </c>
    </row>
    <row r="590" spans="1:10" x14ac:dyDescent="0.25">
      <c r="A590" s="9" t="s">
        <v>1206</v>
      </c>
      <c r="B590" s="10">
        <v>1</v>
      </c>
      <c r="D590" t="s">
        <v>948</v>
      </c>
      <c r="E590">
        <v>1</v>
      </c>
      <c r="F590">
        <f t="shared" si="27"/>
        <v>6.2155775398999025E-4</v>
      </c>
      <c r="G590">
        <f t="shared" si="29"/>
        <v>0.88342003574596473</v>
      </c>
      <c r="H590" t="str">
        <f t="shared" si="28"/>
        <v>B</v>
      </c>
      <c r="I590" t="str">
        <f>VLOOKUP(D590,'СУММА ПРОДАЖ'!J:N, 5, FALSE)</f>
        <v>B</v>
      </c>
      <c r="J590" t="str">
        <f>VLOOKUP(D590, 'МЕСЯЧНАЯ ОБОР.'!$V$4:$W$806, 2, FALSE)</f>
        <v>B</v>
      </c>
    </row>
    <row r="591" spans="1:10" x14ac:dyDescent="0.25">
      <c r="A591" s="9" t="s">
        <v>587</v>
      </c>
      <c r="B591" s="10">
        <v>3</v>
      </c>
      <c r="D591" t="s">
        <v>1080</v>
      </c>
      <c r="E591">
        <v>1</v>
      </c>
      <c r="F591">
        <f t="shared" si="27"/>
        <v>6.2155775398999025E-4</v>
      </c>
      <c r="G591">
        <f t="shared" si="29"/>
        <v>0.8840415934999547</v>
      </c>
      <c r="H591" t="str">
        <f t="shared" si="28"/>
        <v>B</v>
      </c>
      <c r="I591" t="str">
        <f>VLOOKUP(D591,'СУММА ПРОДАЖ'!J:N, 5, FALSE)</f>
        <v>C</v>
      </c>
      <c r="J591" t="str">
        <f>VLOOKUP(D591, 'МЕСЯЧНАЯ ОБОР.'!$V$4:$W$806, 2, FALSE)</f>
        <v>B</v>
      </c>
    </row>
    <row r="592" spans="1:10" x14ac:dyDescent="0.25">
      <c r="A592" s="9" t="s">
        <v>1017</v>
      </c>
      <c r="B592" s="10">
        <v>2</v>
      </c>
      <c r="D592" t="s">
        <v>363</v>
      </c>
      <c r="E592">
        <v>1</v>
      </c>
      <c r="F592">
        <f t="shared" si="27"/>
        <v>6.2155775398999025E-4</v>
      </c>
      <c r="G592">
        <f t="shared" si="29"/>
        <v>0.88466315125394468</v>
      </c>
      <c r="H592" t="str">
        <f t="shared" si="28"/>
        <v>B</v>
      </c>
      <c r="I592" t="str">
        <f>VLOOKUP(D592,'СУММА ПРОДАЖ'!J:N, 5, FALSE)</f>
        <v>A</v>
      </c>
      <c r="J592" t="str">
        <f>VLOOKUP(D592, 'МЕСЯЧНАЯ ОБОР.'!$V$4:$W$806, 2, FALSE)</f>
        <v>B</v>
      </c>
    </row>
    <row r="593" spans="1:10" x14ac:dyDescent="0.25">
      <c r="A593" s="9" t="s">
        <v>760</v>
      </c>
      <c r="B593" s="10">
        <v>1</v>
      </c>
      <c r="D593" t="s">
        <v>738</v>
      </c>
      <c r="E593">
        <v>1</v>
      </c>
      <c r="F593">
        <f t="shared" si="27"/>
        <v>6.2155775398999025E-4</v>
      </c>
      <c r="G593">
        <f t="shared" si="29"/>
        <v>0.88528470900793466</v>
      </c>
      <c r="H593" t="str">
        <f t="shared" si="28"/>
        <v>B</v>
      </c>
      <c r="I593" t="str">
        <f>VLOOKUP(D593,'СУММА ПРОДАЖ'!J:N, 5, FALSE)</f>
        <v>C</v>
      </c>
      <c r="J593" t="str">
        <f>VLOOKUP(D593, 'МЕСЯЧНАЯ ОБОР.'!$V$4:$W$806, 2, FALSE)</f>
        <v>B</v>
      </c>
    </row>
    <row r="594" spans="1:10" x14ac:dyDescent="0.25">
      <c r="A594" s="9" t="s">
        <v>1091</v>
      </c>
      <c r="B594" s="10">
        <v>1</v>
      </c>
      <c r="D594" t="s">
        <v>186</v>
      </c>
      <c r="E594">
        <v>1</v>
      </c>
      <c r="F594">
        <f t="shared" si="27"/>
        <v>6.2155775398999025E-4</v>
      </c>
      <c r="G594">
        <f t="shared" si="29"/>
        <v>0.88590626676192463</v>
      </c>
      <c r="H594" t="str">
        <f t="shared" si="28"/>
        <v>B</v>
      </c>
      <c r="I594" t="str">
        <f>VLOOKUP(D594,'СУММА ПРОДАЖ'!J:N, 5, FALSE)</f>
        <v>B</v>
      </c>
      <c r="J594" t="str">
        <f>VLOOKUP(D594, 'МЕСЯЧНАЯ ОБОР.'!$V$4:$W$806, 2, FALSE)</f>
        <v>B</v>
      </c>
    </row>
    <row r="595" spans="1:10" x14ac:dyDescent="0.25">
      <c r="A595" s="9" t="s">
        <v>692</v>
      </c>
      <c r="B595" s="10">
        <v>1</v>
      </c>
      <c r="D595" t="s">
        <v>202</v>
      </c>
      <c r="E595">
        <v>1</v>
      </c>
      <c r="F595">
        <f t="shared" si="27"/>
        <v>6.2155775398999025E-4</v>
      </c>
      <c r="G595">
        <f t="shared" si="29"/>
        <v>0.88652782451591461</v>
      </c>
      <c r="H595" t="str">
        <f t="shared" si="28"/>
        <v>B</v>
      </c>
      <c r="I595" t="str">
        <f>VLOOKUP(D595,'СУММА ПРОДАЖ'!J:N, 5, FALSE)</f>
        <v>C</v>
      </c>
      <c r="J595" t="str">
        <f>VLOOKUP(D595, 'МЕСЯЧНАЯ ОБОР.'!$V$4:$W$806, 2, FALSE)</f>
        <v>B</v>
      </c>
    </row>
    <row r="596" spans="1:10" x14ac:dyDescent="0.25">
      <c r="A596" s="9" t="s">
        <v>52</v>
      </c>
      <c r="B596" s="10">
        <v>3</v>
      </c>
      <c r="D596" t="s">
        <v>1067</v>
      </c>
      <c r="E596">
        <v>1</v>
      </c>
      <c r="F596">
        <f t="shared" si="27"/>
        <v>6.2155775398999025E-4</v>
      </c>
      <c r="G596">
        <f t="shared" si="29"/>
        <v>0.88714938226990459</v>
      </c>
      <c r="H596" t="str">
        <f t="shared" si="28"/>
        <v>B</v>
      </c>
      <c r="I596" t="str">
        <f>VLOOKUP(D596,'СУММА ПРОДАЖ'!J:N, 5, FALSE)</f>
        <v>C</v>
      </c>
      <c r="J596" t="str">
        <f>VLOOKUP(D596, 'МЕСЯЧНАЯ ОБОР.'!$V$4:$W$806, 2, FALSE)</f>
        <v>B</v>
      </c>
    </row>
    <row r="597" spans="1:10" x14ac:dyDescent="0.25">
      <c r="A597" s="9" t="s">
        <v>614</v>
      </c>
      <c r="B597" s="10">
        <v>3</v>
      </c>
      <c r="D597" t="s">
        <v>645</v>
      </c>
      <c r="E597">
        <v>1</v>
      </c>
      <c r="F597">
        <f t="shared" si="27"/>
        <v>6.2155775398999025E-4</v>
      </c>
      <c r="G597">
        <f t="shared" si="29"/>
        <v>0.88777094002389456</v>
      </c>
      <c r="H597" t="str">
        <f t="shared" si="28"/>
        <v>B</v>
      </c>
      <c r="I597" t="str">
        <f>VLOOKUP(D597,'СУММА ПРОДАЖ'!J:N, 5, FALSE)</f>
        <v>A</v>
      </c>
      <c r="J597" t="str">
        <f>VLOOKUP(D597, 'МЕСЯЧНАЯ ОБОР.'!$V$4:$W$806, 2, FALSE)</f>
        <v>B</v>
      </c>
    </row>
    <row r="598" spans="1:10" x14ac:dyDescent="0.25">
      <c r="A598" s="9" t="s">
        <v>875</v>
      </c>
      <c r="B598" s="10">
        <v>1</v>
      </c>
      <c r="D598" t="s">
        <v>204</v>
      </c>
      <c r="E598">
        <v>1</v>
      </c>
      <c r="F598">
        <f t="shared" si="27"/>
        <v>6.2155775398999025E-4</v>
      </c>
      <c r="G598">
        <f t="shared" si="29"/>
        <v>0.88839249777788454</v>
      </c>
      <c r="H598" t="str">
        <f t="shared" si="28"/>
        <v>B</v>
      </c>
      <c r="I598" t="str">
        <f>VLOOKUP(D598,'СУММА ПРОДАЖ'!J:N, 5, FALSE)</f>
        <v>A</v>
      </c>
      <c r="J598" t="str">
        <f>VLOOKUP(D598, 'МЕСЯЧНАЯ ОБОР.'!$V$4:$W$806, 2, FALSE)</f>
        <v>B</v>
      </c>
    </row>
    <row r="599" spans="1:10" x14ac:dyDescent="0.25">
      <c r="A599" s="9" t="s">
        <v>673</v>
      </c>
      <c r="B599" s="10">
        <v>3</v>
      </c>
      <c r="D599" t="s">
        <v>1208</v>
      </c>
      <c r="E599">
        <v>1</v>
      </c>
      <c r="F599">
        <f t="shared" si="27"/>
        <v>6.2155775398999025E-4</v>
      </c>
      <c r="G599">
        <f t="shared" si="29"/>
        <v>0.88901405553187451</v>
      </c>
      <c r="H599" t="str">
        <f t="shared" si="28"/>
        <v>B</v>
      </c>
      <c r="I599" t="str">
        <f>VLOOKUP(D599,'СУММА ПРОДАЖ'!J:N, 5, FALSE)</f>
        <v>B</v>
      </c>
      <c r="J599" t="str">
        <f>VLOOKUP(D599, 'МЕСЯЧНАЯ ОБОР.'!$V$4:$W$806, 2, FALSE)</f>
        <v>B</v>
      </c>
    </row>
    <row r="600" spans="1:10" x14ac:dyDescent="0.25">
      <c r="A600" s="9" t="s">
        <v>278</v>
      </c>
      <c r="B600" s="10">
        <v>3</v>
      </c>
      <c r="D600" t="s">
        <v>350</v>
      </c>
      <c r="E600">
        <v>1</v>
      </c>
      <c r="F600">
        <f t="shared" si="27"/>
        <v>6.2155775398999025E-4</v>
      </c>
      <c r="G600">
        <f t="shared" si="29"/>
        <v>0.88963561328586449</v>
      </c>
      <c r="H600" t="str">
        <f t="shared" si="28"/>
        <v>B</v>
      </c>
      <c r="I600" t="str">
        <f>VLOOKUP(D600,'СУММА ПРОДАЖ'!J:N, 5, FALSE)</f>
        <v>A</v>
      </c>
      <c r="J600" t="str">
        <f>VLOOKUP(D600, 'МЕСЯЧНАЯ ОБОР.'!$V$4:$W$806, 2, FALSE)</f>
        <v>B</v>
      </c>
    </row>
    <row r="601" spans="1:10" x14ac:dyDescent="0.25">
      <c r="A601" s="9" t="s">
        <v>131</v>
      </c>
      <c r="B601" s="10">
        <v>1</v>
      </c>
      <c r="D601" t="s">
        <v>1122</v>
      </c>
      <c r="E601">
        <v>1</v>
      </c>
      <c r="F601">
        <f t="shared" si="27"/>
        <v>6.2155775398999025E-4</v>
      </c>
      <c r="G601">
        <f t="shared" si="29"/>
        <v>0.89025717103985447</v>
      </c>
      <c r="H601" t="str">
        <f t="shared" si="28"/>
        <v>B</v>
      </c>
      <c r="I601" t="str">
        <f>VLOOKUP(D601,'СУММА ПРОДАЖ'!J:N, 5, FALSE)</f>
        <v>A</v>
      </c>
      <c r="J601" t="str">
        <f>VLOOKUP(D601, 'МЕСЯЧНАЯ ОБОР.'!$V$4:$W$806, 2, FALSE)</f>
        <v>B</v>
      </c>
    </row>
    <row r="602" spans="1:10" x14ac:dyDescent="0.25">
      <c r="A602" s="9" t="s">
        <v>1217</v>
      </c>
      <c r="B602" s="10">
        <v>0.33333333999999998</v>
      </c>
      <c r="D602" t="s">
        <v>1144</v>
      </c>
      <c r="E602">
        <v>1</v>
      </c>
      <c r="F602">
        <f t="shared" si="27"/>
        <v>6.2155775398999025E-4</v>
      </c>
      <c r="G602">
        <f t="shared" si="29"/>
        <v>0.89087872879384444</v>
      </c>
      <c r="H602" t="str">
        <f t="shared" si="28"/>
        <v>B</v>
      </c>
      <c r="I602" t="str">
        <f>VLOOKUP(D602,'СУММА ПРОДАЖ'!J:N, 5, FALSE)</f>
        <v>A</v>
      </c>
      <c r="J602" t="str">
        <f>VLOOKUP(D602, 'МЕСЯЧНАЯ ОБОР.'!$V$4:$W$806, 2, FALSE)</f>
        <v>B</v>
      </c>
    </row>
    <row r="603" spans="1:10" x14ac:dyDescent="0.25">
      <c r="A603" s="9" t="s">
        <v>813</v>
      </c>
      <c r="B603" s="10">
        <v>1</v>
      </c>
      <c r="D603" t="s">
        <v>987</v>
      </c>
      <c r="E603">
        <v>1</v>
      </c>
      <c r="F603">
        <f t="shared" si="27"/>
        <v>6.2155775398999025E-4</v>
      </c>
      <c r="G603">
        <f t="shared" si="29"/>
        <v>0.89150028654783442</v>
      </c>
      <c r="H603" t="str">
        <f t="shared" si="28"/>
        <v>B</v>
      </c>
      <c r="I603" t="str">
        <f>VLOOKUP(D603,'СУММА ПРОДАЖ'!J:N, 5, FALSE)</f>
        <v>A</v>
      </c>
      <c r="J603" t="str">
        <f>VLOOKUP(D603, 'МЕСЯЧНАЯ ОБОР.'!$V$4:$W$806, 2, FALSE)</f>
        <v>B</v>
      </c>
    </row>
    <row r="604" spans="1:10" x14ac:dyDescent="0.25">
      <c r="A604" s="9" t="s">
        <v>1089</v>
      </c>
      <c r="B604" s="10">
        <v>1</v>
      </c>
      <c r="D604" t="s">
        <v>1220</v>
      </c>
      <c r="E604">
        <v>1</v>
      </c>
      <c r="F604">
        <f t="shared" si="27"/>
        <v>6.2155775398999025E-4</v>
      </c>
      <c r="G604">
        <f t="shared" si="29"/>
        <v>0.8921218443018244</v>
      </c>
      <c r="H604" t="str">
        <f t="shared" si="28"/>
        <v>B</v>
      </c>
      <c r="I604" t="str">
        <f>VLOOKUP(D604,'СУММА ПРОДАЖ'!J:N, 5, FALSE)</f>
        <v>C</v>
      </c>
      <c r="J604" t="str">
        <f>VLOOKUP(D604, 'МЕСЯЧНАЯ ОБОР.'!$V$4:$W$806, 2, FALSE)</f>
        <v>B</v>
      </c>
    </row>
    <row r="605" spans="1:10" x14ac:dyDescent="0.25">
      <c r="A605" s="9" t="s">
        <v>146</v>
      </c>
      <c r="B605" s="10">
        <v>3</v>
      </c>
      <c r="D605" t="s">
        <v>798</v>
      </c>
      <c r="E605">
        <v>1</v>
      </c>
      <c r="F605">
        <f t="shared" si="27"/>
        <v>6.2155775398999025E-4</v>
      </c>
      <c r="G605">
        <f t="shared" si="29"/>
        <v>0.89274340205581437</v>
      </c>
      <c r="H605" t="str">
        <f t="shared" si="28"/>
        <v>B</v>
      </c>
      <c r="I605" t="str">
        <f>VLOOKUP(D605,'СУММА ПРОДАЖ'!J:N, 5, FALSE)</f>
        <v>A</v>
      </c>
      <c r="J605" t="str">
        <f>VLOOKUP(D605, 'МЕСЯЧНАЯ ОБОР.'!$V$4:$W$806, 2, FALSE)</f>
        <v>B</v>
      </c>
    </row>
    <row r="606" spans="1:10" x14ac:dyDescent="0.25">
      <c r="A606" s="9" t="s">
        <v>1007</v>
      </c>
      <c r="B606" s="10">
        <v>1</v>
      </c>
      <c r="D606" t="s">
        <v>1158</v>
      </c>
      <c r="E606">
        <v>1</v>
      </c>
      <c r="F606">
        <f t="shared" si="27"/>
        <v>6.2155775398999025E-4</v>
      </c>
      <c r="G606">
        <f t="shared" si="29"/>
        <v>0.89336495980980435</v>
      </c>
      <c r="H606" t="str">
        <f t="shared" si="28"/>
        <v>B</v>
      </c>
      <c r="I606" t="str">
        <f>VLOOKUP(D606,'СУММА ПРОДАЖ'!J:N, 5, FALSE)</f>
        <v>C</v>
      </c>
      <c r="J606" t="str">
        <f>VLOOKUP(D606, 'МЕСЯЧНАЯ ОБОР.'!$V$4:$W$806, 2, FALSE)</f>
        <v>B</v>
      </c>
    </row>
    <row r="607" spans="1:10" x14ac:dyDescent="0.25">
      <c r="A607" s="9" t="s">
        <v>268</v>
      </c>
      <c r="B607" s="10">
        <v>1</v>
      </c>
      <c r="D607" t="s">
        <v>449</v>
      </c>
      <c r="E607">
        <v>1</v>
      </c>
      <c r="F607">
        <f t="shared" si="27"/>
        <v>6.2155775398999025E-4</v>
      </c>
      <c r="G607">
        <f t="shared" si="29"/>
        <v>0.89398651756379433</v>
      </c>
      <c r="H607" t="str">
        <f t="shared" si="28"/>
        <v>B</v>
      </c>
      <c r="I607" t="str">
        <f>VLOOKUP(D607,'СУММА ПРОДАЖ'!J:N, 5, FALSE)</f>
        <v>A</v>
      </c>
      <c r="J607" t="str">
        <f>VLOOKUP(D607, 'МЕСЯЧНАЯ ОБОР.'!$V$4:$W$806, 2, FALSE)</f>
        <v>B</v>
      </c>
    </row>
    <row r="608" spans="1:10" x14ac:dyDescent="0.25">
      <c r="A608" s="9" t="s">
        <v>301</v>
      </c>
      <c r="B608" s="10">
        <v>3</v>
      </c>
      <c r="D608" t="s">
        <v>1013</v>
      </c>
      <c r="E608">
        <v>1</v>
      </c>
      <c r="F608">
        <f t="shared" si="27"/>
        <v>6.2155775398999025E-4</v>
      </c>
      <c r="G608">
        <f t="shared" si="29"/>
        <v>0.8946080753177843</v>
      </c>
      <c r="H608" t="str">
        <f t="shared" si="28"/>
        <v>B</v>
      </c>
      <c r="I608" t="str">
        <f>VLOOKUP(D608,'СУММА ПРОДАЖ'!J:N, 5, FALSE)</f>
        <v>A</v>
      </c>
      <c r="J608" t="str">
        <f>VLOOKUP(D608, 'МЕСЯЧНАЯ ОБОР.'!$V$4:$W$806, 2, FALSE)</f>
        <v>B</v>
      </c>
    </row>
    <row r="609" spans="1:10" x14ac:dyDescent="0.25">
      <c r="A609" s="9" t="s">
        <v>965</v>
      </c>
      <c r="B609" s="10">
        <v>1</v>
      </c>
      <c r="D609" t="s">
        <v>1014</v>
      </c>
      <c r="E609">
        <v>1</v>
      </c>
      <c r="F609">
        <f t="shared" si="27"/>
        <v>6.2155775398999025E-4</v>
      </c>
      <c r="G609">
        <f t="shared" si="29"/>
        <v>0.89522963307177428</v>
      </c>
      <c r="H609" t="str">
        <f t="shared" si="28"/>
        <v>B</v>
      </c>
      <c r="I609" t="str">
        <f>VLOOKUP(D609,'СУММА ПРОДАЖ'!J:N, 5, FALSE)</f>
        <v>B</v>
      </c>
      <c r="J609" t="str">
        <f>VLOOKUP(D609, 'МЕСЯЧНАЯ ОБОР.'!$V$4:$W$806, 2, FALSE)</f>
        <v>B</v>
      </c>
    </row>
    <row r="610" spans="1:10" x14ac:dyDescent="0.25">
      <c r="A610" s="9" t="s">
        <v>234</v>
      </c>
      <c r="B610" s="10">
        <v>3</v>
      </c>
      <c r="D610" t="s">
        <v>129</v>
      </c>
      <c r="E610">
        <v>1</v>
      </c>
      <c r="F610">
        <f t="shared" si="27"/>
        <v>6.2155775398999025E-4</v>
      </c>
      <c r="G610">
        <f t="shared" si="29"/>
        <v>0.89585119082576425</v>
      </c>
      <c r="H610" t="str">
        <f t="shared" si="28"/>
        <v>B</v>
      </c>
      <c r="I610" t="str">
        <f>VLOOKUP(D610,'СУММА ПРОДАЖ'!J:N, 5, FALSE)</f>
        <v>B</v>
      </c>
      <c r="J610" t="str">
        <f>VLOOKUP(D610, 'МЕСЯЧНАЯ ОБОР.'!$V$4:$W$806, 2, FALSE)</f>
        <v>B</v>
      </c>
    </row>
    <row r="611" spans="1:10" x14ac:dyDescent="0.25">
      <c r="A611" s="9" t="s">
        <v>264</v>
      </c>
      <c r="B611" s="10">
        <v>2</v>
      </c>
      <c r="D611" t="s">
        <v>60</v>
      </c>
      <c r="E611">
        <v>1</v>
      </c>
      <c r="F611">
        <f t="shared" si="27"/>
        <v>6.2155775398999025E-4</v>
      </c>
      <c r="G611">
        <f t="shared" si="29"/>
        <v>0.89647274857975423</v>
      </c>
      <c r="H611" t="str">
        <f t="shared" si="28"/>
        <v>B</v>
      </c>
      <c r="I611" t="str">
        <f>VLOOKUP(D611,'СУММА ПРОДАЖ'!J:N, 5, FALSE)</f>
        <v>C</v>
      </c>
      <c r="J611" t="str">
        <f>VLOOKUP(D611, 'МЕСЯЧНАЯ ОБОР.'!$V$4:$W$806, 2, FALSE)</f>
        <v>B</v>
      </c>
    </row>
    <row r="612" spans="1:10" x14ac:dyDescent="0.25">
      <c r="A612" s="9" t="s">
        <v>994</v>
      </c>
      <c r="B612" s="10">
        <v>2</v>
      </c>
      <c r="D612" t="s">
        <v>698</v>
      </c>
      <c r="E612">
        <v>1</v>
      </c>
      <c r="F612">
        <f t="shared" si="27"/>
        <v>6.2155775398999025E-4</v>
      </c>
      <c r="G612">
        <f t="shared" si="29"/>
        <v>0.89709430633374421</v>
      </c>
      <c r="H612" t="str">
        <f t="shared" si="28"/>
        <v>B</v>
      </c>
      <c r="I612" t="str">
        <f>VLOOKUP(D612,'СУММА ПРОДАЖ'!J:N, 5, FALSE)</f>
        <v>C</v>
      </c>
      <c r="J612" t="str">
        <f>VLOOKUP(D612, 'МЕСЯЧНАЯ ОБОР.'!$V$4:$W$806, 2, FALSE)</f>
        <v>B</v>
      </c>
    </row>
    <row r="613" spans="1:10" x14ac:dyDescent="0.25">
      <c r="A613" s="9" t="s">
        <v>403</v>
      </c>
      <c r="B613" s="10">
        <v>1</v>
      </c>
      <c r="D613" t="s">
        <v>580</v>
      </c>
      <c r="E613">
        <v>1</v>
      </c>
      <c r="F613">
        <f t="shared" si="27"/>
        <v>6.2155775398999025E-4</v>
      </c>
      <c r="G613">
        <f t="shared" si="29"/>
        <v>0.89771586408773418</v>
      </c>
      <c r="H613" t="str">
        <f t="shared" si="28"/>
        <v>B</v>
      </c>
      <c r="I613" t="str">
        <f>VLOOKUP(D613,'СУММА ПРОДАЖ'!J:N, 5, FALSE)</f>
        <v>C</v>
      </c>
      <c r="J613" t="str">
        <f>VLOOKUP(D613, 'МЕСЯЧНАЯ ОБОР.'!$V$4:$W$806, 2, FALSE)</f>
        <v>B</v>
      </c>
    </row>
    <row r="614" spans="1:10" x14ac:dyDescent="0.25">
      <c r="A614" s="9" t="s">
        <v>638</v>
      </c>
      <c r="B614" s="10">
        <v>3</v>
      </c>
      <c r="D614" t="s">
        <v>1058</v>
      </c>
      <c r="E614">
        <v>1</v>
      </c>
      <c r="F614">
        <f t="shared" si="27"/>
        <v>6.2155775398999025E-4</v>
      </c>
      <c r="G614">
        <f t="shared" si="29"/>
        <v>0.89833742184172416</v>
      </c>
      <c r="H614" t="str">
        <f t="shared" si="28"/>
        <v>B</v>
      </c>
      <c r="I614" t="str">
        <f>VLOOKUP(D614,'СУММА ПРОДАЖ'!J:N, 5, FALSE)</f>
        <v>A</v>
      </c>
      <c r="J614" t="str">
        <f>VLOOKUP(D614, 'МЕСЯЧНАЯ ОБОР.'!$V$4:$W$806, 2, FALSE)</f>
        <v>B</v>
      </c>
    </row>
    <row r="615" spans="1:10" x14ac:dyDescent="0.25">
      <c r="A615" s="9" t="s">
        <v>262</v>
      </c>
      <c r="B615" s="10">
        <v>1</v>
      </c>
      <c r="D615" t="s">
        <v>351</v>
      </c>
      <c r="E615">
        <v>1</v>
      </c>
      <c r="F615">
        <f t="shared" si="27"/>
        <v>6.2155775398999025E-4</v>
      </c>
      <c r="G615">
        <f t="shared" si="29"/>
        <v>0.89895897959571414</v>
      </c>
      <c r="H615" t="str">
        <f t="shared" si="28"/>
        <v>B</v>
      </c>
      <c r="I615" t="str">
        <f>VLOOKUP(D615,'СУММА ПРОДАЖ'!J:N, 5, FALSE)</f>
        <v>A</v>
      </c>
      <c r="J615" t="str">
        <f>VLOOKUP(D615, 'МЕСЯЧНАЯ ОБОР.'!$V$4:$W$806, 2, FALSE)</f>
        <v>B</v>
      </c>
    </row>
    <row r="616" spans="1:10" x14ac:dyDescent="0.25">
      <c r="A616" s="9" t="s">
        <v>500</v>
      </c>
      <c r="B616" s="10">
        <v>1</v>
      </c>
      <c r="D616" t="s">
        <v>1027</v>
      </c>
      <c r="E616">
        <v>1</v>
      </c>
      <c r="F616">
        <f t="shared" si="27"/>
        <v>6.2155775398999025E-4</v>
      </c>
      <c r="G616">
        <f t="shared" si="29"/>
        <v>0.89958053734970411</v>
      </c>
      <c r="H616" t="str">
        <f t="shared" si="28"/>
        <v>B</v>
      </c>
      <c r="I616" t="str">
        <f>VLOOKUP(D616,'СУММА ПРОДАЖ'!J:N, 5, FALSE)</f>
        <v>A</v>
      </c>
      <c r="J616" t="str">
        <f>VLOOKUP(D616, 'МЕСЯЧНАЯ ОБОР.'!$V$4:$W$806, 2, FALSE)</f>
        <v>B</v>
      </c>
    </row>
    <row r="617" spans="1:10" x14ac:dyDescent="0.25">
      <c r="A617" s="9" t="s">
        <v>400</v>
      </c>
      <c r="B617" s="10">
        <v>1</v>
      </c>
      <c r="D617" t="s">
        <v>576</v>
      </c>
      <c r="E617">
        <v>1</v>
      </c>
      <c r="F617">
        <f t="shared" si="27"/>
        <v>6.2155775398999025E-4</v>
      </c>
      <c r="G617">
        <f t="shared" si="29"/>
        <v>0.90020209510369409</v>
      </c>
      <c r="H617" t="str">
        <f t="shared" si="28"/>
        <v>B</v>
      </c>
      <c r="I617" t="str">
        <f>VLOOKUP(D617,'СУММА ПРОДАЖ'!J:N, 5, FALSE)</f>
        <v>A</v>
      </c>
      <c r="J617" t="str">
        <f>VLOOKUP(D617, 'МЕСЯЧНАЯ ОБОР.'!$V$4:$W$806, 2, FALSE)</f>
        <v>B</v>
      </c>
    </row>
    <row r="618" spans="1:10" x14ac:dyDescent="0.25">
      <c r="A618" s="9" t="s">
        <v>427</v>
      </c>
      <c r="B618" s="10">
        <v>1</v>
      </c>
      <c r="D618" t="s">
        <v>997</v>
      </c>
      <c r="E618">
        <v>1</v>
      </c>
      <c r="F618">
        <f t="shared" si="27"/>
        <v>6.2155775398999025E-4</v>
      </c>
      <c r="G618">
        <f t="shared" si="29"/>
        <v>0.90082365285768407</v>
      </c>
      <c r="H618" t="str">
        <f t="shared" si="28"/>
        <v>B</v>
      </c>
      <c r="I618" t="str">
        <f>VLOOKUP(D618,'СУММА ПРОДАЖ'!J:N, 5, FALSE)</f>
        <v>B</v>
      </c>
      <c r="J618" t="str">
        <f>VLOOKUP(D618, 'МЕСЯЧНАЯ ОБОР.'!$V$4:$W$806, 2, FALSE)</f>
        <v>B</v>
      </c>
    </row>
    <row r="619" spans="1:10" x14ac:dyDescent="0.25">
      <c r="A619" s="9" t="s">
        <v>431</v>
      </c>
      <c r="B619" s="10">
        <v>3</v>
      </c>
      <c r="D619" t="s">
        <v>175</v>
      </c>
      <c r="E619">
        <v>1</v>
      </c>
      <c r="F619">
        <f t="shared" si="27"/>
        <v>6.2155775398999025E-4</v>
      </c>
      <c r="G619">
        <f t="shared" si="29"/>
        <v>0.90144521061167404</v>
      </c>
      <c r="H619" t="str">
        <f t="shared" si="28"/>
        <v>B</v>
      </c>
      <c r="I619" t="str">
        <f>VLOOKUP(D619,'СУММА ПРОДАЖ'!J:N, 5, FALSE)</f>
        <v>A</v>
      </c>
      <c r="J619" t="str">
        <f>VLOOKUP(D619, 'МЕСЯЧНАЯ ОБОР.'!$V$4:$W$806, 2, FALSE)</f>
        <v>B</v>
      </c>
    </row>
    <row r="620" spans="1:10" x14ac:dyDescent="0.25">
      <c r="A620" s="9" t="s">
        <v>173</v>
      </c>
      <c r="B620" s="10">
        <v>6</v>
      </c>
      <c r="D620" t="s">
        <v>906</v>
      </c>
      <c r="E620">
        <v>1</v>
      </c>
      <c r="F620">
        <f t="shared" si="27"/>
        <v>6.2155775398999025E-4</v>
      </c>
      <c r="G620">
        <f t="shared" si="29"/>
        <v>0.90206676836566402</v>
      </c>
      <c r="H620" t="str">
        <f t="shared" si="28"/>
        <v>B</v>
      </c>
      <c r="I620" t="str">
        <f>VLOOKUP(D620,'СУММА ПРОДАЖ'!J:N, 5, FALSE)</f>
        <v>A</v>
      </c>
      <c r="J620" t="str">
        <f>VLOOKUP(D620, 'МЕСЯЧНАЯ ОБОР.'!$V$4:$W$806, 2, FALSE)</f>
        <v>B</v>
      </c>
    </row>
    <row r="621" spans="1:10" x14ac:dyDescent="0.25">
      <c r="A621" s="9" t="s">
        <v>856</v>
      </c>
      <c r="B621" s="10">
        <v>1</v>
      </c>
      <c r="D621" t="s">
        <v>782</v>
      </c>
      <c r="E621">
        <v>1</v>
      </c>
      <c r="F621">
        <f t="shared" si="27"/>
        <v>6.2155775398999025E-4</v>
      </c>
      <c r="G621">
        <f t="shared" si="29"/>
        <v>0.90268832611965399</v>
      </c>
      <c r="H621" t="str">
        <f t="shared" si="28"/>
        <v>B</v>
      </c>
      <c r="I621" t="str">
        <f>VLOOKUP(D621,'СУММА ПРОДАЖ'!J:N, 5, FALSE)</f>
        <v>A</v>
      </c>
      <c r="J621" t="str">
        <f>VLOOKUP(D621, 'МЕСЯЧНАЯ ОБОР.'!$V$4:$W$806, 2, FALSE)</f>
        <v>B</v>
      </c>
    </row>
    <row r="622" spans="1:10" x14ac:dyDescent="0.25">
      <c r="A622" s="9" t="s">
        <v>957</v>
      </c>
      <c r="B622" s="10">
        <v>0.28000000000000003</v>
      </c>
      <c r="D622" t="s">
        <v>1138</v>
      </c>
      <c r="E622">
        <v>1</v>
      </c>
      <c r="F622">
        <f t="shared" si="27"/>
        <v>6.2155775398999025E-4</v>
      </c>
      <c r="G622">
        <f t="shared" si="29"/>
        <v>0.90330988387364397</v>
      </c>
      <c r="H622" t="str">
        <f t="shared" si="28"/>
        <v>B</v>
      </c>
      <c r="I622" t="str">
        <f>VLOOKUP(D622,'СУММА ПРОДАЖ'!J:N, 5, FALSE)</f>
        <v>C</v>
      </c>
      <c r="J622" t="str">
        <f>VLOOKUP(D622, 'МЕСЯЧНАЯ ОБОР.'!$V$4:$W$806, 2, FALSE)</f>
        <v>B</v>
      </c>
    </row>
    <row r="623" spans="1:10" x14ac:dyDescent="0.25">
      <c r="A623" s="9" t="s">
        <v>1215</v>
      </c>
      <c r="B623" s="10">
        <v>0.33333332999999998</v>
      </c>
      <c r="D623" t="s">
        <v>180</v>
      </c>
      <c r="E623">
        <v>1</v>
      </c>
      <c r="F623">
        <f t="shared" si="27"/>
        <v>6.2155775398999025E-4</v>
      </c>
      <c r="G623">
        <f t="shared" si="29"/>
        <v>0.90393144162763395</v>
      </c>
      <c r="H623" t="str">
        <f t="shared" si="28"/>
        <v>B</v>
      </c>
      <c r="I623" t="str">
        <f>VLOOKUP(D623,'СУММА ПРОДАЖ'!J:N, 5, FALSE)</f>
        <v>A</v>
      </c>
      <c r="J623" t="str">
        <f>VLOOKUP(D623, 'МЕСЯЧНАЯ ОБОР.'!$V$4:$W$806, 2, FALSE)</f>
        <v>B</v>
      </c>
    </row>
    <row r="624" spans="1:10" x14ac:dyDescent="0.25">
      <c r="A624" s="9" t="s">
        <v>918</v>
      </c>
      <c r="B624" s="10">
        <v>0.33333332999999998</v>
      </c>
      <c r="D624" t="s">
        <v>1021</v>
      </c>
      <c r="E624">
        <v>1</v>
      </c>
      <c r="F624">
        <f t="shared" si="27"/>
        <v>6.2155775398999025E-4</v>
      </c>
      <c r="G624">
        <f t="shared" si="29"/>
        <v>0.90455299938162392</v>
      </c>
      <c r="H624" t="str">
        <f t="shared" si="28"/>
        <v>B</v>
      </c>
      <c r="I624" t="str">
        <f>VLOOKUP(D624,'СУММА ПРОДАЖ'!J:N, 5, FALSE)</f>
        <v>C</v>
      </c>
      <c r="J624" t="str">
        <f>VLOOKUP(D624, 'МЕСЯЧНАЯ ОБОР.'!$V$4:$W$806, 2, FALSE)</f>
        <v>B</v>
      </c>
    </row>
    <row r="625" spans="1:10" x14ac:dyDescent="0.25">
      <c r="A625" s="9" t="s">
        <v>1038</v>
      </c>
      <c r="B625" s="10">
        <v>1</v>
      </c>
      <c r="D625" t="s">
        <v>123</v>
      </c>
      <c r="E625">
        <v>1</v>
      </c>
      <c r="F625">
        <f t="shared" si="27"/>
        <v>6.2155775398999025E-4</v>
      </c>
      <c r="G625">
        <f t="shared" si="29"/>
        <v>0.9051745571356139</v>
      </c>
      <c r="H625" t="str">
        <f t="shared" si="28"/>
        <v>B</v>
      </c>
      <c r="I625" t="str">
        <f>VLOOKUP(D625,'СУММА ПРОДАЖ'!J:N, 5, FALSE)</f>
        <v>B</v>
      </c>
      <c r="J625" t="str">
        <f>VLOOKUP(D625, 'МЕСЯЧНАЯ ОБОР.'!$V$4:$W$806, 2, FALSE)</f>
        <v>B</v>
      </c>
    </row>
    <row r="626" spans="1:10" x14ac:dyDescent="0.25">
      <c r="A626" s="9" t="s">
        <v>1086</v>
      </c>
      <c r="B626" s="10">
        <v>2</v>
      </c>
      <c r="D626" t="s">
        <v>507</v>
      </c>
      <c r="E626">
        <v>1</v>
      </c>
      <c r="F626">
        <f t="shared" si="27"/>
        <v>6.2155775398999025E-4</v>
      </c>
      <c r="G626">
        <f t="shared" si="29"/>
        <v>0.90579611488960388</v>
      </c>
      <c r="H626" t="str">
        <f t="shared" si="28"/>
        <v>B</v>
      </c>
      <c r="I626" t="str">
        <f>VLOOKUP(D626,'СУММА ПРОДАЖ'!J:N, 5, FALSE)</f>
        <v>A</v>
      </c>
      <c r="J626" t="str">
        <f>VLOOKUP(D626, 'МЕСЯЧНАЯ ОБОР.'!$V$4:$W$806, 2, FALSE)</f>
        <v>B</v>
      </c>
    </row>
    <row r="627" spans="1:10" x14ac:dyDescent="0.25">
      <c r="A627" s="9" t="s">
        <v>337</v>
      </c>
      <c r="B627" s="10">
        <v>2</v>
      </c>
      <c r="D627" t="s">
        <v>599</v>
      </c>
      <c r="E627">
        <v>1</v>
      </c>
      <c r="F627">
        <f t="shared" si="27"/>
        <v>6.2155775398999025E-4</v>
      </c>
      <c r="G627">
        <f t="shared" si="29"/>
        <v>0.90641767264359385</v>
      </c>
      <c r="H627" t="str">
        <f t="shared" si="28"/>
        <v>B</v>
      </c>
      <c r="I627" t="str">
        <f>VLOOKUP(D627,'СУММА ПРОДАЖ'!J:N, 5, FALSE)</f>
        <v>B</v>
      </c>
      <c r="J627" t="str">
        <f>VLOOKUP(D627, 'МЕСЯЧНАЯ ОБОР.'!$V$4:$W$806, 2, FALSE)</f>
        <v>B</v>
      </c>
    </row>
    <row r="628" spans="1:10" x14ac:dyDescent="0.25">
      <c r="A628" s="9" t="s">
        <v>237</v>
      </c>
      <c r="B628" s="10">
        <v>1</v>
      </c>
      <c r="D628" t="s">
        <v>895</v>
      </c>
      <c r="E628">
        <v>1</v>
      </c>
      <c r="F628">
        <f t="shared" si="27"/>
        <v>6.2155775398999025E-4</v>
      </c>
      <c r="G628">
        <f t="shared" si="29"/>
        <v>0.90703923039758383</v>
      </c>
      <c r="H628" t="str">
        <f t="shared" si="28"/>
        <v>B</v>
      </c>
      <c r="I628" t="str">
        <f>VLOOKUP(D628,'СУММА ПРОДАЖ'!J:N, 5, FALSE)</f>
        <v>A</v>
      </c>
      <c r="J628" t="str">
        <f>VLOOKUP(D628, 'МЕСЯЧНАЯ ОБОР.'!$V$4:$W$806, 2, FALSE)</f>
        <v>B</v>
      </c>
    </row>
    <row r="629" spans="1:10" x14ac:dyDescent="0.25">
      <c r="A629" s="9" t="s">
        <v>534</v>
      </c>
      <c r="B629" s="10">
        <v>1</v>
      </c>
      <c r="D629" t="s">
        <v>464</v>
      </c>
      <c r="E629">
        <v>1</v>
      </c>
      <c r="F629">
        <f t="shared" si="27"/>
        <v>6.2155775398999025E-4</v>
      </c>
      <c r="G629">
        <f t="shared" si="29"/>
        <v>0.90766078815157381</v>
      </c>
      <c r="H629" t="str">
        <f t="shared" si="28"/>
        <v>B</v>
      </c>
      <c r="I629" t="str">
        <f>VLOOKUP(D629,'СУММА ПРОДАЖ'!J:N, 5, FALSE)</f>
        <v>A</v>
      </c>
      <c r="J629" t="str">
        <f>VLOOKUP(D629, 'МЕСЯЧНАЯ ОБОР.'!$V$4:$W$806, 2, FALSE)</f>
        <v>B</v>
      </c>
    </row>
    <row r="630" spans="1:10" x14ac:dyDescent="0.25">
      <c r="A630" s="9" t="s">
        <v>678</v>
      </c>
      <c r="B630" s="10">
        <v>1</v>
      </c>
      <c r="D630" t="s">
        <v>898</v>
      </c>
      <c r="E630">
        <v>1</v>
      </c>
      <c r="F630">
        <f t="shared" si="27"/>
        <v>6.2155775398999025E-4</v>
      </c>
      <c r="G630">
        <f t="shared" si="29"/>
        <v>0.90828234590556378</v>
      </c>
      <c r="H630" t="str">
        <f t="shared" si="28"/>
        <v>B</v>
      </c>
      <c r="I630" t="str">
        <f>VLOOKUP(D630,'СУММА ПРОДАЖ'!J:N, 5, FALSE)</f>
        <v>A</v>
      </c>
      <c r="J630" t="str">
        <f>VLOOKUP(D630, 'МЕСЯЧНАЯ ОБОР.'!$V$4:$W$806, 2, FALSE)</f>
        <v>B</v>
      </c>
    </row>
    <row r="631" spans="1:10" x14ac:dyDescent="0.25">
      <c r="A631" s="9" t="s">
        <v>468</v>
      </c>
      <c r="B631" s="10">
        <v>1</v>
      </c>
      <c r="D631" t="s">
        <v>149</v>
      </c>
      <c r="E631">
        <v>1</v>
      </c>
      <c r="F631">
        <f t="shared" si="27"/>
        <v>6.2155775398999025E-4</v>
      </c>
      <c r="G631">
        <f t="shared" si="29"/>
        <v>0.90890390365955376</v>
      </c>
      <c r="H631" t="str">
        <f t="shared" si="28"/>
        <v>B</v>
      </c>
      <c r="I631" t="str">
        <f>VLOOKUP(D631,'СУММА ПРОДАЖ'!J:N, 5, FALSE)</f>
        <v>B</v>
      </c>
      <c r="J631" t="str">
        <f>VLOOKUP(D631, 'МЕСЯЧНАЯ ОБОР.'!$V$4:$W$806, 2, FALSE)</f>
        <v>B</v>
      </c>
    </row>
    <row r="632" spans="1:10" x14ac:dyDescent="0.25">
      <c r="A632" s="9" t="s">
        <v>341</v>
      </c>
      <c r="B632" s="10">
        <v>1</v>
      </c>
      <c r="D632" t="s">
        <v>511</v>
      </c>
      <c r="E632">
        <v>1</v>
      </c>
      <c r="F632">
        <f t="shared" si="27"/>
        <v>6.2155775398999025E-4</v>
      </c>
      <c r="G632">
        <f t="shared" si="29"/>
        <v>0.90952546141354373</v>
      </c>
      <c r="H632" t="str">
        <f t="shared" si="28"/>
        <v>B</v>
      </c>
      <c r="I632" t="str">
        <f>VLOOKUP(D632,'СУММА ПРОДАЖ'!J:N, 5, FALSE)</f>
        <v>C</v>
      </c>
      <c r="J632" t="str">
        <f>VLOOKUP(D632, 'МЕСЯЧНАЯ ОБОР.'!$V$4:$W$806, 2, FALSE)</f>
        <v>B</v>
      </c>
    </row>
    <row r="633" spans="1:10" x14ac:dyDescent="0.25">
      <c r="A633" s="9" t="s">
        <v>240</v>
      </c>
      <c r="B633" s="10">
        <v>1</v>
      </c>
      <c r="D633" t="s">
        <v>161</v>
      </c>
      <c r="E633">
        <v>1</v>
      </c>
      <c r="F633">
        <f t="shared" si="27"/>
        <v>6.2155775398999025E-4</v>
      </c>
      <c r="G633">
        <f t="shared" si="29"/>
        <v>0.91014701916753371</v>
      </c>
      <c r="H633" t="str">
        <f t="shared" si="28"/>
        <v>B</v>
      </c>
      <c r="I633" t="str">
        <f>VLOOKUP(D633,'СУММА ПРОДАЖ'!J:N, 5, FALSE)</f>
        <v>B</v>
      </c>
      <c r="J633" t="str">
        <f>VLOOKUP(D633, 'МЕСЯЧНАЯ ОБОР.'!$V$4:$W$806, 2, FALSE)</f>
        <v>B</v>
      </c>
    </row>
    <row r="634" spans="1:10" x14ac:dyDescent="0.25">
      <c r="A634" s="9" t="s">
        <v>764</v>
      </c>
      <c r="B634" s="10">
        <v>4</v>
      </c>
      <c r="D634" t="s">
        <v>889</v>
      </c>
      <c r="E634">
        <v>1</v>
      </c>
      <c r="F634">
        <f t="shared" si="27"/>
        <v>6.2155775398999025E-4</v>
      </c>
      <c r="G634">
        <f t="shared" si="29"/>
        <v>0.91076857692152369</v>
      </c>
      <c r="H634" t="str">
        <f t="shared" si="28"/>
        <v>B</v>
      </c>
      <c r="I634" t="str">
        <f>VLOOKUP(D634,'СУММА ПРОДАЖ'!J:N, 5, FALSE)</f>
        <v>A</v>
      </c>
      <c r="J634" t="str">
        <f>VLOOKUP(D634, 'МЕСЯЧНАЯ ОБОР.'!$V$4:$W$806, 2, FALSE)</f>
        <v>B</v>
      </c>
    </row>
    <row r="635" spans="1:10" x14ac:dyDescent="0.25">
      <c r="A635" s="9" t="s">
        <v>367</v>
      </c>
      <c r="B635" s="10">
        <v>1</v>
      </c>
      <c r="D635" t="s">
        <v>409</v>
      </c>
      <c r="E635">
        <v>1</v>
      </c>
      <c r="F635">
        <f t="shared" si="27"/>
        <v>6.2155775398999025E-4</v>
      </c>
      <c r="G635">
        <f t="shared" si="29"/>
        <v>0.91139013467551366</v>
      </c>
      <c r="H635" t="str">
        <f t="shared" si="28"/>
        <v>B</v>
      </c>
      <c r="I635" t="str">
        <f>VLOOKUP(D635,'СУММА ПРОДАЖ'!J:N, 5, FALSE)</f>
        <v>A</v>
      </c>
      <c r="J635" t="str">
        <f>VLOOKUP(D635, 'МЕСЯЧНАЯ ОБОР.'!$V$4:$W$806, 2, FALSE)</f>
        <v>B</v>
      </c>
    </row>
    <row r="636" spans="1:10" x14ac:dyDescent="0.25">
      <c r="A636" s="9" t="s">
        <v>356</v>
      </c>
      <c r="B636" s="10">
        <v>2</v>
      </c>
      <c r="D636" t="s">
        <v>1129</v>
      </c>
      <c r="E636">
        <v>1</v>
      </c>
      <c r="F636">
        <f t="shared" si="27"/>
        <v>6.2155775398999025E-4</v>
      </c>
      <c r="G636">
        <f t="shared" si="29"/>
        <v>0.91201169242950364</v>
      </c>
      <c r="H636" t="str">
        <f t="shared" si="28"/>
        <v>B</v>
      </c>
      <c r="I636" t="str">
        <f>VLOOKUP(D636,'СУММА ПРОДАЖ'!J:N, 5, FALSE)</f>
        <v>B</v>
      </c>
      <c r="J636" t="str">
        <f>VLOOKUP(D636, 'МЕСЯЧНАЯ ОБОР.'!$V$4:$W$806, 2, FALSE)</f>
        <v>B</v>
      </c>
    </row>
    <row r="637" spans="1:10" x14ac:dyDescent="0.25">
      <c r="A637" s="9" t="s">
        <v>358</v>
      </c>
      <c r="B637" s="10">
        <v>1</v>
      </c>
      <c r="D637" t="s">
        <v>627</v>
      </c>
      <c r="E637">
        <v>1</v>
      </c>
      <c r="F637">
        <f t="shared" si="27"/>
        <v>6.2155775398999025E-4</v>
      </c>
      <c r="G637">
        <f t="shared" si="29"/>
        <v>0.91263325018349362</v>
      </c>
      <c r="H637" t="str">
        <f t="shared" si="28"/>
        <v>B</v>
      </c>
      <c r="I637" t="str">
        <f>VLOOKUP(D637,'СУММА ПРОДАЖ'!J:N, 5, FALSE)</f>
        <v>A</v>
      </c>
      <c r="J637" t="str">
        <f>VLOOKUP(D637, 'МЕСЯЧНАЯ ОБОР.'!$V$4:$W$806, 2, FALSE)</f>
        <v>B</v>
      </c>
    </row>
    <row r="638" spans="1:10" x14ac:dyDescent="0.25">
      <c r="A638" s="9" t="s">
        <v>863</v>
      </c>
      <c r="B638" s="10">
        <v>5</v>
      </c>
      <c r="D638" t="s">
        <v>1206</v>
      </c>
      <c r="E638">
        <v>1</v>
      </c>
      <c r="F638">
        <f t="shared" si="27"/>
        <v>6.2155775398999025E-4</v>
      </c>
      <c r="G638">
        <f t="shared" si="29"/>
        <v>0.91325480793748359</v>
      </c>
      <c r="H638" t="str">
        <f t="shared" si="28"/>
        <v>B</v>
      </c>
      <c r="I638" t="str">
        <f>VLOOKUP(D638,'СУММА ПРОДАЖ'!J:N, 5, FALSE)</f>
        <v>A</v>
      </c>
      <c r="J638" t="str">
        <f>VLOOKUP(D638, 'МЕСЯЧНАЯ ОБОР.'!$V$4:$W$806, 2, FALSE)</f>
        <v>B</v>
      </c>
    </row>
    <row r="639" spans="1:10" x14ac:dyDescent="0.25">
      <c r="A639" s="9" t="s">
        <v>1071</v>
      </c>
      <c r="B639" s="10">
        <v>3</v>
      </c>
      <c r="D639" t="s">
        <v>760</v>
      </c>
      <c r="E639">
        <v>1</v>
      </c>
      <c r="F639">
        <f t="shared" si="27"/>
        <v>6.2155775398999025E-4</v>
      </c>
      <c r="G639">
        <f t="shared" si="29"/>
        <v>0.91387636569147357</v>
      </c>
      <c r="H639" t="str">
        <f t="shared" si="28"/>
        <v>B</v>
      </c>
      <c r="I639" t="str">
        <f>VLOOKUP(D639,'СУММА ПРОДАЖ'!J:N, 5, FALSE)</f>
        <v>A</v>
      </c>
      <c r="J639" t="str">
        <f>VLOOKUP(D639, 'МЕСЯЧНАЯ ОБОР.'!$V$4:$W$806, 2, FALSE)</f>
        <v>B</v>
      </c>
    </row>
    <row r="640" spans="1:10" x14ac:dyDescent="0.25">
      <c r="A640" s="9" t="s">
        <v>1222</v>
      </c>
      <c r="B640" s="10">
        <v>1</v>
      </c>
      <c r="D640" t="s">
        <v>1091</v>
      </c>
      <c r="E640">
        <v>1</v>
      </c>
      <c r="F640">
        <f t="shared" si="27"/>
        <v>6.2155775398999025E-4</v>
      </c>
      <c r="G640">
        <f t="shared" si="29"/>
        <v>0.91449792344546355</v>
      </c>
      <c r="H640" t="str">
        <f t="shared" si="28"/>
        <v>B</v>
      </c>
      <c r="I640" t="str">
        <f>VLOOKUP(D640,'СУММА ПРОДАЖ'!J:N, 5, FALSE)</f>
        <v>C</v>
      </c>
      <c r="J640" t="str">
        <f>VLOOKUP(D640, 'МЕСЯЧНАЯ ОБОР.'!$V$4:$W$806, 2, FALSE)</f>
        <v>B</v>
      </c>
    </row>
    <row r="641" spans="1:10" x14ac:dyDescent="0.25">
      <c r="A641" s="9" t="s">
        <v>977</v>
      </c>
      <c r="B641" s="10">
        <v>1</v>
      </c>
      <c r="D641" t="s">
        <v>692</v>
      </c>
      <c r="E641">
        <v>1</v>
      </c>
      <c r="F641">
        <f t="shared" si="27"/>
        <v>6.2155775398999025E-4</v>
      </c>
      <c r="G641">
        <f t="shared" si="29"/>
        <v>0.91511948119945352</v>
      </c>
      <c r="H641" t="str">
        <f t="shared" si="28"/>
        <v>B</v>
      </c>
      <c r="I641" t="str">
        <f>VLOOKUP(D641,'СУММА ПРОДАЖ'!J:N, 5, FALSE)</f>
        <v>A</v>
      </c>
      <c r="J641" t="str">
        <f>VLOOKUP(D641, 'МЕСЯЧНАЯ ОБОР.'!$V$4:$W$806, 2, FALSE)</f>
        <v>B</v>
      </c>
    </row>
    <row r="642" spans="1:10" x14ac:dyDescent="0.25">
      <c r="A642" s="9" t="s">
        <v>1193</v>
      </c>
      <c r="B642" s="10">
        <v>1</v>
      </c>
      <c r="D642" t="s">
        <v>875</v>
      </c>
      <c r="E642">
        <v>1</v>
      </c>
      <c r="F642">
        <f t="shared" si="27"/>
        <v>6.2155775398999025E-4</v>
      </c>
      <c r="G642">
        <f t="shared" si="29"/>
        <v>0.9157410389534435</v>
      </c>
      <c r="H642" t="str">
        <f t="shared" si="28"/>
        <v>B</v>
      </c>
      <c r="I642" t="str">
        <f>VLOOKUP(D642,'СУММА ПРОДАЖ'!J:N, 5, FALSE)</f>
        <v>C</v>
      </c>
      <c r="J642" t="str">
        <f>VLOOKUP(D642, 'МЕСЯЧНАЯ ОБОР.'!$V$4:$W$806, 2, FALSE)</f>
        <v>B</v>
      </c>
    </row>
    <row r="643" spans="1:10" x14ac:dyDescent="0.25">
      <c r="A643" s="9" t="s">
        <v>795</v>
      </c>
      <c r="B643" s="10">
        <v>1</v>
      </c>
      <c r="D643" t="s">
        <v>131</v>
      </c>
      <c r="E643">
        <v>1</v>
      </c>
      <c r="F643">
        <f t="shared" si="27"/>
        <v>6.2155775398999025E-4</v>
      </c>
      <c r="G643">
        <f t="shared" si="29"/>
        <v>0.91636259670743347</v>
      </c>
      <c r="H643" t="str">
        <f t="shared" si="28"/>
        <v>B</v>
      </c>
      <c r="I643" t="str">
        <f>VLOOKUP(D643,'СУММА ПРОДАЖ'!J:N, 5, FALSE)</f>
        <v>A</v>
      </c>
      <c r="J643" t="str">
        <f>VLOOKUP(D643, 'МЕСЯЧНАЯ ОБОР.'!$V$4:$W$806, 2, FALSE)</f>
        <v>B</v>
      </c>
    </row>
    <row r="644" spans="1:10" x14ac:dyDescent="0.25">
      <c r="A644" s="9" t="s">
        <v>157</v>
      </c>
      <c r="B644" s="10">
        <v>4</v>
      </c>
      <c r="D644" t="s">
        <v>813</v>
      </c>
      <c r="E644">
        <v>1</v>
      </c>
      <c r="F644">
        <f t="shared" si="27"/>
        <v>6.2155775398999025E-4</v>
      </c>
      <c r="G644">
        <f t="shared" si="29"/>
        <v>0.91698415446142345</v>
      </c>
      <c r="H644" t="str">
        <f t="shared" si="28"/>
        <v>B</v>
      </c>
      <c r="I644" t="str">
        <f>VLOOKUP(D644,'СУММА ПРОДАЖ'!J:N, 5, FALSE)</f>
        <v>A</v>
      </c>
      <c r="J644" t="str">
        <f>VLOOKUP(D644, 'МЕСЯЧНАЯ ОБОР.'!$V$4:$W$806, 2, FALSE)</f>
        <v>B</v>
      </c>
    </row>
    <row r="645" spans="1:10" x14ac:dyDescent="0.25">
      <c r="A645" s="9" t="s">
        <v>842</v>
      </c>
      <c r="B645" s="10">
        <v>2</v>
      </c>
      <c r="D645" t="s">
        <v>1089</v>
      </c>
      <c r="E645">
        <v>1</v>
      </c>
      <c r="F645">
        <f t="shared" ref="F645:F708" si="30">E645/SUM($E$4:$E$806)</f>
        <v>6.2155775398999025E-4</v>
      </c>
      <c r="G645">
        <f t="shared" si="29"/>
        <v>0.91760571221541343</v>
      </c>
      <c r="H645" t="str">
        <f t="shared" ref="H645:H708" si="31">IF(G645&lt;0.8, "A", IF(G645&lt;0.95, "B","C"))</f>
        <v>B</v>
      </c>
      <c r="I645" t="str">
        <f>VLOOKUP(D645,'СУММА ПРОДАЖ'!J:N, 5, FALSE)</f>
        <v>B</v>
      </c>
      <c r="J645" t="str">
        <f>VLOOKUP(D645, 'МЕСЯЧНАЯ ОБОР.'!$V$4:$W$806, 2, FALSE)</f>
        <v>B</v>
      </c>
    </row>
    <row r="646" spans="1:10" x14ac:dyDescent="0.25">
      <c r="A646" s="9" t="s">
        <v>216</v>
      </c>
      <c r="B646" s="10">
        <v>1</v>
      </c>
      <c r="D646" t="s">
        <v>1007</v>
      </c>
      <c r="E646">
        <v>1</v>
      </c>
      <c r="F646">
        <f t="shared" si="30"/>
        <v>6.2155775398999025E-4</v>
      </c>
      <c r="G646">
        <f t="shared" ref="G646:G709" si="32">F646+G645</f>
        <v>0.9182272699694034</v>
      </c>
      <c r="H646" t="str">
        <f t="shared" si="31"/>
        <v>B</v>
      </c>
      <c r="I646" t="str">
        <f>VLOOKUP(D646,'СУММА ПРОДАЖ'!J:N, 5, FALSE)</f>
        <v>C</v>
      </c>
      <c r="J646" t="str">
        <f>VLOOKUP(D646, 'МЕСЯЧНАЯ ОБОР.'!$V$4:$W$806, 2, FALSE)</f>
        <v>B</v>
      </c>
    </row>
    <row r="647" spans="1:10" x14ac:dyDescent="0.25">
      <c r="A647" s="9" t="s">
        <v>290</v>
      </c>
      <c r="B647" s="10">
        <v>3</v>
      </c>
      <c r="D647" t="s">
        <v>268</v>
      </c>
      <c r="E647">
        <v>1</v>
      </c>
      <c r="F647">
        <f t="shared" si="30"/>
        <v>6.2155775398999025E-4</v>
      </c>
      <c r="G647">
        <f t="shared" si="32"/>
        <v>0.91884882772339338</v>
      </c>
      <c r="H647" t="str">
        <f t="shared" si="31"/>
        <v>B</v>
      </c>
      <c r="I647" t="str">
        <f>VLOOKUP(D647,'СУММА ПРОДАЖ'!J:N, 5, FALSE)</f>
        <v>B</v>
      </c>
      <c r="J647" t="str">
        <f>VLOOKUP(D647, 'МЕСЯЧНАЯ ОБОР.'!$V$4:$W$806, 2, FALSE)</f>
        <v>B</v>
      </c>
    </row>
    <row r="648" spans="1:10" x14ac:dyDescent="0.25">
      <c r="A648" s="9" t="s">
        <v>787</v>
      </c>
      <c r="B648" s="10">
        <v>1</v>
      </c>
      <c r="D648" t="s">
        <v>965</v>
      </c>
      <c r="E648">
        <v>1</v>
      </c>
      <c r="F648">
        <f t="shared" si="30"/>
        <v>6.2155775398999025E-4</v>
      </c>
      <c r="G648">
        <f t="shared" si="32"/>
        <v>0.91947038547738336</v>
      </c>
      <c r="H648" t="str">
        <f t="shared" si="31"/>
        <v>B</v>
      </c>
      <c r="I648" t="str">
        <f>VLOOKUP(D648,'СУММА ПРОДАЖ'!J:N, 5, FALSE)</f>
        <v>C</v>
      </c>
      <c r="J648" t="str">
        <f>VLOOKUP(D648, 'МЕСЯЧНАЯ ОБОР.'!$V$4:$W$806, 2, FALSE)</f>
        <v>B</v>
      </c>
    </row>
    <row r="649" spans="1:10" x14ac:dyDescent="0.25">
      <c r="A649" s="9" t="s">
        <v>1023</v>
      </c>
      <c r="B649" s="10">
        <v>1</v>
      </c>
      <c r="D649" t="s">
        <v>403</v>
      </c>
      <c r="E649">
        <v>1</v>
      </c>
      <c r="F649">
        <f t="shared" si="30"/>
        <v>6.2155775398999025E-4</v>
      </c>
      <c r="G649">
        <f t="shared" si="32"/>
        <v>0.92009194323137333</v>
      </c>
      <c r="H649" t="str">
        <f t="shared" si="31"/>
        <v>B</v>
      </c>
      <c r="I649" t="str">
        <f>VLOOKUP(D649,'СУММА ПРОДАЖ'!J:N, 5, FALSE)</f>
        <v>C</v>
      </c>
      <c r="J649" t="str">
        <f>VLOOKUP(D649, 'МЕСЯЧНАЯ ОБОР.'!$V$4:$W$806, 2, FALSE)</f>
        <v>B</v>
      </c>
    </row>
    <row r="650" spans="1:10" x14ac:dyDescent="0.25">
      <c r="A650" s="9" t="s">
        <v>970</v>
      </c>
      <c r="B650" s="10">
        <v>0.2</v>
      </c>
      <c r="D650" t="s">
        <v>262</v>
      </c>
      <c r="E650">
        <v>1</v>
      </c>
      <c r="F650">
        <f t="shared" si="30"/>
        <v>6.2155775398999025E-4</v>
      </c>
      <c r="G650">
        <f t="shared" si="32"/>
        <v>0.92071350098536331</v>
      </c>
      <c r="H650" t="str">
        <f t="shared" si="31"/>
        <v>B</v>
      </c>
      <c r="I650" t="str">
        <f>VLOOKUP(D650,'СУММА ПРОДАЖ'!J:N, 5, FALSE)</f>
        <v>C</v>
      </c>
      <c r="J650" t="str">
        <f>VLOOKUP(D650, 'МЕСЯЧНАЯ ОБОР.'!$V$4:$W$806, 2, FALSE)</f>
        <v>B</v>
      </c>
    </row>
    <row r="651" spans="1:10" x14ac:dyDescent="0.25">
      <c r="A651" s="9" t="s">
        <v>559</v>
      </c>
      <c r="B651" s="10">
        <v>1</v>
      </c>
      <c r="D651" t="s">
        <v>500</v>
      </c>
      <c r="E651">
        <v>1</v>
      </c>
      <c r="F651">
        <f t="shared" si="30"/>
        <v>6.2155775398999025E-4</v>
      </c>
      <c r="G651">
        <f t="shared" si="32"/>
        <v>0.92133505873935329</v>
      </c>
      <c r="H651" t="str">
        <f t="shared" si="31"/>
        <v>B</v>
      </c>
      <c r="I651" t="str">
        <f>VLOOKUP(D651,'СУММА ПРОДАЖ'!J:N, 5, FALSE)</f>
        <v>C</v>
      </c>
      <c r="J651" t="str">
        <f>VLOOKUP(D651, 'МЕСЯЧНАЯ ОБОР.'!$V$4:$W$806, 2, FALSE)</f>
        <v>B</v>
      </c>
    </row>
    <row r="652" spans="1:10" x14ac:dyDescent="0.25">
      <c r="A652" s="9" t="s">
        <v>567</v>
      </c>
      <c r="B652" s="10">
        <v>2</v>
      </c>
      <c r="D652" t="s">
        <v>400</v>
      </c>
      <c r="E652">
        <v>1</v>
      </c>
      <c r="F652">
        <f t="shared" si="30"/>
        <v>6.2155775398999025E-4</v>
      </c>
      <c r="G652">
        <f t="shared" si="32"/>
        <v>0.92195661649334326</v>
      </c>
      <c r="H652" t="str">
        <f t="shared" si="31"/>
        <v>B</v>
      </c>
      <c r="I652" t="str">
        <f>VLOOKUP(D652,'СУММА ПРОДАЖ'!J:N, 5, FALSE)</f>
        <v>B</v>
      </c>
      <c r="J652" t="str">
        <f>VLOOKUP(D652, 'МЕСЯЧНАЯ ОБОР.'!$V$4:$W$806, 2, FALSE)</f>
        <v>B</v>
      </c>
    </row>
    <row r="653" spans="1:10" x14ac:dyDescent="0.25">
      <c r="A653" s="9" t="s">
        <v>571</v>
      </c>
      <c r="B653" s="10">
        <v>3</v>
      </c>
      <c r="D653" t="s">
        <v>427</v>
      </c>
      <c r="E653">
        <v>1</v>
      </c>
      <c r="F653">
        <f t="shared" si="30"/>
        <v>6.2155775398999025E-4</v>
      </c>
      <c r="G653">
        <f t="shared" si="32"/>
        <v>0.92257817424733324</v>
      </c>
      <c r="H653" t="str">
        <f t="shared" si="31"/>
        <v>B</v>
      </c>
      <c r="I653" t="str">
        <f>VLOOKUP(D653,'СУММА ПРОДАЖ'!J:N, 5, FALSE)</f>
        <v>A</v>
      </c>
      <c r="J653" t="str">
        <f>VLOOKUP(D653, 'МЕСЯЧНАЯ ОБОР.'!$V$4:$W$806, 2, FALSE)</f>
        <v>B</v>
      </c>
    </row>
    <row r="654" spans="1:10" x14ac:dyDescent="0.25">
      <c r="A654" s="9" t="s">
        <v>102</v>
      </c>
      <c r="B654" s="10">
        <v>1</v>
      </c>
      <c r="D654" t="s">
        <v>856</v>
      </c>
      <c r="E654">
        <v>1</v>
      </c>
      <c r="F654">
        <f t="shared" si="30"/>
        <v>6.2155775398999025E-4</v>
      </c>
      <c r="G654">
        <f t="shared" si="32"/>
        <v>0.92319973200132321</v>
      </c>
      <c r="H654" t="str">
        <f t="shared" si="31"/>
        <v>B</v>
      </c>
      <c r="I654" t="str">
        <f>VLOOKUP(D654,'СУММА ПРОДАЖ'!J:N, 5, FALSE)</f>
        <v>C</v>
      </c>
      <c r="J654" t="str">
        <f>VLOOKUP(D654, 'МЕСЯЧНАЯ ОБОР.'!$V$4:$W$806, 2, FALSE)</f>
        <v>B</v>
      </c>
    </row>
    <row r="655" spans="1:10" x14ac:dyDescent="0.25">
      <c r="A655" s="9" t="s">
        <v>568</v>
      </c>
      <c r="B655" s="10">
        <v>3</v>
      </c>
      <c r="D655" t="s">
        <v>1038</v>
      </c>
      <c r="E655">
        <v>1</v>
      </c>
      <c r="F655">
        <f t="shared" si="30"/>
        <v>6.2155775398999025E-4</v>
      </c>
      <c r="G655">
        <f t="shared" si="32"/>
        <v>0.92382128975531319</v>
      </c>
      <c r="H655" t="str">
        <f t="shared" si="31"/>
        <v>B</v>
      </c>
      <c r="I655" t="str">
        <f>VLOOKUP(D655,'СУММА ПРОДАЖ'!J:N, 5, FALSE)</f>
        <v>A</v>
      </c>
      <c r="J655" t="str">
        <f>VLOOKUP(D655, 'МЕСЯЧНАЯ ОБОР.'!$V$4:$W$806, 2, FALSE)</f>
        <v>B</v>
      </c>
    </row>
    <row r="656" spans="1:10" x14ac:dyDescent="0.25">
      <c r="A656" s="9" t="s">
        <v>1042</v>
      </c>
      <c r="B656" s="10">
        <v>1</v>
      </c>
      <c r="D656" t="s">
        <v>237</v>
      </c>
      <c r="E656">
        <v>1</v>
      </c>
      <c r="F656">
        <f t="shared" si="30"/>
        <v>6.2155775398999025E-4</v>
      </c>
      <c r="G656">
        <f t="shared" si="32"/>
        <v>0.92444284750930317</v>
      </c>
      <c r="H656" t="str">
        <f t="shared" si="31"/>
        <v>B</v>
      </c>
      <c r="I656" t="str">
        <f>VLOOKUP(D656,'СУММА ПРОДАЖ'!J:N, 5, FALSE)</f>
        <v>A</v>
      </c>
      <c r="J656" t="str">
        <f>VLOOKUP(D656, 'МЕСЯЧНАЯ ОБОР.'!$V$4:$W$806, 2, FALSE)</f>
        <v>B</v>
      </c>
    </row>
    <row r="657" spans="1:10" x14ac:dyDescent="0.25">
      <c r="A657" s="9" t="s">
        <v>757</v>
      </c>
      <c r="B657" s="10">
        <v>1</v>
      </c>
      <c r="D657" t="s">
        <v>534</v>
      </c>
      <c r="E657">
        <v>1</v>
      </c>
      <c r="F657">
        <f t="shared" si="30"/>
        <v>6.2155775398999025E-4</v>
      </c>
      <c r="G657">
        <f t="shared" si="32"/>
        <v>0.92506440526329314</v>
      </c>
      <c r="H657" t="str">
        <f t="shared" si="31"/>
        <v>B</v>
      </c>
      <c r="I657" t="str">
        <f>VLOOKUP(D657,'СУММА ПРОДАЖ'!J:N, 5, FALSE)</f>
        <v>A</v>
      </c>
      <c r="J657" t="str">
        <f>VLOOKUP(D657, 'МЕСЯЧНАЯ ОБОР.'!$V$4:$W$806, 2, FALSE)</f>
        <v>B</v>
      </c>
    </row>
    <row r="658" spans="1:10" x14ac:dyDescent="0.25">
      <c r="A658" s="9" t="s">
        <v>1164</v>
      </c>
      <c r="B658" s="10">
        <v>1</v>
      </c>
      <c r="D658" t="s">
        <v>678</v>
      </c>
      <c r="E658">
        <v>1</v>
      </c>
      <c r="F658">
        <f t="shared" si="30"/>
        <v>6.2155775398999025E-4</v>
      </c>
      <c r="G658">
        <f t="shared" si="32"/>
        <v>0.92568596301728312</v>
      </c>
      <c r="H658" t="str">
        <f t="shared" si="31"/>
        <v>B</v>
      </c>
      <c r="I658" t="str">
        <f>VLOOKUP(D658,'СУММА ПРОДАЖ'!J:N, 5, FALSE)</f>
        <v>B</v>
      </c>
      <c r="J658" t="str">
        <f>VLOOKUP(D658, 'МЕСЯЧНАЯ ОБОР.'!$V$4:$W$806, 2, FALSE)</f>
        <v>B</v>
      </c>
    </row>
    <row r="659" spans="1:10" x14ac:dyDescent="0.25">
      <c r="A659" s="9" t="s">
        <v>44</v>
      </c>
      <c r="B659" s="10">
        <v>4</v>
      </c>
      <c r="D659" t="s">
        <v>468</v>
      </c>
      <c r="E659">
        <v>1</v>
      </c>
      <c r="F659">
        <f t="shared" si="30"/>
        <v>6.2155775398999025E-4</v>
      </c>
      <c r="G659">
        <f t="shared" si="32"/>
        <v>0.9263075207712731</v>
      </c>
      <c r="H659" t="str">
        <f t="shared" si="31"/>
        <v>B</v>
      </c>
      <c r="I659" t="str">
        <f>VLOOKUP(D659,'СУММА ПРОДАЖ'!J:N, 5, FALSE)</f>
        <v>B</v>
      </c>
      <c r="J659" t="str">
        <f>VLOOKUP(D659, 'МЕСЯЧНАЯ ОБОР.'!$V$4:$W$806, 2, FALSE)</f>
        <v>B</v>
      </c>
    </row>
    <row r="660" spans="1:10" x14ac:dyDescent="0.25">
      <c r="A660" s="9" t="s">
        <v>616</v>
      </c>
      <c r="B660" s="10">
        <v>1</v>
      </c>
      <c r="D660" t="s">
        <v>341</v>
      </c>
      <c r="E660">
        <v>1</v>
      </c>
      <c r="F660">
        <f t="shared" si="30"/>
        <v>6.2155775398999025E-4</v>
      </c>
      <c r="G660">
        <f t="shared" si="32"/>
        <v>0.92692907852526307</v>
      </c>
      <c r="H660" t="str">
        <f t="shared" si="31"/>
        <v>B</v>
      </c>
      <c r="I660" t="str">
        <f>VLOOKUP(D660,'СУММА ПРОДАЖ'!J:N, 5, FALSE)</f>
        <v>B</v>
      </c>
      <c r="J660" t="str">
        <f>VLOOKUP(D660, 'МЕСЯЧНАЯ ОБОР.'!$V$4:$W$806, 2, FALSE)</f>
        <v>B</v>
      </c>
    </row>
    <row r="661" spans="1:10" x14ac:dyDescent="0.25">
      <c r="A661" s="9" t="s">
        <v>1133</v>
      </c>
      <c r="B661" s="10">
        <v>1</v>
      </c>
      <c r="D661" t="s">
        <v>240</v>
      </c>
      <c r="E661">
        <v>1</v>
      </c>
      <c r="F661">
        <f t="shared" si="30"/>
        <v>6.2155775398999025E-4</v>
      </c>
      <c r="G661">
        <f t="shared" si="32"/>
        <v>0.92755063627925305</v>
      </c>
      <c r="H661" t="str">
        <f t="shared" si="31"/>
        <v>B</v>
      </c>
      <c r="I661" t="str">
        <f>VLOOKUP(D661,'СУММА ПРОДАЖ'!J:N, 5, FALSE)</f>
        <v>A</v>
      </c>
      <c r="J661" t="str">
        <f>VLOOKUP(D661, 'МЕСЯЧНАЯ ОБОР.'!$V$4:$W$806, 2, FALSE)</f>
        <v>B</v>
      </c>
    </row>
    <row r="662" spans="1:10" x14ac:dyDescent="0.25">
      <c r="A662" s="9" t="s">
        <v>558</v>
      </c>
      <c r="B662" s="10">
        <v>1</v>
      </c>
      <c r="D662" t="s">
        <v>367</v>
      </c>
      <c r="E662">
        <v>1</v>
      </c>
      <c r="F662">
        <f t="shared" si="30"/>
        <v>6.2155775398999025E-4</v>
      </c>
      <c r="G662">
        <f t="shared" si="32"/>
        <v>0.92817219403324303</v>
      </c>
      <c r="H662" t="str">
        <f t="shared" si="31"/>
        <v>B</v>
      </c>
      <c r="I662" t="str">
        <f>VLOOKUP(D662,'СУММА ПРОДАЖ'!J:N, 5, FALSE)</f>
        <v>C</v>
      </c>
      <c r="J662" t="str">
        <f>VLOOKUP(D662, 'МЕСЯЧНАЯ ОБОР.'!$V$4:$W$806, 2, FALSE)</f>
        <v>B</v>
      </c>
    </row>
    <row r="663" spans="1:10" x14ac:dyDescent="0.25">
      <c r="A663" s="9" t="s">
        <v>393</v>
      </c>
      <c r="B663" s="10">
        <v>2</v>
      </c>
      <c r="D663" t="s">
        <v>358</v>
      </c>
      <c r="E663">
        <v>1</v>
      </c>
      <c r="F663">
        <f t="shared" si="30"/>
        <v>6.2155775398999025E-4</v>
      </c>
      <c r="G663">
        <f t="shared" si="32"/>
        <v>0.928793751787233</v>
      </c>
      <c r="H663" t="str">
        <f t="shared" si="31"/>
        <v>B</v>
      </c>
      <c r="I663" t="str">
        <f>VLOOKUP(D663,'СУММА ПРОДАЖ'!J:N, 5, FALSE)</f>
        <v>C</v>
      </c>
      <c r="J663" t="str">
        <f>VLOOKUP(D663, 'МЕСЯЧНАЯ ОБОР.'!$V$4:$W$806, 2, FALSE)</f>
        <v>B</v>
      </c>
    </row>
    <row r="664" spans="1:10" x14ac:dyDescent="0.25">
      <c r="A664" s="9" t="s">
        <v>1136</v>
      </c>
      <c r="B664" s="10">
        <v>1</v>
      </c>
      <c r="D664" t="s">
        <v>1222</v>
      </c>
      <c r="E664">
        <v>1</v>
      </c>
      <c r="F664">
        <f t="shared" si="30"/>
        <v>6.2155775398999025E-4</v>
      </c>
      <c r="G664">
        <f t="shared" si="32"/>
        <v>0.92941530954122298</v>
      </c>
      <c r="H664" t="str">
        <f t="shared" si="31"/>
        <v>B</v>
      </c>
      <c r="I664" t="str">
        <f>VLOOKUP(D664,'СУММА ПРОДАЖ'!J:N, 5, FALSE)</f>
        <v>B</v>
      </c>
      <c r="J664" t="str">
        <f>VLOOKUP(D664, 'МЕСЯЧНАЯ ОБОР.'!$V$4:$W$806, 2, FALSE)</f>
        <v>B</v>
      </c>
    </row>
    <row r="665" spans="1:10" x14ac:dyDescent="0.25">
      <c r="A665" s="9" t="s">
        <v>1168</v>
      </c>
      <c r="B665" s="10">
        <v>1</v>
      </c>
      <c r="D665" t="s">
        <v>977</v>
      </c>
      <c r="E665">
        <v>1</v>
      </c>
      <c r="F665">
        <f t="shared" si="30"/>
        <v>6.2155775398999025E-4</v>
      </c>
      <c r="G665">
        <f t="shared" si="32"/>
        <v>0.93003686729521295</v>
      </c>
      <c r="H665" t="str">
        <f t="shared" si="31"/>
        <v>B</v>
      </c>
      <c r="I665" t="str">
        <f>VLOOKUP(D665,'СУММА ПРОДАЖ'!J:N, 5, FALSE)</f>
        <v>B</v>
      </c>
      <c r="J665" t="str">
        <f>VLOOKUP(D665, 'МЕСЯЧНАЯ ОБОР.'!$V$4:$W$806, 2, FALSE)</f>
        <v>B</v>
      </c>
    </row>
    <row r="666" spans="1:10" x14ac:dyDescent="0.25">
      <c r="A666" s="9" t="s">
        <v>693</v>
      </c>
      <c r="B666" s="10">
        <v>1</v>
      </c>
      <c r="D666" t="s">
        <v>1193</v>
      </c>
      <c r="E666">
        <v>1</v>
      </c>
      <c r="F666">
        <f t="shared" si="30"/>
        <v>6.2155775398999025E-4</v>
      </c>
      <c r="G666">
        <f t="shared" si="32"/>
        <v>0.93065842504920293</v>
      </c>
      <c r="H666" t="str">
        <f t="shared" si="31"/>
        <v>B</v>
      </c>
      <c r="I666" t="str">
        <f>VLOOKUP(D666,'СУММА ПРОДАЖ'!J:N, 5, FALSE)</f>
        <v>B</v>
      </c>
      <c r="J666" t="str">
        <f>VLOOKUP(D666, 'МЕСЯЧНАЯ ОБОР.'!$V$4:$W$806, 2, FALSE)</f>
        <v>B</v>
      </c>
    </row>
    <row r="667" spans="1:10" x14ac:dyDescent="0.25">
      <c r="A667" s="9" t="s">
        <v>1031</v>
      </c>
      <c r="B667" s="10">
        <v>2</v>
      </c>
      <c r="D667" t="s">
        <v>795</v>
      </c>
      <c r="E667">
        <v>1</v>
      </c>
      <c r="F667">
        <f t="shared" si="30"/>
        <v>6.2155775398999025E-4</v>
      </c>
      <c r="G667">
        <f t="shared" si="32"/>
        <v>0.93127998280319291</v>
      </c>
      <c r="H667" t="str">
        <f t="shared" si="31"/>
        <v>B</v>
      </c>
      <c r="I667" t="str">
        <f>VLOOKUP(D667,'СУММА ПРОДАЖ'!J:N, 5, FALSE)</f>
        <v>B</v>
      </c>
      <c r="J667" t="str">
        <f>VLOOKUP(D667, 'МЕСЯЧНАЯ ОБОР.'!$V$4:$W$806, 2, FALSE)</f>
        <v>B</v>
      </c>
    </row>
    <row r="668" spans="1:10" x14ac:dyDescent="0.25">
      <c r="A668" s="9" t="s">
        <v>752</v>
      </c>
      <c r="B668" s="10">
        <v>2</v>
      </c>
      <c r="D668" t="s">
        <v>216</v>
      </c>
      <c r="E668">
        <v>1</v>
      </c>
      <c r="F668">
        <f t="shared" si="30"/>
        <v>6.2155775398999025E-4</v>
      </c>
      <c r="G668">
        <f t="shared" si="32"/>
        <v>0.93190154055718288</v>
      </c>
      <c r="H668" t="str">
        <f t="shared" si="31"/>
        <v>B</v>
      </c>
      <c r="I668" t="str">
        <f>VLOOKUP(D668,'СУММА ПРОДАЖ'!J:N, 5, FALSE)</f>
        <v>B</v>
      </c>
      <c r="J668" t="str">
        <f>VLOOKUP(D668, 'МЕСЯЧНАЯ ОБОР.'!$V$4:$W$806, 2, FALSE)</f>
        <v>B</v>
      </c>
    </row>
    <row r="669" spans="1:10" x14ac:dyDescent="0.25">
      <c r="A669" s="9" t="s">
        <v>888</v>
      </c>
      <c r="B669" s="10">
        <v>1</v>
      </c>
      <c r="D669" t="s">
        <v>787</v>
      </c>
      <c r="E669">
        <v>1</v>
      </c>
      <c r="F669">
        <f t="shared" si="30"/>
        <v>6.2155775398999025E-4</v>
      </c>
      <c r="G669">
        <f t="shared" si="32"/>
        <v>0.93252309831117286</v>
      </c>
      <c r="H669" t="str">
        <f t="shared" si="31"/>
        <v>B</v>
      </c>
      <c r="I669" t="str">
        <f>VLOOKUP(D669,'СУММА ПРОДАЖ'!J:N, 5, FALSE)</f>
        <v>A</v>
      </c>
      <c r="J669" t="str">
        <f>VLOOKUP(D669, 'МЕСЯЧНАЯ ОБОР.'!$V$4:$W$806, 2, FALSE)</f>
        <v>B</v>
      </c>
    </row>
    <row r="670" spans="1:10" x14ac:dyDescent="0.25">
      <c r="A670" s="9" t="s">
        <v>344</v>
      </c>
      <c r="B670" s="10">
        <v>1</v>
      </c>
      <c r="D670" t="s">
        <v>1023</v>
      </c>
      <c r="E670">
        <v>1</v>
      </c>
      <c r="F670">
        <f t="shared" si="30"/>
        <v>6.2155775398999025E-4</v>
      </c>
      <c r="G670">
        <f t="shared" si="32"/>
        <v>0.93314465606516284</v>
      </c>
      <c r="H670" t="str">
        <f t="shared" si="31"/>
        <v>B</v>
      </c>
      <c r="I670" t="str">
        <f>VLOOKUP(D670,'СУММА ПРОДАЖ'!J:N, 5, FALSE)</f>
        <v>B</v>
      </c>
      <c r="J670" t="str">
        <f>VLOOKUP(D670, 'МЕСЯЧНАЯ ОБОР.'!$V$4:$W$806, 2, FALSE)</f>
        <v>B</v>
      </c>
    </row>
    <row r="671" spans="1:10" x14ac:dyDescent="0.25">
      <c r="A671" s="9" t="s">
        <v>1088</v>
      </c>
      <c r="B671" s="10">
        <v>1</v>
      </c>
      <c r="D671" t="s">
        <v>559</v>
      </c>
      <c r="E671">
        <v>1</v>
      </c>
      <c r="F671">
        <f t="shared" si="30"/>
        <v>6.2155775398999025E-4</v>
      </c>
      <c r="G671">
        <f t="shared" si="32"/>
        <v>0.93376621381915281</v>
      </c>
      <c r="H671" t="str">
        <f t="shared" si="31"/>
        <v>B</v>
      </c>
      <c r="I671" t="str">
        <f>VLOOKUP(D671,'СУММА ПРОДАЖ'!J:N, 5, FALSE)</f>
        <v>B</v>
      </c>
      <c r="J671" t="str">
        <f>VLOOKUP(D671, 'МЕСЯЧНАЯ ОБОР.'!$V$4:$W$806, 2, FALSE)</f>
        <v>B</v>
      </c>
    </row>
    <row r="672" spans="1:10" x14ac:dyDescent="0.25">
      <c r="A672" s="9" t="s">
        <v>664</v>
      </c>
      <c r="B672" s="10">
        <v>4</v>
      </c>
      <c r="D672" t="s">
        <v>102</v>
      </c>
      <c r="E672">
        <v>1</v>
      </c>
      <c r="F672">
        <f t="shared" si="30"/>
        <v>6.2155775398999025E-4</v>
      </c>
      <c r="G672">
        <f t="shared" si="32"/>
        <v>0.93438777157314279</v>
      </c>
      <c r="H672" t="str">
        <f t="shared" si="31"/>
        <v>B</v>
      </c>
      <c r="I672" t="str">
        <f>VLOOKUP(D672,'СУММА ПРОДАЖ'!J:N, 5, FALSE)</f>
        <v>C</v>
      </c>
      <c r="J672" t="str">
        <f>VLOOKUP(D672, 'МЕСЯЧНАЯ ОБОР.'!$V$4:$W$806, 2, FALSE)</f>
        <v>B</v>
      </c>
    </row>
    <row r="673" spans="1:10" x14ac:dyDescent="0.25">
      <c r="A673" s="9" t="s">
        <v>1111</v>
      </c>
      <c r="B673" s="10">
        <v>0.05</v>
      </c>
      <c r="D673" t="s">
        <v>1042</v>
      </c>
      <c r="E673">
        <v>1</v>
      </c>
      <c r="F673">
        <f t="shared" si="30"/>
        <v>6.2155775398999025E-4</v>
      </c>
      <c r="G673">
        <f t="shared" si="32"/>
        <v>0.93500932932713277</v>
      </c>
      <c r="H673" t="str">
        <f t="shared" si="31"/>
        <v>B</v>
      </c>
      <c r="I673" t="str">
        <f>VLOOKUP(D673,'СУММА ПРОДАЖ'!J:N, 5, FALSE)</f>
        <v>A</v>
      </c>
      <c r="J673" t="str">
        <f>VLOOKUP(D673, 'МЕСЯЧНАЯ ОБОР.'!$V$4:$W$806, 2, FALSE)</f>
        <v>B</v>
      </c>
    </row>
    <row r="674" spans="1:10" x14ac:dyDescent="0.25">
      <c r="A674" s="9" t="s">
        <v>800</v>
      </c>
      <c r="B674" s="10">
        <v>0.14000000000000001</v>
      </c>
      <c r="D674" t="s">
        <v>757</v>
      </c>
      <c r="E674">
        <v>1</v>
      </c>
      <c r="F674">
        <f t="shared" si="30"/>
        <v>6.2155775398999025E-4</v>
      </c>
      <c r="G674">
        <f t="shared" si="32"/>
        <v>0.93563088708112274</v>
      </c>
      <c r="H674" t="str">
        <f t="shared" si="31"/>
        <v>B</v>
      </c>
      <c r="I674" t="str">
        <f>VLOOKUP(D674,'СУММА ПРОДАЖ'!J:N, 5, FALSE)</f>
        <v>A</v>
      </c>
      <c r="J674" t="str">
        <f>VLOOKUP(D674, 'МЕСЯЧНАЯ ОБОР.'!$V$4:$W$806, 2, FALSE)</f>
        <v>B</v>
      </c>
    </row>
    <row r="675" spans="1:10" x14ac:dyDescent="0.25">
      <c r="A675" s="9" t="s">
        <v>1066</v>
      </c>
      <c r="B675" s="10">
        <v>0.05</v>
      </c>
      <c r="D675" t="s">
        <v>1164</v>
      </c>
      <c r="E675">
        <v>1</v>
      </c>
      <c r="F675">
        <f t="shared" si="30"/>
        <v>6.2155775398999025E-4</v>
      </c>
      <c r="G675">
        <f t="shared" si="32"/>
        <v>0.93625244483511272</v>
      </c>
      <c r="H675" t="str">
        <f t="shared" si="31"/>
        <v>B</v>
      </c>
      <c r="I675" t="str">
        <f>VLOOKUP(D675,'СУММА ПРОДАЖ'!J:N, 5, FALSE)</f>
        <v>A</v>
      </c>
      <c r="J675" t="str">
        <f>VLOOKUP(D675, 'МЕСЯЧНАЯ ОБОР.'!$V$4:$W$806, 2, FALSE)</f>
        <v>B</v>
      </c>
    </row>
    <row r="676" spans="1:10" x14ac:dyDescent="0.25">
      <c r="A676" s="9" t="s">
        <v>711</v>
      </c>
      <c r="B676" s="10">
        <v>0.11000000000000001</v>
      </c>
      <c r="D676" t="s">
        <v>616</v>
      </c>
      <c r="E676">
        <v>1</v>
      </c>
      <c r="F676">
        <f t="shared" si="30"/>
        <v>6.2155775398999025E-4</v>
      </c>
      <c r="G676">
        <f t="shared" si="32"/>
        <v>0.93687400258910269</v>
      </c>
      <c r="H676" t="str">
        <f t="shared" si="31"/>
        <v>B</v>
      </c>
      <c r="I676" t="str">
        <f>VLOOKUP(D676,'СУММА ПРОДАЖ'!J:N, 5, FALSE)</f>
        <v>A</v>
      </c>
      <c r="J676" t="str">
        <f>VLOOKUP(D676, 'МЕСЯЧНАЯ ОБОР.'!$V$4:$W$806, 2, FALSE)</f>
        <v>B</v>
      </c>
    </row>
    <row r="677" spans="1:10" x14ac:dyDescent="0.25">
      <c r="A677" s="9" t="s">
        <v>946</v>
      </c>
      <c r="B677" s="10">
        <v>1</v>
      </c>
      <c r="D677" t="s">
        <v>1133</v>
      </c>
      <c r="E677">
        <v>1</v>
      </c>
      <c r="F677">
        <f t="shared" si="30"/>
        <v>6.2155775398999025E-4</v>
      </c>
      <c r="G677">
        <f t="shared" si="32"/>
        <v>0.93749556034309267</v>
      </c>
      <c r="H677" t="str">
        <f t="shared" si="31"/>
        <v>B</v>
      </c>
      <c r="I677" t="str">
        <f>VLOOKUP(D677,'СУММА ПРОДАЖ'!J:N, 5, FALSE)</f>
        <v>A</v>
      </c>
      <c r="J677" t="str">
        <f>VLOOKUP(D677, 'МЕСЯЧНАЯ ОБОР.'!$V$4:$W$806, 2, FALSE)</f>
        <v>B</v>
      </c>
    </row>
    <row r="678" spans="1:10" x14ac:dyDescent="0.25">
      <c r="A678" s="9" t="s">
        <v>497</v>
      </c>
      <c r="B678" s="10">
        <v>1</v>
      </c>
      <c r="D678" t="s">
        <v>558</v>
      </c>
      <c r="E678">
        <v>1</v>
      </c>
      <c r="F678">
        <f t="shared" si="30"/>
        <v>6.2155775398999025E-4</v>
      </c>
      <c r="G678">
        <f t="shared" si="32"/>
        <v>0.93811711809708265</v>
      </c>
      <c r="H678" t="str">
        <f t="shared" si="31"/>
        <v>B</v>
      </c>
      <c r="I678" t="str">
        <f>VLOOKUP(D678,'СУММА ПРОДАЖ'!J:N, 5, FALSE)</f>
        <v>B</v>
      </c>
      <c r="J678" t="str">
        <f>VLOOKUP(D678, 'МЕСЯЧНАЯ ОБОР.'!$V$4:$W$806, 2, FALSE)</f>
        <v>B</v>
      </c>
    </row>
    <row r="679" spans="1:10" x14ac:dyDescent="0.25">
      <c r="A679" s="9" t="s">
        <v>561</v>
      </c>
      <c r="B679" s="10">
        <v>1</v>
      </c>
      <c r="D679" t="s">
        <v>1136</v>
      </c>
      <c r="E679">
        <v>1</v>
      </c>
      <c r="F679">
        <f t="shared" si="30"/>
        <v>6.2155775398999025E-4</v>
      </c>
      <c r="G679">
        <f t="shared" si="32"/>
        <v>0.93873867585107262</v>
      </c>
      <c r="H679" t="str">
        <f t="shared" si="31"/>
        <v>B</v>
      </c>
      <c r="I679" t="str">
        <f>VLOOKUP(D679,'СУММА ПРОДАЖ'!J:N, 5, FALSE)</f>
        <v>C</v>
      </c>
      <c r="J679" t="str">
        <f>VLOOKUP(D679, 'МЕСЯЧНАЯ ОБОР.'!$V$4:$W$806, 2, FALSE)</f>
        <v>B</v>
      </c>
    </row>
    <row r="680" spans="1:10" x14ac:dyDescent="0.25">
      <c r="A680" s="9" t="s">
        <v>348</v>
      </c>
      <c r="B680" s="10">
        <v>1</v>
      </c>
      <c r="D680" t="s">
        <v>1168</v>
      </c>
      <c r="E680">
        <v>1</v>
      </c>
      <c r="F680">
        <f t="shared" si="30"/>
        <v>6.2155775398999025E-4</v>
      </c>
      <c r="G680">
        <f t="shared" si="32"/>
        <v>0.9393602336050626</v>
      </c>
      <c r="H680" t="str">
        <f t="shared" si="31"/>
        <v>B</v>
      </c>
      <c r="I680" t="str">
        <f>VLOOKUP(D680,'СУММА ПРОДАЖ'!J:N, 5, FALSE)</f>
        <v>A</v>
      </c>
      <c r="J680" t="str">
        <f>VLOOKUP(D680, 'МЕСЯЧНАЯ ОБОР.'!$V$4:$W$806, 2, FALSE)</f>
        <v>B</v>
      </c>
    </row>
    <row r="681" spans="1:10" x14ac:dyDescent="0.25">
      <c r="A681" s="9" t="s">
        <v>169</v>
      </c>
      <c r="B681" s="10">
        <v>7</v>
      </c>
      <c r="D681" t="s">
        <v>693</v>
      </c>
      <c r="E681">
        <v>1</v>
      </c>
      <c r="F681">
        <f t="shared" si="30"/>
        <v>6.2155775398999025E-4</v>
      </c>
      <c r="G681">
        <f t="shared" si="32"/>
        <v>0.93998179135905258</v>
      </c>
      <c r="H681" t="str">
        <f t="shared" si="31"/>
        <v>B</v>
      </c>
      <c r="I681" t="str">
        <f>VLOOKUP(D681,'СУММА ПРОДАЖ'!J:N, 5, FALSE)</f>
        <v>A</v>
      </c>
      <c r="J681" t="str">
        <f>VLOOKUP(D681, 'МЕСЯЧНАЯ ОБОР.'!$V$4:$W$806, 2, FALSE)</f>
        <v>B</v>
      </c>
    </row>
    <row r="682" spans="1:10" x14ac:dyDescent="0.25">
      <c r="A682" s="9" t="s">
        <v>514</v>
      </c>
      <c r="B682" s="10">
        <v>11</v>
      </c>
      <c r="D682" t="s">
        <v>888</v>
      </c>
      <c r="E682">
        <v>1</v>
      </c>
      <c r="F682">
        <f t="shared" si="30"/>
        <v>6.2155775398999025E-4</v>
      </c>
      <c r="G682">
        <f t="shared" si="32"/>
        <v>0.94060334911304255</v>
      </c>
      <c r="H682" t="str">
        <f t="shared" si="31"/>
        <v>B</v>
      </c>
      <c r="I682" t="str">
        <f>VLOOKUP(D682,'СУММА ПРОДАЖ'!J:N, 5, FALSE)</f>
        <v>A</v>
      </c>
      <c r="J682" t="str">
        <f>VLOOKUP(D682, 'МЕСЯЧНАЯ ОБОР.'!$V$4:$W$806, 2, FALSE)</f>
        <v>B</v>
      </c>
    </row>
    <row r="683" spans="1:10" x14ac:dyDescent="0.25">
      <c r="A683" s="9" t="s">
        <v>343</v>
      </c>
      <c r="B683" s="10">
        <v>1</v>
      </c>
      <c r="D683" t="s">
        <v>344</v>
      </c>
      <c r="E683">
        <v>1</v>
      </c>
      <c r="F683">
        <f t="shared" si="30"/>
        <v>6.2155775398999025E-4</v>
      </c>
      <c r="G683">
        <f t="shared" si="32"/>
        <v>0.94122490686703253</v>
      </c>
      <c r="H683" t="str">
        <f t="shared" si="31"/>
        <v>B</v>
      </c>
      <c r="I683" t="str">
        <f>VLOOKUP(D683,'СУММА ПРОДАЖ'!J:N, 5, FALSE)</f>
        <v>C</v>
      </c>
      <c r="J683" t="str">
        <f>VLOOKUP(D683, 'МЕСЯЧНАЯ ОБОР.'!$V$4:$W$806, 2, FALSE)</f>
        <v>B</v>
      </c>
    </row>
    <row r="684" spans="1:10" x14ac:dyDescent="0.25">
      <c r="A684" s="9" t="s">
        <v>754</v>
      </c>
      <c r="B684" s="10">
        <v>1</v>
      </c>
      <c r="D684" t="s">
        <v>1088</v>
      </c>
      <c r="E684">
        <v>1</v>
      </c>
      <c r="F684">
        <f t="shared" si="30"/>
        <v>6.2155775398999025E-4</v>
      </c>
      <c r="G684">
        <f t="shared" si="32"/>
        <v>0.94184646462102251</v>
      </c>
      <c r="H684" t="str">
        <f t="shared" si="31"/>
        <v>B</v>
      </c>
      <c r="I684" t="str">
        <f>VLOOKUP(D684,'СУММА ПРОДАЖ'!J:N, 5, FALSE)</f>
        <v>C</v>
      </c>
      <c r="J684" t="str">
        <f>VLOOKUP(D684, 'МЕСЯЧНАЯ ОБОР.'!$V$4:$W$806, 2, FALSE)</f>
        <v>B</v>
      </c>
    </row>
    <row r="685" spans="1:10" x14ac:dyDescent="0.25">
      <c r="A685" s="9" t="s">
        <v>1137</v>
      </c>
      <c r="B685" s="10">
        <v>1</v>
      </c>
      <c r="D685" t="s">
        <v>946</v>
      </c>
      <c r="E685">
        <v>1</v>
      </c>
      <c r="F685">
        <f t="shared" si="30"/>
        <v>6.2155775398999025E-4</v>
      </c>
      <c r="G685">
        <f t="shared" si="32"/>
        <v>0.94246802237501248</v>
      </c>
      <c r="H685" t="str">
        <f t="shared" si="31"/>
        <v>B</v>
      </c>
      <c r="I685" t="str">
        <f>VLOOKUP(D685,'СУММА ПРОДАЖ'!J:N, 5, FALSE)</f>
        <v>A</v>
      </c>
      <c r="J685" t="str">
        <f>VLOOKUP(D685, 'МЕСЯЧНАЯ ОБОР.'!$V$4:$W$806, 2, FALSE)</f>
        <v>B</v>
      </c>
    </row>
    <row r="686" spans="1:10" x14ac:dyDescent="0.25">
      <c r="A686" s="9" t="s">
        <v>206</v>
      </c>
      <c r="B686" s="10">
        <v>1</v>
      </c>
      <c r="D686" t="s">
        <v>497</v>
      </c>
      <c r="E686">
        <v>1</v>
      </c>
      <c r="F686">
        <f t="shared" si="30"/>
        <v>6.2155775398999025E-4</v>
      </c>
      <c r="G686">
        <f t="shared" si="32"/>
        <v>0.94308958012900246</v>
      </c>
      <c r="H686" t="str">
        <f t="shared" si="31"/>
        <v>B</v>
      </c>
      <c r="I686" t="str">
        <f>VLOOKUP(D686,'СУММА ПРОДАЖ'!J:N, 5, FALSE)</f>
        <v>B</v>
      </c>
      <c r="J686" t="str">
        <f>VLOOKUP(D686, 'МЕСЯЧНАЯ ОБОР.'!$V$4:$W$806, 2, FALSE)</f>
        <v>B</v>
      </c>
    </row>
    <row r="687" spans="1:10" x14ac:dyDescent="0.25">
      <c r="A687" s="9" t="s">
        <v>359</v>
      </c>
      <c r="B687" s="10">
        <v>1</v>
      </c>
      <c r="D687" t="s">
        <v>561</v>
      </c>
      <c r="E687">
        <v>1</v>
      </c>
      <c r="F687">
        <f t="shared" si="30"/>
        <v>6.2155775398999025E-4</v>
      </c>
      <c r="G687">
        <f t="shared" si="32"/>
        <v>0.94371113788299243</v>
      </c>
      <c r="H687" t="str">
        <f t="shared" si="31"/>
        <v>B</v>
      </c>
      <c r="I687" t="str">
        <f>VLOOKUP(D687,'СУММА ПРОДАЖ'!J:N, 5, FALSE)</f>
        <v>C</v>
      </c>
      <c r="J687" t="str">
        <f>VLOOKUP(D687, 'МЕСЯЧНАЯ ОБОР.'!$V$4:$W$806, 2, FALSE)</f>
        <v>B</v>
      </c>
    </row>
    <row r="688" spans="1:10" x14ac:dyDescent="0.25">
      <c r="A688" s="9" t="s">
        <v>625</v>
      </c>
      <c r="B688" s="10">
        <v>0.8</v>
      </c>
      <c r="D688" t="s">
        <v>348</v>
      </c>
      <c r="E688">
        <v>1</v>
      </c>
      <c r="F688">
        <f t="shared" si="30"/>
        <v>6.2155775398999025E-4</v>
      </c>
      <c r="G688">
        <f t="shared" si="32"/>
        <v>0.94433269563698241</v>
      </c>
      <c r="H688" t="str">
        <f t="shared" si="31"/>
        <v>B</v>
      </c>
      <c r="I688" t="str">
        <f>VLOOKUP(D688,'СУММА ПРОДАЖ'!J:N, 5, FALSE)</f>
        <v>A</v>
      </c>
      <c r="J688" t="str">
        <f>VLOOKUP(D688, 'МЕСЯЧНАЯ ОБОР.'!$V$4:$W$806, 2, FALSE)</f>
        <v>B</v>
      </c>
    </row>
    <row r="689" spans="1:10" x14ac:dyDescent="0.25">
      <c r="A689" s="9" t="s">
        <v>857</v>
      </c>
      <c r="B689" s="10">
        <v>1</v>
      </c>
      <c r="D689" t="s">
        <v>343</v>
      </c>
      <c r="E689">
        <v>1</v>
      </c>
      <c r="F689">
        <f t="shared" si="30"/>
        <v>6.2155775398999025E-4</v>
      </c>
      <c r="G689">
        <f t="shared" si="32"/>
        <v>0.94495425339097239</v>
      </c>
      <c r="H689" t="str">
        <f t="shared" si="31"/>
        <v>B</v>
      </c>
      <c r="I689" t="str">
        <f>VLOOKUP(D689,'СУММА ПРОДАЖ'!J:N, 5, FALSE)</f>
        <v>A</v>
      </c>
      <c r="J689" t="str">
        <f>VLOOKUP(D689, 'МЕСЯЧНАЯ ОБОР.'!$V$4:$W$806, 2, FALSE)</f>
        <v>B</v>
      </c>
    </row>
    <row r="690" spans="1:10" x14ac:dyDescent="0.25">
      <c r="A690" s="9" t="s">
        <v>200</v>
      </c>
      <c r="B690" s="10">
        <v>0.21428570999999999</v>
      </c>
      <c r="D690" t="s">
        <v>754</v>
      </c>
      <c r="E690">
        <v>1</v>
      </c>
      <c r="F690">
        <f t="shared" si="30"/>
        <v>6.2155775398999025E-4</v>
      </c>
      <c r="G690">
        <f t="shared" si="32"/>
        <v>0.94557581114496236</v>
      </c>
      <c r="H690" t="str">
        <f t="shared" si="31"/>
        <v>B</v>
      </c>
      <c r="I690" t="str">
        <f>VLOOKUP(D690,'СУММА ПРОДАЖ'!J:N, 5, FALSE)</f>
        <v>A</v>
      </c>
      <c r="J690" t="str">
        <f>VLOOKUP(D690, 'МЕСЯЧНАЯ ОБОР.'!$V$4:$W$806, 2, FALSE)</f>
        <v>B</v>
      </c>
    </row>
    <row r="691" spans="1:10" x14ac:dyDescent="0.25">
      <c r="A691" s="9" t="s">
        <v>573</v>
      </c>
      <c r="B691" s="10">
        <v>1</v>
      </c>
      <c r="D691" t="s">
        <v>1137</v>
      </c>
      <c r="E691">
        <v>1</v>
      </c>
      <c r="F691">
        <f t="shared" si="30"/>
        <v>6.2155775398999025E-4</v>
      </c>
      <c r="G691">
        <f t="shared" si="32"/>
        <v>0.94619736889895234</v>
      </c>
      <c r="H691" t="str">
        <f t="shared" si="31"/>
        <v>B</v>
      </c>
      <c r="I691" t="str">
        <f>VLOOKUP(D691,'СУММА ПРОДАЖ'!J:N, 5, FALSE)</f>
        <v>B</v>
      </c>
      <c r="J691" t="str">
        <f>VLOOKUP(D691, 'МЕСЯЧНАЯ ОБОР.'!$V$4:$W$806, 2, FALSE)</f>
        <v>B</v>
      </c>
    </row>
    <row r="692" spans="1:10" x14ac:dyDescent="0.25">
      <c r="A692" s="9" t="s">
        <v>226</v>
      </c>
      <c r="B692" s="10">
        <v>5</v>
      </c>
      <c r="D692" t="s">
        <v>206</v>
      </c>
      <c r="E692">
        <v>1</v>
      </c>
      <c r="F692">
        <f t="shared" si="30"/>
        <v>6.2155775398999025E-4</v>
      </c>
      <c r="G692">
        <f t="shared" si="32"/>
        <v>0.94681892665294232</v>
      </c>
      <c r="H692" t="str">
        <f t="shared" si="31"/>
        <v>B</v>
      </c>
      <c r="I692" t="str">
        <f>VLOOKUP(D692,'СУММА ПРОДАЖ'!J:N, 5, FALSE)</f>
        <v>B</v>
      </c>
      <c r="J692" t="str">
        <f>VLOOKUP(D692, 'МЕСЯЧНАЯ ОБОР.'!$V$4:$W$806, 2, FALSE)</f>
        <v>B</v>
      </c>
    </row>
    <row r="693" spans="1:10" x14ac:dyDescent="0.25">
      <c r="A693" s="9" t="s">
        <v>165</v>
      </c>
      <c r="B693" s="10">
        <v>2</v>
      </c>
      <c r="D693" t="s">
        <v>359</v>
      </c>
      <c r="E693">
        <v>1</v>
      </c>
      <c r="F693">
        <f t="shared" si="30"/>
        <v>6.2155775398999025E-4</v>
      </c>
      <c r="G693">
        <f t="shared" si="32"/>
        <v>0.94744048440693229</v>
      </c>
      <c r="H693" t="str">
        <f t="shared" si="31"/>
        <v>B</v>
      </c>
      <c r="I693" t="str">
        <f>VLOOKUP(D693,'СУММА ПРОДАЖ'!J:N, 5, FALSE)</f>
        <v>B</v>
      </c>
      <c r="J693" t="str">
        <f>VLOOKUP(D693, 'МЕСЯЧНАЯ ОБОР.'!$V$4:$W$806, 2, FALSE)</f>
        <v>B</v>
      </c>
    </row>
    <row r="694" spans="1:10" x14ac:dyDescent="0.25">
      <c r="A694" s="9" t="s">
        <v>336</v>
      </c>
      <c r="B694" s="10">
        <v>1</v>
      </c>
      <c r="D694" t="s">
        <v>857</v>
      </c>
      <c r="E694">
        <v>1</v>
      </c>
      <c r="F694">
        <f t="shared" si="30"/>
        <v>6.2155775398999025E-4</v>
      </c>
      <c r="G694">
        <f t="shared" si="32"/>
        <v>0.94806204216092227</v>
      </c>
      <c r="H694" t="str">
        <f t="shared" si="31"/>
        <v>B</v>
      </c>
      <c r="I694" t="str">
        <f>VLOOKUP(D694,'СУММА ПРОДАЖ'!J:N, 5, FALSE)</f>
        <v>A</v>
      </c>
      <c r="J694" t="str">
        <f>VLOOKUP(D694, 'МЕСЯЧНАЯ ОБОР.'!$V$4:$W$806, 2, FALSE)</f>
        <v>B</v>
      </c>
    </row>
    <row r="695" spans="1:10" x14ac:dyDescent="0.25">
      <c r="A695" s="9" t="s">
        <v>74</v>
      </c>
      <c r="B695" s="10">
        <v>1</v>
      </c>
      <c r="D695" t="s">
        <v>573</v>
      </c>
      <c r="E695">
        <v>1</v>
      </c>
      <c r="F695">
        <f t="shared" si="30"/>
        <v>6.2155775398999025E-4</v>
      </c>
      <c r="G695">
        <f t="shared" si="32"/>
        <v>0.94868359991491225</v>
      </c>
      <c r="H695" t="str">
        <f t="shared" si="31"/>
        <v>B</v>
      </c>
      <c r="I695" t="str">
        <f>VLOOKUP(D695,'СУММА ПРОДАЖ'!J:N, 5, FALSE)</f>
        <v>C</v>
      </c>
      <c r="J695" t="str">
        <f>VLOOKUP(D695, 'МЕСЯЧНАЯ ОБОР.'!$V$4:$W$806, 2, FALSE)</f>
        <v>B</v>
      </c>
    </row>
    <row r="696" spans="1:10" x14ac:dyDescent="0.25">
      <c r="A696" s="9" t="s">
        <v>920</v>
      </c>
      <c r="B696" s="10">
        <v>2</v>
      </c>
      <c r="D696" t="s">
        <v>336</v>
      </c>
      <c r="E696">
        <v>1</v>
      </c>
      <c r="F696">
        <f t="shared" si="30"/>
        <v>6.2155775398999025E-4</v>
      </c>
      <c r="G696">
        <f t="shared" si="32"/>
        <v>0.94930515766890222</v>
      </c>
      <c r="H696" t="str">
        <f t="shared" si="31"/>
        <v>B</v>
      </c>
      <c r="I696" t="str">
        <f>VLOOKUP(D696,'СУММА ПРОДАЖ'!J:N, 5, FALSE)</f>
        <v>B</v>
      </c>
      <c r="J696" t="str">
        <f>VLOOKUP(D696, 'МЕСЯЧНАЯ ОБОР.'!$V$4:$W$806, 2, FALSE)</f>
        <v>B</v>
      </c>
    </row>
    <row r="697" spans="1:10" x14ac:dyDescent="0.25">
      <c r="A697" s="9" t="s">
        <v>1003</v>
      </c>
      <c r="B697" s="10">
        <v>1</v>
      </c>
      <c r="D697" t="s">
        <v>74</v>
      </c>
      <c r="E697">
        <v>1</v>
      </c>
      <c r="F697">
        <f t="shared" si="30"/>
        <v>6.2155775398999025E-4</v>
      </c>
      <c r="G697">
        <f t="shared" si="32"/>
        <v>0.9499267154228922</v>
      </c>
      <c r="H697" t="str">
        <f t="shared" si="31"/>
        <v>B</v>
      </c>
      <c r="I697" t="str">
        <f>VLOOKUP(D697,'СУММА ПРОДАЖ'!J:N, 5, FALSE)</f>
        <v>C</v>
      </c>
      <c r="J697" t="str">
        <f>VLOOKUP(D697, 'МЕСЯЧНАЯ ОБОР.'!$V$4:$W$806, 2, FALSE)</f>
        <v>B</v>
      </c>
    </row>
    <row r="698" spans="1:10" x14ac:dyDescent="0.25">
      <c r="A698" s="9" t="s">
        <v>23</v>
      </c>
      <c r="B698" s="10">
        <v>1</v>
      </c>
      <c r="D698" t="s">
        <v>1003</v>
      </c>
      <c r="E698">
        <v>1</v>
      </c>
      <c r="F698">
        <f t="shared" si="30"/>
        <v>6.2155775398999025E-4</v>
      </c>
      <c r="G698">
        <f t="shared" si="32"/>
        <v>0.95054827317688217</v>
      </c>
      <c r="H698" t="str">
        <f t="shared" si="31"/>
        <v>C</v>
      </c>
      <c r="I698" t="str">
        <f>VLOOKUP(D698,'СУММА ПРОДАЖ'!J:N, 5, FALSE)</f>
        <v>B</v>
      </c>
      <c r="J698" t="str">
        <f>VLOOKUP(D698, 'МЕСЯЧНАЯ ОБОР.'!$V$4:$W$806, 2, FALSE)</f>
        <v>C</v>
      </c>
    </row>
    <row r="699" spans="1:10" x14ac:dyDescent="0.25">
      <c r="A699" s="9" t="s">
        <v>485</v>
      </c>
      <c r="B699" s="10">
        <v>2</v>
      </c>
      <c r="D699" t="s">
        <v>23</v>
      </c>
      <c r="E699">
        <v>1</v>
      </c>
      <c r="F699">
        <f t="shared" si="30"/>
        <v>6.2155775398999025E-4</v>
      </c>
      <c r="G699">
        <f t="shared" si="32"/>
        <v>0.95116983093087215</v>
      </c>
      <c r="H699" t="str">
        <f t="shared" si="31"/>
        <v>C</v>
      </c>
      <c r="I699" t="str">
        <f>VLOOKUP(D699,'СУММА ПРОДАЖ'!J:N, 5, FALSE)</f>
        <v>C</v>
      </c>
      <c r="J699" t="str">
        <f>VLOOKUP(D699, 'МЕСЯЧНАЯ ОБОР.'!$V$4:$W$806, 2, FALSE)</f>
        <v>C</v>
      </c>
    </row>
    <row r="700" spans="1:10" x14ac:dyDescent="0.25">
      <c r="A700" s="9" t="s">
        <v>1015</v>
      </c>
      <c r="B700" s="10">
        <v>1</v>
      </c>
      <c r="D700" t="s">
        <v>1015</v>
      </c>
      <c r="E700">
        <v>1</v>
      </c>
      <c r="F700">
        <f t="shared" si="30"/>
        <v>6.2155775398999025E-4</v>
      </c>
      <c r="G700">
        <f t="shared" si="32"/>
        <v>0.95179138868486213</v>
      </c>
      <c r="H700" t="str">
        <f t="shared" si="31"/>
        <v>C</v>
      </c>
      <c r="I700" t="str">
        <f>VLOOKUP(D700,'СУММА ПРОДАЖ'!J:N, 5, FALSE)</f>
        <v>A</v>
      </c>
      <c r="J700" t="str">
        <f>VLOOKUP(D700, 'МЕСЯЧНАЯ ОБОР.'!$V$4:$W$806, 2, FALSE)</f>
        <v>C</v>
      </c>
    </row>
    <row r="701" spans="1:10" x14ac:dyDescent="0.25">
      <c r="A701" s="9" t="s">
        <v>564</v>
      </c>
      <c r="B701" s="10">
        <v>1</v>
      </c>
      <c r="D701" t="s">
        <v>564</v>
      </c>
      <c r="E701">
        <v>1</v>
      </c>
      <c r="F701">
        <f t="shared" si="30"/>
        <v>6.2155775398999025E-4</v>
      </c>
      <c r="G701">
        <f t="shared" si="32"/>
        <v>0.9524129464388521</v>
      </c>
      <c r="H701" t="str">
        <f t="shared" si="31"/>
        <v>C</v>
      </c>
      <c r="I701" t="str">
        <f>VLOOKUP(D701,'СУММА ПРОДАЖ'!J:N, 5, FALSE)</f>
        <v>B</v>
      </c>
      <c r="J701" t="str">
        <f>VLOOKUP(D701, 'МЕСЯЧНАЯ ОБОР.'!$V$4:$W$806, 2, FALSE)</f>
        <v>C</v>
      </c>
    </row>
    <row r="702" spans="1:10" x14ac:dyDescent="0.25">
      <c r="A702" s="9" t="s">
        <v>1054</v>
      </c>
      <c r="B702" s="10">
        <v>1</v>
      </c>
      <c r="D702" t="s">
        <v>1054</v>
      </c>
      <c r="E702">
        <v>1</v>
      </c>
      <c r="F702">
        <f t="shared" si="30"/>
        <v>6.2155775398999025E-4</v>
      </c>
      <c r="G702">
        <f t="shared" si="32"/>
        <v>0.95303450419284208</v>
      </c>
      <c r="H702" t="str">
        <f t="shared" si="31"/>
        <v>C</v>
      </c>
      <c r="I702" t="str">
        <f>VLOOKUP(D702,'СУММА ПРОДАЖ'!J:N, 5, FALSE)</f>
        <v>A</v>
      </c>
      <c r="J702" t="str">
        <f>VLOOKUP(D702, 'МЕСЯЧНАЯ ОБОР.'!$V$4:$W$806, 2, FALSE)</f>
        <v>C</v>
      </c>
    </row>
    <row r="703" spans="1:10" x14ac:dyDescent="0.25">
      <c r="A703" s="9" t="s">
        <v>539</v>
      </c>
      <c r="B703" s="10">
        <v>1</v>
      </c>
      <c r="D703" t="s">
        <v>539</v>
      </c>
      <c r="E703">
        <v>1</v>
      </c>
      <c r="F703">
        <f t="shared" si="30"/>
        <v>6.2155775398999025E-4</v>
      </c>
      <c r="G703">
        <f t="shared" si="32"/>
        <v>0.95365606194683206</v>
      </c>
      <c r="H703" t="str">
        <f t="shared" si="31"/>
        <v>C</v>
      </c>
      <c r="I703" t="str">
        <f>VLOOKUP(D703,'СУММА ПРОДАЖ'!J:N, 5, FALSE)</f>
        <v>C</v>
      </c>
      <c r="J703" t="str">
        <f>VLOOKUP(D703, 'МЕСЯЧНАЯ ОБОР.'!$V$4:$W$806, 2, FALSE)</f>
        <v>C</v>
      </c>
    </row>
    <row r="704" spans="1:10" x14ac:dyDescent="0.25">
      <c r="A704" s="9" t="s">
        <v>85</v>
      </c>
      <c r="B704" s="10">
        <v>1</v>
      </c>
      <c r="D704" t="s">
        <v>85</v>
      </c>
      <c r="E704">
        <v>1</v>
      </c>
      <c r="F704">
        <f t="shared" si="30"/>
        <v>6.2155775398999025E-4</v>
      </c>
      <c r="G704">
        <f t="shared" si="32"/>
        <v>0.95427761970082203</v>
      </c>
      <c r="H704" t="str">
        <f t="shared" si="31"/>
        <v>C</v>
      </c>
      <c r="I704" t="str">
        <f>VLOOKUP(D704,'СУММА ПРОДАЖ'!J:N, 5, FALSE)</f>
        <v>A</v>
      </c>
      <c r="J704" t="str">
        <f>VLOOKUP(D704, 'МЕСЯЧНАЯ ОБОР.'!$V$4:$W$806, 2, FALSE)</f>
        <v>C</v>
      </c>
    </row>
    <row r="705" spans="1:10" x14ac:dyDescent="0.25">
      <c r="A705" s="9" t="s">
        <v>1200</v>
      </c>
      <c r="B705" s="10">
        <v>1</v>
      </c>
      <c r="D705" t="s">
        <v>1200</v>
      </c>
      <c r="E705">
        <v>1</v>
      </c>
      <c r="F705">
        <f t="shared" si="30"/>
        <v>6.2155775398999025E-4</v>
      </c>
      <c r="G705">
        <f t="shared" si="32"/>
        <v>0.95489917745481201</v>
      </c>
      <c r="H705" t="str">
        <f t="shared" si="31"/>
        <v>C</v>
      </c>
      <c r="I705" t="str">
        <f>VLOOKUP(D705,'СУММА ПРОДАЖ'!J:N, 5, FALSE)</f>
        <v>A</v>
      </c>
      <c r="J705" t="str">
        <f>VLOOKUP(D705, 'МЕСЯЧНАЯ ОБОР.'!$V$4:$W$806, 2, FALSE)</f>
        <v>C</v>
      </c>
    </row>
    <row r="706" spans="1:10" x14ac:dyDescent="0.25">
      <c r="A706" s="9" t="s">
        <v>1116</v>
      </c>
      <c r="B706" s="10">
        <v>1</v>
      </c>
      <c r="D706" t="s">
        <v>1116</v>
      </c>
      <c r="E706">
        <v>1</v>
      </c>
      <c r="F706">
        <f t="shared" si="30"/>
        <v>6.2155775398999025E-4</v>
      </c>
      <c r="G706">
        <f t="shared" si="32"/>
        <v>0.95552073520880199</v>
      </c>
      <c r="H706" t="str">
        <f t="shared" si="31"/>
        <v>C</v>
      </c>
      <c r="I706" t="str">
        <f>VLOOKUP(D706,'СУММА ПРОДАЖ'!J:N, 5, FALSE)</f>
        <v>A</v>
      </c>
      <c r="J706" t="str">
        <f>VLOOKUP(D706, 'МЕСЯЧНАЯ ОБОР.'!$V$4:$W$806, 2, FALSE)</f>
        <v>C</v>
      </c>
    </row>
    <row r="707" spans="1:10" x14ac:dyDescent="0.25">
      <c r="A707" s="9" t="s">
        <v>646</v>
      </c>
      <c r="B707" s="10">
        <v>1</v>
      </c>
      <c r="D707" t="s">
        <v>646</v>
      </c>
      <c r="E707">
        <v>1</v>
      </c>
      <c r="F707">
        <f t="shared" si="30"/>
        <v>6.2155775398999025E-4</v>
      </c>
      <c r="G707">
        <f t="shared" si="32"/>
        <v>0.95614229296279196</v>
      </c>
      <c r="H707" t="str">
        <f t="shared" si="31"/>
        <v>C</v>
      </c>
      <c r="I707" t="str">
        <f>VLOOKUP(D707,'СУММА ПРОДАЖ'!J:N, 5, FALSE)</f>
        <v>A</v>
      </c>
      <c r="J707" t="str">
        <f>VLOOKUP(D707, 'МЕСЯЧНАЯ ОБОР.'!$V$4:$W$806, 2, FALSE)</f>
        <v>C</v>
      </c>
    </row>
    <row r="708" spans="1:10" x14ac:dyDescent="0.25">
      <c r="A708" s="9" t="s">
        <v>699</v>
      </c>
      <c r="B708" s="10">
        <v>2</v>
      </c>
      <c r="D708" t="s">
        <v>1033</v>
      </c>
      <c r="E708">
        <v>1</v>
      </c>
      <c r="F708">
        <f t="shared" si="30"/>
        <v>6.2155775398999025E-4</v>
      </c>
      <c r="G708">
        <f t="shared" si="32"/>
        <v>0.95676385071678194</v>
      </c>
      <c r="H708" t="str">
        <f t="shared" si="31"/>
        <v>C</v>
      </c>
      <c r="I708" t="str">
        <f>VLOOKUP(D708,'СУММА ПРОДАЖ'!J:N, 5, FALSE)</f>
        <v>A</v>
      </c>
      <c r="J708" t="str">
        <f>VLOOKUP(D708, 'МЕСЯЧНАЯ ОБОР.'!$V$4:$W$806, 2, FALSE)</f>
        <v>C</v>
      </c>
    </row>
    <row r="709" spans="1:10" x14ac:dyDescent="0.25">
      <c r="A709" s="9" t="s">
        <v>1033</v>
      </c>
      <c r="B709" s="10">
        <v>1</v>
      </c>
      <c r="D709" t="s">
        <v>372</v>
      </c>
      <c r="E709">
        <v>1</v>
      </c>
      <c r="F709">
        <f t="shared" ref="F709:F772" si="33">E709/SUM($E$4:$E$806)</f>
        <v>6.2155775398999025E-4</v>
      </c>
      <c r="G709">
        <f t="shared" si="32"/>
        <v>0.95738540847077191</v>
      </c>
      <c r="H709" t="str">
        <f t="shared" ref="H709:H772" si="34">IF(G709&lt;0.8, "A", IF(G709&lt;0.95, "B","C"))</f>
        <v>C</v>
      </c>
      <c r="I709" t="str">
        <f>VLOOKUP(D709,'СУММА ПРОДАЖ'!J:N, 5, FALSE)</f>
        <v>A</v>
      </c>
      <c r="J709" t="str">
        <f>VLOOKUP(D709, 'МЕСЯЧНАЯ ОБОР.'!$V$4:$W$806, 2, FALSE)</f>
        <v>C</v>
      </c>
    </row>
    <row r="710" spans="1:10" x14ac:dyDescent="0.25">
      <c r="A710" s="9" t="s">
        <v>476</v>
      </c>
      <c r="B710" s="10">
        <v>2</v>
      </c>
      <c r="D710" t="s">
        <v>843</v>
      </c>
      <c r="E710">
        <v>1</v>
      </c>
      <c r="F710">
        <f t="shared" si="33"/>
        <v>6.2155775398999025E-4</v>
      </c>
      <c r="G710">
        <f t="shared" ref="G710:G773" si="35">F710+G709</f>
        <v>0.95800696622476189</v>
      </c>
      <c r="H710" t="str">
        <f t="shared" si="34"/>
        <v>C</v>
      </c>
      <c r="I710" t="str">
        <f>VLOOKUP(D710,'СУММА ПРОДАЖ'!J:N, 5, FALSE)</f>
        <v>C</v>
      </c>
      <c r="J710" t="str">
        <f>VLOOKUP(D710, 'МЕСЯЧНАЯ ОБОР.'!$V$4:$W$806, 2, FALSE)</f>
        <v>C</v>
      </c>
    </row>
    <row r="711" spans="1:10" x14ac:dyDescent="0.25">
      <c r="A711" s="9" t="s">
        <v>372</v>
      </c>
      <c r="B711" s="10">
        <v>1</v>
      </c>
      <c r="D711" t="s">
        <v>815</v>
      </c>
      <c r="E711">
        <v>1</v>
      </c>
      <c r="F711">
        <f t="shared" si="33"/>
        <v>6.2155775398999025E-4</v>
      </c>
      <c r="G711">
        <f t="shared" si="35"/>
        <v>0.95862852397875187</v>
      </c>
      <c r="H711" t="str">
        <f t="shared" si="34"/>
        <v>C</v>
      </c>
      <c r="I711" t="str">
        <f>VLOOKUP(D711,'СУММА ПРОДАЖ'!J:N, 5, FALSE)</f>
        <v>C</v>
      </c>
      <c r="J711" t="str">
        <f>VLOOKUP(D711, 'МЕСЯЧНАЯ ОБОР.'!$V$4:$W$806, 2, FALSE)</f>
        <v>C</v>
      </c>
    </row>
    <row r="712" spans="1:10" x14ac:dyDescent="0.25">
      <c r="A712" s="9" t="s">
        <v>843</v>
      </c>
      <c r="B712" s="10">
        <v>1</v>
      </c>
      <c r="D712" t="s">
        <v>817</v>
      </c>
      <c r="E712">
        <v>1</v>
      </c>
      <c r="F712">
        <f t="shared" si="33"/>
        <v>6.2155775398999025E-4</v>
      </c>
      <c r="G712">
        <f t="shared" si="35"/>
        <v>0.95925008173274184</v>
      </c>
      <c r="H712" t="str">
        <f t="shared" si="34"/>
        <v>C</v>
      </c>
      <c r="I712" t="str">
        <f>VLOOKUP(D712,'СУММА ПРОДАЖ'!J:N, 5, FALSE)</f>
        <v>A</v>
      </c>
      <c r="J712" t="str">
        <f>VLOOKUP(D712, 'МЕСЯЧНАЯ ОБОР.'!$V$4:$W$806, 2, FALSE)</f>
        <v>C</v>
      </c>
    </row>
    <row r="713" spans="1:10" x14ac:dyDescent="0.25">
      <c r="A713" s="9" t="s">
        <v>815</v>
      </c>
      <c r="B713" s="10">
        <v>1</v>
      </c>
      <c r="D713" t="s">
        <v>729</v>
      </c>
      <c r="E713">
        <v>1</v>
      </c>
      <c r="F713">
        <f t="shared" si="33"/>
        <v>6.2155775398999025E-4</v>
      </c>
      <c r="G713">
        <f t="shared" si="35"/>
        <v>0.95987163948673182</v>
      </c>
      <c r="H713" t="str">
        <f t="shared" si="34"/>
        <v>C</v>
      </c>
      <c r="I713" t="str">
        <f>VLOOKUP(D713,'СУММА ПРОДАЖ'!J:N, 5, FALSE)</f>
        <v>C</v>
      </c>
      <c r="J713" t="str">
        <f>VLOOKUP(D713, 'МЕСЯЧНАЯ ОБОР.'!$V$4:$W$806, 2, FALSE)</f>
        <v>C</v>
      </c>
    </row>
    <row r="714" spans="1:10" x14ac:dyDescent="0.25">
      <c r="A714" s="9" t="s">
        <v>299</v>
      </c>
      <c r="B714" s="10">
        <v>6</v>
      </c>
      <c r="D714" t="s">
        <v>1186</v>
      </c>
      <c r="E714">
        <v>1</v>
      </c>
      <c r="F714">
        <f t="shared" si="33"/>
        <v>6.2155775398999025E-4</v>
      </c>
      <c r="G714">
        <f t="shared" si="35"/>
        <v>0.9604931972407218</v>
      </c>
      <c r="H714" t="str">
        <f t="shared" si="34"/>
        <v>C</v>
      </c>
      <c r="I714" t="str">
        <f>VLOOKUP(D714,'СУММА ПРОДАЖ'!J:N, 5, FALSE)</f>
        <v>A</v>
      </c>
      <c r="J714" t="str">
        <f>VLOOKUP(D714, 'МЕСЯЧНАЯ ОБОР.'!$V$4:$W$806, 2, FALSE)</f>
        <v>C</v>
      </c>
    </row>
    <row r="715" spans="1:10" x14ac:dyDescent="0.25">
      <c r="A715" s="9" t="s">
        <v>817</v>
      </c>
      <c r="B715" s="10">
        <v>1</v>
      </c>
      <c r="D715" t="s">
        <v>836</v>
      </c>
      <c r="E715">
        <v>1</v>
      </c>
      <c r="F715">
        <f t="shared" si="33"/>
        <v>6.2155775398999025E-4</v>
      </c>
      <c r="G715">
        <f t="shared" si="35"/>
        <v>0.96111475499471177</v>
      </c>
      <c r="H715" t="str">
        <f t="shared" si="34"/>
        <v>C</v>
      </c>
      <c r="I715" t="str">
        <f>VLOOKUP(D715,'СУММА ПРОДАЖ'!J:N, 5, FALSE)</f>
        <v>A</v>
      </c>
      <c r="J715" t="str">
        <f>VLOOKUP(D715, 'МЕСЯЧНАЯ ОБОР.'!$V$4:$W$806, 2, FALSE)</f>
        <v>C</v>
      </c>
    </row>
    <row r="716" spans="1:10" x14ac:dyDescent="0.25">
      <c r="A716" s="9" t="s">
        <v>377</v>
      </c>
      <c r="B716" s="10">
        <v>2</v>
      </c>
      <c r="D716" t="s">
        <v>903</v>
      </c>
      <c r="E716">
        <v>1</v>
      </c>
      <c r="F716">
        <f t="shared" si="33"/>
        <v>6.2155775398999025E-4</v>
      </c>
      <c r="G716">
        <f t="shared" si="35"/>
        <v>0.96173631274870175</v>
      </c>
      <c r="H716" t="str">
        <f t="shared" si="34"/>
        <v>C</v>
      </c>
      <c r="I716" t="str">
        <f>VLOOKUP(D716,'СУММА ПРОДАЖ'!J:N, 5, FALSE)</f>
        <v>A</v>
      </c>
      <c r="J716" t="str">
        <f>VLOOKUP(D716, 'МЕСЯЧНАЯ ОБОР.'!$V$4:$W$806, 2, FALSE)</f>
        <v>C</v>
      </c>
    </row>
    <row r="717" spans="1:10" x14ac:dyDescent="0.25">
      <c r="A717" s="9" t="s">
        <v>366</v>
      </c>
      <c r="B717" s="10">
        <v>10</v>
      </c>
      <c r="D717" t="s">
        <v>928</v>
      </c>
      <c r="E717">
        <v>1</v>
      </c>
      <c r="F717">
        <f t="shared" si="33"/>
        <v>6.2155775398999025E-4</v>
      </c>
      <c r="G717">
        <f t="shared" si="35"/>
        <v>0.96235787050269173</v>
      </c>
      <c r="H717" t="str">
        <f t="shared" si="34"/>
        <v>C</v>
      </c>
      <c r="I717" t="str">
        <f>VLOOKUP(D717,'СУММА ПРОДАЖ'!J:N, 5, FALSE)</f>
        <v>A</v>
      </c>
      <c r="J717" t="str">
        <f>VLOOKUP(D717, 'МЕСЯЧНАЯ ОБОР.'!$V$4:$W$806, 2, FALSE)</f>
        <v>C</v>
      </c>
    </row>
    <row r="718" spans="1:10" x14ac:dyDescent="0.25">
      <c r="A718" s="9" t="s">
        <v>729</v>
      </c>
      <c r="B718" s="10">
        <v>1</v>
      </c>
      <c r="D718" t="s">
        <v>295</v>
      </c>
      <c r="E718">
        <v>1</v>
      </c>
      <c r="F718">
        <f t="shared" si="33"/>
        <v>6.2155775398999025E-4</v>
      </c>
      <c r="G718">
        <f t="shared" si="35"/>
        <v>0.9629794282566817</v>
      </c>
      <c r="H718" t="str">
        <f t="shared" si="34"/>
        <v>C</v>
      </c>
      <c r="I718" t="str">
        <f>VLOOKUP(D718,'СУММА ПРОДАЖ'!J:N, 5, FALSE)</f>
        <v>A</v>
      </c>
      <c r="J718" t="str">
        <f>VLOOKUP(D718, 'МЕСЯЧНАЯ ОБОР.'!$V$4:$W$806, 2, FALSE)</f>
        <v>C</v>
      </c>
    </row>
    <row r="719" spans="1:10" x14ac:dyDescent="0.25">
      <c r="A719" s="9" t="s">
        <v>1186</v>
      </c>
      <c r="B719" s="10">
        <v>1</v>
      </c>
      <c r="D719" t="s">
        <v>479</v>
      </c>
      <c r="E719">
        <v>1</v>
      </c>
      <c r="F719">
        <f t="shared" si="33"/>
        <v>6.2155775398999025E-4</v>
      </c>
      <c r="G719">
        <f t="shared" si="35"/>
        <v>0.96360098601067168</v>
      </c>
      <c r="H719" t="str">
        <f t="shared" si="34"/>
        <v>C</v>
      </c>
      <c r="I719" t="str">
        <f>VLOOKUP(D719,'СУММА ПРОДАЖ'!J:N, 5, FALSE)</f>
        <v>C</v>
      </c>
      <c r="J719" t="str">
        <f>VLOOKUP(D719, 'МЕСЯЧНАЯ ОБОР.'!$V$4:$W$806, 2, FALSE)</f>
        <v>C</v>
      </c>
    </row>
    <row r="720" spans="1:10" x14ac:dyDescent="0.25">
      <c r="A720" s="9" t="s">
        <v>836</v>
      </c>
      <c r="B720" s="10">
        <v>1</v>
      </c>
      <c r="D720" t="s">
        <v>1214</v>
      </c>
      <c r="E720">
        <v>1</v>
      </c>
      <c r="F720">
        <f t="shared" si="33"/>
        <v>6.2155775398999025E-4</v>
      </c>
      <c r="G720">
        <f t="shared" si="35"/>
        <v>0.96422254376466165</v>
      </c>
      <c r="H720" t="str">
        <f t="shared" si="34"/>
        <v>C</v>
      </c>
      <c r="I720" t="str">
        <f>VLOOKUP(D720,'СУММА ПРОДАЖ'!J:N, 5, FALSE)</f>
        <v>A</v>
      </c>
      <c r="J720" t="str">
        <f>VLOOKUP(D720, 'МЕСЯЧНАЯ ОБОР.'!$V$4:$W$806, 2, FALSE)</f>
        <v>C</v>
      </c>
    </row>
    <row r="721" spans="1:10" x14ac:dyDescent="0.25">
      <c r="A721" s="9" t="s">
        <v>903</v>
      </c>
      <c r="B721" s="10">
        <v>1</v>
      </c>
      <c r="D721" t="s">
        <v>1108</v>
      </c>
      <c r="E721">
        <v>1</v>
      </c>
      <c r="F721">
        <f t="shared" si="33"/>
        <v>6.2155775398999025E-4</v>
      </c>
      <c r="G721">
        <f t="shared" si="35"/>
        <v>0.96484410151865163</v>
      </c>
      <c r="H721" t="str">
        <f t="shared" si="34"/>
        <v>C</v>
      </c>
      <c r="I721" t="str">
        <f>VLOOKUP(D721,'СУММА ПРОДАЖ'!J:N, 5, FALSE)</f>
        <v>B</v>
      </c>
      <c r="J721" t="str">
        <f>VLOOKUP(D721, 'МЕСЯЧНАЯ ОБОР.'!$V$4:$W$806, 2, FALSE)</f>
        <v>C</v>
      </c>
    </row>
    <row r="722" spans="1:10" x14ac:dyDescent="0.25">
      <c r="A722" s="9" t="s">
        <v>465</v>
      </c>
      <c r="B722" s="10">
        <v>7</v>
      </c>
      <c r="D722" t="s">
        <v>808</v>
      </c>
      <c r="E722">
        <v>1</v>
      </c>
      <c r="F722">
        <f t="shared" si="33"/>
        <v>6.2155775398999025E-4</v>
      </c>
      <c r="G722">
        <f t="shared" si="35"/>
        <v>0.96546565927264161</v>
      </c>
      <c r="H722" t="str">
        <f t="shared" si="34"/>
        <v>C</v>
      </c>
      <c r="I722" t="str">
        <f>VLOOKUP(D722,'СУММА ПРОДАЖ'!J:N, 5, FALSE)</f>
        <v>B</v>
      </c>
      <c r="J722" t="str">
        <f>VLOOKUP(D722, 'МЕСЯЧНАЯ ОБОР.'!$V$4:$W$806, 2, FALSE)</f>
        <v>C</v>
      </c>
    </row>
    <row r="723" spans="1:10" x14ac:dyDescent="0.25">
      <c r="A723" s="9" t="s">
        <v>928</v>
      </c>
      <c r="B723" s="10">
        <v>1</v>
      </c>
      <c r="D723" t="s">
        <v>383</v>
      </c>
      <c r="E723">
        <v>1</v>
      </c>
      <c r="F723">
        <f t="shared" si="33"/>
        <v>6.2155775398999025E-4</v>
      </c>
      <c r="G723">
        <f t="shared" si="35"/>
        <v>0.96608721702663158</v>
      </c>
      <c r="H723" t="str">
        <f t="shared" si="34"/>
        <v>C</v>
      </c>
      <c r="I723" t="str">
        <f>VLOOKUP(D723,'СУММА ПРОДАЖ'!J:N, 5, FALSE)</f>
        <v>C</v>
      </c>
      <c r="J723" t="str">
        <f>VLOOKUP(D723, 'МЕСЯЧНАЯ ОБОР.'!$V$4:$W$806, 2, FALSE)</f>
        <v>C</v>
      </c>
    </row>
    <row r="724" spans="1:10" x14ac:dyDescent="0.25">
      <c r="A724" s="9" t="s">
        <v>295</v>
      </c>
      <c r="B724" s="10">
        <v>1</v>
      </c>
      <c r="D724" t="s">
        <v>1037</v>
      </c>
      <c r="E724">
        <v>1</v>
      </c>
      <c r="F724">
        <f t="shared" si="33"/>
        <v>6.2155775398999025E-4</v>
      </c>
      <c r="G724">
        <f t="shared" si="35"/>
        <v>0.96670877478062156</v>
      </c>
      <c r="H724" t="str">
        <f t="shared" si="34"/>
        <v>C</v>
      </c>
      <c r="I724" t="str">
        <f>VLOOKUP(D724,'СУММА ПРОДАЖ'!J:N, 5, FALSE)</f>
        <v>B</v>
      </c>
      <c r="J724" t="str">
        <f>VLOOKUP(D724, 'МЕСЯЧНАЯ ОБОР.'!$V$4:$W$806, 2, FALSE)</f>
        <v>C</v>
      </c>
    </row>
    <row r="725" spans="1:10" x14ac:dyDescent="0.25">
      <c r="A725" s="9" t="s">
        <v>912</v>
      </c>
      <c r="B725" s="10">
        <v>0.2</v>
      </c>
      <c r="D725" t="s">
        <v>924</v>
      </c>
      <c r="E725">
        <v>1</v>
      </c>
      <c r="F725">
        <f t="shared" si="33"/>
        <v>6.2155775398999025E-4</v>
      </c>
      <c r="G725">
        <f t="shared" si="35"/>
        <v>0.96733033253461154</v>
      </c>
      <c r="H725" t="str">
        <f t="shared" si="34"/>
        <v>C</v>
      </c>
      <c r="I725" t="str">
        <f>VLOOKUP(D725,'СУММА ПРОДАЖ'!J:N, 5, FALSE)</f>
        <v>A</v>
      </c>
      <c r="J725" t="str">
        <f>VLOOKUP(D725, 'МЕСЯЧНАЯ ОБОР.'!$V$4:$W$806, 2, FALSE)</f>
        <v>C</v>
      </c>
    </row>
    <row r="726" spans="1:10" x14ac:dyDescent="0.25">
      <c r="A726" s="9" t="s">
        <v>479</v>
      </c>
      <c r="B726" s="10">
        <v>1</v>
      </c>
      <c r="D726" t="s">
        <v>1188</v>
      </c>
      <c r="E726">
        <v>1</v>
      </c>
      <c r="F726">
        <f t="shared" si="33"/>
        <v>6.2155775398999025E-4</v>
      </c>
      <c r="G726">
        <f t="shared" si="35"/>
        <v>0.96795189028860151</v>
      </c>
      <c r="H726" t="str">
        <f t="shared" si="34"/>
        <v>C</v>
      </c>
      <c r="I726" t="str">
        <f>VLOOKUP(D726,'СУММА ПРОДАЖ'!J:N, 5, FALSE)</f>
        <v>B</v>
      </c>
      <c r="J726" t="str">
        <f>VLOOKUP(D726, 'МЕСЯЧНАЯ ОБОР.'!$V$4:$W$806, 2, FALSE)</f>
        <v>C</v>
      </c>
    </row>
    <row r="727" spans="1:10" x14ac:dyDescent="0.25">
      <c r="A727" s="9" t="s">
        <v>1214</v>
      </c>
      <c r="B727" s="10">
        <v>1</v>
      </c>
      <c r="D727" t="s">
        <v>440</v>
      </c>
      <c r="E727">
        <v>1</v>
      </c>
      <c r="F727">
        <f t="shared" si="33"/>
        <v>6.2155775398999025E-4</v>
      </c>
      <c r="G727">
        <f t="shared" si="35"/>
        <v>0.96857344804259149</v>
      </c>
      <c r="H727" t="str">
        <f t="shared" si="34"/>
        <v>C</v>
      </c>
      <c r="I727" t="str">
        <f>VLOOKUP(D727,'СУММА ПРОДАЖ'!J:N, 5, FALSE)</f>
        <v>C</v>
      </c>
      <c r="J727" t="str">
        <f>VLOOKUP(D727, 'МЕСЯЧНАЯ ОБОР.'!$V$4:$W$806, 2, FALSE)</f>
        <v>C</v>
      </c>
    </row>
    <row r="728" spans="1:10" x14ac:dyDescent="0.25">
      <c r="A728" s="9" t="s">
        <v>1108</v>
      </c>
      <c r="B728" s="10">
        <v>1</v>
      </c>
      <c r="D728" t="s">
        <v>636</v>
      </c>
      <c r="E728">
        <v>1</v>
      </c>
      <c r="F728">
        <f t="shared" si="33"/>
        <v>6.2155775398999025E-4</v>
      </c>
      <c r="G728">
        <f t="shared" si="35"/>
        <v>0.96919500579658147</v>
      </c>
      <c r="H728" t="str">
        <f t="shared" si="34"/>
        <v>C</v>
      </c>
      <c r="I728" t="str">
        <f>VLOOKUP(D728,'СУММА ПРОДАЖ'!J:N, 5, FALSE)</f>
        <v>B</v>
      </c>
      <c r="J728" t="str">
        <f>VLOOKUP(D728, 'МЕСЯЧНАЯ ОБОР.'!$V$4:$W$806, 2, FALSE)</f>
        <v>C</v>
      </c>
    </row>
    <row r="729" spans="1:10" x14ac:dyDescent="0.25">
      <c r="A729" s="9" t="s">
        <v>808</v>
      </c>
      <c r="B729" s="10">
        <v>1</v>
      </c>
      <c r="D729" t="s">
        <v>253</v>
      </c>
      <c r="E729">
        <v>1</v>
      </c>
      <c r="F729">
        <f t="shared" si="33"/>
        <v>6.2155775398999025E-4</v>
      </c>
      <c r="G729">
        <f t="shared" si="35"/>
        <v>0.96981656355057144</v>
      </c>
      <c r="H729" t="str">
        <f t="shared" si="34"/>
        <v>C</v>
      </c>
      <c r="I729" t="str">
        <f>VLOOKUP(D729,'СУММА ПРОДАЖ'!J:N, 5, FALSE)</f>
        <v>C</v>
      </c>
      <c r="J729" t="str">
        <f>VLOOKUP(D729, 'МЕСЯЧНАЯ ОБОР.'!$V$4:$W$806, 2, FALSE)</f>
        <v>C</v>
      </c>
    </row>
    <row r="730" spans="1:10" x14ac:dyDescent="0.25">
      <c r="A730" s="9" t="s">
        <v>229</v>
      </c>
      <c r="B730" s="10">
        <v>2</v>
      </c>
      <c r="D730" t="s">
        <v>521</v>
      </c>
      <c r="E730">
        <v>1</v>
      </c>
      <c r="F730">
        <f t="shared" si="33"/>
        <v>6.2155775398999025E-4</v>
      </c>
      <c r="G730">
        <f t="shared" si="35"/>
        <v>0.97043812130456142</v>
      </c>
      <c r="H730" t="str">
        <f t="shared" si="34"/>
        <v>C</v>
      </c>
      <c r="I730" t="str">
        <f>VLOOKUP(D730,'СУММА ПРОДАЖ'!J:N, 5, FALSE)</f>
        <v>B</v>
      </c>
      <c r="J730" t="str">
        <f>VLOOKUP(D730, 'МЕСЯЧНАЯ ОБОР.'!$V$4:$W$806, 2, FALSE)</f>
        <v>C</v>
      </c>
    </row>
    <row r="731" spans="1:10" x14ac:dyDescent="0.25">
      <c r="A731" s="9" t="s">
        <v>383</v>
      </c>
      <c r="B731" s="10">
        <v>1</v>
      </c>
      <c r="D731" t="s">
        <v>439</v>
      </c>
      <c r="E731">
        <v>1</v>
      </c>
      <c r="F731">
        <f t="shared" si="33"/>
        <v>6.2155775398999025E-4</v>
      </c>
      <c r="G731">
        <f t="shared" si="35"/>
        <v>0.97105967905855139</v>
      </c>
      <c r="H731" t="str">
        <f t="shared" si="34"/>
        <v>C</v>
      </c>
      <c r="I731" t="str">
        <f>VLOOKUP(D731,'СУММА ПРОДАЖ'!J:N, 5, FALSE)</f>
        <v>B</v>
      </c>
      <c r="J731" t="str">
        <f>VLOOKUP(D731, 'МЕСЯЧНАЯ ОБОР.'!$V$4:$W$806, 2, FALSE)</f>
        <v>C</v>
      </c>
    </row>
    <row r="732" spans="1:10" x14ac:dyDescent="0.25">
      <c r="A732" s="9" t="s">
        <v>1037</v>
      </c>
      <c r="B732" s="10">
        <v>1</v>
      </c>
      <c r="D732" t="s">
        <v>855</v>
      </c>
      <c r="E732">
        <v>1</v>
      </c>
      <c r="F732">
        <f t="shared" si="33"/>
        <v>6.2155775398999025E-4</v>
      </c>
      <c r="G732">
        <f t="shared" si="35"/>
        <v>0.97168123681254137</v>
      </c>
      <c r="H732" t="str">
        <f t="shared" si="34"/>
        <v>C</v>
      </c>
      <c r="I732" t="str">
        <f>VLOOKUP(D732,'СУММА ПРОДАЖ'!J:N, 5, FALSE)</f>
        <v>A</v>
      </c>
      <c r="J732" t="str">
        <f>VLOOKUP(D732, 'МЕСЯЧНАЯ ОБОР.'!$V$4:$W$806, 2, FALSE)</f>
        <v>C</v>
      </c>
    </row>
    <row r="733" spans="1:10" x14ac:dyDescent="0.25">
      <c r="A733" s="9" t="s">
        <v>537</v>
      </c>
      <c r="B733" s="10">
        <v>0.30000000000000004</v>
      </c>
      <c r="D733" t="s">
        <v>302</v>
      </c>
      <c r="E733">
        <v>1</v>
      </c>
      <c r="F733">
        <f t="shared" si="33"/>
        <v>6.2155775398999025E-4</v>
      </c>
      <c r="G733">
        <f t="shared" si="35"/>
        <v>0.97230279456653135</v>
      </c>
      <c r="H733" t="str">
        <f t="shared" si="34"/>
        <v>C</v>
      </c>
      <c r="I733" t="str">
        <f>VLOOKUP(D733,'СУММА ПРОДАЖ'!J:N, 5, FALSE)</f>
        <v>C</v>
      </c>
      <c r="J733" t="str">
        <f>VLOOKUP(D733, 'МЕСЯЧНАЯ ОБОР.'!$V$4:$W$806, 2, FALSE)</f>
        <v>C</v>
      </c>
    </row>
    <row r="734" spans="1:10" x14ac:dyDescent="0.25">
      <c r="A734" s="9" t="s">
        <v>703</v>
      </c>
      <c r="B734" s="10">
        <v>2</v>
      </c>
      <c r="D734" t="s">
        <v>244</v>
      </c>
      <c r="E734">
        <v>1</v>
      </c>
      <c r="F734">
        <f t="shared" si="33"/>
        <v>6.2155775398999025E-4</v>
      </c>
      <c r="G734">
        <f t="shared" si="35"/>
        <v>0.97292435232052132</v>
      </c>
      <c r="H734" t="str">
        <f t="shared" si="34"/>
        <v>C</v>
      </c>
      <c r="I734" t="str">
        <f>VLOOKUP(D734,'СУММА ПРОДАЖ'!J:N, 5, FALSE)</f>
        <v>C</v>
      </c>
      <c r="J734" t="str">
        <f>VLOOKUP(D734, 'МЕСЯЧНАЯ ОБОР.'!$V$4:$W$806, 2, FALSE)</f>
        <v>C</v>
      </c>
    </row>
    <row r="735" spans="1:10" x14ac:dyDescent="0.25">
      <c r="A735" s="9" t="s">
        <v>924</v>
      </c>
      <c r="B735" s="10">
        <v>1</v>
      </c>
      <c r="D735" t="s">
        <v>493</v>
      </c>
      <c r="E735">
        <v>1</v>
      </c>
      <c r="F735">
        <f t="shared" si="33"/>
        <v>6.2155775398999025E-4</v>
      </c>
      <c r="G735">
        <f t="shared" si="35"/>
        <v>0.9735459100745113</v>
      </c>
      <c r="H735" t="str">
        <f t="shared" si="34"/>
        <v>C</v>
      </c>
      <c r="I735" t="str">
        <f>VLOOKUP(D735,'СУММА ПРОДАЖ'!J:N, 5, FALSE)</f>
        <v>B</v>
      </c>
      <c r="J735" t="str">
        <f>VLOOKUP(D735, 'МЕСЯЧНАЯ ОБОР.'!$V$4:$W$806, 2, FALSE)</f>
        <v>C</v>
      </c>
    </row>
    <row r="736" spans="1:10" x14ac:dyDescent="0.25">
      <c r="A736" s="9" t="s">
        <v>1188</v>
      </c>
      <c r="B736" s="10">
        <v>1</v>
      </c>
      <c r="D736" t="s">
        <v>1049</v>
      </c>
      <c r="E736">
        <v>1</v>
      </c>
      <c r="F736">
        <f t="shared" si="33"/>
        <v>6.2155775398999025E-4</v>
      </c>
      <c r="G736">
        <f t="shared" si="35"/>
        <v>0.97416746782850128</v>
      </c>
      <c r="H736" t="str">
        <f t="shared" si="34"/>
        <v>C</v>
      </c>
      <c r="I736" t="str">
        <f>VLOOKUP(D736,'СУММА ПРОДАЖ'!J:N, 5, FALSE)</f>
        <v>B</v>
      </c>
      <c r="J736" t="str">
        <f>VLOOKUP(D736, 'МЕСЯЧНАЯ ОБОР.'!$V$4:$W$806, 2, FALSE)</f>
        <v>C</v>
      </c>
    </row>
    <row r="737" spans="1:10" x14ac:dyDescent="0.25">
      <c r="A737" s="9" t="s">
        <v>670</v>
      </c>
      <c r="B737" s="10">
        <v>2</v>
      </c>
      <c r="D737" t="s">
        <v>260</v>
      </c>
      <c r="E737">
        <v>1</v>
      </c>
      <c r="F737">
        <f t="shared" si="33"/>
        <v>6.2155775398999025E-4</v>
      </c>
      <c r="G737">
        <f t="shared" si="35"/>
        <v>0.97478902558249125</v>
      </c>
      <c r="H737" t="str">
        <f t="shared" si="34"/>
        <v>C</v>
      </c>
      <c r="I737" t="str">
        <f>VLOOKUP(D737,'СУММА ПРОДАЖ'!J:N, 5, FALSE)</f>
        <v>C</v>
      </c>
      <c r="J737" t="str">
        <f>VLOOKUP(D737, 'МЕСЯЧНАЯ ОБОР.'!$V$4:$W$806, 2, FALSE)</f>
        <v>C</v>
      </c>
    </row>
    <row r="738" spans="1:10" x14ac:dyDescent="0.25">
      <c r="A738" s="9" t="s">
        <v>316</v>
      </c>
      <c r="B738" s="10">
        <v>2</v>
      </c>
      <c r="D738" t="s">
        <v>590</v>
      </c>
      <c r="E738">
        <v>1</v>
      </c>
      <c r="F738">
        <f t="shared" si="33"/>
        <v>6.2155775398999025E-4</v>
      </c>
      <c r="G738">
        <f t="shared" si="35"/>
        <v>0.97541058333648123</v>
      </c>
      <c r="H738" t="str">
        <f t="shared" si="34"/>
        <v>C</v>
      </c>
      <c r="I738" t="str">
        <f>VLOOKUP(D738,'СУММА ПРОДАЖ'!J:N, 5, FALSE)</f>
        <v>C</v>
      </c>
      <c r="J738" t="str">
        <f>VLOOKUP(D738, 'МЕСЯЧНАЯ ОБОР.'!$V$4:$W$806, 2, FALSE)</f>
        <v>C</v>
      </c>
    </row>
    <row r="739" spans="1:10" x14ac:dyDescent="0.25">
      <c r="A739" s="9" t="s">
        <v>440</v>
      </c>
      <c r="B739" s="10">
        <v>1</v>
      </c>
      <c r="D739" t="s">
        <v>633</v>
      </c>
      <c r="E739">
        <v>1</v>
      </c>
      <c r="F739">
        <f t="shared" si="33"/>
        <v>6.2155775398999025E-4</v>
      </c>
      <c r="G739">
        <f t="shared" si="35"/>
        <v>0.97603214109047121</v>
      </c>
      <c r="H739" t="str">
        <f t="shared" si="34"/>
        <v>C</v>
      </c>
      <c r="I739" t="str">
        <f>VLOOKUP(D739,'СУММА ПРОДАЖ'!J:N, 5, FALSE)</f>
        <v>C</v>
      </c>
      <c r="J739" t="str">
        <f>VLOOKUP(D739, 'МЕСЯЧНАЯ ОБОР.'!$V$4:$W$806, 2, FALSE)</f>
        <v>C</v>
      </c>
    </row>
    <row r="740" spans="1:10" x14ac:dyDescent="0.25">
      <c r="A740" s="9" t="s">
        <v>636</v>
      </c>
      <c r="B740" s="10">
        <v>1</v>
      </c>
      <c r="D740" t="s">
        <v>629</v>
      </c>
      <c r="E740">
        <v>1</v>
      </c>
      <c r="F740">
        <f t="shared" si="33"/>
        <v>6.2155775398999025E-4</v>
      </c>
      <c r="G740">
        <f t="shared" si="35"/>
        <v>0.97665369884446118</v>
      </c>
      <c r="H740" t="str">
        <f t="shared" si="34"/>
        <v>C</v>
      </c>
      <c r="I740" t="str">
        <f>VLOOKUP(D740,'СУММА ПРОДАЖ'!J:N, 5, FALSE)</f>
        <v>A</v>
      </c>
      <c r="J740" t="str">
        <f>VLOOKUP(D740, 'МЕСЯЧНАЯ ОБОР.'!$V$4:$W$806, 2, FALSE)</f>
        <v>C</v>
      </c>
    </row>
    <row r="741" spans="1:10" x14ac:dyDescent="0.25">
      <c r="A741" s="9" t="s">
        <v>253</v>
      </c>
      <c r="B741" s="10">
        <v>1</v>
      </c>
      <c r="D741" t="s">
        <v>913</v>
      </c>
      <c r="E741">
        <v>1</v>
      </c>
      <c r="F741">
        <f t="shared" si="33"/>
        <v>6.2155775398999025E-4</v>
      </c>
      <c r="G741">
        <f t="shared" si="35"/>
        <v>0.97727525659845116</v>
      </c>
      <c r="H741" t="str">
        <f t="shared" si="34"/>
        <v>C</v>
      </c>
      <c r="I741" t="str">
        <f>VLOOKUP(D741,'СУММА ПРОДАЖ'!J:N, 5, FALSE)</f>
        <v>C</v>
      </c>
      <c r="J741" t="str">
        <f>VLOOKUP(D741, 'МЕСЯЧНАЯ ОБОР.'!$V$4:$W$806, 2, FALSE)</f>
        <v>C</v>
      </c>
    </row>
    <row r="742" spans="1:10" x14ac:dyDescent="0.25">
      <c r="A742" s="9" t="s">
        <v>521</v>
      </c>
      <c r="B742" s="10">
        <v>1</v>
      </c>
      <c r="D742" t="s">
        <v>1139</v>
      </c>
      <c r="E742">
        <v>1</v>
      </c>
      <c r="F742">
        <f t="shared" si="33"/>
        <v>6.2155775398999025E-4</v>
      </c>
      <c r="G742">
        <f t="shared" si="35"/>
        <v>0.97789681435244113</v>
      </c>
      <c r="H742" t="str">
        <f t="shared" si="34"/>
        <v>C</v>
      </c>
      <c r="I742" t="str">
        <f>VLOOKUP(D742,'СУММА ПРОДАЖ'!J:N, 5, FALSE)</f>
        <v>C</v>
      </c>
      <c r="J742" t="str">
        <f>VLOOKUP(D742, 'МЕСЯЧНАЯ ОБОР.'!$V$4:$W$806, 2, FALSE)</f>
        <v>C</v>
      </c>
    </row>
    <row r="743" spans="1:10" x14ac:dyDescent="0.25">
      <c r="A743" s="9" t="s">
        <v>439</v>
      </c>
      <c r="B743" s="10">
        <v>1</v>
      </c>
      <c r="D743" t="s">
        <v>718</v>
      </c>
      <c r="E743">
        <v>1</v>
      </c>
      <c r="F743">
        <f t="shared" si="33"/>
        <v>6.2155775398999025E-4</v>
      </c>
      <c r="G743">
        <f t="shared" si="35"/>
        <v>0.97851837210643111</v>
      </c>
      <c r="H743" t="str">
        <f t="shared" si="34"/>
        <v>C</v>
      </c>
      <c r="I743" t="str">
        <f>VLOOKUP(D743,'СУММА ПРОДАЖ'!J:N, 5, FALSE)</f>
        <v>B</v>
      </c>
      <c r="J743" t="str">
        <f>VLOOKUP(D743, 'МЕСЯЧНАЯ ОБОР.'!$V$4:$W$806, 2, FALSE)</f>
        <v>C</v>
      </c>
    </row>
    <row r="744" spans="1:10" x14ac:dyDescent="0.25">
      <c r="A744" s="9" t="s">
        <v>855</v>
      </c>
      <c r="B744" s="10">
        <v>1</v>
      </c>
      <c r="D744" t="s">
        <v>1104</v>
      </c>
      <c r="E744">
        <v>1</v>
      </c>
      <c r="F744">
        <f t="shared" si="33"/>
        <v>6.2155775398999025E-4</v>
      </c>
      <c r="G744">
        <f t="shared" si="35"/>
        <v>0.97913992986042109</v>
      </c>
      <c r="H744" t="str">
        <f t="shared" si="34"/>
        <v>C</v>
      </c>
      <c r="I744" t="str">
        <f>VLOOKUP(D744,'СУММА ПРОДАЖ'!J:N, 5, FALSE)</f>
        <v>B</v>
      </c>
      <c r="J744" t="str">
        <f>VLOOKUP(D744, 'МЕСЯЧНАЯ ОБОР.'!$V$4:$W$806, 2, FALSE)</f>
        <v>C</v>
      </c>
    </row>
    <row r="745" spans="1:10" x14ac:dyDescent="0.25">
      <c r="A745" s="9" t="s">
        <v>302</v>
      </c>
      <c r="B745" s="10">
        <v>1</v>
      </c>
      <c r="D745" t="s">
        <v>954</v>
      </c>
      <c r="E745">
        <v>1</v>
      </c>
      <c r="F745">
        <f t="shared" si="33"/>
        <v>6.2155775398999025E-4</v>
      </c>
      <c r="G745">
        <f t="shared" si="35"/>
        <v>0.97976148761441106</v>
      </c>
      <c r="H745" t="str">
        <f t="shared" si="34"/>
        <v>C</v>
      </c>
      <c r="I745" t="str">
        <f>VLOOKUP(D745,'СУММА ПРОДАЖ'!J:N, 5, FALSE)</f>
        <v>A</v>
      </c>
      <c r="J745" t="str">
        <f>VLOOKUP(D745, 'МЕСЯЧНАЯ ОБОР.'!$V$4:$W$806, 2, FALSE)</f>
        <v>C</v>
      </c>
    </row>
    <row r="746" spans="1:10" x14ac:dyDescent="0.25">
      <c r="A746" s="9" t="s">
        <v>232</v>
      </c>
      <c r="B746" s="10">
        <v>3</v>
      </c>
      <c r="D746" t="s">
        <v>595</v>
      </c>
      <c r="E746">
        <v>1</v>
      </c>
      <c r="F746">
        <f t="shared" si="33"/>
        <v>6.2155775398999025E-4</v>
      </c>
      <c r="G746">
        <f t="shared" si="35"/>
        <v>0.98038304536840104</v>
      </c>
      <c r="H746" t="str">
        <f t="shared" si="34"/>
        <v>C</v>
      </c>
      <c r="I746" t="str">
        <f>VLOOKUP(D746,'СУММА ПРОДАЖ'!J:N, 5, FALSE)</f>
        <v>B</v>
      </c>
      <c r="J746" t="str">
        <f>VLOOKUP(D746, 'МЕСЯЧНАЯ ОБОР.'!$V$4:$W$806, 2, FALSE)</f>
        <v>C</v>
      </c>
    </row>
    <row r="747" spans="1:10" x14ac:dyDescent="0.25">
      <c r="A747" s="9" t="s">
        <v>244</v>
      </c>
      <c r="B747" s="10">
        <v>1</v>
      </c>
      <c r="D747" t="s">
        <v>620</v>
      </c>
      <c r="E747">
        <v>1</v>
      </c>
      <c r="F747">
        <f t="shared" si="33"/>
        <v>6.2155775398999025E-4</v>
      </c>
      <c r="G747">
        <f t="shared" si="35"/>
        <v>0.98100460312239102</v>
      </c>
      <c r="H747" t="str">
        <f t="shared" si="34"/>
        <v>C</v>
      </c>
      <c r="I747" t="str">
        <f>VLOOKUP(D747,'СУММА ПРОДАЖ'!J:N, 5, FALSE)</f>
        <v>C</v>
      </c>
      <c r="J747" t="str">
        <f>VLOOKUP(D747, 'МЕСЯЧНАЯ ОБОР.'!$V$4:$W$806, 2, FALSE)</f>
        <v>C</v>
      </c>
    </row>
    <row r="748" spans="1:10" x14ac:dyDescent="0.25">
      <c r="A748" s="9" t="s">
        <v>1034</v>
      </c>
      <c r="B748" s="10">
        <v>6.6666669999999997E-2</v>
      </c>
      <c r="D748" t="s">
        <v>1192</v>
      </c>
      <c r="E748">
        <v>1</v>
      </c>
      <c r="F748">
        <f t="shared" si="33"/>
        <v>6.2155775398999025E-4</v>
      </c>
      <c r="G748">
        <f t="shared" si="35"/>
        <v>0.98162616087638099</v>
      </c>
      <c r="H748" t="str">
        <f t="shared" si="34"/>
        <v>C</v>
      </c>
      <c r="I748" t="str">
        <f>VLOOKUP(D748,'СУММА ПРОДАЖ'!J:N, 5, FALSE)</f>
        <v>A</v>
      </c>
      <c r="J748" t="str">
        <f>VLOOKUP(D748, 'МЕСЯЧНАЯ ОБОР.'!$V$4:$W$806, 2, FALSE)</f>
        <v>C</v>
      </c>
    </row>
    <row r="749" spans="1:10" x14ac:dyDescent="0.25">
      <c r="A749" s="9" t="s">
        <v>932</v>
      </c>
      <c r="B749" s="10">
        <v>0.2</v>
      </c>
      <c r="D749" t="s">
        <v>473</v>
      </c>
      <c r="E749">
        <v>1</v>
      </c>
      <c r="F749">
        <f t="shared" si="33"/>
        <v>6.2155775398999025E-4</v>
      </c>
      <c r="G749">
        <f t="shared" si="35"/>
        <v>0.98224771863037097</v>
      </c>
      <c r="H749" t="str">
        <f t="shared" si="34"/>
        <v>C</v>
      </c>
      <c r="I749" t="str">
        <f>VLOOKUP(D749,'СУММА ПРОДАЖ'!J:N, 5, FALSE)</f>
        <v>A</v>
      </c>
      <c r="J749" t="str">
        <f>VLOOKUP(D749, 'МЕСЯЧНАЯ ОБОР.'!$V$4:$W$806, 2, FALSE)</f>
        <v>C</v>
      </c>
    </row>
    <row r="750" spans="1:10" x14ac:dyDescent="0.25">
      <c r="A750" s="9" t="s">
        <v>806</v>
      </c>
      <c r="B750" s="10">
        <v>0.12</v>
      </c>
      <c r="D750" t="s">
        <v>1148</v>
      </c>
      <c r="E750">
        <v>1</v>
      </c>
      <c r="F750">
        <f t="shared" si="33"/>
        <v>6.2155775398999025E-4</v>
      </c>
      <c r="G750">
        <f t="shared" si="35"/>
        <v>0.98286927638436095</v>
      </c>
      <c r="H750" t="str">
        <f t="shared" si="34"/>
        <v>C</v>
      </c>
      <c r="I750" t="str">
        <f>VLOOKUP(D750,'СУММА ПРОДАЖ'!J:N, 5, FALSE)</f>
        <v>B</v>
      </c>
      <c r="J750" t="str">
        <f>VLOOKUP(D750, 'МЕСЯЧНАЯ ОБОР.'!$V$4:$W$806, 2, FALSE)</f>
        <v>C</v>
      </c>
    </row>
    <row r="751" spans="1:10" x14ac:dyDescent="0.25">
      <c r="A751" s="9" t="s">
        <v>823</v>
      </c>
      <c r="B751" s="10">
        <v>0.24</v>
      </c>
      <c r="D751" t="s">
        <v>748</v>
      </c>
      <c r="E751">
        <v>1</v>
      </c>
      <c r="F751">
        <f t="shared" si="33"/>
        <v>6.2155775398999025E-4</v>
      </c>
      <c r="G751">
        <f t="shared" si="35"/>
        <v>0.98349083413835092</v>
      </c>
      <c r="H751" t="str">
        <f t="shared" si="34"/>
        <v>C</v>
      </c>
      <c r="I751" t="str">
        <f>VLOOKUP(D751,'СУММА ПРОДАЖ'!J:N, 5, FALSE)</f>
        <v>A</v>
      </c>
      <c r="J751" t="str">
        <f>VLOOKUP(D751, 'МЕСЯЧНАЯ ОБОР.'!$V$4:$W$806, 2, FALSE)</f>
        <v>C</v>
      </c>
    </row>
    <row r="752" spans="1:10" x14ac:dyDescent="0.25">
      <c r="A752" s="9" t="s">
        <v>1008</v>
      </c>
      <c r="B752" s="10">
        <v>0.04</v>
      </c>
      <c r="D752" t="s">
        <v>113</v>
      </c>
      <c r="E752">
        <v>1</v>
      </c>
      <c r="F752">
        <f t="shared" si="33"/>
        <v>6.2155775398999025E-4</v>
      </c>
      <c r="G752">
        <f t="shared" si="35"/>
        <v>0.9841123918923409</v>
      </c>
      <c r="H752" t="str">
        <f t="shared" si="34"/>
        <v>C</v>
      </c>
      <c r="I752" t="str">
        <f>VLOOKUP(D752,'СУММА ПРОДАЖ'!J:N, 5, FALSE)</f>
        <v>C</v>
      </c>
      <c r="J752" t="str">
        <f>VLOOKUP(D752, 'МЕСЯЧНАЯ ОБОР.'!$V$4:$W$806, 2, FALSE)</f>
        <v>C</v>
      </c>
    </row>
    <row r="753" spans="1:10" x14ac:dyDescent="0.25">
      <c r="A753" s="9" t="s">
        <v>493</v>
      </c>
      <c r="B753" s="10">
        <v>1</v>
      </c>
      <c r="D753" t="s">
        <v>279</v>
      </c>
      <c r="E753">
        <v>1</v>
      </c>
      <c r="F753">
        <f t="shared" si="33"/>
        <v>6.2155775398999025E-4</v>
      </c>
      <c r="G753">
        <f t="shared" si="35"/>
        <v>0.98473394964633088</v>
      </c>
      <c r="H753" t="str">
        <f t="shared" si="34"/>
        <v>C</v>
      </c>
      <c r="I753" t="str">
        <f>VLOOKUP(D753,'СУММА ПРОДАЖ'!J:N, 5, FALSE)</f>
        <v>B</v>
      </c>
      <c r="J753" t="str">
        <f>VLOOKUP(D753, 'МЕСЯЧНАЯ ОБОР.'!$V$4:$W$806, 2, FALSE)</f>
        <v>C</v>
      </c>
    </row>
    <row r="754" spans="1:10" x14ac:dyDescent="0.25">
      <c r="A754" s="9" t="s">
        <v>1049</v>
      </c>
      <c r="B754" s="10">
        <v>1</v>
      </c>
      <c r="D754" t="s">
        <v>1102</v>
      </c>
      <c r="E754">
        <v>1</v>
      </c>
      <c r="F754">
        <f t="shared" si="33"/>
        <v>6.2155775398999025E-4</v>
      </c>
      <c r="G754">
        <f t="shared" si="35"/>
        <v>0.98535550740032085</v>
      </c>
      <c r="H754" t="str">
        <f t="shared" si="34"/>
        <v>C</v>
      </c>
      <c r="I754" t="str">
        <f>VLOOKUP(D754,'СУММА ПРОДАЖ'!J:N, 5, FALSE)</f>
        <v>C</v>
      </c>
      <c r="J754" t="str">
        <f>VLOOKUP(D754, 'МЕСЯЧНАЯ ОБОР.'!$V$4:$W$806, 2, FALSE)</f>
        <v>C</v>
      </c>
    </row>
    <row r="755" spans="1:10" x14ac:dyDescent="0.25">
      <c r="A755" s="9" t="s">
        <v>260</v>
      </c>
      <c r="B755" s="10">
        <v>1</v>
      </c>
      <c r="D755" t="s">
        <v>1178</v>
      </c>
      <c r="E755">
        <v>1</v>
      </c>
      <c r="F755">
        <f t="shared" si="33"/>
        <v>6.2155775398999025E-4</v>
      </c>
      <c r="G755">
        <f t="shared" si="35"/>
        <v>0.98597706515431083</v>
      </c>
      <c r="H755" t="str">
        <f t="shared" si="34"/>
        <v>C</v>
      </c>
      <c r="I755" t="str">
        <f>VLOOKUP(D755,'СУММА ПРОДАЖ'!J:N, 5, FALSE)</f>
        <v>C</v>
      </c>
      <c r="J755" t="str">
        <f>VLOOKUP(D755, 'МЕСЯЧНАЯ ОБОР.'!$V$4:$W$806, 2, FALSE)</f>
        <v>C</v>
      </c>
    </row>
    <row r="756" spans="1:10" x14ac:dyDescent="0.25">
      <c r="A756" s="9" t="s">
        <v>95</v>
      </c>
      <c r="B756" s="10">
        <v>7</v>
      </c>
      <c r="D756" t="s">
        <v>824</v>
      </c>
      <c r="E756">
        <v>1</v>
      </c>
      <c r="F756">
        <f t="shared" si="33"/>
        <v>6.2155775398999025E-4</v>
      </c>
      <c r="G756">
        <f t="shared" si="35"/>
        <v>0.9865986229083008</v>
      </c>
      <c r="H756" t="str">
        <f t="shared" si="34"/>
        <v>C</v>
      </c>
      <c r="I756" t="str">
        <f>VLOOKUP(D756,'СУММА ПРОДАЖ'!J:N, 5, FALSE)</f>
        <v>C</v>
      </c>
      <c r="J756" t="str">
        <f>VLOOKUP(D756, 'МЕСЯЧНАЯ ОБОР.'!$V$4:$W$806, 2, FALSE)</f>
        <v>C</v>
      </c>
    </row>
    <row r="757" spans="1:10" x14ac:dyDescent="0.25">
      <c r="A757" s="9" t="s">
        <v>590</v>
      </c>
      <c r="B757" s="10">
        <v>1</v>
      </c>
      <c r="D757" t="s">
        <v>746</v>
      </c>
      <c r="E757">
        <v>1</v>
      </c>
      <c r="F757">
        <f t="shared" si="33"/>
        <v>6.2155775398999025E-4</v>
      </c>
      <c r="G757">
        <f t="shared" si="35"/>
        <v>0.98722018066229078</v>
      </c>
      <c r="H757" t="str">
        <f t="shared" si="34"/>
        <v>C</v>
      </c>
      <c r="I757" t="str">
        <f>VLOOKUP(D757,'СУММА ПРОДАЖ'!J:N, 5, FALSE)</f>
        <v>B</v>
      </c>
      <c r="J757" t="str">
        <f>VLOOKUP(D757, 'МЕСЯЧНАЯ ОБОР.'!$V$4:$W$806, 2, FALSE)</f>
        <v>C</v>
      </c>
    </row>
    <row r="758" spans="1:10" x14ac:dyDescent="0.25">
      <c r="A758" s="9" t="s">
        <v>633</v>
      </c>
      <c r="B758" s="10">
        <v>1</v>
      </c>
      <c r="D758" t="s">
        <v>171</v>
      </c>
      <c r="E758">
        <v>1</v>
      </c>
      <c r="F758">
        <f t="shared" si="33"/>
        <v>6.2155775398999025E-4</v>
      </c>
      <c r="G758">
        <f t="shared" si="35"/>
        <v>0.98784173841628076</v>
      </c>
      <c r="H758" t="str">
        <f t="shared" si="34"/>
        <v>C</v>
      </c>
      <c r="I758" t="str">
        <f>VLOOKUP(D758,'СУММА ПРОДАЖ'!J:N, 5, FALSE)</f>
        <v>C</v>
      </c>
      <c r="J758" t="str">
        <f>VLOOKUP(D758, 'МЕСЯЧНАЯ ОБОР.'!$V$4:$W$806, 2, FALSE)</f>
        <v>C</v>
      </c>
    </row>
    <row r="759" spans="1:10" x14ac:dyDescent="0.25">
      <c r="A759" s="9" t="s">
        <v>629</v>
      </c>
      <c r="B759" s="10">
        <v>1</v>
      </c>
      <c r="D759" t="s">
        <v>274</v>
      </c>
      <c r="E759">
        <v>1</v>
      </c>
      <c r="F759">
        <f t="shared" si="33"/>
        <v>6.2155775398999025E-4</v>
      </c>
      <c r="G759">
        <f t="shared" si="35"/>
        <v>0.98846329617027073</v>
      </c>
      <c r="H759" t="str">
        <f t="shared" si="34"/>
        <v>C</v>
      </c>
      <c r="I759" t="str">
        <f>VLOOKUP(D759,'СУММА ПРОДАЖ'!J:N, 5, FALSE)</f>
        <v>C</v>
      </c>
      <c r="J759" t="str">
        <f>VLOOKUP(D759, 'МЕСЯЧНАЯ ОБОР.'!$V$4:$W$806, 2, FALSE)</f>
        <v>C</v>
      </c>
    </row>
    <row r="760" spans="1:10" x14ac:dyDescent="0.25">
      <c r="A760" s="9" t="s">
        <v>679</v>
      </c>
      <c r="B760" s="10">
        <v>0.33333332999999998</v>
      </c>
      <c r="D760" t="s">
        <v>978</v>
      </c>
      <c r="E760">
        <v>1</v>
      </c>
      <c r="F760">
        <f t="shared" si="33"/>
        <v>6.2155775398999025E-4</v>
      </c>
      <c r="G760">
        <f t="shared" si="35"/>
        <v>0.98908485392426071</v>
      </c>
      <c r="H760" t="str">
        <f t="shared" si="34"/>
        <v>C</v>
      </c>
      <c r="I760" t="str">
        <f>VLOOKUP(D760,'СУММА ПРОДАЖ'!J:N, 5, FALSE)</f>
        <v>C</v>
      </c>
      <c r="J760" t="str">
        <f>VLOOKUP(D760, 'МЕСЯЧНАЯ ОБОР.'!$V$4:$W$806, 2, FALSE)</f>
        <v>C</v>
      </c>
    </row>
    <row r="761" spans="1:10" x14ac:dyDescent="0.25">
      <c r="A761" s="9" t="s">
        <v>913</v>
      </c>
      <c r="B761" s="10">
        <v>1</v>
      </c>
      <c r="D761" t="s">
        <v>311</v>
      </c>
      <c r="E761">
        <v>1</v>
      </c>
      <c r="F761">
        <f t="shared" si="33"/>
        <v>6.2155775398999025E-4</v>
      </c>
      <c r="G761">
        <f t="shared" si="35"/>
        <v>0.98970641167825069</v>
      </c>
      <c r="H761" t="str">
        <f t="shared" si="34"/>
        <v>C</v>
      </c>
      <c r="I761" t="str">
        <f>VLOOKUP(D761,'СУММА ПРОДАЖ'!J:N, 5, FALSE)</f>
        <v>A</v>
      </c>
      <c r="J761" t="str">
        <f>VLOOKUP(D761, 'МЕСЯЧНАЯ ОБОР.'!$V$4:$W$806, 2, FALSE)</f>
        <v>C</v>
      </c>
    </row>
    <row r="762" spans="1:10" x14ac:dyDescent="0.25">
      <c r="A762" s="9" t="s">
        <v>1139</v>
      </c>
      <c r="B762" s="10">
        <v>1</v>
      </c>
      <c r="D762" t="s">
        <v>218</v>
      </c>
      <c r="E762">
        <v>1</v>
      </c>
      <c r="F762">
        <f t="shared" si="33"/>
        <v>6.2155775398999025E-4</v>
      </c>
      <c r="G762">
        <f t="shared" si="35"/>
        <v>0.99032796943224066</v>
      </c>
      <c r="H762" t="str">
        <f t="shared" si="34"/>
        <v>C</v>
      </c>
      <c r="I762" t="str">
        <f>VLOOKUP(D762,'СУММА ПРОДАЖ'!J:N, 5, FALSE)</f>
        <v>C</v>
      </c>
      <c r="J762" t="str">
        <f>VLOOKUP(D762, 'МЕСЯЧНАЯ ОБОР.'!$V$4:$W$806, 2, FALSE)</f>
        <v>C</v>
      </c>
    </row>
    <row r="763" spans="1:10" x14ac:dyDescent="0.25">
      <c r="A763" s="9" t="s">
        <v>718</v>
      </c>
      <c r="B763" s="10">
        <v>1</v>
      </c>
      <c r="D763" t="s">
        <v>621</v>
      </c>
      <c r="E763">
        <v>1</v>
      </c>
      <c r="F763">
        <f t="shared" si="33"/>
        <v>6.2155775398999025E-4</v>
      </c>
      <c r="G763">
        <f t="shared" si="35"/>
        <v>0.99094952718623064</v>
      </c>
      <c r="H763" t="str">
        <f t="shared" si="34"/>
        <v>C</v>
      </c>
      <c r="I763" t="str">
        <f>VLOOKUP(D763,'СУММА ПРОДАЖ'!J:N, 5, FALSE)</f>
        <v>C</v>
      </c>
      <c r="J763" t="str">
        <f>VLOOKUP(D763, 'МЕСЯЧНАЯ ОБОР.'!$V$4:$W$806, 2, FALSE)</f>
        <v>C</v>
      </c>
    </row>
    <row r="764" spans="1:10" x14ac:dyDescent="0.25">
      <c r="A764" s="9" t="s">
        <v>1104</v>
      </c>
      <c r="B764" s="10">
        <v>1</v>
      </c>
      <c r="D764" t="s">
        <v>1047</v>
      </c>
      <c r="E764">
        <v>1</v>
      </c>
      <c r="F764">
        <f t="shared" si="33"/>
        <v>6.2155775398999025E-4</v>
      </c>
      <c r="G764">
        <f t="shared" si="35"/>
        <v>0.99157108494022062</v>
      </c>
      <c r="H764" t="str">
        <f t="shared" si="34"/>
        <v>C</v>
      </c>
      <c r="I764" t="str">
        <f>VLOOKUP(D764,'СУММА ПРОДАЖ'!J:N, 5, FALSE)</f>
        <v>A</v>
      </c>
      <c r="J764" t="str">
        <f>VLOOKUP(D764, 'МЕСЯЧНАЯ ОБОР.'!$V$4:$W$806, 2, FALSE)</f>
        <v>C</v>
      </c>
    </row>
    <row r="765" spans="1:10" x14ac:dyDescent="0.25">
      <c r="A765" s="9" t="s">
        <v>712</v>
      </c>
      <c r="B765" s="10">
        <v>3</v>
      </c>
      <c r="D765" t="s">
        <v>1184</v>
      </c>
      <c r="E765">
        <v>1</v>
      </c>
      <c r="F765">
        <f t="shared" si="33"/>
        <v>6.2155775398999025E-4</v>
      </c>
      <c r="G765">
        <f t="shared" si="35"/>
        <v>0.99219264269421059</v>
      </c>
      <c r="H765" t="str">
        <f t="shared" si="34"/>
        <v>C</v>
      </c>
      <c r="I765" t="str">
        <f>VLOOKUP(D765,'СУММА ПРОДАЖ'!J:N, 5, FALSE)</f>
        <v>A</v>
      </c>
      <c r="J765" t="str">
        <f>VLOOKUP(D765, 'МЕСЯЧНАЯ ОБОР.'!$V$4:$W$806, 2, FALSE)</f>
        <v>C</v>
      </c>
    </row>
    <row r="766" spans="1:10" x14ac:dyDescent="0.25">
      <c r="A766" s="9" t="s">
        <v>954</v>
      </c>
      <c r="B766" s="10">
        <v>1</v>
      </c>
      <c r="D766" t="s">
        <v>133</v>
      </c>
      <c r="E766">
        <v>1</v>
      </c>
      <c r="F766">
        <f t="shared" si="33"/>
        <v>6.2155775398999025E-4</v>
      </c>
      <c r="G766">
        <f t="shared" si="35"/>
        <v>0.99281420044820057</v>
      </c>
      <c r="H766" t="str">
        <f t="shared" si="34"/>
        <v>C</v>
      </c>
      <c r="I766" t="str">
        <f>VLOOKUP(D766,'СУММА ПРОДАЖ'!J:N, 5, FALSE)</f>
        <v>A</v>
      </c>
      <c r="J766" t="str">
        <f>VLOOKUP(D766, 'МЕСЯЧНАЯ ОБОР.'!$V$4:$W$806, 2, FALSE)</f>
        <v>C</v>
      </c>
    </row>
    <row r="767" spans="1:10" x14ac:dyDescent="0.25">
      <c r="A767" s="9" t="s">
        <v>741</v>
      </c>
      <c r="B767" s="10">
        <v>9</v>
      </c>
      <c r="D767" t="s">
        <v>1093</v>
      </c>
      <c r="E767">
        <v>1</v>
      </c>
      <c r="F767">
        <f t="shared" si="33"/>
        <v>6.2155775398999025E-4</v>
      </c>
      <c r="G767">
        <f t="shared" si="35"/>
        <v>0.99343575820219054</v>
      </c>
      <c r="H767" t="str">
        <f t="shared" si="34"/>
        <v>C</v>
      </c>
      <c r="I767" t="str">
        <f>VLOOKUP(D767,'СУММА ПРОДАЖ'!J:N, 5, FALSE)</f>
        <v>A</v>
      </c>
      <c r="J767" t="str">
        <f>VLOOKUP(D767, 'МЕСЯЧНАЯ ОБОР.'!$V$4:$W$806, 2, FALSE)</f>
        <v>C</v>
      </c>
    </row>
    <row r="768" spans="1:10" x14ac:dyDescent="0.25">
      <c r="A768" s="9" t="s">
        <v>851</v>
      </c>
      <c r="B768" s="10">
        <v>10</v>
      </c>
      <c r="D768" t="s">
        <v>625</v>
      </c>
      <c r="E768">
        <v>0.8</v>
      </c>
      <c r="F768">
        <f t="shared" si="33"/>
        <v>4.9724620319199222E-4</v>
      </c>
      <c r="G768">
        <f t="shared" si="35"/>
        <v>0.99393300440538257</v>
      </c>
      <c r="H768" t="str">
        <f t="shared" si="34"/>
        <v>C</v>
      </c>
      <c r="I768" t="str">
        <f>VLOOKUP(D768,'СУММА ПРОДАЖ'!J:N, 5, FALSE)</f>
        <v>A</v>
      </c>
      <c r="J768" t="str">
        <f>VLOOKUP(D768, 'МЕСЯЧНАЯ ОБОР.'!$V$4:$W$806, 2, FALSE)</f>
        <v>C</v>
      </c>
    </row>
    <row r="769" spans="1:10" x14ac:dyDescent="0.25">
      <c r="A769" s="9" t="s">
        <v>119</v>
      </c>
      <c r="B769" s="10">
        <v>2</v>
      </c>
      <c r="D769" t="s">
        <v>353</v>
      </c>
      <c r="E769">
        <v>0.7</v>
      </c>
      <c r="F769">
        <f t="shared" si="33"/>
        <v>4.350904277929931E-4</v>
      </c>
      <c r="G769">
        <f t="shared" si="35"/>
        <v>0.99436809483317556</v>
      </c>
      <c r="H769" t="str">
        <f t="shared" si="34"/>
        <v>C</v>
      </c>
      <c r="I769" t="str">
        <f>VLOOKUP(D769,'СУММА ПРОДАЖ'!J:N, 5, FALSE)</f>
        <v>B</v>
      </c>
      <c r="J769" t="str">
        <f>VLOOKUP(D769, 'МЕСЯЧНАЯ ОБОР.'!$V$4:$W$806, 2, FALSE)</f>
        <v>C</v>
      </c>
    </row>
    <row r="770" spans="1:10" x14ac:dyDescent="0.25">
      <c r="A770" s="9" t="s">
        <v>595</v>
      </c>
      <c r="B770" s="10">
        <v>1</v>
      </c>
      <c r="D770" t="s">
        <v>715</v>
      </c>
      <c r="E770">
        <v>0.66666665999999997</v>
      </c>
      <c r="F770">
        <f t="shared" si="33"/>
        <v>4.1437183184960842E-4</v>
      </c>
      <c r="G770">
        <f t="shared" si="35"/>
        <v>0.99478246666502512</v>
      </c>
      <c r="H770" t="str">
        <f t="shared" si="34"/>
        <v>C</v>
      </c>
      <c r="I770" t="str">
        <f>VLOOKUP(D770,'СУММА ПРОДАЖ'!J:N, 5, FALSE)</f>
        <v>A</v>
      </c>
      <c r="J770" t="str">
        <f>VLOOKUP(D770, 'МЕСЯЧНАЯ ОБОР.'!$V$4:$W$806, 2, FALSE)</f>
        <v>C</v>
      </c>
    </row>
    <row r="771" spans="1:10" x14ac:dyDescent="0.25">
      <c r="A771" s="9" t="s">
        <v>620</v>
      </c>
      <c r="B771" s="10">
        <v>1</v>
      </c>
      <c r="D771" t="s">
        <v>328</v>
      </c>
      <c r="E771">
        <v>0.53571440000000004</v>
      </c>
      <c r="F771">
        <f t="shared" si="33"/>
        <v>3.3297743924409523E-4</v>
      </c>
      <c r="G771">
        <f t="shared" si="35"/>
        <v>0.99511544410426922</v>
      </c>
      <c r="H771" t="str">
        <f t="shared" si="34"/>
        <v>C</v>
      </c>
      <c r="I771" t="str">
        <f>VLOOKUP(D771,'СУММА ПРОДАЖ'!J:N, 5, FALSE)</f>
        <v>A</v>
      </c>
      <c r="J771" t="str">
        <f>VLOOKUP(D771, 'МЕСЯЧНАЯ ОБОР.'!$V$4:$W$806, 2, FALSE)</f>
        <v>C</v>
      </c>
    </row>
    <row r="772" spans="1:10" x14ac:dyDescent="0.25">
      <c r="A772" s="9" t="s">
        <v>239</v>
      </c>
      <c r="B772" s="10">
        <v>2</v>
      </c>
      <c r="D772" t="s">
        <v>865</v>
      </c>
      <c r="E772">
        <v>0.5</v>
      </c>
      <c r="F772">
        <f t="shared" si="33"/>
        <v>3.1077887699499512E-4</v>
      </c>
      <c r="G772">
        <f t="shared" si="35"/>
        <v>0.99542622298126426</v>
      </c>
      <c r="H772" t="str">
        <f t="shared" si="34"/>
        <v>C</v>
      </c>
      <c r="I772" t="str">
        <f>VLOOKUP(D772,'СУММА ПРОДАЖ'!J:N, 5, FALSE)</f>
        <v>A</v>
      </c>
      <c r="J772" t="str">
        <f>VLOOKUP(D772, 'МЕСЯЧНАЯ ОБОР.'!$V$4:$W$806, 2, FALSE)</f>
        <v>C</v>
      </c>
    </row>
    <row r="773" spans="1:10" x14ac:dyDescent="0.25">
      <c r="A773" s="9" t="s">
        <v>527</v>
      </c>
      <c r="B773" s="10">
        <v>2</v>
      </c>
      <c r="D773" t="s">
        <v>716</v>
      </c>
      <c r="E773">
        <v>0.5</v>
      </c>
      <c r="F773">
        <f t="shared" ref="F773:F806" si="36">E773/SUM($E$4:$E$806)</f>
        <v>3.1077887699499512E-4</v>
      </c>
      <c r="G773">
        <f t="shared" si="35"/>
        <v>0.99573700185825931</v>
      </c>
      <c r="H773" t="str">
        <f t="shared" ref="H773:H806" si="37">IF(G773&lt;0.8, "A", IF(G773&lt;0.95, "B","C"))</f>
        <v>C</v>
      </c>
      <c r="I773" t="str">
        <f>VLOOKUP(D773,'СУММА ПРОДАЖ'!J:N, 5, FALSE)</f>
        <v>A</v>
      </c>
      <c r="J773" t="str">
        <f>VLOOKUP(D773, 'МЕСЯЧНАЯ ОБОР.'!$V$4:$W$806, 2, FALSE)</f>
        <v>C</v>
      </c>
    </row>
    <row r="774" spans="1:10" x14ac:dyDescent="0.25">
      <c r="A774" s="9" t="s">
        <v>1192</v>
      </c>
      <c r="B774" s="10">
        <v>1</v>
      </c>
      <c r="D774" t="s">
        <v>602</v>
      </c>
      <c r="E774">
        <v>0.5</v>
      </c>
      <c r="F774">
        <f t="shared" si="36"/>
        <v>3.1077887699499512E-4</v>
      </c>
      <c r="G774">
        <f t="shared" ref="G774:G806" si="38">F774+G773</f>
        <v>0.99604778073525435</v>
      </c>
      <c r="H774" t="str">
        <f t="shared" si="37"/>
        <v>C</v>
      </c>
      <c r="I774" t="str">
        <f>VLOOKUP(D774,'СУММА ПРОДАЖ'!J:N, 5, FALSE)</f>
        <v>B</v>
      </c>
      <c r="J774" t="str">
        <f>VLOOKUP(D774, 'МЕСЯЧНАЯ ОБОР.'!$V$4:$W$806, 2, FALSE)</f>
        <v>C</v>
      </c>
    </row>
    <row r="775" spans="1:10" x14ac:dyDescent="0.25">
      <c r="A775" s="9" t="s">
        <v>473</v>
      </c>
      <c r="B775" s="10">
        <v>1</v>
      </c>
      <c r="D775" t="s">
        <v>373</v>
      </c>
      <c r="E775">
        <v>0.33333333999999998</v>
      </c>
      <c r="F775">
        <f t="shared" si="36"/>
        <v>2.0718592214038174E-4</v>
      </c>
      <c r="G775">
        <f t="shared" si="38"/>
        <v>0.99625496665739477</v>
      </c>
      <c r="H775" t="str">
        <f t="shared" si="37"/>
        <v>C</v>
      </c>
      <c r="I775" t="str">
        <f>VLOOKUP(D775,'СУММА ПРОДАЖ'!J:N, 5, FALSE)</f>
        <v>A</v>
      </c>
      <c r="J775" t="str">
        <f>VLOOKUP(D775, 'МЕСЯЧНАЯ ОБОР.'!$V$4:$W$806, 2, FALSE)</f>
        <v>C</v>
      </c>
    </row>
    <row r="776" spans="1:10" x14ac:dyDescent="0.25">
      <c r="A776" s="9" t="s">
        <v>72</v>
      </c>
      <c r="B776" s="10">
        <v>4</v>
      </c>
      <c r="D776" t="s">
        <v>1217</v>
      </c>
      <c r="E776">
        <v>0.33333333999999998</v>
      </c>
      <c r="F776">
        <f t="shared" si="36"/>
        <v>2.0718592214038174E-4</v>
      </c>
      <c r="G776">
        <f t="shared" si="38"/>
        <v>0.99646215257953519</v>
      </c>
      <c r="H776" t="str">
        <f t="shared" si="37"/>
        <v>C</v>
      </c>
      <c r="I776" t="str">
        <f>VLOOKUP(D776,'СУММА ПРОДАЖ'!J:N, 5, FALSE)</f>
        <v>A</v>
      </c>
      <c r="J776" t="str">
        <f>VLOOKUP(D776, 'МЕСЯЧНАЯ ОБОР.'!$V$4:$W$806, 2, FALSE)</f>
        <v>C</v>
      </c>
    </row>
    <row r="777" spans="1:10" x14ac:dyDescent="0.25">
      <c r="A777" s="9" t="s">
        <v>270</v>
      </c>
      <c r="B777" s="10">
        <v>6</v>
      </c>
      <c r="D777" t="s">
        <v>891</v>
      </c>
      <c r="E777">
        <v>0.33333332999999998</v>
      </c>
      <c r="F777">
        <f t="shared" si="36"/>
        <v>2.0718591592480421E-4</v>
      </c>
      <c r="G777">
        <f t="shared" si="38"/>
        <v>0.99666933849546002</v>
      </c>
      <c r="H777" t="str">
        <f t="shared" si="37"/>
        <v>C</v>
      </c>
      <c r="I777" t="str">
        <f>VLOOKUP(D777,'СУММА ПРОДАЖ'!J:N, 5, FALSE)</f>
        <v>A</v>
      </c>
      <c r="J777" t="str">
        <f>VLOOKUP(D777, 'МЕСЯЧНАЯ ОБОР.'!$V$4:$W$806, 2, FALSE)</f>
        <v>C</v>
      </c>
    </row>
    <row r="778" spans="1:10" x14ac:dyDescent="0.25">
      <c r="A778" s="9" t="s">
        <v>267</v>
      </c>
      <c r="B778" s="10">
        <v>6</v>
      </c>
      <c r="D778" t="s">
        <v>1018</v>
      </c>
      <c r="E778">
        <v>0.33333332999999998</v>
      </c>
      <c r="F778">
        <f t="shared" si="36"/>
        <v>2.0718591592480421E-4</v>
      </c>
      <c r="G778">
        <f t="shared" si="38"/>
        <v>0.99687652441138486</v>
      </c>
      <c r="H778" t="str">
        <f t="shared" si="37"/>
        <v>C</v>
      </c>
      <c r="I778" t="str">
        <f>VLOOKUP(D778,'СУММА ПРОДАЖ'!J:N, 5, FALSE)</f>
        <v>A</v>
      </c>
      <c r="J778" t="str">
        <f>VLOOKUP(D778, 'МЕСЯЧНАЯ ОБОР.'!$V$4:$W$806, 2, FALSE)</f>
        <v>C</v>
      </c>
    </row>
    <row r="779" spans="1:10" x14ac:dyDescent="0.25">
      <c r="A779" s="9" t="s">
        <v>1148</v>
      </c>
      <c r="B779" s="10">
        <v>1</v>
      </c>
      <c r="D779" t="s">
        <v>1082</v>
      </c>
      <c r="E779">
        <v>0.33333332999999998</v>
      </c>
      <c r="F779">
        <f t="shared" si="36"/>
        <v>2.0718591592480421E-4</v>
      </c>
      <c r="G779">
        <f t="shared" si="38"/>
        <v>0.99708371032730969</v>
      </c>
      <c r="H779" t="str">
        <f t="shared" si="37"/>
        <v>C</v>
      </c>
      <c r="I779" t="str">
        <f>VLOOKUP(D779,'СУММА ПРОДАЖ'!J:N, 5, FALSE)</f>
        <v>A</v>
      </c>
      <c r="J779" t="str">
        <f>VLOOKUP(D779, 'МЕСЯЧНАЯ ОБОР.'!$V$4:$W$806, 2, FALSE)</f>
        <v>C</v>
      </c>
    </row>
    <row r="780" spans="1:10" x14ac:dyDescent="0.25">
      <c r="A780" s="9" t="s">
        <v>748</v>
      </c>
      <c r="B780" s="10">
        <v>1</v>
      </c>
      <c r="D780" t="s">
        <v>1215</v>
      </c>
      <c r="E780">
        <v>0.33333332999999998</v>
      </c>
      <c r="F780">
        <f t="shared" si="36"/>
        <v>2.0718591592480421E-4</v>
      </c>
      <c r="G780">
        <f t="shared" si="38"/>
        <v>0.99729089624323453</v>
      </c>
      <c r="H780" t="str">
        <f t="shared" si="37"/>
        <v>C</v>
      </c>
      <c r="I780" t="str">
        <f>VLOOKUP(D780,'СУММА ПРОДАЖ'!J:N, 5, FALSE)</f>
        <v>A</v>
      </c>
      <c r="J780" t="str">
        <f>VLOOKUP(D780, 'МЕСЯЧНАЯ ОБОР.'!$V$4:$W$806, 2, FALSE)</f>
        <v>C</v>
      </c>
    </row>
    <row r="781" spans="1:10" x14ac:dyDescent="0.25">
      <c r="A781" s="9" t="s">
        <v>113</v>
      </c>
      <c r="B781" s="10">
        <v>1</v>
      </c>
      <c r="D781" t="s">
        <v>918</v>
      </c>
      <c r="E781">
        <v>0.33333332999999998</v>
      </c>
      <c r="F781">
        <f t="shared" si="36"/>
        <v>2.0718591592480421E-4</v>
      </c>
      <c r="G781">
        <f t="shared" si="38"/>
        <v>0.99749808215915936</v>
      </c>
      <c r="H781" t="str">
        <f t="shared" si="37"/>
        <v>C</v>
      </c>
      <c r="I781" t="str">
        <f>VLOOKUP(D781,'СУММА ПРОДАЖ'!J:N, 5, FALSE)</f>
        <v>A</v>
      </c>
      <c r="J781" t="str">
        <f>VLOOKUP(D781, 'МЕСЯЧНАЯ ОБОР.'!$V$4:$W$806, 2, FALSE)</f>
        <v>C</v>
      </c>
    </row>
    <row r="782" spans="1:10" x14ac:dyDescent="0.25">
      <c r="A782" s="9" t="s">
        <v>279</v>
      </c>
      <c r="B782" s="10">
        <v>1</v>
      </c>
      <c r="D782" t="s">
        <v>679</v>
      </c>
      <c r="E782">
        <v>0.33333332999999998</v>
      </c>
      <c r="F782">
        <f t="shared" si="36"/>
        <v>2.0718591592480421E-4</v>
      </c>
      <c r="G782">
        <f t="shared" si="38"/>
        <v>0.9977052680750842</v>
      </c>
      <c r="H782" t="str">
        <f t="shared" si="37"/>
        <v>C</v>
      </c>
      <c r="I782" t="str">
        <f>VLOOKUP(D782,'СУММА ПРОДАЖ'!J:N, 5, FALSE)</f>
        <v>A</v>
      </c>
      <c r="J782" t="str">
        <f>VLOOKUP(D782, 'МЕСЯЧНАЯ ОБОР.'!$V$4:$W$806, 2, FALSE)</f>
        <v>C</v>
      </c>
    </row>
    <row r="783" spans="1:10" x14ac:dyDescent="0.25">
      <c r="A783" s="9" t="s">
        <v>405</v>
      </c>
      <c r="B783" s="10">
        <v>3</v>
      </c>
      <c r="D783" t="s">
        <v>537</v>
      </c>
      <c r="E783">
        <v>0.30000000000000004</v>
      </c>
      <c r="F783">
        <f t="shared" si="36"/>
        <v>1.864673261969971E-4</v>
      </c>
      <c r="G783">
        <f t="shared" si="38"/>
        <v>0.99789173540128118</v>
      </c>
      <c r="H783" t="str">
        <f t="shared" si="37"/>
        <v>C</v>
      </c>
      <c r="I783" t="str">
        <f>VLOOKUP(D783,'СУММА ПРОДАЖ'!J:N, 5, FALSE)</f>
        <v>B</v>
      </c>
      <c r="J783" t="str">
        <f>VLOOKUP(D783, 'МЕСЯЧНАЯ ОБОР.'!$V$4:$W$806, 2, FALSE)</f>
        <v>C</v>
      </c>
    </row>
    <row r="784" spans="1:10" x14ac:dyDescent="0.25">
      <c r="A784" s="9" t="s">
        <v>1102</v>
      </c>
      <c r="B784" s="10">
        <v>1</v>
      </c>
      <c r="D784" t="s">
        <v>957</v>
      </c>
      <c r="E784">
        <v>0.28000000000000003</v>
      </c>
      <c r="F784">
        <f t="shared" si="36"/>
        <v>1.7403617111719726E-4</v>
      </c>
      <c r="G784">
        <f t="shared" si="38"/>
        <v>0.9980657715723984</v>
      </c>
      <c r="H784" t="str">
        <f t="shared" si="37"/>
        <v>C</v>
      </c>
      <c r="I784" t="str">
        <f>VLOOKUP(D784,'СУММА ПРОДАЖ'!J:N, 5, FALSE)</f>
        <v>B</v>
      </c>
      <c r="J784" t="str">
        <f>VLOOKUP(D784, 'МЕСЯЧНАЯ ОБОР.'!$V$4:$W$806, 2, FALSE)</f>
        <v>C</v>
      </c>
    </row>
    <row r="785" spans="1:10" x14ac:dyDescent="0.25">
      <c r="A785" s="9" t="s">
        <v>80</v>
      </c>
      <c r="B785" s="10">
        <v>2</v>
      </c>
      <c r="D785" t="s">
        <v>823</v>
      </c>
      <c r="E785">
        <v>0.24</v>
      </c>
      <c r="F785">
        <f t="shared" si="36"/>
        <v>1.4917386095759764E-4</v>
      </c>
      <c r="G785">
        <f t="shared" si="38"/>
        <v>0.99821494543335598</v>
      </c>
      <c r="H785" t="str">
        <f t="shared" si="37"/>
        <v>C</v>
      </c>
      <c r="I785" t="str">
        <f>VLOOKUP(D785,'СУММА ПРОДАЖ'!J:N, 5, FALSE)</f>
        <v>A</v>
      </c>
      <c r="J785" t="str">
        <f>VLOOKUP(D785, 'МЕСЯЧНАЯ ОБОР.'!$V$4:$W$806, 2, FALSE)</f>
        <v>C</v>
      </c>
    </row>
    <row r="786" spans="1:10" x14ac:dyDescent="0.25">
      <c r="A786" s="9" t="s">
        <v>1178</v>
      </c>
      <c r="B786" s="10">
        <v>1</v>
      </c>
      <c r="D786" t="s">
        <v>200</v>
      </c>
      <c r="E786">
        <v>0.21428570999999999</v>
      </c>
      <c r="F786">
        <f t="shared" si="36"/>
        <v>1.3319094461975038E-4</v>
      </c>
      <c r="G786">
        <f t="shared" si="38"/>
        <v>0.9983481363779757</v>
      </c>
      <c r="H786" t="str">
        <f t="shared" si="37"/>
        <v>C</v>
      </c>
      <c r="I786" t="str">
        <f>VLOOKUP(D786,'СУММА ПРОДАЖ'!J:N, 5, FALSE)</f>
        <v>A</v>
      </c>
      <c r="J786" t="str">
        <f>VLOOKUP(D786, 'МЕСЯЧНАЯ ОБОР.'!$V$4:$W$806, 2, FALSE)</f>
        <v>C</v>
      </c>
    </row>
    <row r="787" spans="1:10" x14ac:dyDescent="0.25">
      <c r="A787" s="9" t="s">
        <v>1001</v>
      </c>
      <c r="B787" s="10">
        <v>3</v>
      </c>
      <c r="D787" t="s">
        <v>1179</v>
      </c>
      <c r="E787">
        <v>0.2</v>
      </c>
      <c r="F787">
        <f t="shared" si="36"/>
        <v>1.2431155079799805E-4</v>
      </c>
      <c r="G787">
        <f t="shared" si="38"/>
        <v>0.99847244792877365</v>
      </c>
      <c r="H787" t="str">
        <f t="shared" si="37"/>
        <v>C</v>
      </c>
      <c r="I787" t="str">
        <f>VLOOKUP(D787,'СУММА ПРОДАЖ'!J:N, 5, FALSE)</f>
        <v>A</v>
      </c>
      <c r="J787" t="str">
        <f>VLOOKUP(D787, 'МЕСЯЧНАЯ ОБОР.'!$V$4:$W$806, 2, FALSE)</f>
        <v>C</v>
      </c>
    </row>
    <row r="788" spans="1:10" x14ac:dyDescent="0.25">
      <c r="A788" s="9" t="s">
        <v>824</v>
      </c>
      <c r="B788" s="10">
        <v>1</v>
      </c>
      <c r="D788" t="s">
        <v>421</v>
      </c>
      <c r="E788">
        <v>0.2</v>
      </c>
      <c r="F788">
        <f t="shared" si="36"/>
        <v>1.2431155079799805E-4</v>
      </c>
      <c r="G788">
        <f t="shared" si="38"/>
        <v>0.99859675947957161</v>
      </c>
      <c r="H788" t="str">
        <f t="shared" si="37"/>
        <v>C</v>
      </c>
      <c r="I788" t="str">
        <f>VLOOKUP(D788,'СУММА ПРОДАЖ'!J:N, 5, FALSE)</f>
        <v>C</v>
      </c>
      <c r="J788" t="str">
        <f>VLOOKUP(D788, 'МЕСЯЧНАЯ ОБОР.'!$V$4:$W$806, 2, FALSE)</f>
        <v>C</v>
      </c>
    </row>
    <row r="789" spans="1:10" x14ac:dyDescent="0.25">
      <c r="A789" s="9" t="s">
        <v>68</v>
      </c>
      <c r="B789" s="10">
        <v>2</v>
      </c>
      <c r="D789" t="s">
        <v>1183</v>
      </c>
      <c r="E789">
        <v>0.2</v>
      </c>
      <c r="F789">
        <f t="shared" si="36"/>
        <v>1.2431155079799805E-4</v>
      </c>
      <c r="G789">
        <f t="shared" si="38"/>
        <v>0.99872107103036956</v>
      </c>
      <c r="H789" t="str">
        <f t="shared" si="37"/>
        <v>C</v>
      </c>
      <c r="I789" t="str">
        <f>VLOOKUP(D789,'СУММА ПРОДАЖ'!J:N, 5, FALSE)</f>
        <v>A</v>
      </c>
      <c r="J789" t="str">
        <f>VLOOKUP(D789, 'МЕСЯЧНАЯ ОБОР.'!$V$4:$W$806, 2, FALSE)</f>
        <v>C</v>
      </c>
    </row>
    <row r="790" spans="1:10" x14ac:dyDescent="0.25">
      <c r="A790" s="9" t="s">
        <v>25</v>
      </c>
      <c r="B790" s="10">
        <v>2</v>
      </c>
      <c r="D790" t="s">
        <v>1078</v>
      </c>
      <c r="E790">
        <v>0.2</v>
      </c>
      <c r="F790">
        <f t="shared" si="36"/>
        <v>1.2431155079799805E-4</v>
      </c>
      <c r="G790">
        <f t="shared" si="38"/>
        <v>0.99884538258116751</v>
      </c>
      <c r="H790" t="str">
        <f t="shared" si="37"/>
        <v>C</v>
      </c>
      <c r="I790" t="str">
        <f>VLOOKUP(D790,'СУММА ПРОДАЖ'!J:N, 5, FALSE)</f>
        <v>C</v>
      </c>
      <c r="J790" t="str">
        <f>VLOOKUP(D790, 'МЕСЯЧНАЯ ОБОР.'!$V$4:$W$806, 2, FALSE)</f>
        <v>C</v>
      </c>
    </row>
    <row r="791" spans="1:10" x14ac:dyDescent="0.25">
      <c r="A791" s="9" t="s">
        <v>746</v>
      </c>
      <c r="B791" s="10">
        <v>1</v>
      </c>
      <c r="D791" t="s">
        <v>970</v>
      </c>
      <c r="E791">
        <v>0.2</v>
      </c>
      <c r="F791">
        <f t="shared" si="36"/>
        <v>1.2431155079799805E-4</v>
      </c>
      <c r="G791">
        <f t="shared" si="38"/>
        <v>0.99896969413196546</v>
      </c>
      <c r="H791" t="str">
        <f t="shared" si="37"/>
        <v>C</v>
      </c>
      <c r="I791" t="str">
        <f>VLOOKUP(D791,'СУММА ПРОДАЖ'!J:N, 5, FALSE)</f>
        <v>C</v>
      </c>
      <c r="J791" t="str">
        <f>VLOOKUP(D791, 'МЕСЯЧНАЯ ОБОР.'!$V$4:$W$806, 2, FALSE)</f>
        <v>C</v>
      </c>
    </row>
    <row r="792" spans="1:10" x14ac:dyDescent="0.25">
      <c r="A792" s="9" t="s">
        <v>818</v>
      </c>
      <c r="B792" s="10">
        <v>3</v>
      </c>
      <c r="D792" t="s">
        <v>912</v>
      </c>
      <c r="E792">
        <v>0.2</v>
      </c>
      <c r="F792">
        <f t="shared" si="36"/>
        <v>1.2431155079799805E-4</v>
      </c>
      <c r="G792">
        <f t="shared" si="38"/>
        <v>0.99909400568276341</v>
      </c>
      <c r="H792" t="str">
        <f t="shared" si="37"/>
        <v>C</v>
      </c>
      <c r="I792" t="str">
        <f>VLOOKUP(D792,'СУММА ПРОДАЖ'!J:N, 5, FALSE)</f>
        <v>C</v>
      </c>
      <c r="J792" t="str">
        <f>VLOOKUP(D792, 'МЕСЯЧНАЯ ОБОР.'!$V$4:$W$806, 2, FALSE)</f>
        <v>C</v>
      </c>
    </row>
    <row r="793" spans="1:10" x14ac:dyDescent="0.25">
      <c r="A793" s="9" t="s">
        <v>171</v>
      </c>
      <c r="B793" s="10">
        <v>1</v>
      </c>
      <c r="D793" t="s">
        <v>932</v>
      </c>
      <c r="E793">
        <v>0.2</v>
      </c>
      <c r="F793">
        <f t="shared" si="36"/>
        <v>1.2431155079799805E-4</v>
      </c>
      <c r="G793">
        <f t="shared" si="38"/>
        <v>0.99921831723356136</v>
      </c>
      <c r="H793" t="str">
        <f t="shared" si="37"/>
        <v>C</v>
      </c>
      <c r="I793" t="str">
        <f>VLOOKUP(D793,'СУММА ПРОДАЖ'!J:N, 5, FALSE)</f>
        <v>B</v>
      </c>
      <c r="J793" t="str">
        <f>VLOOKUP(D793, 'МЕСЯЧНАЯ ОБОР.'!$V$4:$W$806, 2, FALSE)</f>
        <v>C</v>
      </c>
    </row>
    <row r="794" spans="1:10" x14ac:dyDescent="0.25">
      <c r="A794" s="9" t="s">
        <v>212</v>
      </c>
      <c r="B794" s="10">
        <v>6</v>
      </c>
      <c r="D794" t="s">
        <v>654</v>
      </c>
      <c r="E794">
        <v>0.16666666999999999</v>
      </c>
      <c r="F794">
        <f t="shared" si="36"/>
        <v>1.0359296107019087E-4</v>
      </c>
      <c r="G794">
        <f t="shared" si="38"/>
        <v>0.99932191019463157</v>
      </c>
      <c r="H794" t="str">
        <f t="shared" si="37"/>
        <v>C</v>
      </c>
      <c r="I794" t="str">
        <f>VLOOKUP(D794,'СУММА ПРОДАЖ'!J:N, 5, FALSE)</f>
        <v>B</v>
      </c>
      <c r="J794" t="str">
        <f>VLOOKUP(D794, 'МЕСЯЧНАЯ ОБОР.'!$V$4:$W$806, 2, FALSE)</f>
        <v>C</v>
      </c>
    </row>
    <row r="795" spans="1:10" x14ac:dyDescent="0.25">
      <c r="A795" s="9" t="s">
        <v>565</v>
      </c>
      <c r="B795" s="10">
        <v>2</v>
      </c>
      <c r="D795" t="s">
        <v>314</v>
      </c>
      <c r="E795">
        <v>0.14285713999999999</v>
      </c>
      <c r="F795">
        <f t="shared" si="36"/>
        <v>8.879396307983359E-5</v>
      </c>
      <c r="G795">
        <f t="shared" si="38"/>
        <v>0.99941070415771138</v>
      </c>
      <c r="H795" t="str">
        <f t="shared" si="37"/>
        <v>C</v>
      </c>
      <c r="I795" t="str">
        <f>VLOOKUP(D795,'СУММА ПРОДАЖ'!J:N, 5, FALSE)</f>
        <v>A</v>
      </c>
      <c r="J795" t="str">
        <f>VLOOKUP(D795, 'МЕСЯЧНАЯ ОБОР.'!$V$4:$W$806, 2, FALSE)</f>
        <v>C</v>
      </c>
    </row>
    <row r="796" spans="1:10" x14ac:dyDescent="0.25">
      <c r="A796" s="9" t="s">
        <v>30</v>
      </c>
      <c r="B796" s="10">
        <v>2</v>
      </c>
      <c r="D796" t="s">
        <v>800</v>
      </c>
      <c r="E796">
        <v>0.14000000000000001</v>
      </c>
      <c r="F796">
        <f t="shared" si="36"/>
        <v>8.701808555859863E-5</v>
      </c>
      <c r="G796">
        <f t="shared" si="38"/>
        <v>0.99949772224326994</v>
      </c>
      <c r="H796" t="str">
        <f t="shared" si="37"/>
        <v>C</v>
      </c>
      <c r="I796" t="str">
        <f>VLOOKUP(D796,'СУММА ПРОДАЖ'!J:N, 5, FALSE)</f>
        <v>C</v>
      </c>
      <c r="J796" t="str">
        <f>VLOOKUP(D796, 'МЕСЯЧНАЯ ОБОР.'!$V$4:$W$806, 2, FALSE)</f>
        <v>C</v>
      </c>
    </row>
    <row r="797" spans="1:10" x14ac:dyDescent="0.25">
      <c r="A797" s="9" t="s">
        <v>274</v>
      </c>
      <c r="B797" s="10">
        <v>1</v>
      </c>
      <c r="D797" t="s">
        <v>806</v>
      </c>
      <c r="E797">
        <v>0.12</v>
      </c>
      <c r="F797">
        <f t="shared" si="36"/>
        <v>7.4586930478798822E-5</v>
      </c>
      <c r="G797">
        <f t="shared" si="38"/>
        <v>0.99957230917374873</v>
      </c>
      <c r="H797" t="str">
        <f t="shared" si="37"/>
        <v>C</v>
      </c>
      <c r="I797" t="str">
        <f>VLOOKUP(D797,'СУММА ПРОДАЖ'!J:N, 5, FALSE)</f>
        <v>C</v>
      </c>
      <c r="J797" t="str">
        <f>VLOOKUP(D797, 'МЕСЯЧНАЯ ОБОР.'!$V$4:$W$806, 2, FALSE)</f>
        <v>C</v>
      </c>
    </row>
    <row r="798" spans="1:10" x14ac:dyDescent="0.25">
      <c r="A798" s="9" t="s">
        <v>978</v>
      </c>
      <c r="B798" s="10">
        <v>1</v>
      </c>
      <c r="D798" t="s">
        <v>711</v>
      </c>
      <c r="E798">
        <v>0.11000000000000001</v>
      </c>
      <c r="F798">
        <f t="shared" si="36"/>
        <v>6.8371352938898932E-5</v>
      </c>
      <c r="G798">
        <f t="shared" si="38"/>
        <v>0.99964068052668764</v>
      </c>
      <c r="H798" t="str">
        <f t="shared" si="37"/>
        <v>C</v>
      </c>
      <c r="I798" t="str">
        <f>VLOOKUP(D798,'СУММА ПРОДАЖ'!J:N, 5, FALSE)</f>
        <v>C</v>
      </c>
      <c r="J798" t="str">
        <f>VLOOKUP(D798, 'МЕСЯЧНАЯ ОБОР.'!$V$4:$W$806, 2, FALSE)</f>
        <v>C</v>
      </c>
    </row>
    <row r="799" spans="1:10" x14ac:dyDescent="0.25">
      <c r="A799" s="9" t="s">
        <v>311</v>
      </c>
      <c r="B799" s="10">
        <v>1</v>
      </c>
      <c r="D799" t="s">
        <v>801</v>
      </c>
      <c r="E799">
        <v>0.1</v>
      </c>
      <c r="F799">
        <f t="shared" si="36"/>
        <v>6.2155775398999027E-5</v>
      </c>
      <c r="G799">
        <f t="shared" si="38"/>
        <v>0.99970283630208667</v>
      </c>
      <c r="H799" t="str">
        <f t="shared" si="37"/>
        <v>C</v>
      </c>
      <c r="I799" t="str">
        <f>VLOOKUP(D799,'СУММА ПРОДАЖ'!J:N, 5, FALSE)</f>
        <v>C</v>
      </c>
      <c r="J799" t="str">
        <f>VLOOKUP(D799, 'МЕСЯЧНАЯ ОБОР.'!$V$4:$W$806, 2, FALSE)</f>
        <v>C</v>
      </c>
    </row>
    <row r="800" spans="1:10" x14ac:dyDescent="0.25">
      <c r="A800" s="9" t="s">
        <v>218</v>
      </c>
      <c r="B800" s="10">
        <v>1</v>
      </c>
      <c r="D800" t="s">
        <v>649</v>
      </c>
      <c r="E800">
        <v>0.1</v>
      </c>
      <c r="F800">
        <f t="shared" si="36"/>
        <v>6.2155775398999027E-5</v>
      </c>
      <c r="G800">
        <f t="shared" si="38"/>
        <v>0.9997649920774857</v>
      </c>
      <c r="H800" t="str">
        <f t="shared" si="37"/>
        <v>C</v>
      </c>
      <c r="I800" t="str">
        <f>VLOOKUP(D800,'СУММА ПРОДАЖ'!J:N, 5, FALSE)</f>
        <v>C</v>
      </c>
      <c r="J800" t="str">
        <f>VLOOKUP(D800, 'МЕСЯЧНАЯ ОБОР.'!$V$4:$W$806, 2, FALSE)</f>
        <v>C</v>
      </c>
    </row>
    <row r="801" spans="1:10" x14ac:dyDescent="0.25">
      <c r="A801" s="9" t="s">
        <v>621</v>
      </c>
      <c r="B801" s="10">
        <v>1</v>
      </c>
      <c r="D801" t="s">
        <v>876</v>
      </c>
      <c r="E801">
        <v>0.1</v>
      </c>
      <c r="F801">
        <f>E801/SUM($E$4:$E$806)</f>
        <v>6.2155775398999027E-5</v>
      </c>
      <c r="G801">
        <f t="shared" si="38"/>
        <v>0.99982714785288473</v>
      </c>
      <c r="H801" t="str">
        <f t="shared" si="37"/>
        <v>C</v>
      </c>
      <c r="I801" t="str">
        <f>VLOOKUP(D801,'СУММА ПРОДАЖ'!J:N, 5, FALSE)</f>
        <v>C</v>
      </c>
      <c r="J801" t="str">
        <f>VLOOKUP(D801, 'МЕСЯЧНАЯ ОБОР.'!$V$4:$W$806, 2, FALSE)</f>
        <v>C</v>
      </c>
    </row>
    <row r="802" spans="1:10" x14ac:dyDescent="0.25">
      <c r="A802" s="9" t="s">
        <v>248</v>
      </c>
      <c r="B802" s="10">
        <v>7</v>
      </c>
      <c r="D802" t="s">
        <v>662</v>
      </c>
      <c r="E802">
        <v>7.1428400000000003E-2</v>
      </c>
      <c r="F802">
        <f t="shared" si="36"/>
        <v>4.4396875875098618E-5</v>
      </c>
      <c r="G802">
        <f t="shared" si="38"/>
        <v>0.99987154472875983</v>
      </c>
      <c r="H802" t="str">
        <f t="shared" si="37"/>
        <v>C</v>
      </c>
      <c r="I802" t="str">
        <f>VLOOKUP(D802,'СУММА ПРОДАЖ'!J:N, 5, FALSE)</f>
        <v>C</v>
      </c>
      <c r="J802" t="str">
        <f>VLOOKUP(D802, 'МЕСЯЧНАЯ ОБОР.'!$V$4:$W$806, 2, FALSE)</f>
        <v>C</v>
      </c>
    </row>
    <row r="803" spans="1:10" x14ac:dyDescent="0.25">
      <c r="A803" s="9" t="s">
        <v>1047</v>
      </c>
      <c r="B803" s="10">
        <v>1</v>
      </c>
      <c r="D803" t="s">
        <v>1034</v>
      </c>
      <c r="E803">
        <v>6.6666669999999997E-2</v>
      </c>
      <c r="F803">
        <f t="shared" si="36"/>
        <v>4.1437185671191858E-5</v>
      </c>
      <c r="G803">
        <f t="shared" si="38"/>
        <v>0.99991298191443101</v>
      </c>
      <c r="H803" t="str">
        <f t="shared" si="37"/>
        <v>C</v>
      </c>
      <c r="I803" t="str">
        <f>VLOOKUP(D803,'СУММА ПРОДАЖ'!J:N, 5, FALSE)</f>
        <v>B</v>
      </c>
      <c r="J803" t="str">
        <f>VLOOKUP(D803, 'МЕСЯЧНАЯ ОБОР.'!$V$4:$W$806, 2, FALSE)</f>
        <v>C</v>
      </c>
    </row>
    <row r="804" spans="1:10" x14ac:dyDescent="0.25">
      <c r="A804" s="9" t="s">
        <v>1184</v>
      </c>
      <c r="B804" s="10">
        <v>1</v>
      </c>
      <c r="D804" t="s">
        <v>1111</v>
      </c>
      <c r="E804">
        <v>0.05</v>
      </c>
      <c r="F804">
        <f t="shared" si="36"/>
        <v>3.1077887699499514E-5</v>
      </c>
      <c r="G804">
        <f t="shared" si="38"/>
        <v>0.99994405980213052</v>
      </c>
      <c r="H804" t="str">
        <f t="shared" si="37"/>
        <v>C</v>
      </c>
      <c r="I804" t="str">
        <f>VLOOKUP(D804,'СУММА ПРОДАЖ'!J:N, 5, FALSE)</f>
        <v>C</v>
      </c>
      <c r="J804" t="str">
        <f>VLOOKUP(D804, 'МЕСЯЧНАЯ ОБОР.'!$V$4:$W$806, 2, FALSE)</f>
        <v>C</v>
      </c>
    </row>
    <row r="805" spans="1:10" x14ac:dyDescent="0.25">
      <c r="A805" s="9" t="s">
        <v>133</v>
      </c>
      <c r="B805" s="10">
        <v>1</v>
      </c>
      <c r="D805" t="s">
        <v>1066</v>
      </c>
      <c r="E805">
        <v>0.05</v>
      </c>
      <c r="F805">
        <f t="shared" si="36"/>
        <v>3.1077887699499514E-5</v>
      </c>
      <c r="G805">
        <f t="shared" si="38"/>
        <v>0.99997513768983004</v>
      </c>
      <c r="H805" t="str">
        <f t="shared" si="37"/>
        <v>C</v>
      </c>
      <c r="I805" t="str">
        <f>VLOOKUP(D805,'СУММА ПРОДАЖ'!J:N, 5, FALSE)</f>
        <v>C</v>
      </c>
      <c r="J805" t="str">
        <f>VLOOKUP(D805, 'МЕСЯЧНАЯ ОБОР.'!$V$4:$W$806, 2, FALSE)</f>
        <v>C</v>
      </c>
    </row>
    <row r="806" spans="1:10" x14ac:dyDescent="0.25">
      <c r="A806" s="9" t="s">
        <v>1093</v>
      </c>
      <c r="B806" s="10">
        <v>1</v>
      </c>
      <c r="D806" t="s">
        <v>1008</v>
      </c>
      <c r="E806">
        <v>0.04</v>
      </c>
      <c r="F806">
        <f t="shared" si="36"/>
        <v>2.486231015959961E-5</v>
      </c>
      <c r="G806">
        <f t="shared" si="38"/>
        <v>0.99999999999998967</v>
      </c>
      <c r="H806" t="str">
        <f t="shared" si="37"/>
        <v>C</v>
      </c>
      <c r="I806" t="str">
        <f>VLOOKUP(D806,'СУММА ПРОДАЖ'!J:N, 5, FALSE)</f>
        <v>C</v>
      </c>
      <c r="J806" t="str">
        <f>VLOOKUP(D806, 'МЕСЯЧНАЯ ОБОР.'!$V$4:$W$806, 2, FALSE)</f>
        <v>C</v>
      </c>
    </row>
    <row r="807" spans="1:10" x14ac:dyDescent="0.25">
      <c r="A807" s="9" t="s">
        <v>1228</v>
      </c>
      <c r="B807" s="10">
        <v>1608.8609523099999</v>
      </c>
    </row>
  </sheetData>
  <autoFilter ref="D3:E806" xr:uid="{C43C3592-BF9F-4A8B-B607-41902B4D27BD}">
    <sortState xmlns:xlrd2="http://schemas.microsoft.com/office/spreadsheetml/2017/richdata2" ref="D4:E806">
      <sortCondition descending="1" ref="E3:E8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F4AB-5E5A-4C44-BBD4-1089CA3A4364}">
  <dimension ref="A1:N1449"/>
  <sheetViews>
    <sheetView topLeftCell="I1" zoomScale="89" workbookViewId="0">
      <selection activeCell="N2" sqref="N2"/>
    </sheetView>
  </sheetViews>
  <sheetFormatPr defaultRowHeight="13.2" x14ac:dyDescent="0.25"/>
  <cols>
    <col min="1" max="1" width="78" customWidth="1"/>
    <col min="2" max="2" width="25.44140625" customWidth="1"/>
    <col min="4" max="4" width="25.109375" customWidth="1"/>
    <col min="5" max="5" width="17.77734375" customWidth="1"/>
    <col min="7" max="7" width="115.44140625" bestFit="1" customWidth="1"/>
    <col min="8" max="8" width="32.88671875" bestFit="1" customWidth="1"/>
    <col min="9" max="9" width="43.21875" bestFit="1" customWidth="1"/>
    <col min="10" max="10" width="41.21875" customWidth="1"/>
    <col min="11" max="11" width="35.6640625" customWidth="1"/>
    <col min="13" max="13" width="14.5546875" customWidth="1"/>
  </cols>
  <sheetData>
    <row r="1" spans="1:14" x14ac:dyDescent="0.25">
      <c r="A1" s="1" t="s">
        <v>9</v>
      </c>
      <c r="B1" s="3" t="s">
        <v>1231</v>
      </c>
      <c r="C1" s="1" t="s">
        <v>12</v>
      </c>
      <c r="D1" s="1" t="s">
        <v>1232</v>
      </c>
      <c r="E1" s="1" t="s">
        <v>1233</v>
      </c>
      <c r="G1" s="8" t="s">
        <v>1227</v>
      </c>
      <c r="H1" t="s">
        <v>1234</v>
      </c>
      <c r="J1" t="s">
        <v>1227</v>
      </c>
      <c r="K1" t="s">
        <v>1234</v>
      </c>
      <c r="L1" s="14" t="s">
        <v>1236</v>
      </c>
      <c r="M1" s="14" t="s">
        <v>1238</v>
      </c>
    </row>
    <row r="2" spans="1:14" x14ac:dyDescent="0.25">
      <c r="A2" s="1" t="s">
        <v>19</v>
      </c>
      <c r="B2" s="3">
        <v>270</v>
      </c>
      <c r="C2" s="1">
        <v>1</v>
      </c>
      <c r="D2" s="1">
        <v>0</v>
      </c>
      <c r="E2">
        <f>C2*B2-D2</f>
        <v>270</v>
      </c>
      <c r="G2" s="9" t="s">
        <v>151</v>
      </c>
      <c r="H2" s="10">
        <v>120</v>
      </c>
      <c r="J2" t="s">
        <v>759</v>
      </c>
      <c r="K2">
        <v>11948</v>
      </c>
      <c r="L2" s="11">
        <f>K2/SUM($K$2:$K$804)</f>
        <v>3.2459264351990695E-2</v>
      </c>
      <c r="M2" s="11">
        <f>L2</f>
        <v>3.2459264351990695E-2</v>
      </c>
      <c r="N2" t="str">
        <f>IF(M2&lt;0.8, "A", IF(M2&lt;0.95,"B","C"))</f>
        <v>A</v>
      </c>
    </row>
    <row r="3" spans="1:14" x14ac:dyDescent="0.25">
      <c r="A3" s="1" t="s">
        <v>23</v>
      </c>
      <c r="B3" s="3">
        <v>127</v>
      </c>
      <c r="C3" s="1">
        <v>1</v>
      </c>
      <c r="D3" s="1">
        <v>6</v>
      </c>
      <c r="E3">
        <f t="shared" ref="E3:E66" si="0">C3*B3-D3</f>
        <v>121</v>
      </c>
      <c r="G3" s="9" t="s">
        <v>515</v>
      </c>
      <c r="H3" s="10">
        <v>105</v>
      </c>
      <c r="J3" t="s">
        <v>25</v>
      </c>
      <c r="K3">
        <v>5126</v>
      </c>
      <c r="L3" s="11">
        <f t="shared" ref="L3:L66" si="1">K3/SUM($K$2:$K$804)</f>
        <v>1.392586115402614E-2</v>
      </c>
      <c r="M3" s="11">
        <f>L3+M2</f>
        <v>4.6385125506016839E-2</v>
      </c>
      <c r="N3" t="str">
        <f t="shared" ref="N3:N66" si="2">IF(M3&lt;0.8, "A", IF(M3&lt;0.95,"B","C"))</f>
        <v>A</v>
      </c>
    </row>
    <row r="4" spans="1:14" x14ac:dyDescent="0.25">
      <c r="A4" s="1" t="s">
        <v>25</v>
      </c>
      <c r="B4" s="3">
        <v>2563</v>
      </c>
      <c r="C4" s="1">
        <v>1</v>
      </c>
      <c r="D4" s="1">
        <v>76</v>
      </c>
      <c r="E4">
        <f t="shared" si="0"/>
        <v>2487</v>
      </c>
      <c r="G4" s="9" t="s">
        <v>867</v>
      </c>
      <c r="H4" s="10">
        <v>122</v>
      </c>
      <c r="J4" t="s">
        <v>57</v>
      </c>
      <c r="K4">
        <v>4985</v>
      </c>
      <c r="L4" s="11">
        <f t="shared" si="1"/>
        <v>1.3542804887401543E-2</v>
      </c>
      <c r="M4" s="11">
        <f>L4+M3</f>
        <v>5.9927930393418385E-2</v>
      </c>
      <c r="N4" t="str">
        <f t="shared" si="2"/>
        <v>A</v>
      </c>
    </row>
    <row r="5" spans="1:14" x14ac:dyDescent="0.25">
      <c r="A5" s="1" t="s">
        <v>28</v>
      </c>
      <c r="B5" s="3">
        <v>541</v>
      </c>
      <c r="C5" s="1">
        <v>1</v>
      </c>
      <c r="D5" s="1">
        <v>0</v>
      </c>
      <c r="E5">
        <f t="shared" si="0"/>
        <v>541</v>
      </c>
      <c r="G5" s="9" t="s">
        <v>106</v>
      </c>
      <c r="H5" s="10">
        <v>153</v>
      </c>
      <c r="J5" t="s">
        <v>204</v>
      </c>
      <c r="K5">
        <v>3832</v>
      </c>
      <c r="L5" s="11">
        <f t="shared" si="1"/>
        <v>1.0410436976634446E-2</v>
      </c>
      <c r="M5" s="11">
        <f t="shared" ref="M5:M67" si="3">L5+M4</f>
        <v>7.0338367370052834E-2</v>
      </c>
      <c r="N5" t="str">
        <f t="shared" si="2"/>
        <v>A</v>
      </c>
    </row>
    <row r="6" spans="1:14" x14ac:dyDescent="0.25">
      <c r="A6" s="1" t="s">
        <v>30</v>
      </c>
      <c r="B6" s="3">
        <v>22</v>
      </c>
      <c r="C6" s="1">
        <v>1</v>
      </c>
      <c r="D6" s="1">
        <v>1</v>
      </c>
      <c r="E6">
        <f t="shared" si="0"/>
        <v>21</v>
      </c>
      <c r="G6" s="9" t="s">
        <v>1209</v>
      </c>
      <c r="H6" s="10">
        <v>177</v>
      </c>
      <c r="J6" t="s">
        <v>425</v>
      </c>
      <c r="K6">
        <v>3697</v>
      </c>
      <c r="L6" s="11">
        <f t="shared" si="1"/>
        <v>1.0043680976674725E-2</v>
      </c>
      <c r="M6" s="11">
        <f t="shared" si="3"/>
        <v>8.0382048346727561E-2</v>
      </c>
      <c r="N6" t="str">
        <f t="shared" si="2"/>
        <v>A</v>
      </c>
    </row>
    <row r="7" spans="1:14" x14ac:dyDescent="0.25">
      <c r="A7" s="1" t="s">
        <v>30</v>
      </c>
      <c r="B7" s="3">
        <v>22</v>
      </c>
      <c r="C7" s="1">
        <v>1</v>
      </c>
      <c r="D7" s="1">
        <v>1</v>
      </c>
      <c r="E7">
        <f t="shared" si="0"/>
        <v>21</v>
      </c>
      <c r="G7" s="9" t="s">
        <v>210</v>
      </c>
      <c r="H7" s="10">
        <v>199</v>
      </c>
      <c r="J7" t="s">
        <v>532</v>
      </c>
      <c r="K7">
        <v>3497</v>
      </c>
      <c r="L7" s="11">
        <f t="shared" si="1"/>
        <v>9.5003387545121755E-3</v>
      </c>
      <c r="M7" s="11">
        <f t="shared" si="3"/>
        <v>8.9882387101239733E-2</v>
      </c>
      <c r="N7" t="str">
        <f t="shared" si="2"/>
        <v>A</v>
      </c>
    </row>
    <row r="8" spans="1:14" x14ac:dyDescent="0.25">
      <c r="A8" s="1" t="s">
        <v>33</v>
      </c>
      <c r="B8" s="3">
        <v>475</v>
      </c>
      <c r="C8" s="1">
        <v>1</v>
      </c>
      <c r="D8" s="1">
        <v>23</v>
      </c>
      <c r="E8">
        <f t="shared" si="0"/>
        <v>452</v>
      </c>
      <c r="G8" s="9" t="s">
        <v>177</v>
      </c>
      <c r="H8" s="10">
        <v>432</v>
      </c>
      <c r="J8" t="s">
        <v>785</v>
      </c>
      <c r="K8">
        <v>3482</v>
      </c>
      <c r="L8" s="11">
        <f t="shared" si="1"/>
        <v>9.4595880878499839E-3</v>
      </c>
      <c r="M8" s="11">
        <f t="shared" si="3"/>
        <v>9.9341975189089715E-2</v>
      </c>
      <c r="N8" t="str">
        <f t="shared" si="2"/>
        <v>A</v>
      </c>
    </row>
    <row r="9" spans="1:14" x14ac:dyDescent="0.25">
      <c r="A9" s="1" t="s">
        <v>35</v>
      </c>
      <c r="B9" s="3">
        <v>693</v>
      </c>
      <c r="C9" s="1">
        <v>1</v>
      </c>
      <c r="D9" s="1">
        <v>48</v>
      </c>
      <c r="E9">
        <f t="shared" si="0"/>
        <v>645</v>
      </c>
      <c r="G9" s="9" t="s">
        <v>41</v>
      </c>
      <c r="H9" s="10">
        <v>71</v>
      </c>
      <c r="J9" t="s">
        <v>1018</v>
      </c>
      <c r="K9">
        <v>3458.3332987499998</v>
      </c>
      <c r="L9" s="11">
        <f t="shared" si="1"/>
        <v>9.3952924976078225E-3</v>
      </c>
      <c r="M9" s="11">
        <f t="shared" si="3"/>
        <v>0.10873726768669753</v>
      </c>
      <c r="N9" t="str">
        <f t="shared" si="2"/>
        <v>A</v>
      </c>
    </row>
    <row r="10" spans="1:14" x14ac:dyDescent="0.25">
      <c r="A10" s="1" t="s">
        <v>37</v>
      </c>
      <c r="B10" s="3">
        <v>418</v>
      </c>
      <c r="C10" s="1">
        <v>1</v>
      </c>
      <c r="D10" s="1">
        <v>20</v>
      </c>
      <c r="E10">
        <f t="shared" si="0"/>
        <v>398</v>
      </c>
      <c r="G10" s="9" t="s">
        <v>763</v>
      </c>
      <c r="H10" s="10">
        <v>213</v>
      </c>
      <c r="J10" t="s">
        <v>548</v>
      </c>
      <c r="K10">
        <v>2703.89</v>
      </c>
      <c r="L10" s="11">
        <f t="shared" si="1"/>
        <v>7.3456880054154775E-3</v>
      </c>
      <c r="M10" s="11">
        <f t="shared" si="3"/>
        <v>0.11608295569211301</v>
      </c>
      <c r="N10" t="str">
        <f t="shared" si="2"/>
        <v>A</v>
      </c>
    </row>
    <row r="11" spans="1:14" x14ac:dyDescent="0.25">
      <c r="A11" s="1" t="s">
        <v>38</v>
      </c>
      <c r="B11" s="3">
        <v>340</v>
      </c>
      <c r="C11" s="1">
        <v>1</v>
      </c>
      <c r="D11" s="1">
        <v>17</v>
      </c>
      <c r="E11">
        <f t="shared" si="0"/>
        <v>323</v>
      </c>
      <c r="G11" s="9" t="s">
        <v>502</v>
      </c>
      <c r="H11" s="10">
        <v>216</v>
      </c>
      <c r="J11" t="s">
        <v>943</v>
      </c>
      <c r="K11">
        <v>2642</v>
      </c>
      <c r="L11" s="11">
        <f t="shared" si="1"/>
        <v>7.1775507547672769E-3</v>
      </c>
      <c r="M11" s="11">
        <f t="shared" si="3"/>
        <v>0.12326050644688029</v>
      </c>
      <c r="N11" t="str">
        <f t="shared" si="2"/>
        <v>A</v>
      </c>
    </row>
    <row r="12" spans="1:14" x14ac:dyDescent="0.25">
      <c r="A12" s="1" t="s">
        <v>39</v>
      </c>
      <c r="B12" s="3">
        <v>284</v>
      </c>
      <c r="C12" s="1">
        <v>1</v>
      </c>
      <c r="D12" s="1">
        <v>0</v>
      </c>
      <c r="E12">
        <f t="shared" si="0"/>
        <v>284</v>
      </c>
      <c r="G12" s="9" t="s">
        <v>868</v>
      </c>
      <c r="H12" s="10">
        <v>49</v>
      </c>
      <c r="J12" t="s">
        <v>83</v>
      </c>
      <c r="K12">
        <v>2628</v>
      </c>
      <c r="L12" s="11">
        <f t="shared" si="1"/>
        <v>7.1395167992158986E-3</v>
      </c>
      <c r="M12" s="11">
        <f t="shared" si="3"/>
        <v>0.13040002324609618</v>
      </c>
      <c r="N12" t="str">
        <f t="shared" si="2"/>
        <v>A</v>
      </c>
    </row>
    <row r="13" spans="1:14" x14ac:dyDescent="0.25">
      <c r="A13" s="1" t="s">
        <v>41</v>
      </c>
      <c r="B13" s="3">
        <v>71</v>
      </c>
      <c r="C13" s="1">
        <v>1</v>
      </c>
      <c r="D13" s="1">
        <v>7</v>
      </c>
      <c r="E13">
        <f t="shared" si="0"/>
        <v>64</v>
      </c>
      <c r="G13" s="9" t="s">
        <v>83</v>
      </c>
      <c r="H13" s="10">
        <v>2628</v>
      </c>
      <c r="J13" t="s">
        <v>462</v>
      </c>
      <c r="K13">
        <v>2596</v>
      </c>
      <c r="L13" s="11">
        <f t="shared" si="1"/>
        <v>7.0525820436698906E-3</v>
      </c>
      <c r="M13" s="11">
        <f t="shared" si="3"/>
        <v>0.13745260528976608</v>
      </c>
      <c r="N13" t="str">
        <f t="shared" si="2"/>
        <v>A</v>
      </c>
    </row>
    <row r="14" spans="1:14" x14ac:dyDescent="0.25">
      <c r="A14" s="1" t="s">
        <v>44</v>
      </c>
      <c r="B14" s="3">
        <v>58</v>
      </c>
      <c r="C14" s="1">
        <v>1</v>
      </c>
      <c r="D14" s="1">
        <v>5</v>
      </c>
      <c r="E14">
        <f t="shared" si="0"/>
        <v>53</v>
      </c>
      <c r="G14" s="9" t="s">
        <v>844</v>
      </c>
      <c r="H14" s="10">
        <v>168</v>
      </c>
      <c r="J14" t="s">
        <v>1015</v>
      </c>
      <c r="K14">
        <v>2456</v>
      </c>
      <c r="L14" s="11">
        <f t="shared" si="1"/>
        <v>6.6722424881561059E-3</v>
      </c>
      <c r="M14" s="11">
        <f t="shared" si="3"/>
        <v>0.14412484777792217</v>
      </c>
      <c r="N14" t="str">
        <f t="shared" si="2"/>
        <v>A</v>
      </c>
    </row>
    <row r="15" spans="1:14" x14ac:dyDescent="0.25">
      <c r="A15" s="1" t="s">
        <v>47</v>
      </c>
      <c r="B15" s="3">
        <v>103</v>
      </c>
      <c r="C15" s="1">
        <v>1</v>
      </c>
      <c r="D15" s="1">
        <v>0</v>
      </c>
      <c r="E15">
        <f t="shared" si="0"/>
        <v>103</v>
      </c>
      <c r="G15" s="9" t="s">
        <v>901</v>
      </c>
      <c r="H15" s="10">
        <v>347</v>
      </c>
      <c r="J15" t="s">
        <v>424</v>
      </c>
      <c r="K15">
        <v>2350</v>
      </c>
      <c r="L15" s="11">
        <f t="shared" si="1"/>
        <v>6.384271110409955E-3</v>
      </c>
      <c r="M15" s="11">
        <f t="shared" si="3"/>
        <v>0.15050911888833213</v>
      </c>
      <c r="N15" t="str">
        <f t="shared" si="2"/>
        <v>A</v>
      </c>
    </row>
    <row r="16" spans="1:14" x14ac:dyDescent="0.25">
      <c r="A16" s="1" t="s">
        <v>47</v>
      </c>
      <c r="B16" s="3">
        <v>103</v>
      </c>
      <c r="C16" s="1">
        <v>1</v>
      </c>
      <c r="D16" s="1">
        <v>0</v>
      </c>
      <c r="E16">
        <f t="shared" si="0"/>
        <v>103</v>
      </c>
      <c r="G16" s="9" t="s">
        <v>999</v>
      </c>
      <c r="H16" s="10">
        <v>587</v>
      </c>
      <c r="J16" t="s">
        <v>195</v>
      </c>
      <c r="K16">
        <v>2335.31</v>
      </c>
      <c r="L16" s="11">
        <f t="shared" si="1"/>
        <v>6.3443626241921156E-3</v>
      </c>
      <c r="M16" s="11">
        <f t="shared" si="3"/>
        <v>0.15685348151252423</v>
      </c>
      <c r="N16" t="str">
        <f t="shared" si="2"/>
        <v>A</v>
      </c>
    </row>
    <row r="17" spans="1:14" x14ac:dyDescent="0.25">
      <c r="A17" s="1" t="s">
        <v>50</v>
      </c>
      <c r="B17" s="3">
        <v>123</v>
      </c>
      <c r="C17" s="1">
        <v>1</v>
      </c>
      <c r="D17" s="1">
        <v>0</v>
      </c>
      <c r="E17">
        <f t="shared" si="0"/>
        <v>123</v>
      </c>
      <c r="G17" s="9" t="s">
        <v>1124</v>
      </c>
      <c r="H17" s="10">
        <v>89</v>
      </c>
      <c r="J17" t="s">
        <v>703</v>
      </c>
      <c r="K17">
        <v>2268</v>
      </c>
      <c r="L17" s="11">
        <f t="shared" si="1"/>
        <v>6.1615007993233092E-3</v>
      </c>
      <c r="M17" s="11">
        <f t="shared" si="3"/>
        <v>0.16301498231184755</v>
      </c>
      <c r="N17" t="str">
        <f t="shared" si="2"/>
        <v>A</v>
      </c>
    </row>
    <row r="18" spans="1:14" x14ac:dyDescent="0.25">
      <c r="A18" s="1" t="s">
        <v>52</v>
      </c>
      <c r="B18" s="3">
        <v>96</v>
      </c>
      <c r="C18" s="1">
        <v>1</v>
      </c>
      <c r="D18" s="1">
        <v>0</v>
      </c>
      <c r="E18">
        <f t="shared" si="0"/>
        <v>96</v>
      </c>
      <c r="G18" s="9" t="s">
        <v>1196</v>
      </c>
      <c r="H18" s="10">
        <v>195</v>
      </c>
      <c r="J18" t="s">
        <v>125</v>
      </c>
      <c r="K18">
        <v>2217</v>
      </c>
      <c r="L18" s="11">
        <f t="shared" si="1"/>
        <v>6.0229485326718591E-3</v>
      </c>
      <c r="M18" s="11">
        <f t="shared" si="3"/>
        <v>0.1690379308445194</v>
      </c>
      <c r="N18" t="str">
        <f t="shared" si="2"/>
        <v>A</v>
      </c>
    </row>
    <row r="19" spans="1:14" x14ac:dyDescent="0.25">
      <c r="A19" s="1" t="s">
        <v>52</v>
      </c>
      <c r="B19" s="3">
        <v>96</v>
      </c>
      <c r="C19" s="1">
        <v>1</v>
      </c>
      <c r="D19" s="1">
        <v>0</v>
      </c>
      <c r="E19">
        <f t="shared" si="0"/>
        <v>96</v>
      </c>
      <c r="G19" s="9" t="s">
        <v>553</v>
      </c>
      <c r="H19" s="10">
        <v>668</v>
      </c>
      <c r="J19" t="s">
        <v>98</v>
      </c>
      <c r="K19">
        <v>2200</v>
      </c>
      <c r="L19" s="11">
        <f t="shared" si="1"/>
        <v>5.9767644437880426E-3</v>
      </c>
      <c r="M19" s="11">
        <f t="shared" si="3"/>
        <v>0.17501469528830743</v>
      </c>
      <c r="N19" t="str">
        <f t="shared" si="2"/>
        <v>A</v>
      </c>
    </row>
    <row r="20" spans="1:14" x14ac:dyDescent="0.25">
      <c r="A20" s="1" t="s">
        <v>54</v>
      </c>
      <c r="B20" s="3">
        <v>553</v>
      </c>
      <c r="C20" s="1">
        <v>1</v>
      </c>
      <c r="D20" s="1">
        <v>16</v>
      </c>
      <c r="E20">
        <f t="shared" si="0"/>
        <v>537</v>
      </c>
      <c r="G20" s="9" t="s">
        <v>865</v>
      </c>
      <c r="H20" s="10">
        <v>1530.5</v>
      </c>
      <c r="J20" t="s">
        <v>28</v>
      </c>
      <c r="K20">
        <v>2158</v>
      </c>
      <c r="L20" s="11">
        <f t="shared" si="1"/>
        <v>5.8626625771339078E-3</v>
      </c>
      <c r="M20" s="11">
        <f t="shared" si="3"/>
        <v>0.18087735786544135</v>
      </c>
      <c r="N20" t="str">
        <f t="shared" si="2"/>
        <v>A</v>
      </c>
    </row>
    <row r="21" spans="1:14" x14ac:dyDescent="0.25">
      <c r="A21" s="1" t="s">
        <v>57</v>
      </c>
      <c r="B21" s="3">
        <v>4985</v>
      </c>
      <c r="C21" s="1">
        <v>1</v>
      </c>
      <c r="D21" s="1">
        <v>498</v>
      </c>
      <c r="E21">
        <f t="shared" si="0"/>
        <v>4487</v>
      </c>
      <c r="G21" s="9" t="s">
        <v>495</v>
      </c>
      <c r="H21" s="10">
        <v>156</v>
      </c>
      <c r="J21" t="s">
        <v>1025</v>
      </c>
      <c r="K21">
        <v>2123</v>
      </c>
      <c r="L21" s="11">
        <f t="shared" si="1"/>
        <v>5.7675776882554616E-3</v>
      </c>
      <c r="M21" s="11">
        <f t="shared" si="3"/>
        <v>0.18664493555369679</v>
      </c>
      <c r="N21" t="str">
        <f t="shared" si="2"/>
        <v>A</v>
      </c>
    </row>
    <row r="22" spans="1:14" x14ac:dyDescent="0.25">
      <c r="A22" s="1" t="s">
        <v>60</v>
      </c>
      <c r="B22" s="3">
        <v>73</v>
      </c>
      <c r="C22" s="1">
        <v>1</v>
      </c>
      <c r="D22" s="1">
        <v>3</v>
      </c>
      <c r="E22">
        <f t="shared" si="0"/>
        <v>70</v>
      </c>
      <c r="G22" s="9" t="s">
        <v>864</v>
      </c>
      <c r="H22" s="10">
        <v>128</v>
      </c>
      <c r="J22" t="s">
        <v>85</v>
      </c>
      <c r="K22">
        <v>1971</v>
      </c>
      <c r="L22" s="11">
        <f t="shared" si="1"/>
        <v>5.3546375994119235E-3</v>
      </c>
      <c r="M22" s="11">
        <f t="shared" si="3"/>
        <v>0.19199957315310873</v>
      </c>
      <c r="N22" t="str">
        <f t="shared" si="2"/>
        <v>A</v>
      </c>
    </row>
    <row r="23" spans="1:14" x14ac:dyDescent="0.25">
      <c r="A23" s="1" t="s">
        <v>63</v>
      </c>
      <c r="B23" s="3">
        <v>779</v>
      </c>
      <c r="C23" s="1">
        <v>1</v>
      </c>
      <c r="D23" s="1">
        <v>54</v>
      </c>
      <c r="E23">
        <f t="shared" si="0"/>
        <v>725</v>
      </c>
      <c r="G23" s="9" t="s">
        <v>1076</v>
      </c>
      <c r="H23" s="10">
        <v>1153</v>
      </c>
      <c r="J23" t="s">
        <v>646</v>
      </c>
      <c r="K23">
        <v>1937</v>
      </c>
      <c r="L23" s="11">
        <f t="shared" si="1"/>
        <v>5.2622694216442906E-3</v>
      </c>
      <c r="M23" s="11">
        <f t="shared" si="3"/>
        <v>0.19726184257475302</v>
      </c>
      <c r="N23" t="str">
        <f t="shared" si="2"/>
        <v>A</v>
      </c>
    </row>
    <row r="24" spans="1:14" x14ac:dyDescent="0.25">
      <c r="A24" s="1" t="s">
        <v>65</v>
      </c>
      <c r="B24" s="3">
        <v>302</v>
      </c>
      <c r="C24" s="1">
        <v>1</v>
      </c>
      <c r="D24" s="1">
        <v>15</v>
      </c>
      <c r="E24">
        <f t="shared" si="0"/>
        <v>287</v>
      </c>
      <c r="G24" s="9" t="s">
        <v>1179</v>
      </c>
      <c r="H24" s="10">
        <v>367.8</v>
      </c>
      <c r="J24" t="s">
        <v>33</v>
      </c>
      <c r="K24">
        <v>1850</v>
      </c>
      <c r="L24" s="11">
        <f t="shared" si="1"/>
        <v>5.025915555003581E-3</v>
      </c>
      <c r="M24" s="11">
        <f t="shared" si="3"/>
        <v>0.20228775812975661</v>
      </c>
      <c r="N24" t="str">
        <f t="shared" si="2"/>
        <v>A</v>
      </c>
    </row>
    <row r="25" spans="1:14" x14ac:dyDescent="0.25">
      <c r="A25" s="1" t="s">
        <v>67</v>
      </c>
      <c r="B25" s="3">
        <v>533</v>
      </c>
      <c r="C25" s="1">
        <v>1</v>
      </c>
      <c r="D25" s="1">
        <v>37</v>
      </c>
      <c r="E25">
        <f t="shared" si="0"/>
        <v>496</v>
      </c>
      <c r="G25" s="9" t="s">
        <v>961</v>
      </c>
      <c r="H25" s="10">
        <v>652</v>
      </c>
      <c r="J25" t="s">
        <v>476</v>
      </c>
      <c r="K25">
        <v>1842</v>
      </c>
      <c r="L25" s="11">
        <f t="shared" si="1"/>
        <v>5.004181866117079E-3</v>
      </c>
      <c r="M25" s="11">
        <f t="shared" si="3"/>
        <v>0.2072919399958737</v>
      </c>
      <c r="N25" t="str">
        <f t="shared" si="2"/>
        <v>A</v>
      </c>
    </row>
    <row r="26" spans="1:14" x14ac:dyDescent="0.25">
      <c r="A26" s="1" t="s">
        <v>68</v>
      </c>
      <c r="B26" s="3">
        <v>862</v>
      </c>
      <c r="C26" s="1">
        <v>2</v>
      </c>
      <c r="D26" s="1">
        <v>172</v>
      </c>
      <c r="E26">
        <f t="shared" si="0"/>
        <v>1552</v>
      </c>
      <c r="G26" s="9" t="s">
        <v>861</v>
      </c>
      <c r="H26" s="10">
        <v>145</v>
      </c>
      <c r="J26" t="s">
        <v>1210</v>
      </c>
      <c r="K26">
        <v>1812</v>
      </c>
      <c r="L26" s="11">
        <f t="shared" si="1"/>
        <v>4.9226805327926967E-3</v>
      </c>
      <c r="M26" s="11">
        <f t="shared" si="3"/>
        <v>0.21221462052866638</v>
      </c>
      <c r="N26" t="str">
        <f t="shared" si="2"/>
        <v>A</v>
      </c>
    </row>
    <row r="27" spans="1:14" x14ac:dyDescent="0.25">
      <c r="A27" s="1" t="s">
        <v>70</v>
      </c>
      <c r="B27" s="3">
        <v>39</v>
      </c>
      <c r="C27" s="1">
        <v>1</v>
      </c>
      <c r="D27" s="1">
        <v>0</v>
      </c>
      <c r="E27">
        <f t="shared" si="0"/>
        <v>39</v>
      </c>
      <c r="G27" s="9" t="s">
        <v>894</v>
      </c>
      <c r="H27" s="10">
        <v>987</v>
      </c>
      <c r="J27" t="s">
        <v>432</v>
      </c>
      <c r="K27">
        <v>1787</v>
      </c>
      <c r="L27" s="11">
        <f t="shared" si="1"/>
        <v>4.8547627550223783E-3</v>
      </c>
      <c r="M27" s="11">
        <f t="shared" si="3"/>
        <v>0.21706938328368877</v>
      </c>
      <c r="N27" t="str">
        <f t="shared" si="2"/>
        <v>A</v>
      </c>
    </row>
    <row r="28" spans="1:14" x14ac:dyDescent="0.25">
      <c r="A28" s="1" t="s">
        <v>72</v>
      </c>
      <c r="B28" s="3">
        <v>25</v>
      </c>
      <c r="C28" s="1">
        <v>1</v>
      </c>
      <c r="D28" s="1">
        <v>0</v>
      </c>
      <c r="E28">
        <f t="shared" si="0"/>
        <v>25</v>
      </c>
      <c r="G28" s="9" t="s">
        <v>541</v>
      </c>
      <c r="H28" s="10">
        <v>624</v>
      </c>
      <c r="J28" t="s">
        <v>1172</v>
      </c>
      <c r="K28">
        <v>1764</v>
      </c>
      <c r="L28" s="11">
        <f t="shared" si="1"/>
        <v>4.7922783994736855E-3</v>
      </c>
      <c r="M28" s="11">
        <f t="shared" si="3"/>
        <v>0.22186166168316246</v>
      </c>
      <c r="N28" t="str">
        <f t="shared" si="2"/>
        <v>A</v>
      </c>
    </row>
    <row r="29" spans="1:14" x14ac:dyDescent="0.25">
      <c r="A29" s="1" t="s">
        <v>72</v>
      </c>
      <c r="B29" s="3">
        <v>25</v>
      </c>
      <c r="C29" s="1">
        <v>1</v>
      </c>
      <c r="D29" s="1">
        <v>0</v>
      </c>
      <c r="E29">
        <f t="shared" si="0"/>
        <v>25</v>
      </c>
      <c r="G29" s="9" t="s">
        <v>902</v>
      </c>
      <c r="H29" s="10">
        <v>307</v>
      </c>
      <c r="J29" t="s">
        <v>767</v>
      </c>
      <c r="K29">
        <v>1750</v>
      </c>
      <c r="L29" s="11">
        <f t="shared" si="1"/>
        <v>4.7542444439223064E-3</v>
      </c>
      <c r="M29" s="11">
        <f t="shared" si="3"/>
        <v>0.22661590612708477</v>
      </c>
      <c r="N29" t="str">
        <f t="shared" si="2"/>
        <v>A</v>
      </c>
    </row>
    <row r="30" spans="1:14" x14ac:dyDescent="0.25">
      <c r="A30" s="1" t="s">
        <v>72</v>
      </c>
      <c r="B30" s="3">
        <v>25</v>
      </c>
      <c r="C30" s="1">
        <v>1</v>
      </c>
      <c r="D30" s="1">
        <v>0</v>
      </c>
      <c r="E30">
        <f t="shared" si="0"/>
        <v>25</v>
      </c>
      <c r="G30" s="9" t="s">
        <v>478</v>
      </c>
      <c r="H30" s="10">
        <v>76</v>
      </c>
      <c r="J30" t="s">
        <v>339</v>
      </c>
      <c r="K30">
        <v>1746</v>
      </c>
      <c r="L30" s="11">
        <f t="shared" si="1"/>
        <v>4.7433775994790558E-3</v>
      </c>
      <c r="M30" s="11">
        <f t="shared" si="3"/>
        <v>0.23135928372656381</v>
      </c>
      <c r="N30" t="str">
        <f t="shared" si="2"/>
        <v>A</v>
      </c>
    </row>
    <row r="31" spans="1:14" x14ac:dyDescent="0.25">
      <c r="A31" s="1" t="s">
        <v>74</v>
      </c>
      <c r="B31" s="3">
        <v>100</v>
      </c>
      <c r="C31" s="1">
        <v>1</v>
      </c>
      <c r="D31" s="1">
        <v>41.09</v>
      </c>
      <c r="E31">
        <f t="shared" si="0"/>
        <v>58.91</v>
      </c>
      <c r="G31" s="9" t="s">
        <v>529</v>
      </c>
      <c r="H31" s="10">
        <v>371</v>
      </c>
      <c r="J31" t="s">
        <v>167</v>
      </c>
      <c r="K31">
        <v>1727</v>
      </c>
      <c r="L31" s="11">
        <f t="shared" si="1"/>
        <v>4.6917600883736137E-3</v>
      </c>
      <c r="M31" s="11">
        <f t="shared" si="3"/>
        <v>0.23605104381493741</v>
      </c>
      <c r="N31" t="str">
        <f t="shared" si="2"/>
        <v>A</v>
      </c>
    </row>
    <row r="32" spans="1:14" x14ac:dyDescent="0.25">
      <c r="A32" s="1" t="s">
        <v>76</v>
      </c>
      <c r="B32" s="3">
        <v>74</v>
      </c>
      <c r="C32" s="1">
        <v>1</v>
      </c>
      <c r="D32" s="1">
        <v>30.41</v>
      </c>
      <c r="E32">
        <f t="shared" si="0"/>
        <v>43.59</v>
      </c>
      <c r="G32" s="9" t="s">
        <v>1203</v>
      </c>
      <c r="H32" s="10">
        <v>1115</v>
      </c>
      <c r="J32" t="s">
        <v>68</v>
      </c>
      <c r="K32">
        <v>1724</v>
      </c>
      <c r="L32" s="11">
        <f t="shared" si="1"/>
        <v>4.6836099550411755E-3</v>
      </c>
      <c r="M32" s="11">
        <f t="shared" si="3"/>
        <v>0.24073465376997857</v>
      </c>
      <c r="N32" t="str">
        <f t="shared" si="2"/>
        <v>A</v>
      </c>
    </row>
    <row r="33" spans="1:14" x14ac:dyDescent="0.25">
      <c r="A33" s="1" t="s">
        <v>78</v>
      </c>
      <c r="B33" s="3">
        <v>174</v>
      </c>
      <c r="C33" s="1">
        <v>1</v>
      </c>
      <c r="D33" s="1">
        <v>71.5</v>
      </c>
      <c r="E33">
        <f t="shared" si="0"/>
        <v>102.5</v>
      </c>
      <c r="G33" s="9" t="s">
        <v>675</v>
      </c>
      <c r="H33" s="10">
        <v>1706</v>
      </c>
      <c r="J33" t="s">
        <v>675</v>
      </c>
      <c r="K33">
        <v>1706</v>
      </c>
      <c r="L33" s="11">
        <f t="shared" si="1"/>
        <v>4.6347091550465458E-3</v>
      </c>
      <c r="M33" s="11">
        <f t="shared" si="3"/>
        <v>0.24536936292502512</v>
      </c>
      <c r="N33" t="str">
        <f t="shared" si="2"/>
        <v>A</v>
      </c>
    </row>
    <row r="34" spans="1:14" x14ac:dyDescent="0.25">
      <c r="A34" s="1" t="s">
        <v>80</v>
      </c>
      <c r="B34" s="3">
        <v>336</v>
      </c>
      <c r="C34" s="1">
        <v>2</v>
      </c>
      <c r="D34" s="1">
        <v>0</v>
      </c>
      <c r="E34">
        <f t="shared" si="0"/>
        <v>672</v>
      </c>
      <c r="G34" s="9" t="s">
        <v>984</v>
      </c>
      <c r="H34" s="10">
        <v>146</v>
      </c>
      <c r="J34" t="s">
        <v>1140</v>
      </c>
      <c r="K34">
        <v>1673</v>
      </c>
      <c r="L34" s="11">
        <f t="shared" si="1"/>
        <v>4.5450576883897253E-3</v>
      </c>
      <c r="M34" s="11">
        <f t="shared" si="3"/>
        <v>0.24991442061341484</v>
      </c>
      <c r="N34" t="str">
        <f t="shared" si="2"/>
        <v>A</v>
      </c>
    </row>
    <row r="35" spans="1:14" x14ac:dyDescent="0.25">
      <c r="A35" s="1" t="s">
        <v>83</v>
      </c>
      <c r="B35" s="3">
        <v>1314</v>
      </c>
      <c r="C35" s="1">
        <v>1</v>
      </c>
      <c r="D35" s="1">
        <v>91</v>
      </c>
      <c r="E35">
        <f t="shared" si="0"/>
        <v>1223</v>
      </c>
      <c r="G35" s="9" t="s">
        <v>618</v>
      </c>
      <c r="H35" s="10">
        <v>935</v>
      </c>
      <c r="J35" t="s">
        <v>568</v>
      </c>
      <c r="K35">
        <v>1590</v>
      </c>
      <c r="L35" s="11">
        <f t="shared" si="1"/>
        <v>4.3195706661922672E-3</v>
      </c>
      <c r="M35" s="11">
        <f t="shared" si="3"/>
        <v>0.25423399127960711</v>
      </c>
      <c r="N35" t="str">
        <f t="shared" si="2"/>
        <v>A</v>
      </c>
    </row>
    <row r="36" spans="1:14" x14ac:dyDescent="0.25">
      <c r="A36" s="1" t="s">
        <v>85</v>
      </c>
      <c r="B36" s="3">
        <v>1971</v>
      </c>
      <c r="C36" s="1">
        <v>1</v>
      </c>
      <c r="D36" s="1">
        <v>137</v>
      </c>
      <c r="E36">
        <f t="shared" si="0"/>
        <v>1834</v>
      </c>
      <c r="G36" s="9" t="s">
        <v>910</v>
      </c>
      <c r="H36" s="10">
        <v>98</v>
      </c>
      <c r="J36" t="s">
        <v>78</v>
      </c>
      <c r="K36">
        <v>1579</v>
      </c>
      <c r="L36" s="11">
        <f t="shared" si="1"/>
        <v>4.289686843973327E-3</v>
      </c>
      <c r="M36" s="11">
        <f t="shared" si="3"/>
        <v>0.25852367812358046</v>
      </c>
      <c r="N36" t="str">
        <f t="shared" si="2"/>
        <v>A</v>
      </c>
    </row>
    <row r="37" spans="1:14" x14ac:dyDescent="0.25">
      <c r="A37" s="1" t="s">
        <v>87</v>
      </c>
      <c r="B37" s="3">
        <v>53</v>
      </c>
      <c r="C37" s="1">
        <v>1</v>
      </c>
      <c r="D37" s="1">
        <v>3</v>
      </c>
      <c r="E37">
        <f t="shared" si="0"/>
        <v>50</v>
      </c>
      <c r="G37" s="9" t="s">
        <v>955</v>
      </c>
      <c r="H37" s="10">
        <v>40</v>
      </c>
      <c r="J37" t="s">
        <v>63</v>
      </c>
      <c r="K37">
        <v>1570</v>
      </c>
      <c r="L37" s="11">
        <f t="shared" si="1"/>
        <v>4.2652364439760126E-3</v>
      </c>
      <c r="M37" s="11">
        <f t="shared" si="3"/>
        <v>0.26278891456755649</v>
      </c>
      <c r="N37" t="str">
        <f t="shared" si="2"/>
        <v>A</v>
      </c>
    </row>
    <row r="38" spans="1:14" x14ac:dyDescent="0.25">
      <c r="A38" s="1" t="s">
        <v>89</v>
      </c>
      <c r="B38" s="3">
        <v>30</v>
      </c>
      <c r="C38" s="1">
        <v>1</v>
      </c>
      <c r="D38" s="1">
        <v>1</v>
      </c>
      <c r="E38">
        <f t="shared" si="0"/>
        <v>29</v>
      </c>
      <c r="G38" s="9" t="s">
        <v>884</v>
      </c>
      <c r="H38" s="10">
        <v>39</v>
      </c>
      <c r="J38" t="s">
        <v>248</v>
      </c>
      <c r="K38">
        <v>1540</v>
      </c>
      <c r="L38" s="11">
        <f t="shared" si="1"/>
        <v>4.1837351106516303E-3</v>
      </c>
      <c r="M38" s="11">
        <f t="shared" si="3"/>
        <v>0.26697264967820811</v>
      </c>
      <c r="N38" t="str">
        <f t="shared" si="2"/>
        <v>A</v>
      </c>
    </row>
    <row r="39" spans="1:14" x14ac:dyDescent="0.25">
      <c r="A39" s="1" t="s">
        <v>89</v>
      </c>
      <c r="B39" s="3">
        <v>30</v>
      </c>
      <c r="C39" s="1">
        <v>1</v>
      </c>
      <c r="D39" s="1">
        <v>1</v>
      </c>
      <c r="E39">
        <f t="shared" si="0"/>
        <v>29</v>
      </c>
      <c r="G39" s="9" t="s">
        <v>475</v>
      </c>
      <c r="H39" s="10">
        <v>406</v>
      </c>
      <c r="J39" t="s">
        <v>314</v>
      </c>
      <c r="K39">
        <v>1539.3856834979999</v>
      </c>
      <c r="L39" s="11">
        <f t="shared" si="1"/>
        <v>4.1820661901850907E-3</v>
      </c>
      <c r="M39" s="11">
        <f t="shared" si="3"/>
        <v>0.27115471586839318</v>
      </c>
      <c r="N39" t="str">
        <f t="shared" si="2"/>
        <v>A</v>
      </c>
    </row>
    <row r="40" spans="1:14" x14ac:dyDescent="0.25">
      <c r="A40" s="1" t="s">
        <v>89</v>
      </c>
      <c r="B40" s="3">
        <v>30</v>
      </c>
      <c r="C40" s="1">
        <v>1</v>
      </c>
      <c r="D40" s="1">
        <v>1</v>
      </c>
      <c r="E40">
        <f t="shared" si="0"/>
        <v>29</v>
      </c>
      <c r="G40" s="9" t="s">
        <v>604</v>
      </c>
      <c r="H40" s="10">
        <v>611</v>
      </c>
      <c r="J40" t="s">
        <v>413</v>
      </c>
      <c r="K40">
        <v>1539.1000000000001</v>
      </c>
      <c r="L40" s="11">
        <f t="shared" si="1"/>
        <v>4.1812900706518991E-3</v>
      </c>
      <c r="M40" s="11">
        <f t="shared" si="3"/>
        <v>0.27533600593904506</v>
      </c>
      <c r="N40" t="str">
        <f t="shared" si="2"/>
        <v>A</v>
      </c>
    </row>
    <row r="41" spans="1:14" x14ac:dyDescent="0.25">
      <c r="A41" s="1" t="s">
        <v>91</v>
      </c>
      <c r="B41" s="3">
        <v>2</v>
      </c>
      <c r="C41" s="1">
        <v>1</v>
      </c>
      <c r="D41" s="1">
        <v>0</v>
      </c>
      <c r="E41">
        <f t="shared" si="0"/>
        <v>2</v>
      </c>
      <c r="G41" s="9" t="s">
        <v>470</v>
      </c>
      <c r="H41" s="10">
        <v>403</v>
      </c>
      <c r="J41" t="s">
        <v>639</v>
      </c>
      <c r="K41">
        <v>1534</v>
      </c>
      <c r="L41" s="11">
        <f t="shared" si="1"/>
        <v>4.1674348439867531E-3</v>
      </c>
      <c r="M41" s="11">
        <f t="shared" si="3"/>
        <v>0.2795034407830318</v>
      </c>
      <c r="N41" t="str">
        <f t="shared" si="2"/>
        <v>A</v>
      </c>
    </row>
    <row r="42" spans="1:14" x14ac:dyDescent="0.25">
      <c r="A42" s="1" t="s">
        <v>91</v>
      </c>
      <c r="B42" s="3">
        <v>2</v>
      </c>
      <c r="C42" s="1">
        <v>1</v>
      </c>
      <c r="D42" s="1">
        <v>0</v>
      </c>
      <c r="E42">
        <f t="shared" si="0"/>
        <v>2</v>
      </c>
      <c r="G42" s="9" t="s">
        <v>737</v>
      </c>
      <c r="H42" s="10">
        <v>64</v>
      </c>
      <c r="J42" t="s">
        <v>865</v>
      </c>
      <c r="K42">
        <v>1530.5</v>
      </c>
      <c r="L42" s="11">
        <f t="shared" si="1"/>
        <v>4.1579263550989088E-3</v>
      </c>
      <c r="M42" s="11">
        <f t="shared" si="3"/>
        <v>0.28366136713813073</v>
      </c>
      <c r="N42" t="str">
        <f t="shared" si="2"/>
        <v>A</v>
      </c>
    </row>
    <row r="43" spans="1:14" x14ac:dyDescent="0.25">
      <c r="A43" s="1" t="s">
        <v>91</v>
      </c>
      <c r="B43" s="3">
        <v>2</v>
      </c>
      <c r="C43" s="1">
        <v>1</v>
      </c>
      <c r="D43" s="1">
        <v>0</v>
      </c>
      <c r="E43">
        <f t="shared" si="0"/>
        <v>2</v>
      </c>
      <c r="G43" s="9" t="s">
        <v>441</v>
      </c>
      <c r="H43" s="10">
        <v>169</v>
      </c>
      <c r="J43" t="s">
        <v>384</v>
      </c>
      <c r="K43">
        <v>1522</v>
      </c>
      <c r="L43" s="11">
        <f t="shared" si="1"/>
        <v>4.1348343106570006E-3</v>
      </c>
      <c r="M43" s="11">
        <f t="shared" si="3"/>
        <v>0.2877962014487877</v>
      </c>
      <c r="N43" t="str">
        <f t="shared" si="2"/>
        <v>A</v>
      </c>
    </row>
    <row r="44" spans="1:14" x14ac:dyDescent="0.25">
      <c r="A44" s="1" t="s">
        <v>91</v>
      </c>
      <c r="B44" s="3">
        <v>2</v>
      </c>
      <c r="C44" s="1">
        <v>1</v>
      </c>
      <c r="D44" s="1">
        <v>0</v>
      </c>
      <c r="E44">
        <f t="shared" si="0"/>
        <v>2</v>
      </c>
      <c r="G44" s="9" t="s">
        <v>1167</v>
      </c>
      <c r="H44" s="10">
        <v>119</v>
      </c>
      <c r="J44" t="s">
        <v>228</v>
      </c>
      <c r="K44">
        <v>1507</v>
      </c>
      <c r="L44" s="11">
        <f t="shared" si="1"/>
        <v>4.094083643994809E-3</v>
      </c>
      <c r="M44" s="11">
        <f t="shared" si="3"/>
        <v>0.29189028509278253</v>
      </c>
      <c r="N44" t="str">
        <f t="shared" si="2"/>
        <v>A</v>
      </c>
    </row>
    <row r="45" spans="1:14" x14ac:dyDescent="0.25">
      <c r="A45" s="1" t="s">
        <v>91</v>
      </c>
      <c r="B45" s="3">
        <v>2</v>
      </c>
      <c r="C45" s="1">
        <v>1</v>
      </c>
      <c r="D45" s="1">
        <v>0</v>
      </c>
      <c r="E45">
        <f t="shared" si="0"/>
        <v>2</v>
      </c>
      <c r="G45" s="9" t="s">
        <v>727</v>
      </c>
      <c r="H45" s="10">
        <v>148</v>
      </c>
      <c r="J45" t="s">
        <v>826</v>
      </c>
      <c r="K45">
        <v>1468</v>
      </c>
      <c r="L45" s="11">
        <f t="shared" si="1"/>
        <v>3.9881319106731122E-3</v>
      </c>
      <c r="M45" s="11">
        <f t="shared" si="3"/>
        <v>0.29587841700345563</v>
      </c>
      <c r="N45" t="str">
        <f t="shared" si="2"/>
        <v>A</v>
      </c>
    </row>
    <row r="46" spans="1:14" x14ac:dyDescent="0.25">
      <c r="A46" s="1" t="s">
        <v>91</v>
      </c>
      <c r="B46" s="3">
        <v>2</v>
      </c>
      <c r="C46" s="1">
        <v>1</v>
      </c>
      <c r="D46" s="1">
        <v>0</v>
      </c>
      <c r="E46">
        <f t="shared" si="0"/>
        <v>2</v>
      </c>
      <c r="G46" s="9" t="s">
        <v>504</v>
      </c>
      <c r="H46" s="10">
        <v>24</v>
      </c>
      <c r="J46" t="s">
        <v>781</v>
      </c>
      <c r="K46">
        <v>1463</v>
      </c>
      <c r="L46" s="11">
        <f t="shared" si="1"/>
        <v>3.9745483551190484E-3</v>
      </c>
      <c r="M46" s="11">
        <f t="shared" si="3"/>
        <v>0.2998529653585747</v>
      </c>
      <c r="N46" t="str">
        <f t="shared" si="2"/>
        <v>A</v>
      </c>
    </row>
    <row r="47" spans="1:14" x14ac:dyDescent="0.25">
      <c r="A47" s="1" t="s">
        <v>91</v>
      </c>
      <c r="B47" s="3">
        <v>2</v>
      </c>
      <c r="C47" s="1">
        <v>1</v>
      </c>
      <c r="D47" s="1">
        <v>0</v>
      </c>
      <c r="E47">
        <f t="shared" si="0"/>
        <v>2</v>
      </c>
      <c r="G47" s="9" t="s">
        <v>596</v>
      </c>
      <c r="H47" s="10">
        <v>273</v>
      </c>
      <c r="J47" t="s">
        <v>995</v>
      </c>
      <c r="K47">
        <v>1451</v>
      </c>
      <c r="L47" s="11">
        <f t="shared" si="1"/>
        <v>3.9419478217892958E-3</v>
      </c>
      <c r="M47" s="11">
        <f t="shared" si="3"/>
        <v>0.303794913180364</v>
      </c>
      <c r="N47" t="str">
        <f t="shared" si="2"/>
        <v>A</v>
      </c>
    </row>
    <row r="48" spans="1:14" x14ac:dyDescent="0.25">
      <c r="A48" s="1" t="s">
        <v>91</v>
      </c>
      <c r="B48" s="3">
        <v>2</v>
      </c>
      <c r="C48" s="1">
        <v>1</v>
      </c>
      <c r="D48" s="1">
        <v>0</v>
      </c>
      <c r="E48">
        <f t="shared" si="0"/>
        <v>2</v>
      </c>
      <c r="G48" s="9" t="s">
        <v>674</v>
      </c>
      <c r="H48" s="10">
        <v>102</v>
      </c>
      <c r="J48" t="s">
        <v>842</v>
      </c>
      <c r="K48">
        <v>1440</v>
      </c>
      <c r="L48" s="11">
        <f t="shared" si="1"/>
        <v>3.9120639995703557E-3</v>
      </c>
      <c r="M48" s="11">
        <f t="shared" si="3"/>
        <v>0.30770697717993434</v>
      </c>
      <c r="N48" t="str">
        <f t="shared" si="2"/>
        <v>A</v>
      </c>
    </row>
    <row r="49" spans="1:14" x14ac:dyDescent="0.25">
      <c r="A49" s="1" t="s">
        <v>91</v>
      </c>
      <c r="B49" s="3">
        <v>2</v>
      </c>
      <c r="C49" s="1">
        <v>1</v>
      </c>
      <c r="D49" s="1">
        <v>0</v>
      </c>
      <c r="E49">
        <f t="shared" si="0"/>
        <v>2</v>
      </c>
      <c r="G49" s="9" t="s">
        <v>607</v>
      </c>
      <c r="H49" s="10">
        <v>303</v>
      </c>
      <c r="J49" t="s">
        <v>527</v>
      </c>
      <c r="K49">
        <v>1429</v>
      </c>
      <c r="L49" s="11">
        <f t="shared" si="1"/>
        <v>3.8821801773514151E-3</v>
      </c>
      <c r="M49" s="11">
        <f t="shared" si="3"/>
        <v>0.31158915735728576</v>
      </c>
      <c r="N49" t="str">
        <f t="shared" si="2"/>
        <v>A</v>
      </c>
    </row>
    <row r="50" spans="1:14" x14ac:dyDescent="0.25">
      <c r="A50" s="1" t="s">
        <v>91</v>
      </c>
      <c r="B50" s="3">
        <v>2</v>
      </c>
      <c r="C50" s="1">
        <v>1</v>
      </c>
      <c r="D50" s="1">
        <v>0</v>
      </c>
      <c r="E50">
        <f t="shared" si="0"/>
        <v>2</v>
      </c>
      <c r="G50" s="9" t="s">
        <v>686</v>
      </c>
      <c r="H50" s="10">
        <v>339.58000000000004</v>
      </c>
      <c r="J50" t="s">
        <v>153</v>
      </c>
      <c r="K50">
        <v>1412</v>
      </c>
      <c r="L50" s="11">
        <f t="shared" si="1"/>
        <v>3.8359960884675982E-3</v>
      </c>
      <c r="M50" s="11">
        <f t="shared" si="3"/>
        <v>0.31542515344575334</v>
      </c>
      <c r="N50" t="str">
        <f t="shared" si="2"/>
        <v>A</v>
      </c>
    </row>
    <row r="51" spans="1:14" x14ac:dyDescent="0.25">
      <c r="A51" s="1" t="s">
        <v>93</v>
      </c>
      <c r="B51" s="3">
        <v>16</v>
      </c>
      <c r="C51" s="1">
        <v>2</v>
      </c>
      <c r="D51" s="1">
        <v>3</v>
      </c>
      <c r="E51">
        <f t="shared" si="0"/>
        <v>29</v>
      </c>
      <c r="G51" s="9" t="s">
        <v>938</v>
      </c>
      <c r="H51" s="10">
        <v>72.5</v>
      </c>
      <c r="J51" t="s">
        <v>514</v>
      </c>
      <c r="K51">
        <v>1372</v>
      </c>
      <c r="L51" s="11">
        <f t="shared" si="1"/>
        <v>3.7273276440350886E-3</v>
      </c>
      <c r="M51" s="11">
        <f t="shared" si="3"/>
        <v>0.31915248108978844</v>
      </c>
      <c r="N51" t="str">
        <f t="shared" si="2"/>
        <v>A</v>
      </c>
    </row>
    <row r="52" spans="1:14" x14ac:dyDescent="0.25">
      <c r="A52" s="1" t="s">
        <v>95</v>
      </c>
      <c r="B52" s="3">
        <v>50</v>
      </c>
      <c r="C52" s="1">
        <v>2</v>
      </c>
      <c r="D52" s="1">
        <v>10</v>
      </c>
      <c r="E52">
        <f t="shared" si="0"/>
        <v>90</v>
      </c>
      <c r="G52" s="9" t="s">
        <v>254</v>
      </c>
      <c r="H52" s="10">
        <v>173</v>
      </c>
      <c r="J52" t="s">
        <v>304</v>
      </c>
      <c r="K52">
        <v>1362</v>
      </c>
      <c r="L52" s="11">
        <f t="shared" si="1"/>
        <v>3.7001605329269609E-3</v>
      </c>
      <c r="M52" s="11">
        <f t="shared" si="3"/>
        <v>0.32285264162271543</v>
      </c>
      <c r="N52" t="str">
        <f t="shared" si="2"/>
        <v>A</v>
      </c>
    </row>
    <row r="53" spans="1:14" x14ac:dyDescent="0.25">
      <c r="A53" s="1" t="s">
        <v>97</v>
      </c>
      <c r="B53" s="3">
        <v>74</v>
      </c>
      <c r="C53" s="1">
        <v>1</v>
      </c>
      <c r="D53" s="1">
        <v>7</v>
      </c>
      <c r="E53">
        <f t="shared" si="0"/>
        <v>67</v>
      </c>
      <c r="G53" s="9" t="s">
        <v>419</v>
      </c>
      <c r="H53" s="10">
        <v>109</v>
      </c>
      <c r="J53" t="s">
        <v>159</v>
      </c>
      <c r="K53">
        <v>1356</v>
      </c>
      <c r="L53" s="11">
        <f t="shared" si="1"/>
        <v>3.6838602662620846E-3</v>
      </c>
      <c r="M53" s="11">
        <f t="shared" si="3"/>
        <v>0.32653650188897754</v>
      </c>
      <c r="N53" t="str">
        <f t="shared" si="2"/>
        <v>A</v>
      </c>
    </row>
    <row r="54" spans="1:14" x14ac:dyDescent="0.25">
      <c r="A54" s="1" t="s">
        <v>98</v>
      </c>
      <c r="B54" s="3">
        <v>220</v>
      </c>
      <c r="C54" s="1">
        <v>1</v>
      </c>
      <c r="D54" s="1">
        <v>15</v>
      </c>
      <c r="E54">
        <f t="shared" si="0"/>
        <v>205</v>
      </c>
      <c r="G54" s="9" t="s">
        <v>369</v>
      </c>
      <c r="H54" s="10">
        <v>519</v>
      </c>
      <c r="J54" t="s">
        <v>280</v>
      </c>
      <c r="K54">
        <v>1354</v>
      </c>
      <c r="L54" s="11">
        <f t="shared" si="1"/>
        <v>3.6784268440404589E-3</v>
      </c>
      <c r="M54" s="11">
        <f t="shared" si="3"/>
        <v>0.330214928733018</v>
      </c>
      <c r="N54" t="str">
        <f t="shared" si="2"/>
        <v>A</v>
      </c>
    </row>
    <row r="55" spans="1:14" x14ac:dyDescent="0.25">
      <c r="A55" s="1" t="s">
        <v>98</v>
      </c>
      <c r="B55" s="3">
        <v>220</v>
      </c>
      <c r="C55" s="1">
        <v>1</v>
      </c>
      <c r="D55" s="1">
        <v>0</v>
      </c>
      <c r="E55">
        <f t="shared" si="0"/>
        <v>220</v>
      </c>
      <c r="G55" s="9" t="s">
        <v>513</v>
      </c>
      <c r="H55" s="10">
        <v>154</v>
      </c>
      <c r="J55" t="s">
        <v>616</v>
      </c>
      <c r="K55">
        <v>1316</v>
      </c>
      <c r="L55" s="11">
        <f t="shared" si="1"/>
        <v>3.5751918218295746E-3</v>
      </c>
      <c r="M55" s="11">
        <f t="shared" si="3"/>
        <v>0.33379012055484758</v>
      </c>
      <c r="N55" t="str">
        <f t="shared" si="2"/>
        <v>A</v>
      </c>
    </row>
    <row r="56" spans="1:14" x14ac:dyDescent="0.25">
      <c r="A56" s="1" t="s">
        <v>99</v>
      </c>
      <c r="B56" s="3">
        <v>423</v>
      </c>
      <c r="C56" s="1">
        <v>1</v>
      </c>
      <c r="D56" s="1">
        <v>29</v>
      </c>
      <c r="E56">
        <f t="shared" si="0"/>
        <v>394</v>
      </c>
      <c r="G56" s="9" t="s">
        <v>456</v>
      </c>
      <c r="H56" s="10">
        <v>46</v>
      </c>
      <c r="J56" t="s">
        <v>333</v>
      </c>
      <c r="K56">
        <v>1314</v>
      </c>
      <c r="L56" s="11">
        <f t="shared" si="1"/>
        <v>3.5697583996079493E-3</v>
      </c>
      <c r="M56" s="11">
        <f t="shared" si="3"/>
        <v>0.33735987895445552</v>
      </c>
      <c r="N56" t="str">
        <f t="shared" si="2"/>
        <v>A</v>
      </c>
    </row>
    <row r="57" spans="1:14" x14ac:dyDescent="0.25">
      <c r="A57" s="1" t="s">
        <v>100</v>
      </c>
      <c r="B57" s="3">
        <v>102</v>
      </c>
      <c r="C57" s="1">
        <v>1</v>
      </c>
      <c r="D57" s="1">
        <v>10</v>
      </c>
      <c r="E57">
        <f t="shared" si="0"/>
        <v>92</v>
      </c>
      <c r="G57" s="9" t="s">
        <v>832</v>
      </c>
      <c r="H57" s="10">
        <v>118</v>
      </c>
      <c r="J57" t="s">
        <v>854</v>
      </c>
      <c r="K57">
        <v>1280</v>
      </c>
      <c r="L57" s="11">
        <f t="shared" si="1"/>
        <v>3.477390221840316E-3</v>
      </c>
      <c r="M57" s="11">
        <f t="shared" si="3"/>
        <v>0.34083726917629581</v>
      </c>
      <c r="N57" t="str">
        <f t="shared" si="2"/>
        <v>A</v>
      </c>
    </row>
    <row r="58" spans="1:14" x14ac:dyDescent="0.25">
      <c r="A58" s="1" t="s">
        <v>102</v>
      </c>
      <c r="B58" s="3">
        <v>122</v>
      </c>
      <c r="C58" s="1">
        <v>1</v>
      </c>
      <c r="D58" s="1">
        <v>12</v>
      </c>
      <c r="E58">
        <f t="shared" si="0"/>
        <v>110</v>
      </c>
      <c r="G58" s="9" t="s">
        <v>545</v>
      </c>
      <c r="H58" s="10">
        <v>167</v>
      </c>
      <c r="J58" t="s">
        <v>1201</v>
      </c>
      <c r="K58">
        <v>1276</v>
      </c>
      <c r="L58" s="11">
        <f t="shared" si="1"/>
        <v>3.466523377397065E-3</v>
      </c>
      <c r="M58" s="11">
        <f t="shared" si="3"/>
        <v>0.34430379255369287</v>
      </c>
      <c r="N58" t="str">
        <f t="shared" si="2"/>
        <v>A</v>
      </c>
    </row>
    <row r="59" spans="1:14" x14ac:dyDescent="0.25">
      <c r="A59" s="1" t="s">
        <v>104</v>
      </c>
      <c r="B59" s="3">
        <v>195</v>
      </c>
      <c r="C59" s="1">
        <v>1</v>
      </c>
      <c r="D59" s="1">
        <v>13</v>
      </c>
      <c r="E59">
        <f t="shared" si="0"/>
        <v>182</v>
      </c>
      <c r="G59" s="9" t="s">
        <v>524</v>
      </c>
      <c r="H59" s="10">
        <v>448</v>
      </c>
      <c r="J59" t="s">
        <v>855</v>
      </c>
      <c r="K59">
        <v>1258</v>
      </c>
      <c r="L59" s="11">
        <f t="shared" si="1"/>
        <v>3.4176225774024353E-3</v>
      </c>
      <c r="M59" s="11">
        <f t="shared" si="3"/>
        <v>0.34772141513109528</v>
      </c>
      <c r="N59" t="str">
        <f t="shared" si="2"/>
        <v>A</v>
      </c>
    </row>
    <row r="60" spans="1:14" x14ac:dyDescent="0.25">
      <c r="A60" s="1" t="s">
        <v>106</v>
      </c>
      <c r="B60" s="3">
        <v>153</v>
      </c>
      <c r="C60" s="1">
        <v>1</v>
      </c>
      <c r="D60" s="1">
        <v>7</v>
      </c>
      <c r="E60">
        <f t="shared" si="0"/>
        <v>146</v>
      </c>
      <c r="G60" s="9" t="s">
        <v>28</v>
      </c>
      <c r="H60" s="10">
        <v>2158</v>
      </c>
      <c r="J60" t="s">
        <v>775</v>
      </c>
      <c r="K60">
        <v>1257</v>
      </c>
      <c r="L60" s="11">
        <f t="shared" si="1"/>
        <v>3.4149058662916224E-3</v>
      </c>
      <c r="M60" s="11">
        <f t="shared" si="3"/>
        <v>0.3511363209973869</v>
      </c>
      <c r="N60" t="str">
        <f t="shared" si="2"/>
        <v>A</v>
      </c>
    </row>
    <row r="61" spans="1:14" x14ac:dyDescent="0.25">
      <c r="A61" s="1" t="s">
        <v>108</v>
      </c>
      <c r="B61" s="3">
        <v>247</v>
      </c>
      <c r="C61" s="1">
        <v>1</v>
      </c>
      <c r="D61" s="1">
        <v>12</v>
      </c>
      <c r="E61">
        <f t="shared" si="0"/>
        <v>235</v>
      </c>
      <c r="G61" s="9" t="s">
        <v>167</v>
      </c>
      <c r="H61" s="10">
        <v>1727</v>
      </c>
      <c r="J61" t="s">
        <v>550</v>
      </c>
      <c r="K61">
        <v>1254</v>
      </c>
      <c r="L61" s="11">
        <f t="shared" si="1"/>
        <v>3.4067557329591843E-3</v>
      </c>
      <c r="M61" s="11">
        <f t="shared" si="3"/>
        <v>0.35454307673034607</v>
      </c>
      <c r="N61" t="str">
        <f t="shared" si="2"/>
        <v>A</v>
      </c>
    </row>
    <row r="62" spans="1:14" x14ac:dyDescent="0.25">
      <c r="A62" s="1" t="s">
        <v>110</v>
      </c>
      <c r="B62" s="3">
        <v>125</v>
      </c>
      <c r="C62" s="1">
        <v>1</v>
      </c>
      <c r="D62" s="1">
        <v>6</v>
      </c>
      <c r="E62">
        <f t="shared" si="0"/>
        <v>119</v>
      </c>
      <c r="G62" s="9" t="s">
        <v>767</v>
      </c>
      <c r="H62" s="10">
        <v>1750</v>
      </c>
      <c r="J62" t="s">
        <v>657</v>
      </c>
      <c r="K62">
        <v>1219</v>
      </c>
      <c r="L62" s="11">
        <f t="shared" si="1"/>
        <v>3.3116708440807381E-3</v>
      </c>
      <c r="M62" s="11">
        <f t="shared" si="3"/>
        <v>0.35785474757442681</v>
      </c>
      <c r="N62" t="str">
        <f t="shared" si="2"/>
        <v>A</v>
      </c>
    </row>
    <row r="63" spans="1:14" x14ac:dyDescent="0.25">
      <c r="A63" s="1" t="s">
        <v>112</v>
      </c>
      <c r="B63" s="3">
        <v>90</v>
      </c>
      <c r="C63" s="1">
        <v>2</v>
      </c>
      <c r="D63" s="1">
        <v>18</v>
      </c>
      <c r="E63">
        <f t="shared" si="0"/>
        <v>162</v>
      </c>
      <c r="G63" s="9" t="s">
        <v>284</v>
      </c>
      <c r="H63" s="10">
        <v>306</v>
      </c>
      <c r="J63" t="s">
        <v>65</v>
      </c>
      <c r="K63">
        <v>1206</v>
      </c>
      <c r="L63" s="11">
        <f t="shared" si="1"/>
        <v>3.2763535996401727E-3</v>
      </c>
      <c r="M63" s="11">
        <f t="shared" si="3"/>
        <v>0.36113110117406699</v>
      </c>
      <c r="N63" t="str">
        <f t="shared" si="2"/>
        <v>A</v>
      </c>
    </row>
    <row r="64" spans="1:14" x14ac:dyDescent="0.25">
      <c r="A64" s="1" t="s">
        <v>113</v>
      </c>
      <c r="B64" s="3">
        <v>127</v>
      </c>
      <c r="C64" s="1">
        <v>1</v>
      </c>
      <c r="D64" s="1">
        <v>0</v>
      </c>
      <c r="E64">
        <f t="shared" si="0"/>
        <v>127</v>
      </c>
      <c r="G64" s="9" t="s">
        <v>116</v>
      </c>
      <c r="H64" s="10">
        <v>464</v>
      </c>
      <c r="J64" t="s">
        <v>836</v>
      </c>
      <c r="K64">
        <v>1206</v>
      </c>
      <c r="L64" s="11">
        <f t="shared" si="1"/>
        <v>3.2763535996401727E-3</v>
      </c>
      <c r="M64" s="11">
        <f t="shared" si="3"/>
        <v>0.36440745477370717</v>
      </c>
      <c r="N64" t="str">
        <f t="shared" si="2"/>
        <v>A</v>
      </c>
    </row>
    <row r="65" spans="1:14" x14ac:dyDescent="0.25">
      <c r="A65" s="1" t="s">
        <v>116</v>
      </c>
      <c r="B65" s="3">
        <v>58</v>
      </c>
      <c r="C65" s="1">
        <v>1</v>
      </c>
      <c r="D65" s="1">
        <v>0</v>
      </c>
      <c r="E65">
        <f t="shared" si="0"/>
        <v>58</v>
      </c>
      <c r="G65" s="9" t="s">
        <v>355</v>
      </c>
      <c r="H65" s="10">
        <v>96</v>
      </c>
      <c r="J65" t="s">
        <v>487</v>
      </c>
      <c r="K65">
        <v>1198</v>
      </c>
      <c r="L65" s="11">
        <f t="shared" si="1"/>
        <v>3.2546199107536707E-3</v>
      </c>
      <c r="M65" s="11">
        <f t="shared" si="3"/>
        <v>0.36766207468446083</v>
      </c>
      <c r="N65" t="str">
        <f t="shared" si="2"/>
        <v>A</v>
      </c>
    </row>
    <row r="66" spans="1:14" x14ac:dyDescent="0.25">
      <c r="A66" s="1" t="s">
        <v>116</v>
      </c>
      <c r="B66" s="3">
        <v>58</v>
      </c>
      <c r="C66" s="1">
        <v>1</v>
      </c>
      <c r="D66" s="1">
        <v>5</v>
      </c>
      <c r="E66">
        <f t="shared" si="0"/>
        <v>53</v>
      </c>
      <c r="G66" s="9" t="s">
        <v>983</v>
      </c>
      <c r="H66" s="10">
        <v>64</v>
      </c>
      <c r="J66" t="s">
        <v>1150</v>
      </c>
      <c r="K66">
        <v>1160</v>
      </c>
      <c r="L66" s="11">
        <f t="shared" si="1"/>
        <v>3.1513848885427864E-3</v>
      </c>
      <c r="M66" s="11">
        <f t="shared" si="3"/>
        <v>0.3708134595730036</v>
      </c>
      <c r="N66" t="str">
        <f t="shared" si="2"/>
        <v>A</v>
      </c>
    </row>
    <row r="67" spans="1:14" x14ac:dyDescent="0.25">
      <c r="A67" s="1" t="s">
        <v>118</v>
      </c>
      <c r="B67" s="3">
        <v>25</v>
      </c>
      <c r="C67" s="1">
        <v>1</v>
      </c>
      <c r="D67" s="1">
        <v>0</v>
      </c>
      <c r="E67">
        <f t="shared" ref="E67:E130" si="4">C67*B67-D67</f>
        <v>25</v>
      </c>
      <c r="G67" s="9" t="s">
        <v>307</v>
      </c>
      <c r="H67" s="10">
        <v>102</v>
      </c>
      <c r="J67" t="s">
        <v>1076</v>
      </c>
      <c r="K67">
        <v>1153</v>
      </c>
      <c r="L67" s="11">
        <f t="shared" ref="L67:L130" si="5">K67/SUM($K$2:$K$804)</f>
        <v>3.1323679107670968E-3</v>
      </c>
      <c r="M67" s="11">
        <f t="shared" si="3"/>
        <v>0.3739458274837707</v>
      </c>
      <c r="N67" t="str">
        <f t="shared" ref="N67:N130" si="6">IF(M67&lt;0.8, "A", IF(M67&lt;0.95,"B","C"))</f>
        <v>A</v>
      </c>
    </row>
    <row r="68" spans="1:14" x14ac:dyDescent="0.25">
      <c r="A68" s="1" t="s">
        <v>118</v>
      </c>
      <c r="B68" s="3">
        <v>25</v>
      </c>
      <c r="C68" s="1">
        <v>1</v>
      </c>
      <c r="D68" s="1">
        <v>0</v>
      </c>
      <c r="E68">
        <f t="shared" si="4"/>
        <v>25</v>
      </c>
      <c r="G68" s="9" t="s">
        <v>1147</v>
      </c>
      <c r="H68" s="10">
        <v>101</v>
      </c>
      <c r="J68" t="s">
        <v>1114</v>
      </c>
      <c r="K68">
        <v>1150</v>
      </c>
      <c r="L68" s="11">
        <f t="shared" si="5"/>
        <v>3.1242177774346586E-3</v>
      </c>
      <c r="M68" s="11">
        <f t="shared" ref="M68:M131" si="7">L68+M67</f>
        <v>0.37707004526120536</v>
      </c>
      <c r="N68" t="str">
        <f t="shared" si="6"/>
        <v>A</v>
      </c>
    </row>
    <row r="69" spans="1:14" x14ac:dyDescent="0.25">
      <c r="A69" s="1" t="s">
        <v>119</v>
      </c>
      <c r="B69" s="3">
        <v>47.04</v>
      </c>
      <c r="C69" s="1">
        <v>1</v>
      </c>
      <c r="D69" s="1">
        <v>0</v>
      </c>
      <c r="E69">
        <f t="shared" si="4"/>
        <v>47.04</v>
      </c>
      <c r="G69" s="9" t="s">
        <v>831</v>
      </c>
      <c r="H69" s="10">
        <v>44</v>
      </c>
      <c r="J69" t="s">
        <v>1038</v>
      </c>
      <c r="K69">
        <v>1147</v>
      </c>
      <c r="L69" s="11">
        <f t="shared" si="5"/>
        <v>3.1160676441022205E-3</v>
      </c>
      <c r="M69" s="11">
        <f t="shared" si="7"/>
        <v>0.38018611290530757</v>
      </c>
      <c r="N69" t="str">
        <f t="shared" si="6"/>
        <v>A</v>
      </c>
    </row>
    <row r="70" spans="1:14" x14ac:dyDescent="0.25">
      <c r="A70" s="1" t="s">
        <v>121</v>
      </c>
      <c r="B70" s="3">
        <v>233</v>
      </c>
      <c r="C70" s="1">
        <v>1</v>
      </c>
      <c r="D70" s="1">
        <v>16</v>
      </c>
      <c r="E70">
        <f t="shared" si="4"/>
        <v>217</v>
      </c>
      <c r="G70" s="9" t="s">
        <v>505</v>
      </c>
      <c r="H70" s="10">
        <v>36</v>
      </c>
      <c r="J70" t="s">
        <v>950</v>
      </c>
      <c r="K70">
        <v>1145</v>
      </c>
      <c r="L70" s="11">
        <f t="shared" si="5"/>
        <v>3.1106342218805948E-3</v>
      </c>
      <c r="M70" s="11">
        <f t="shared" si="7"/>
        <v>0.38329674712718814</v>
      </c>
      <c r="N70" t="str">
        <f t="shared" si="6"/>
        <v>A</v>
      </c>
    </row>
    <row r="71" spans="1:14" x14ac:dyDescent="0.25">
      <c r="A71" s="1" t="s">
        <v>123</v>
      </c>
      <c r="B71" s="3">
        <v>133</v>
      </c>
      <c r="C71" s="1">
        <v>1</v>
      </c>
      <c r="D71" s="1">
        <v>9</v>
      </c>
      <c r="E71">
        <f t="shared" si="4"/>
        <v>124</v>
      </c>
      <c r="G71" s="9" t="s">
        <v>915</v>
      </c>
      <c r="H71" s="10">
        <v>36</v>
      </c>
      <c r="J71" t="s">
        <v>1033</v>
      </c>
      <c r="K71">
        <v>1141</v>
      </c>
      <c r="L71" s="11">
        <f t="shared" si="5"/>
        <v>3.0997673774373442E-3</v>
      </c>
      <c r="M71" s="11">
        <f t="shared" si="7"/>
        <v>0.38639651450462548</v>
      </c>
      <c r="N71" t="str">
        <f t="shared" si="6"/>
        <v>A</v>
      </c>
    </row>
    <row r="72" spans="1:14" x14ac:dyDescent="0.25">
      <c r="A72" s="1" t="s">
        <v>125</v>
      </c>
      <c r="B72" s="3">
        <v>739</v>
      </c>
      <c r="C72" s="1">
        <v>1</v>
      </c>
      <c r="D72" s="1">
        <v>22</v>
      </c>
      <c r="E72">
        <f t="shared" si="4"/>
        <v>717</v>
      </c>
      <c r="G72" s="9" t="s">
        <v>259</v>
      </c>
      <c r="H72" s="10">
        <v>333</v>
      </c>
      <c r="J72" t="s">
        <v>754</v>
      </c>
      <c r="K72">
        <v>1124</v>
      </c>
      <c r="L72" s="11">
        <f t="shared" si="5"/>
        <v>3.0535832885535273E-3</v>
      </c>
      <c r="M72" s="11">
        <f t="shared" si="7"/>
        <v>0.38945009779317902</v>
      </c>
      <c r="N72" t="str">
        <f t="shared" si="6"/>
        <v>A</v>
      </c>
    </row>
    <row r="73" spans="1:14" x14ac:dyDescent="0.25">
      <c r="A73" s="1" t="s">
        <v>127</v>
      </c>
      <c r="B73" s="3">
        <v>476</v>
      </c>
      <c r="C73" s="1">
        <v>1</v>
      </c>
      <c r="D73" s="1">
        <v>33</v>
      </c>
      <c r="E73">
        <f t="shared" si="4"/>
        <v>443</v>
      </c>
      <c r="G73" s="9" t="s">
        <v>182</v>
      </c>
      <c r="H73" s="10">
        <v>166</v>
      </c>
      <c r="J73" t="s">
        <v>1203</v>
      </c>
      <c r="K73">
        <v>1115</v>
      </c>
      <c r="L73" s="11">
        <f t="shared" si="5"/>
        <v>3.0291328885562125E-3</v>
      </c>
      <c r="M73" s="11">
        <f t="shared" si="7"/>
        <v>0.39247923068173524</v>
      </c>
      <c r="N73" t="str">
        <f t="shared" si="6"/>
        <v>A</v>
      </c>
    </row>
    <row r="74" spans="1:14" x14ac:dyDescent="0.25">
      <c r="A74" s="1" t="s">
        <v>129</v>
      </c>
      <c r="B74" s="3">
        <v>280</v>
      </c>
      <c r="C74" s="1">
        <v>1</v>
      </c>
      <c r="D74" s="1">
        <v>19</v>
      </c>
      <c r="E74">
        <f t="shared" si="4"/>
        <v>261</v>
      </c>
      <c r="G74" s="9" t="s">
        <v>1105</v>
      </c>
      <c r="H74" s="10">
        <v>122</v>
      </c>
      <c r="J74" t="s">
        <v>845</v>
      </c>
      <c r="K74">
        <v>1114</v>
      </c>
      <c r="L74" s="11">
        <f t="shared" si="5"/>
        <v>3.0264161774454E-3</v>
      </c>
      <c r="M74" s="11">
        <f t="shared" si="7"/>
        <v>0.39550564685918066</v>
      </c>
      <c r="N74" t="str">
        <f t="shared" si="6"/>
        <v>A</v>
      </c>
    </row>
    <row r="75" spans="1:14" x14ac:dyDescent="0.25">
      <c r="A75" s="1" t="s">
        <v>131</v>
      </c>
      <c r="B75" s="3">
        <v>405</v>
      </c>
      <c r="C75" s="1">
        <v>1</v>
      </c>
      <c r="D75" s="1">
        <v>0</v>
      </c>
      <c r="E75">
        <f t="shared" si="4"/>
        <v>405</v>
      </c>
      <c r="G75" s="9" t="s">
        <v>477</v>
      </c>
      <c r="H75" s="10">
        <v>82</v>
      </c>
      <c r="J75" t="s">
        <v>760</v>
      </c>
      <c r="K75">
        <v>1111.0000002199999</v>
      </c>
      <c r="L75" s="11">
        <f t="shared" si="5"/>
        <v>3.0182660447106379E-3</v>
      </c>
      <c r="M75" s="11">
        <f t="shared" si="7"/>
        <v>0.39852391290389128</v>
      </c>
      <c r="N75" t="str">
        <f t="shared" si="6"/>
        <v>A</v>
      </c>
    </row>
    <row r="76" spans="1:14" x14ac:dyDescent="0.25">
      <c r="A76" s="1" t="s">
        <v>133</v>
      </c>
      <c r="B76" s="3">
        <v>370</v>
      </c>
      <c r="C76" s="1">
        <v>1</v>
      </c>
      <c r="D76" s="1">
        <v>0</v>
      </c>
      <c r="E76">
        <f t="shared" si="4"/>
        <v>370</v>
      </c>
      <c r="G76" s="9" t="s">
        <v>457</v>
      </c>
      <c r="H76" s="10">
        <v>83</v>
      </c>
      <c r="J76" t="s">
        <v>693</v>
      </c>
      <c r="K76">
        <v>1111</v>
      </c>
      <c r="L76" s="11">
        <f t="shared" si="5"/>
        <v>3.0182660441129615E-3</v>
      </c>
      <c r="M76" s="11">
        <f t="shared" si="7"/>
        <v>0.40154217894800426</v>
      </c>
      <c r="N76" t="str">
        <f t="shared" si="6"/>
        <v>A</v>
      </c>
    </row>
    <row r="77" spans="1:14" x14ac:dyDescent="0.25">
      <c r="A77" s="1" t="s">
        <v>135</v>
      </c>
      <c r="B77" s="3">
        <v>158</v>
      </c>
      <c r="C77" s="1">
        <v>1</v>
      </c>
      <c r="D77" s="1">
        <v>0</v>
      </c>
      <c r="E77">
        <f t="shared" si="4"/>
        <v>158</v>
      </c>
      <c r="G77" s="9" t="s">
        <v>834</v>
      </c>
      <c r="H77" s="10">
        <v>517</v>
      </c>
      <c r="J77" t="s">
        <v>372</v>
      </c>
      <c r="K77">
        <v>1105</v>
      </c>
      <c r="L77" s="11">
        <f t="shared" si="5"/>
        <v>3.0019657774480852E-3</v>
      </c>
      <c r="M77" s="11">
        <f t="shared" si="7"/>
        <v>0.40454414472545236</v>
      </c>
      <c r="N77" t="str">
        <f t="shared" si="6"/>
        <v>A</v>
      </c>
    </row>
    <row r="78" spans="1:14" x14ac:dyDescent="0.25">
      <c r="A78" s="1" t="s">
        <v>137</v>
      </c>
      <c r="B78" s="3">
        <v>38</v>
      </c>
      <c r="C78" s="1">
        <v>1</v>
      </c>
      <c r="D78" s="1">
        <v>0</v>
      </c>
      <c r="E78">
        <f t="shared" si="4"/>
        <v>38</v>
      </c>
      <c r="G78" s="9" t="s">
        <v>835</v>
      </c>
      <c r="H78" s="10">
        <v>470</v>
      </c>
      <c r="J78" t="s">
        <v>928</v>
      </c>
      <c r="K78">
        <v>1083</v>
      </c>
      <c r="L78" s="11">
        <f t="shared" si="5"/>
        <v>2.9421981330102049E-3</v>
      </c>
      <c r="M78" s="11">
        <f t="shared" si="7"/>
        <v>0.40748634285846258</v>
      </c>
      <c r="N78" t="str">
        <f t="shared" si="6"/>
        <v>A</v>
      </c>
    </row>
    <row r="79" spans="1:14" x14ac:dyDescent="0.25">
      <c r="A79" s="1" t="s">
        <v>140</v>
      </c>
      <c r="B79" s="3">
        <v>0.01</v>
      </c>
      <c r="C79" s="1">
        <v>1</v>
      </c>
      <c r="D79" s="1">
        <v>0</v>
      </c>
      <c r="E79">
        <f t="shared" si="4"/>
        <v>0.01</v>
      </c>
      <c r="G79" s="9" t="s">
        <v>802</v>
      </c>
      <c r="H79" s="10">
        <v>504</v>
      </c>
      <c r="J79" t="s">
        <v>783</v>
      </c>
      <c r="K79">
        <v>1081</v>
      </c>
      <c r="L79" s="11">
        <f t="shared" si="5"/>
        <v>2.9367647107885792E-3</v>
      </c>
      <c r="M79" s="11">
        <f t="shared" si="7"/>
        <v>0.41042310756925116</v>
      </c>
      <c r="N79" t="str">
        <f t="shared" si="6"/>
        <v>A</v>
      </c>
    </row>
    <row r="80" spans="1:14" x14ac:dyDescent="0.25">
      <c r="A80" s="1" t="s">
        <v>140</v>
      </c>
      <c r="B80" s="3">
        <v>0.01</v>
      </c>
      <c r="C80" s="1">
        <v>1</v>
      </c>
      <c r="D80" s="1">
        <v>0</v>
      </c>
      <c r="E80">
        <f t="shared" si="4"/>
        <v>0.01</v>
      </c>
      <c r="G80" s="9" t="s">
        <v>784</v>
      </c>
      <c r="H80" s="10">
        <v>300</v>
      </c>
      <c r="J80" t="s">
        <v>918</v>
      </c>
      <c r="K80">
        <v>1071.6666559499999</v>
      </c>
      <c r="L80" s="11">
        <f t="shared" si="5"/>
        <v>2.911408711306906E-3</v>
      </c>
      <c r="M80" s="11">
        <f t="shared" si="7"/>
        <v>0.41333451628055806</v>
      </c>
      <c r="N80" t="str">
        <f t="shared" si="6"/>
        <v>A</v>
      </c>
    </row>
    <row r="81" spans="1:14" x14ac:dyDescent="0.25">
      <c r="A81" s="1" t="s">
        <v>140</v>
      </c>
      <c r="B81" s="3">
        <v>0.01</v>
      </c>
      <c r="C81" s="1">
        <v>1</v>
      </c>
      <c r="D81" s="1">
        <v>0</v>
      </c>
      <c r="E81">
        <f t="shared" si="4"/>
        <v>0.01</v>
      </c>
      <c r="G81" s="9" t="s">
        <v>701</v>
      </c>
      <c r="H81" s="10">
        <v>270</v>
      </c>
      <c r="J81" t="s">
        <v>1052</v>
      </c>
      <c r="K81">
        <v>1047</v>
      </c>
      <c r="L81" s="11">
        <f t="shared" si="5"/>
        <v>2.8443965330209459E-3</v>
      </c>
      <c r="M81" s="11">
        <f t="shared" si="7"/>
        <v>0.41617891281357899</v>
      </c>
      <c r="N81" t="str">
        <f t="shared" si="6"/>
        <v>A</v>
      </c>
    </row>
    <row r="82" spans="1:14" x14ac:dyDescent="0.25">
      <c r="A82" s="1" t="s">
        <v>142</v>
      </c>
      <c r="B82" s="3">
        <v>160</v>
      </c>
      <c r="C82" s="1">
        <v>1</v>
      </c>
      <c r="D82" s="1">
        <v>0</v>
      </c>
      <c r="E82">
        <f t="shared" si="4"/>
        <v>160</v>
      </c>
      <c r="G82" s="9" t="s">
        <v>37</v>
      </c>
      <c r="H82" s="10">
        <v>831</v>
      </c>
      <c r="J82" t="s">
        <v>178</v>
      </c>
      <c r="K82">
        <v>1039</v>
      </c>
      <c r="L82" s="11">
        <f t="shared" si="5"/>
        <v>2.8226628441344439E-3</v>
      </c>
      <c r="M82" s="11">
        <f t="shared" si="7"/>
        <v>0.41900157565771345</v>
      </c>
      <c r="N82" t="str">
        <f t="shared" si="6"/>
        <v>A</v>
      </c>
    </row>
    <row r="83" spans="1:14" x14ac:dyDescent="0.25">
      <c r="A83" s="1" t="s">
        <v>144</v>
      </c>
      <c r="B83" s="3">
        <v>249</v>
      </c>
      <c r="C83" s="1">
        <v>1</v>
      </c>
      <c r="D83" s="1">
        <v>0</v>
      </c>
      <c r="E83">
        <f t="shared" si="4"/>
        <v>249</v>
      </c>
      <c r="G83" s="9" t="s">
        <v>38</v>
      </c>
      <c r="H83" s="10">
        <v>340</v>
      </c>
      <c r="J83" t="s">
        <v>708</v>
      </c>
      <c r="K83">
        <v>1036</v>
      </c>
      <c r="L83" s="11">
        <f t="shared" si="5"/>
        <v>2.8145127108020057E-3</v>
      </c>
      <c r="M83" s="11">
        <f t="shared" si="7"/>
        <v>0.42181608836851547</v>
      </c>
      <c r="N83" t="str">
        <f t="shared" si="6"/>
        <v>A</v>
      </c>
    </row>
    <row r="84" spans="1:14" x14ac:dyDescent="0.25">
      <c r="A84" s="1" t="s">
        <v>146</v>
      </c>
      <c r="B84" s="3">
        <v>103</v>
      </c>
      <c r="C84" s="1">
        <v>1</v>
      </c>
      <c r="D84" s="1">
        <v>0</v>
      </c>
      <c r="E84">
        <f t="shared" si="4"/>
        <v>103</v>
      </c>
      <c r="G84" s="9" t="s">
        <v>562</v>
      </c>
      <c r="H84" s="10">
        <v>368</v>
      </c>
      <c r="J84" t="s">
        <v>1215</v>
      </c>
      <c r="K84">
        <v>1021.99998978</v>
      </c>
      <c r="L84" s="11">
        <f t="shared" si="5"/>
        <v>2.7764787274858396E-3</v>
      </c>
      <c r="M84" s="11">
        <f t="shared" si="7"/>
        <v>0.42459256709600129</v>
      </c>
      <c r="N84" t="str">
        <f t="shared" si="6"/>
        <v>A</v>
      </c>
    </row>
    <row r="85" spans="1:14" x14ac:dyDescent="0.25">
      <c r="A85" s="1" t="s">
        <v>146</v>
      </c>
      <c r="B85" s="3">
        <v>103</v>
      </c>
      <c r="C85" s="1">
        <v>1</v>
      </c>
      <c r="D85" s="1">
        <v>7</v>
      </c>
      <c r="E85">
        <f t="shared" si="4"/>
        <v>96</v>
      </c>
      <c r="G85" s="9" t="s">
        <v>708</v>
      </c>
      <c r="H85" s="10">
        <v>1036</v>
      </c>
      <c r="J85" t="s">
        <v>658</v>
      </c>
      <c r="K85">
        <v>1018</v>
      </c>
      <c r="L85" s="11">
        <f t="shared" si="5"/>
        <v>2.765611910807376E-3</v>
      </c>
      <c r="M85" s="11">
        <f t="shared" si="7"/>
        <v>0.42735817900680867</v>
      </c>
      <c r="N85" t="str">
        <f t="shared" si="6"/>
        <v>A</v>
      </c>
    </row>
    <row r="86" spans="1:14" x14ac:dyDescent="0.25">
      <c r="A86" s="1" t="s">
        <v>147</v>
      </c>
      <c r="B86" s="3">
        <v>121.72</v>
      </c>
      <c r="C86" s="1">
        <v>1</v>
      </c>
      <c r="D86" s="1">
        <v>0</v>
      </c>
      <c r="E86">
        <f t="shared" si="4"/>
        <v>121.72</v>
      </c>
      <c r="G86" s="9" t="s">
        <v>142</v>
      </c>
      <c r="H86" s="10">
        <v>160</v>
      </c>
      <c r="J86" t="s">
        <v>689</v>
      </c>
      <c r="K86">
        <v>998</v>
      </c>
      <c r="L86" s="11">
        <f t="shared" si="5"/>
        <v>2.7112776885911214E-3</v>
      </c>
      <c r="M86" s="11">
        <f t="shared" si="7"/>
        <v>0.43006945669539981</v>
      </c>
      <c r="N86" t="str">
        <f t="shared" si="6"/>
        <v>A</v>
      </c>
    </row>
    <row r="87" spans="1:14" x14ac:dyDescent="0.25">
      <c r="A87" s="1" t="s">
        <v>149</v>
      </c>
      <c r="B87" s="3">
        <v>211</v>
      </c>
      <c r="C87" s="1">
        <v>1</v>
      </c>
      <c r="D87" s="1">
        <v>21</v>
      </c>
      <c r="E87">
        <f t="shared" si="4"/>
        <v>190</v>
      </c>
      <c r="G87" s="9" t="s">
        <v>346</v>
      </c>
      <c r="H87" s="10">
        <v>252</v>
      </c>
      <c r="J87" t="s">
        <v>351</v>
      </c>
      <c r="K87">
        <v>996.23</v>
      </c>
      <c r="L87" s="11">
        <f t="shared" si="5"/>
        <v>2.7064691099249827E-3</v>
      </c>
      <c r="M87" s="11">
        <f t="shared" si="7"/>
        <v>0.43277592580532481</v>
      </c>
      <c r="N87" t="str">
        <f t="shared" si="6"/>
        <v>A</v>
      </c>
    </row>
    <row r="88" spans="1:14" x14ac:dyDescent="0.25">
      <c r="A88" s="1" t="s">
        <v>151</v>
      </c>
      <c r="B88" s="3">
        <v>120</v>
      </c>
      <c r="C88" s="1">
        <v>1</v>
      </c>
      <c r="D88" s="1">
        <v>12</v>
      </c>
      <c r="E88">
        <f t="shared" si="4"/>
        <v>108</v>
      </c>
      <c r="G88" s="9" t="s">
        <v>452</v>
      </c>
      <c r="H88" s="10">
        <v>270</v>
      </c>
      <c r="J88" t="s">
        <v>382</v>
      </c>
      <c r="K88">
        <v>996</v>
      </c>
      <c r="L88" s="11">
        <f t="shared" si="5"/>
        <v>2.7058442663694957E-3</v>
      </c>
      <c r="M88" s="11">
        <f t="shared" si="7"/>
        <v>0.43548177007169431</v>
      </c>
      <c r="N88" t="str">
        <f t="shared" si="6"/>
        <v>A</v>
      </c>
    </row>
    <row r="89" spans="1:14" x14ac:dyDescent="0.25">
      <c r="A89" s="1" t="s">
        <v>153</v>
      </c>
      <c r="B89" s="3">
        <v>151</v>
      </c>
      <c r="C89" s="1">
        <v>1</v>
      </c>
      <c r="D89" s="1">
        <v>7</v>
      </c>
      <c r="E89">
        <f t="shared" si="4"/>
        <v>144</v>
      </c>
      <c r="G89" s="9" t="s">
        <v>734</v>
      </c>
      <c r="H89" s="10">
        <v>69</v>
      </c>
      <c r="J89" t="s">
        <v>894</v>
      </c>
      <c r="K89">
        <v>987</v>
      </c>
      <c r="L89" s="11">
        <f t="shared" si="5"/>
        <v>2.6813938663721808E-3</v>
      </c>
      <c r="M89" s="11">
        <f t="shared" si="7"/>
        <v>0.43816316393806648</v>
      </c>
      <c r="N89" t="str">
        <f t="shared" si="6"/>
        <v>A</v>
      </c>
    </row>
    <row r="90" spans="1:14" x14ac:dyDescent="0.25">
      <c r="A90" s="1" t="s">
        <v>153</v>
      </c>
      <c r="B90" s="3">
        <v>151</v>
      </c>
      <c r="C90" s="1">
        <v>1</v>
      </c>
      <c r="D90" s="1">
        <v>7</v>
      </c>
      <c r="E90">
        <f t="shared" si="4"/>
        <v>144</v>
      </c>
      <c r="G90" s="9" t="s">
        <v>1128</v>
      </c>
      <c r="H90" s="10">
        <v>28</v>
      </c>
      <c r="J90" t="s">
        <v>293</v>
      </c>
      <c r="K90">
        <v>986</v>
      </c>
      <c r="L90" s="11">
        <f t="shared" si="5"/>
        <v>2.6786771552613684E-3</v>
      </c>
      <c r="M90" s="11">
        <f t="shared" si="7"/>
        <v>0.44084184109332786</v>
      </c>
      <c r="N90" t="str">
        <f t="shared" si="6"/>
        <v>A</v>
      </c>
    </row>
    <row r="91" spans="1:14" x14ac:dyDescent="0.25">
      <c r="A91" s="1" t="s">
        <v>155</v>
      </c>
      <c r="B91" s="3">
        <v>186</v>
      </c>
      <c r="C91" s="1">
        <v>1</v>
      </c>
      <c r="D91" s="1">
        <v>9</v>
      </c>
      <c r="E91">
        <f t="shared" si="4"/>
        <v>177</v>
      </c>
      <c r="G91" s="9" t="s">
        <v>195</v>
      </c>
      <c r="H91" s="10">
        <v>2335.31</v>
      </c>
      <c r="J91" t="s">
        <v>820</v>
      </c>
      <c r="K91">
        <v>955</v>
      </c>
      <c r="L91" s="11">
        <f t="shared" si="5"/>
        <v>2.5944591108261732E-3</v>
      </c>
      <c r="M91" s="11">
        <f t="shared" si="7"/>
        <v>0.44343630020415403</v>
      </c>
      <c r="N91" t="str">
        <f t="shared" si="6"/>
        <v>A</v>
      </c>
    </row>
    <row r="92" spans="1:14" x14ac:dyDescent="0.25">
      <c r="A92" s="1" t="s">
        <v>157</v>
      </c>
      <c r="B92" s="3">
        <v>122</v>
      </c>
      <c r="C92" s="1">
        <v>1</v>
      </c>
      <c r="D92" s="1">
        <v>6</v>
      </c>
      <c r="E92">
        <f t="shared" si="4"/>
        <v>116</v>
      </c>
      <c r="G92" s="9" t="s">
        <v>1045</v>
      </c>
      <c r="H92" s="10">
        <v>23</v>
      </c>
      <c r="J92" t="s">
        <v>127</v>
      </c>
      <c r="K92">
        <v>952</v>
      </c>
      <c r="L92" s="11">
        <f t="shared" si="5"/>
        <v>2.5863089774937347E-3</v>
      </c>
      <c r="M92" s="11">
        <f t="shared" si="7"/>
        <v>0.44602260918164777</v>
      </c>
      <c r="N92" t="str">
        <f t="shared" si="6"/>
        <v>A</v>
      </c>
    </row>
    <row r="93" spans="1:14" x14ac:dyDescent="0.25">
      <c r="A93" s="1" t="s">
        <v>157</v>
      </c>
      <c r="B93" s="3">
        <v>122</v>
      </c>
      <c r="C93" s="1">
        <v>1</v>
      </c>
      <c r="D93" s="1">
        <v>6</v>
      </c>
      <c r="E93">
        <f t="shared" si="4"/>
        <v>116</v>
      </c>
      <c r="G93" s="9" t="s">
        <v>381</v>
      </c>
      <c r="H93" s="10">
        <v>76</v>
      </c>
      <c r="J93" t="s">
        <v>555</v>
      </c>
      <c r="K93">
        <v>949</v>
      </c>
      <c r="L93" s="11">
        <f t="shared" si="5"/>
        <v>2.5781588441612965E-3</v>
      </c>
      <c r="M93" s="11">
        <f t="shared" si="7"/>
        <v>0.44860076802580906</v>
      </c>
      <c r="N93" t="str">
        <f t="shared" si="6"/>
        <v>A</v>
      </c>
    </row>
    <row r="94" spans="1:14" x14ac:dyDescent="0.25">
      <c r="A94" s="1" t="s">
        <v>159</v>
      </c>
      <c r="B94" s="3">
        <v>678</v>
      </c>
      <c r="C94" s="1">
        <v>1</v>
      </c>
      <c r="D94" s="1">
        <v>20.21</v>
      </c>
      <c r="E94">
        <f t="shared" si="4"/>
        <v>657.79</v>
      </c>
      <c r="G94" s="9" t="s">
        <v>656</v>
      </c>
      <c r="H94" s="10">
        <v>124</v>
      </c>
      <c r="J94" t="s">
        <v>240</v>
      </c>
      <c r="K94">
        <v>948</v>
      </c>
      <c r="L94" s="11">
        <f t="shared" si="5"/>
        <v>2.5754421330504837E-3</v>
      </c>
      <c r="M94" s="11">
        <f t="shared" si="7"/>
        <v>0.45117621015885956</v>
      </c>
      <c r="N94" t="str">
        <f t="shared" si="6"/>
        <v>A</v>
      </c>
    </row>
    <row r="95" spans="1:14" x14ac:dyDescent="0.25">
      <c r="A95" s="1" t="s">
        <v>161</v>
      </c>
      <c r="B95" s="3">
        <v>295</v>
      </c>
      <c r="C95" s="1">
        <v>1</v>
      </c>
      <c r="D95" s="1">
        <v>8.7899999999999991</v>
      </c>
      <c r="E95">
        <f t="shared" si="4"/>
        <v>286.20999999999998</v>
      </c>
      <c r="G95" s="9" t="s">
        <v>990</v>
      </c>
      <c r="H95" s="10">
        <v>798</v>
      </c>
      <c r="J95" t="s">
        <v>618</v>
      </c>
      <c r="K95">
        <v>935</v>
      </c>
      <c r="L95" s="11">
        <f t="shared" si="5"/>
        <v>2.5401248886099182E-3</v>
      </c>
      <c r="M95" s="11">
        <f t="shared" si="7"/>
        <v>0.4537163350474695</v>
      </c>
      <c r="N95" t="str">
        <f t="shared" si="6"/>
        <v>A</v>
      </c>
    </row>
    <row r="96" spans="1:14" x14ac:dyDescent="0.25">
      <c r="A96" s="1" t="s">
        <v>163</v>
      </c>
      <c r="B96" s="3">
        <v>17</v>
      </c>
      <c r="C96" s="1">
        <v>2</v>
      </c>
      <c r="D96" s="1">
        <v>3</v>
      </c>
      <c r="E96">
        <f t="shared" si="4"/>
        <v>31</v>
      </c>
      <c r="G96" s="9" t="s">
        <v>719</v>
      </c>
      <c r="H96" s="10">
        <v>372</v>
      </c>
      <c r="J96" t="s">
        <v>683</v>
      </c>
      <c r="K96">
        <v>935</v>
      </c>
      <c r="L96" s="11">
        <f t="shared" si="5"/>
        <v>2.5401248886099182E-3</v>
      </c>
      <c r="M96" s="11">
        <f t="shared" si="7"/>
        <v>0.45625645993607944</v>
      </c>
      <c r="N96" t="str">
        <f t="shared" si="6"/>
        <v>A</v>
      </c>
    </row>
    <row r="97" spans="1:14" x14ac:dyDescent="0.25">
      <c r="A97" s="1" t="s">
        <v>163</v>
      </c>
      <c r="B97" s="3">
        <v>17</v>
      </c>
      <c r="C97" s="1">
        <v>1</v>
      </c>
      <c r="D97" s="1">
        <v>0</v>
      </c>
      <c r="E97">
        <f t="shared" si="4"/>
        <v>17</v>
      </c>
      <c r="G97" s="9" t="s">
        <v>959</v>
      </c>
      <c r="H97" s="10">
        <v>135</v>
      </c>
      <c r="J97" t="s">
        <v>782</v>
      </c>
      <c r="K97">
        <v>928</v>
      </c>
      <c r="L97" s="11">
        <f t="shared" si="5"/>
        <v>2.5211079108342291E-3</v>
      </c>
      <c r="M97" s="11">
        <f t="shared" si="7"/>
        <v>0.45877756784691365</v>
      </c>
      <c r="N97" t="str">
        <f t="shared" si="6"/>
        <v>A</v>
      </c>
    </row>
    <row r="98" spans="1:14" x14ac:dyDescent="0.25">
      <c r="A98" s="1" t="s">
        <v>165</v>
      </c>
      <c r="B98" s="3">
        <v>33</v>
      </c>
      <c r="C98" s="1">
        <v>1</v>
      </c>
      <c r="D98" s="1">
        <v>1</v>
      </c>
      <c r="E98">
        <f t="shared" si="4"/>
        <v>32</v>
      </c>
      <c r="G98" s="9" t="s">
        <v>715</v>
      </c>
      <c r="H98" s="10">
        <v>789.99999209999999</v>
      </c>
      <c r="J98" t="s">
        <v>473</v>
      </c>
      <c r="K98">
        <v>907</v>
      </c>
      <c r="L98" s="11">
        <f t="shared" si="5"/>
        <v>2.4640569775071612E-3</v>
      </c>
      <c r="M98" s="11">
        <f t="shared" si="7"/>
        <v>0.46124162482442083</v>
      </c>
      <c r="N98" t="str">
        <f t="shared" si="6"/>
        <v>A</v>
      </c>
    </row>
    <row r="99" spans="1:14" x14ac:dyDescent="0.25">
      <c r="A99" s="1" t="s">
        <v>165</v>
      </c>
      <c r="B99" s="3">
        <v>33.54</v>
      </c>
      <c r="C99" s="1">
        <v>1</v>
      </c>
      <c r="D99" s="1">
        <v>1.54</v>
      </c>
      <c r="E99">
        <f t="shared" si="4"/>
        <v>32</v>
      </c>
      <c r="G99" s="9" t="s">
        <v>1152</v>
      </c>
      <c r="H99" s="10">
        <v>76</v>
      </c>
      <c r="J99" t="s">
        <v>486</v>
      </c>
      <c r="K99">
        <v>901</v>
      </c>
      <c r="L99" s="11">
        <f t="shared" si="5"/>
        <v>2.4477567108422849E-3</v>
      </c>
      <c r="M99" s="11">
        <f t="shared" si="7"/>
        <v>0.46368938153526312</v>
      </c>
      <c r="N99" t="str">
        <f t="shared" si="6"/>
        <v>A</v>
      </c>
    </row>
    <row r="100" spans="1:14" x14ac:dyDescent="0.25">
      <c r="A100" s="1" t="s">
        <v>167</v>
      </c>
      <c r="B100" s="3">
        <v>1727</v>
      </c>
      <c r="C100" s="1">
        <v>1</v>
      </c>
      <c r="D100" s="1">
        <v>120</v>
      </c>
      <c r="E100">
        <f t="shared" si="4"/>
        <v>1607</v>
      </c>
      <c r="G100" s="9" t="s">
        <v>755</v>
      </c>
      <c r="H100" s="10">
        <v>328</v>
      </c>
      <c r="J100" t="s">
        <v>641</v>
      </c>
      <c r="K100">
        <v>899</v>
      </c>
      <c r="L100" s="11">
        <f t="shared" si="5"/>
        <v>2.4423232886206592E-3</v>
      </c>
      <c r="M100" s="11">
        <f t="shared" si="7"/>
        <v>0.46613170482388377</v>
      </c>
      <c r="N100" t="str">
        <f t="shared" si="6"/>
        <v>A</v>
      </c>
    </row>
    <row r="101" spans="1:14" x14ac:dyDescent="0.25">
      <c r="A101" s="1" t="s">
        <v>169</v>
      </c>
      <c r="B101" s="3">
        <v>43</v>
      </c>
      <c r="C101" s="1">
        <v>1</v>
      </c>
      <c r="D101" s="1">
        <v>3</v>
      </c>
      <c r="E101">
        <f t="shared" si="4"/>
        <v>40</v>
      </c>
      <c r="G101" s="9" t="s">
        <v>801</v>
      </c>
      <c r="H101" s="10">
        <v>117.60000000000001</v>
      </c>
      <c r="J101" t="s">
        <v>415</v>
      </c>
      <c r="K101">
        <v>892</v>
      </c>
      <c r="L101" s="11">
        <f t="shared" si="5"/>
        <v>2.4233063108449701E-3</v>
      </c>
      <c r="M101" s="11">
        <f t="shared" si="7"/>
        <v>0.46855501113472875</v>
      </c>
      <c r="N101" t="str">
        <f t="shared" si="6"/>
        <v>A</v>
      </c>
    </row>
    <row r="102" spans="1:14" x14ac:dyDescent="0.25">
      <c r="A102" s="1" t="s">
        <v>169</v>
      </c>
      <c r="B102" s="3">
        <v>43</v>
      </c>
      <c r="C102" s="1">
        <v>1</v>
      </c>
      <c r="D102" s="1">
        <v>3</v>
      </c>
      <c r="E102">
        <f t="shared" si="4"/>
        <v>40</v>
      </c>
      <c r="G102" s="9" t="s">
        <v>634</v>
      </c>
      <c r="H102" s="10">
        <v>10</v>
      </c>
      <c r="J102" t="s">
        <v>716</v>
      </c>
      <c r="K102">
        <v>886.5</v>
      </c>
      <c r="L102" s="11">
        <f t="shared" si="5"/>
        <v>2.4083643997355E-3</v>
      </c>
      <c r="M102" s="11">
        <f t="shared" si="7"/>
        <v>0.47096337553446427</v>
      </c>
      <c r="N102" t="str">
        <f t="shared" si="6"/>
        <v>A</v>
      </c>
    </row>
    <row r="103" spans="1:14" x14ac:dyDescent="0.25">
      <c r="A103" s="1" t="s">
        <v>169</v>
      </c>
      <c r="B103" s="3">
        <v>43</v>
      </c>
      <c r="C103" s="1">
        <v>1</v>
      </c>
      <c r="D103" s="1">
        <v>3</v>
      </c>
      <c r="E103">
        <f t="shared" si="4"/>
        <v>40</v>
      </c>
      <c r="G103" s="9" t="s">
        <v>908</v>
      </c>
      <c r="H103" s="10">
        <v>524</v>
      </c>
      <c r="J103" t="s">
        <v>818</v>
      </c>
      <c r="K103">
        <v>870</v>
      </c>
      <c r="L103" s="11">
        <f t="shared" si="5"/>
        <v>2.3635386664070898E-3</v>
      </c>
      <c r="M103" s="11">
        <f t="shared" si="7"/>
        <v>0.47332691420087136</v>
      </c>
      <c r="N103" t="str">
        <f t="shared" si="6"/>
        <v>A</v>
      </c>
    </row>
    <row r="104" spans="1:14" x14ac:dyDescent="0.25">
      <c r="A104" s="1" t="s">
        <v>171</v>
      </c>
      <c r="B104" s="3">
        <v>70</v>
      </c>
      <c r="C104" s="1">
        <v>1</v>
      </c>
      <c r="D104" s="1">
        <v>3</v>
      </c>
      <c r="E104">
        <f t="shared" si="4"/>
        <v>67</v>
      </c>
      <c r="G104" s="9" t="s">
        <v>1126</v>
      </c>
      <c r="H104" s="10">
        <v>653</v>
      </c>
      <c r="J104" t="s">
        <v>1058</v>
      </c>
      <c r="K104">
        <v>869</v>
      </c>
      <c r="L104" s="11">
        <f t="shared" si="5"/>
        <v>2.3608219552962769E-3</v>
      </c>
      <c r="M104" s="11">
        <f t="shared" si="7"/>
        <v>0.47568773615616766</v>
      </c>
      <c r="N104" t="str">
        <f t="shared" si="6"/>
        <v>A</v>
      </c>
    </row>
    <row r="105" spans="1:14" x14ac:dyDescent="0.25">
      <c r="A105" s="1" t="s">
        <v>173</v>
      </c>
      <c r="B105" s="3">
        <v>37</v>
      </c>
      <c r="C105" s="1">
        <v>1</v>
      </c>
      <c r="D105" s="1">
        <v>0</v>
      </c>
      <c r="E105">
        <f t="shared" si="4"/>
        <v>37</v>
      </c>
      <c r="G105" s="9" t="s">
        <v>261</v>
      </c>
      <c r="H105" s="10">
        <v>468</v>
      </c>
      <c r="J105" t="s">
        <v>765</v>
      </c>
      <c r="K105">
        <v>861</v>
      </c>
      <c r="L105" s="11">
        <f t="shared" si="5"/>
        <v>2.3390882664097749E-3</v>
      </c>
      <c r="M105" s="11">
        <f t="shared" si="7"/>
        <v>0.47802682442257743</v>
      </c>
      <c r="N105" t="str">
        <f t="shared" si="6"/>
        <v>A</v>
      </c>
    </row>
    <row r="106" spans="1:14" x14ac:dyDescent="0.25">
      <c r="A106" s="1" t="s">
        <v>89</v>
      </c>
      <c r="B106" s="3">
        <v>31</v>
      </c>
      <c r="C106" s="1">
        <v>1</v>
      </c>
      <c r="D106" s="1">
        <v>1</v>
      </c>
      <c r="E106">
        <f t="shared" si="4"/>
        <v>30</v>
      </c>
      <c r="G106" s="9" t="s">
        <v>730</v>
      </c>
      <c r="H106" s="10">
        <v>322</v>
      </c>
      <c r="J106" t="s">
        <v>899</v>
      </c>
      <c r="K106">
        <v>846</v>
      </c>
      <c r="L106" s="11">
        <f t="shared" si="5"/>
        <v>2.2983375997475838E-3</v>
      </c>
      <c r="M106" s="11">
        <f t="shared" si="7"/>
        <v>0.480325162022325</v>
      </c>
      <c r="N106" t="str">
        <f t="shared" si="6"/>
        <v>A</v>
      </c>
    </row>
    <row r="107" spans="1:14" x14ac:dyDescent="0.25">
      <c r="A107" s="1" t="s">
        <v>89</v>
      </c>
      <c r="B107" s="3">
        <v>31</v>
      </c>
      <c r="C107" s="1">
        <v>1</v>
      </c>
      <c r="D107" s="1">
        <v>1</v>
      </c>
      <c r="E107">
        <f t="shared" si="4"/>
        <v>30</v>
      </c>
      <c r="G107" s="9" t="s">
        <v>1010</v>
      </c>
      <c r="H107" s="10">
        <v>444</v>
      </c>
      <c r="J107" t="s">
        <v>603</v>
      </c>
      <c r="K107">
        <v>835</v>
      </c>
      <c r="L107" s="11">
        <f t="shared" si="5"/>
        <v>2.2684537775286436E-3</v>
      </c>
      <c r="M107" s="11">
        <f t="shared" si="7"/>
        <v>0.48259361579985366</v>
      </c>
      <c r="N107" t="str">
        <f t="shared" si="6"/>
        <v>A</v>
      </c>
    </row>
    <row r="108" spans="1:14" x14ac:dyDescent="0.25">
      <c r="A108" s="1" t="s">
        <v>89</v>
      </c>
      <c r="B108" s="3">
        <v>31</v>
      </c>
      <c r="C108" s="1">
        <v>1</v>
      </c>
      <c r="D108" s="1">
        <v>1</v>
      </c>
      <c r="E108">
        <f t="shared" si="4"/>
        <v>30</v>
      </c>
      <c r="G108" s="9" t="s">
        <v>390</v>
      </c>
      <c r="H108" s="10">
        <v>282</v>
      </c>
      <c r="J108" t="s">
        <v>37</v>
      </c>
      <c r="K108">
        <v>831</v>
      </c>
      <c r="L108" s="11">
        <f t="shared" si="5"/>
        <v>2.2575869330853926E-3</v>
      </c>
      <c r="M108" s="11">
        <f t="shared" si="7"/>
        <v>0.48485120273293902</v>
      </c>
      <c r="N108" t="str">
        <f t="shared" si="6"/>
        <v>A</v>
      </c>
    </row>
    <row r="109" spans="1:14" x14ac:dyDescent="0.25">
      <c r="A109" s="1" t="s">
        <v>89</v>
      </c>
      <c r="B109" s="3">
        <v>31</v>
      </c>
      <c r="C109" s="1">
        <v>1</v>
      </c>
      <c r="D109" s="1">
        <v>1</v>
      </c>
      <c r="E109">
        <f t="shared" si="4"/>
        <v>30</v>
      </c>
      <c r="G109" s="9" t="s">
        <v>979</v>
      </c>
      <c r="H109" s="10">
        <v>634</v>
      </c>
      <c r="J109" t="s">
        <v>886</v>
      </c>
      <c r="K109">
        <v>824</v>
      </c>
      <c r="L109" s="11">
        <f t="shared" si="5"/>
        <v>2.2385699553097035E-3</v>
      </c>
      <c r="M109" s="11">
        <f t="shared" si="7"/>
        <v>0.48708977268824871</v>
      </c>
      <c r="N109" t="str">
        <f t="shared" si="6"/>
        <v>A</v>
      </c>
    </row>
    <row r="110" spans="1:14" x14ac:dyDescent="0.25">
      <c r="A110" s="1" t="s">
        <v>89</v>
      </c>
      <c r="B110" s="3">
        <v>31</v>
      </c>
      <c r="C110" s="1">
        <v>1</v>
      </c>
      <c r="D110" s="1">
        <v>1</v>
      </c>
      <c r="E110">
        <f t="shared" si="4"/>
        <v>30</v>
      </c>
      <c r="G110" s="9" t="s">
        <v>953</v>
      </c>
      <c r="H110" s="10">
        <v>658</v>
      </c>
      <c r="J110" t="s">
        <v>684</v>
      </c>
      <c r="K110">
        <v>818</v>
      </c>
      <c r="L110" s="11">
        <f t="shared" si="5"/>
        <v>2.2222696886448267E-3</v>
      </c>
      <c r="M110" s="11">
        <f t="shared" si="7"/>
        <v>0.48931204237689352</v>
      </c>
      <c r="N110" t="str">
        <f t="shared" si="6"/>
        <v>A</v>
      </c>
    </row>
    <row r="111" spans="1:14" x14ac:dyDescent="0.25">
      <c r="A111" s="1" t="s">
        <v>175</v>
      </c>
      <c r="B111" s="3">
        <v>419</v>
      </c>
      <c r="C111" s="1">
        <v>1</v>
      </c>
      <c r="D111" s="1">
        <v>62</v>
      </c>
      <c r="E111">
        <f t="shared" si="4"/>
        <v>357</v>
      </c>
      <c r="G111" s="9" t="s">
        <v>853</v>
      </c>
      <c r="H111" s="10">
        <v>425</v>
      </c>
      <c r="J111" t="s">
        <v>990</v>
      </c>
      <c r="K111">
        <v>798</v>
      </c>
      <c r="L111" s="11">
        <f t="shared" si="5"/>
        <v>2.1679354664285717E-3</v>
      </c>
      <c r="M111" s="11">
        <f t="shared" si="7"/>
        <v>0.49147997784332209</v>
      </c>
      <c r="N111" t="str">
        <f t="shared" si="6"/>
        <v>A</v>
      </c>
    </row>
    <row r="112" spans="1:14" x14ac:dyDescent="0.25">
      <c r="A112" s="1" t="s">
        <v>177</v>
      </c>
      <c r="B112" s="3">
        <v>144</v>
      </c>
      <c r="C112" s="1">
        <v>1</v>
      </c>
      <c r="D112" s="1">
        <v>7</v>
      </c>
      <c r="E112">
        <f t="shared" si="4"/>
        <v>137</v>
      </c>
      <c r="G112" s="9" t="s">
        <v>968</v>
      </c>
      <c r="H112" s="10">
        <v>366</v>
      </c>
      <c r="J112" t="s">
        <v>1181</v>
      </c>
      <c r="K112">
        <v>798</v>
      </c>
      <c r="L112" s="11">
        <f t="shared" si="5"/>
        <v>2.1679354664285717E-3</v>
      </c>
      <c r="M112" s="11">
        <f t="shared" si="7"/>
        <v>0.49364791330975066</v>
      </c>
      <c r="N112" t="str">
        <f t="shared" si="6"/>
        <v>A</v>
      </c>
    </row>
    <row r="113" spans="1:14" x14ac:dyDescent="0.25">
      <c r="A113" s="1" t="s">
        <v>177</v>
      </c>
      <c r="B113" s="3">
        <v>144</v>
      </c>
      <c r="C113" s="1">
        <v>1</v>
      </c>
      <c r="D113" s="1">
        <v>7</v>
      </c>
      <c r="E113">
        <f t="shared" si="4"/>
        <v>137</v>
      </c>
      <c r="G113" s="9" t="s">
        <v>275</v>
      </c>
      <c r="H113" s="10">
        <v>414</v>
      </c>
      <c r="J113" t="s">
        <v>715</v>
      </c>
      <c r="K113">
        <v>789.99999209999999</v>
      </c>
      <c r="L113" s="11">
        <f t="shared" si="5"/>
        <v>2.1462017560800522E-3</v>
      </c>
      <c r="M113" s="11">
        <f t="shared" si="7"/>
        <v>0.49579411506583071</v>
      </c>
      <c r="N113" t="str">
        <f t="shared" si="6"/>
        <v>A</v>
      </c>
    </row>
    <row r="114" spans="1:14" x14ac:dyDescent="0.25">
      <c r="A114" s="1" t="s">
        <v>178</v>
      </c>
      <c r="B114" s="3">
        <v>1039</v>
      </c>
      <c r="C114" s="1">
        <v>1</v>
      </c>
      <c r="D114" s="1">
        <v>0</v>
      </c>
      <c r="E114">
        <f t="shared" si="4"/>
        <v>1039</v>
      </c>
      <c r="G114" s="9" t="s">
        <v>486</v>
      </c>
      <c r="H114" s="10">
        <v>901</v>
      </c>
      <c r="J114" t="s">
        <v>272</v>
      </c>
      <c r="K114">
        <v>788</v>
      </c>
      <c r="L114" s="11">
        <f t="shared" si="5"/>
        <v>2.1407683553204444E-3</v>
      </c>
      <c r="M114" s="11">
        <f t="shared" si="7"/>
        <v>0.49793488342115116</v>
      </c>
      <c r="N114" t="str">
        <f t="shared" si="6"/>
        <v>A</v>
      </c>
    </row>
    <row r="115" spans="1:14" x14ac:dyDescent="0.25">
      <c r="A115" s="1" t="s">
        <v>180</v>
      </c>
      <c r="B115" s="3">
        <v>651</v>
      </c>
      <c r="C115" s="1">
        <v>1</v>
      </c>
      <c r="D115" s="1">
        <v>0</v>
      </c>
      <c r="E115">
        <f t="shared" si="4"/>
        <v>651</v>
      </c>
      <c r="G115" s="9" t="s">
        <v>97</v>
      </c>
      <c r="H115" s="10">
        <v>74</v>
      </c>
      <c r="J115" t="s">
        <v>1122</v>
      </c>
      <c r="K115">
        <v>782</v>
      </c>
      <c r="L115" s="11">
        <f t="shared" si="5"/>
        <v>2.1244680886555677E-3</v>
      </c>
      <c r="M115" s="11">
        <f t="shared" si="7"/>
        <v>0.50005935150980674</v>
      </c>
      <c r="N115" t="str">
        <f t="shared" si="6"/>
        <v>A</v>
      </c>
    </row>
    <row r="116" spans="1:14" x14ac:dyDescent="0.25">
      <c r="A116" s="1" t="s">
        <v>182</v>
      </c>
      <c r="B116" s="3">
        <v>83</v>
      </c>
      <c r="C116" s="1">
        <v>1</v>
      </c>
      <c r="D116" s="1">
        <v>0</v>
      </c>
      <c r="E116">
        <f t="shared" si="4"/>
        <v>83</v>
      </c>
      <c r="G116" s="9" t="s">
        <v>860</v>
      </c>
      <c r="H116" s="10">
        <v>96</v>
      </c>
      <c r="J116" t="s">
        <v>695</v>
      </c>
      <c r="K116">
        <v>781</v>
      </c>
      <c r="L116" s="11">
        <f t="shared" si="5"/>
        <v>2.1217513775447553E-3</v>
      </c>
      <c r="M116" s="11">
        <f t="shared" si="7"/>
        <v>0.50218110288735152</v>
      </c>
      <c r="N116" t="str">
        <f t="shared" si="6"/>
        <v>A</v>
      </c>
    </row>
    <row r="117" spans="1:14" x14ac:dyDescent="0.25">
      <c r="A117" s="1" t="s">
        <v>184</v>
      </c>
      <c r="B117" s="3">
        <v>115</v>
      </c>
      <c r="C117" s="1">
        <v>1</v>
      </c>
      <c r="D117" s="1">
        <v>0</v>
      </c>
      <c r="E117">
        <f t="shared" si="4"/>
        <v>115</v>
      </c>
      <c r="G117" s="9" t="s">
        <v>704</v>
      </c>
      <c r="H117" s="10">
        <v>129</v>
      </c>
      <c r="J117" t="s">
        <v>1117</v>
      </c>
      <c r="K117">
        <v>773</v>
      </c>
      <c r="L117" s="11">
        <f t="shared" si="5"/>
        <v>2.1000176886582533E-3</v>
      </c>
      <c r="M117" s="11">
        <f t="shared" si="7"/>
        <v>0.50428112057600982</v>
      </c>
      <c r="N117" t="str">
        <f t="shared" si="6"/>
        <v>A</v>
      </c>
    </row>
    <row r="118" spans="1:14" x14ac:dyDescent="0.25">
      <c r="A118" s="1" t="s">
        <v>186</v>
      </c>
      <c r="B118" s="3">
        <v>227</v>
      </c>
      <c r="C118" s="1">
        <v>1</v>
      </c>
      <c r="D118" s="1">
        <v>0</v>
      </c>
      <c r="E118">
        <f t="shared" si="4"/>
        <v>227</v>
      </c>
      <c r="G118" s="9" t="s">
        <v>1060</v>
      </c>
      <c r="H118" s="10">
        <v>126</v>
      </c>
      <c r="J118" t="s">
        <v>1057</v>
      </c>
      <c r="K118">
        <v>766</v>
      </c>
      <c r="L118" s="11">
        <f t="shared" si="5"/>
        <v>2.0810007108825641E-3</v>
      </c>
      <c r="M118" s="11">
        <f t="shared" si="7"/>
        <v>0.5063621212868924</v>
      </c>
      <c r="N118" t="str">
        <f t="shared" si="6"/>
        <v>A</v>
      </c>
    </row>
    <row r="119" spans="1:14" x14ac:dyDescent="0.25">
      <c r="A119" s="1" t="s">
        <v>188</v>
      </c>
      <c r="B119" s="3">
        <v>111</v>
      </c>
      <c r="C119" s="1">
        <v>1</v>
      </c>
      <c r="D119" s="1">
        <v>0</v>
      </c>
      <c r="E119">
        <f t="shared" si="4"/>
        <v>111</v>
      </c>
      <c r="G119" s="9" t="s">
        <v>581</v>
      </c>
      <c r="H119" s="10">
        <v>56</v>
      </c>
      <c r="J119" t="s">
        <v>409</v>
      </c>
      <c r="K119">
        <v>759</v>
      </c>
      <c r="L119" s="11">
        <f t="shared" si="5"/>
        <v>2.0619837331068746E-3</v>
      </c>
      <c r="M119" s="11">
        <f t="shared" si="7"/>
        <v>0.50842410501999924</v>
      </c>
      <c r="N119" t="str">
        <f t="shared" si="6"/>
        <v>A</v>
      </c>
    </row>
    <row r="120" spans="1:14" x14ac:dyDescent="0.25">
      <c r="A120" s="1" t="s">
        <v>190</v>
      </c>
      <c r="B120" s="3">
        <v>92</v>
      </c>
      <c r="C120" s="1">
        <v>1</v>
      </c>
      <c r="D120" s="1">
        <v>0</v>
      </c>
      <c r="E120">
        <f t="shared" si="4"/>
        <v>92</v>
      </c>
      <c r="G120" s="9" t="s">
        <v>326</v>
      </c>
      <c r="H120" s="10">
        <v>108</v>
      </c>
      <c r="J120" t="s">
        <v>878</v>
      </c>
      <c r="K120">
        <v>749</v>
      </c>
      <c r="L120" s="11">
        <f t="shared" si="5"/>
        <v>2.0348166219987473E-3</v>
      </c>
      <c r="M120" s="11">
        <f t="shared" si="7"/>
        <v>0.51045892164199802</v>
      </c>
      <c r="N120" t="str">
        <f t="shared" si="6"/>
        <v>A</v>
      </c>
    </row>
    <row r="121" spans="1:14" x14ac:dyDescent="0.25">
      <c r="A121" s="1" t="s">
        <v>191</v>
      </c>
      <c r="B121" s="3">
        <v>96</v>
      </c>
      <c r="C121" s="1">
        <v>1</v>
      </c>
      <c r="D121" s="1">
        <v>4</v>
      </c>
      <c r="E121">
        <f t="shared" si="4"/>
        <v>92</v>
      </c>
      <c r="G121" s="9" t="s">
        <v>615</v>
      </c>
      <c r="H121" s="10">
        <v>132</v>
      </c>
      <c r="J121" t="s">
        <v>906</v>
      </c>
      <c r="K121">
        <v>742</v>
      </c>
      <c r="L121" s="11">
        <f t="shared" si="5"/>
        <v>2.0157996442230581E-3</v>
      </c>
      <c r="M121" s="11">
        <f t="shared" si="7"/>
        <v>0.51247472128622107</v>
      </c>
      <c r="N121" t="str">
        <f t="shared" si="6"/>
        <v>A</v>
      </c>
    </row>
    <row r="122" spans="1:14" x14ac:dyDescent="0.25">
      <c r="A122" s="1" t="s">
        <v>191</v>
      </c>
      <c r="B122" s="3">
        <v>96</v>
      </c>
      <c r="C122" s="1">
        <v>1</v>
      </c>
      <c r="D122" s="1">
        <v>4</v>
      </c>
      <c r="E122">
        <f t="shared" si="4"/>
        <v>92</v>
      </c>
      <c r="G122" s="9" t="s">
        <v>642</v>
      </c>
      <c r="H122" s="10">
        <v>25</v>
      </c>
      <c r="J122" t="s">
        <v>825</v>
      </c>
      <c r="K122">
        <v>740</v>
      </c>
      <c r="L122" s="11">
        <f t="shared" si="5"/>
        <v>2.0103662220014324E-3</v>
      </c>
      <c r="M122" s="11">
        <f t="shared" si="7"/>
        <v>0.51448508750822253</v>
      </c>
      <c r="N122" t="str">
        <f t="shared" si="6"/>
        <v>A</v>
      </c>
    </row>
    <row r="123" spans="1:14" x14ac:dyDescent="0.25">
      <c r="A123" s="1" t="s">
        <v>193</v>
      </c>
      <c r="B123" s="3">
        <v>621</v>
      </c>
      <c r="C123" s="1">
        <v>1</v>
      </c>
      <c r="D123" s="1">
        <v>43</v>
      </c>
      <c r="E123">
        <f t="shared" si="4"/>
        <v>578</v>
      </c>
      <c r="G123" s="9" t="s">
        <v>696</v>
      </c>
      <c r="H123" s="10">
        <v>98</v>
      </c>
      <c r="J123" t="s">
        <v>585</v>
      </c>
      <c r="K123">
        <v>731</v>
      </c>
      <c r="L123" s="11">
        <f t="shared" si="5"/>
        <v>1.985915822004118E-3</v>
      </c>
      <c r="M123" s="11">
        <f t="shared" si="7"/>
        <v>0.51647100333022666</v>
      </c>
      <c r="N123" t="str">
        <f t="shared" si="6"/>
        <v>A</v>
      </c>
    </row>
    <row r="124" spans="1:14" x14ac:dyDescent="0.25">
      <c r="A124" s="1" t="s">
        <v>195</v>
      </c>
      <c r="B124" s="3">
        <v>481</v>
      </c>
      <c r="C124" s="1">
        <v>1</v>
      </c>
      <c r="D124" s="1">
        <v>33</v>
      </c>
      <c r="E124">
        <f t="shared" si="4"/>
        <v>448</v>
      </c>
      <c r="G124" s="9" t="s">
        <v>941</v>
      </c>
      <c r="H124" s="10">
        <v>291</v>
      </c>
      <c r="J124" t="s">
        <v>872</v>
      </c>
      <c r="K124">
        <v>730</v>
      </c>
      <c r="L124" s="11">
        <f t="shared" si="5"/>
        <v>1.9831991108933051E-3</v>
      </c>
      <c r="M124" s="11">
        <f t="shared" si="7"/>
        <v>0.51845420244111995</v>
      </c>
      <c r="N124" t="str">
        <f t="shared" si="6"/>
        <v>A</v>
      </c>
    </row>
    <row r="125" spans="1:14" x14ac:dyDescent="0.25">
      <c r="A125" s="1" t="s">
        <v>196</v>
      </c>
      <c r="B125" s="3">
        <v>70</v>
      </c>
      <c r="C125" s="1">
        <v>1</v>
      </c>
      <c r="D125" s="1">
        <v>4</v>
      </c>
      <c r="E125">
        <f t="shared" si="4"/>
        <v>66</v>
      </c>
      <c r="G125" s="9" t="s">
        <v>155</v>
      </c>
      <c r="H125" s="10">
        <v>372</v>
      </c>
      <c r="J125" t="s">
        <v>838</v>
      </c>
      <c r="K125">
        <v>726</v>
      </c>
      <c r="L125" s="11">
        <f t="shared" si="5"/>
        <v>1.9723322664500541E-3</v>
      </c>
      <c r="M125" s="11">
        <f t="shared" si="7"/>
        <v>0.52042653470757005</v>
      </c>
      <c r="N125" t="str">
        <f t="shared" si="6"/>
        <v>A</v>
      </c>
    </row>
    <row r="126" spans="1:14" x14ac:dyDescent="0.25">
      <c r="A126" s="1" t="s">
        <v>196</v>
      </c>
      <c r="B126" s="3">
        <v>70</v>
      </c>
      <c r="C126" s="1">
        <v>1</v>
      </c>
      <c r="D126" s="1">
        <v>4</v>
      </c>
      <c r="E126">
        <f t="shared" si="4"/>
        <v>66</v>
      </c>
      <c r="G126" s="9" t="s">
        <v>442</v>
      </c>
      <c r="H126" s="10">
        <v>362</v>
      </c>
      <c r="J126" t="s">
        <v>507</v>
      </c>
      <c r="K126">
        <v>726</v>
      </c>
      <c r="L126" s="11">
        <f t="shared" si="5"/>
        <v>1.9723322664500541E-3</v>
      </c>
      <c r="M126" s="11">
        <f t="shared" si="7"/>
        <v>0.52239886697402016</v>
      </c>
      <c r="N126" t="str">
        <f t="shared" si="6"/>
        <v>A</v>
      </c>
    </row>
    <row r="127" spans="1:14" x14ac:dyDescent="0.25">
      <c r="A127" s="1" t="s">
        <v>198</v>
      </c>
      <c r="B127" s="3">
        <v>134</v>
      </c>
      <c r="C127" s="1">
        <v>1</v>
      </c>
      <c r="D127" s="1">
        <v>6</v>
      </c>
      <c r="E127">
        <f t="shared" si="4"/>
        <v>128</v>
      </c>
      <c r="G127" s="9" t="s">
        <v>643</v>
      </c>
      <c r="H127" s="10">
        <v>190</v>
      </c>
      <c r="J127" t="s">
        <v>534</v>
      </c>
      <c r="K127">
        <v>722</v>
      </c>
      <c r="L127" s="11">
        <f t="shared" si="5"/>
        <v>1.9614654220068031E-3</v>
      </c>
      <c r="M127" s="11">
        <f t="shared" si="7"/>
        <v>0.52436033239602697</v>
      </c>
      <c r="N127" t="str">
        <f t="shared" si="6"/>
        <v>A</v>
      </c>
    </row>
    <row r="128" spans="1:14" x14ac:dyDescent="0.25">
      <c r="A128" s="1" t="s">
        <v>198</v>
      </c>
      <c r="B128" s="3">
        <v>134</v>
      </c>
      <c r="C128" s="1">
        <v>1</v>
      </c>
      <c r="D128" s="1">
        <v>6</v>
      </c>
      <c r="E128">
        <f t="shared" si="4"/>
        <v>128</v>
      </c>
      <c r="G128" s="9" t="s">
        <v>1205</v>
      </c>
      <c r="H128" s="10">
        <v>628</v>
      </c>
      <c r="J128" t="s">
        <v>238</v>
      </c>
      <c r="K128">
        <v>720</v>
      </c>
      <c r="L128" s="11">
        <f t="shared" si="5"/>
        <v>1.9560319997851778E-3</v>
      </c>
      <c r="M128" s="11">
        <f t="shared" si="7"/>
        <v>0.5263163643958122</v>
      </c>
      <c r="N128" t="str">
        <f t="shared" si="6"/>
        <v>A</v>
      </c>
    </row>
    <row r="129" spans="1:14" x14ac:dyDescent="0.25">
      <c r="A129" s="1" t="s">
        <v>200</v>
      </c>
      <c r="B129" s="3">
        <v>2448</v>
      </c>
      <c r="C129" s="1">
        <v>0.21428570999999999</v>
      </c>
      <c r="D129" s="1">
        <v>51.57</v>
      </c>
      <c r="E129">
        <f t="shared" si="4"/>
        <v>473.00141807999995</v>
      </c>
      <c r="G129" s="9" t="s">
        <v>791</v>
      </c>
      <c r="H129" s="10">
        <v>488</v>
      </c>
      <c r="J129" t="s">
        <v>600</v>
      </c>
      <c r="K129">
        <v>719</v>
      </c>
      <c r="L129" s="11">
        <f t="shared" si="5"/>
        <v>1.953315288674365E-3</v>
      </c>
      <c r="M129" s="11">
        <f t="shared" si="7"/>
        <v>0.52826967968448657</v>
      </c>
      <c r="N129" t="str">
        <f t="shared" si="6"/>
        <v>A</v>
      </c>
    </row>
    <row r="130" spans="1:14" x14ac:dyDescent="0.25">
      <c r="A130" s="1" t="s">
        <v>202</v>
      </c>
      <c r="B130" s="3">
        <v>81</v>
      </c>
      <c r="C130" s="1">
        <v>1</v>
      </c>
      <c r="D130" s="1">
        <v>4</v>
      </c>
      <c r="E130">
        <f t="shared" si="4"/>
        <v>77</v>
      </c>
      <c r="G130" s="9" t="s">
        <v>70</v>
      </c>
      <c r="H130" s="10">
        <v>39</v>
      </c>
      <c r="J130" t="s">
        <v>1116</v>
      </c>
      <c r="K130">
        <v>719</v>
      </c>
      <c r="L130" s="11">
        <f t="shared" si="5"/>
        <v>1.953315288674365E-3</v>
      </c>
      <c r="M130" s="11">
        <f t="shared" si="7"/>
        <v>0.53022299497316094</v>
      </c>
      <c r="N130" t="str">
        <f t="shared" si="6"/>
        <v>A</v>
      </c>
    </row>
    <row r="131" spans="1:14" x14ac:dyDescent="0.25">
      <c r="A131" s="1" t="s">
        <v>204</v>
      </c>
      <c r="B131" s="3">
        <v>3832</v>
      </c>
      <c r="C131" s="1">
        <v>1</v>
      </c>
      <c r="D131" s="1">
        <v>383</v>
      </c>
      <c r="E131">
        <f t="shared" ref="E131:E194" si="8">C131*B131-D131</f>
        <v>3449</v>
      </c>
      <c r="G131" s="9" t="s">
        <v>774</v>
      </c>
      <c r="H131" s="10">
        <v>35</v>
      </c>
      <c r="J131" t="s">
        <v>373</v>
      </c>
      <c r="K131">
        <v>717.00001434000001</v>
      </c>
      <c r="L131" s="11">
        <f t="shared" ref="L131:L194" si="9">K131/SUM($K$2:$K$804)</f>
        <v>1.9478819054103767E-3</v>
      </c>
      <c r="M131" s="11">
        <f t="shared" si="7"/>
        <v>0.53217087687857134</v>
      </c>
      <c r="N131" t="str">
        <f t="shared" ref="N131:N194" si="10">IF(M131&lt;0.8, "A", IF(M131&lt;0.95,"B","C"))</f>
        <v>A</v>
      </c>
    </row>
    <row r="132" spans="1:14" x14ac:dyDescent="0.25">
      <c r="A132" s="1" t="s">
        <v>206</v>
      </c>
      <c r="B132" s="3">
        <v>317</v>
      </c>
      <c r="C132" s="1">
        <v>1</v>
      </c>
      <c r="D132" s="1">
        <v>22</v>
      </c>
      <c r="E132">
        <f t="shared" si="8"/>
        <v>295</v>
      </c>
      <c r="G132" s="9" t="s">
        <v>613</v>
      </c>
      <c r="H132" s="10">
        <v>37</v>
      </c>
      <c r="J132" t="s">
        <v>309</v>
      </c>
      <c r="K132">
        <v>717</v>
      </c>
      <c r="L132" s="11">
        <f t="shared" si="9"/>
        <v>1.9478818664527395E-3</v>
      </c>
      <c r="M132" s="11">
        <f t="shared" ref="M132:M195" si="11">L132+M131</f>
        <v>0.53411875874502412</v>
      </c>
      <c r="N132" t="str">
        <f t="shared" si="10"/>
        <v>A</v>
      </c>
    </row>
    <row r="133" spans="1:14" x14ac:dyDescent="0.25">
      <c r="A133" s="1" t="s">
        <v>208</v>
      </c>
      <c r="B133" s="3">
        <v>59</v>
      </c>
      <c r="C133" s="1">
        <v>1</v>
      </c>
      <c r="D133" s="1">
        <v>2</v>
      </c>
      <c r="E133">
        <f t="shared" si="8"/>
        <v>57</v>
      </c>
      <c r="G133" s="9" t="s">
        <v>880</v>
      </c>
      <c r="H133" s="10">
        <v>138</v>
      </c>
      <c r="J133" t="s">
        <v>277</v>
      </c>
      <c r="K133">
        <v>717</v>
      </c>
      <c r="L133" s="11">
        <f t="shared" si="9"/>
        <v>1.9478818664527395E-3</v>
      </c>
      <c r="M133" s="11">
        <f t="shared" si="11"/>
        <v>0.53606664061147691</v>
      </c>
      <c r="N133" t="str">
        <f t="shared" si="10"/>
        <v>A</v>
      </c>
    </row>
    <row r="134" spans="1:14" x14ac:dyDescent="0.25">
      <c r="A134" s="1" t="s">
        <v>210</v>
      </c>
      <c r="B134" s="3">
        <v>99</v>
      </c>
      <c r="C134" s="1">
        <v>1</v>
      </c>
      <c r="D134" s="1">
        <v>4</v>
      </c>
      <c r="E134">
        <f t="shared" si="8"/>
        <v>95</v>
      </c>
      <c r="G134" s="9" t="s">
        <v>583</v>
      </c>
      <c r="H134" s="10">
        <v>308</v>
      </c>
      <c r="J134" t="s">
        <v>1168</v>
      </c>
      <c r="K134">
        <v>714</v>
      </c>
      <c r="L134" s="11">
        <f t="shared" si="9"/>
        <v>1.9397317331203011E-3</v>
      </c>
      <c r="M134" s="11">
        <f t="shared" si="11"/>
        <v>0.53800637234459725</v>
      </c>
      <c r="N134" t="str">
        <f t="shared" si="10"/>
        <v>A</v>
      </c>
    </row>
    <row r="135" spans="1:14" x14ac:dyDescent="0.25">
      <c r="A135" s="1" t="s">
        <v>212</v>
      </c>
      <c r="B135" s="3">
        <v>39</v>
      </c>
      <c r="C135" s="1">
        <v>1</v>
      </c>
      <c r="D135" s="1">
        <v>1</v>
      </c>
      <c r="E135">
        <f t="shared" si="8"/>
        <v>38</v>
      </c>
      <c r="G135" s="9" t="s">
        <v>246</v>
      </c>
      <c r="H135" s="10">
        <v>80</v>
      </c>
      <c r="J135" t="s">
        <v>430</v>
      </c>
      <c r="K135">
        <v>706</v>
      </c>
      <c r="L135" s="11">
        <f t="shared" si="9"/>
        <v>1.9179980442337991E-3</v>
      </c>
      <c r="M135" s="11">
        <f t="shared" si="11"/>
        <v>0.53992437038883101</v>
      </c>
      <c r="N135" t="str">
        <f t="shared" si="10"/>
        <v>A</v>
      </c>
    </row>
    <row r="136" spans="1:14" x14ac:dyDescent="0.25">
      <c r="A136" s="1" t="s">
        <v>212</v>
      </c>
      <c r="B136" s="3">
        <v>39</v>
      </c>
      <c r="C136" s="1">
        <v>1</v>
      </c>
      <c r="D136" s="1">
        <v>1</v>
      </c>
      <c r="E136">
        <f t="shared" si="8"/>
        <v>38</v>
      </c>
      <c r="G136" s="9" t="s">
        <v>981</v>
      </c>
      <c r="H136" s="10">
        <v>282</v>
      </c>
      <c r="J136" t="s">
        <v>699</v>
      </c>
      <c r="K136">
        <v>702</v>
      </c>
      <c r="L136" s="11">
        <f t="shared" si="9"/>
        <v>1.9071311997905481E-3</v>
      </c>
      <c r="M136" s="11">
        <f t="shared" si="11"/>
        <v>0.54183150158862159</v>
      </c>
      <c r="N136" t="str">
        <f t="shared" si="10"/>
        <v>A</v>
      </c>
    </row>
    <row r="137" spans="1:14" x14ac:dyDescent="0.25">
      <c r="A137" s="1" t="s">
        <v>214</v>
      </c>
      <c r="B137" s="3">
        <v>50</v>
      </c>
      <c r="C137" s="1">
        <v>1</v>
      </c>
      <c r="D137" s="1">
        <v>2</v>
      </c>
      <c r="E137">
        <f t="shared" si="8"/>
        <v>48</v>
      </c>
      <c r="G137" s="9" t="s">
        <v>231</v>
      </c>
      <c r="H137" s="10">
        <v>16</v>
      </c>
      <c r="J137" t="s">
        <v>1192</v>
      </c>
      <c r="K137">
        <v>702</v>
      </c>
      <c r="L137" s="11">
        <f t="shared" si="9"/>
        <v>1.9071311997905481E-3</v>
      </c>
      <c r="M137" s="11">
        <f t="shared" si="11"/>
        <v>0.54373863278841217</v>
      </c>
      <c r="N137" t="str">
        <f t="shared" si="10"/>
        <v>A</v>
      </c>
    </row>
    <row r="138" spans="1:14" x14ac:dyDescent="0.25">
      <c r="A138" s="1" t="s">
        <v>214</v>
      </c>
      <c r="B138" s="3">
        <v>50</v>
      </c>
      <c r="C138" s="1">
        <v>1</v>
      </c>
      <c r="D138" s="1">
        <v>2</v>
      </c>
      <c r="E138">
        <f t="shared" si="8"/>
        <v>48</v>
      </c>
      <c r="G138" s="9" t="s">
        <v>671</v>
      </c>
      <c r="H138" s="10">
        <v>129</v>
      </c>
      <c r="J138" t="s">
        <v>690</v>
      </c>
      <c r="K138">
        <v>698</v>
      </c>
      <c r="L138" s="11">
        <f t="shared" si="9"/>
        <v>1.8962643553472971E-3</v>
      </c>
      <c r="M138" s="11">
        <f t="shared" si="11"/>
        <v>0.54563489714375946</v>
      </c>
      <c r="N138" t="str">
        <f t="shared" si="10"/>
        <v>A</v>
      </c>
    </row>
    <row r="139" spans="1:14" x14ac:dyDescent="0.25">
      <c r="A139" s="1" t="s">
        <v>214</v>
      </c>
      <c r="B139" s="3">
        <v>50</v>
      </c>
      <c r="C139" s="1">
        <v>1</v>
      </c>
      <c r="D139" s="1">
        <v>2</v>
      </c>
      <c r="E139">
        <f t="shared" si="8"/>
        <v>48</v>
      </c>
      <c r="G139" s="9" t="s">
        <v>1057</v>
      </c>
      <c r="H139" s="10">
        <v>766</v>
      </c>
      <c r="J139" t="s">
        <v>35</v>
      </c>
      <c r="K139">
        <v>693</v>
      </c>
      <c r="L139" s="11">
        <f t="shared" si="9"/>
        <v>1.8826807997932335E-3</v>
      </c>
      <c r="M139" s="11">
        <f t="shared" si="11"/>
        <v>0.54751757794355271</v>
      </c>
      <c r="N139" t="str">
        <f t="shared" si="10"/>
        <v>A</v>
      </c>
    </row>
    <row r="140" spans="1:14" x14ac:dyDescent="0.25">
      <c r="A140" s="1" t="s">
        <v>214</v>
      </c>
      <c r="B140" s="3">
        <v>50</v>
      </c>
      <c r="C140" s="1">
        <v>1</v>
      </c>
      <c r="D140" s="1">
        <v>2</v>
      </c>
      <c r="E140">
        <f t="shared" si="8"/>
        <v>48</v>
      </c>
      <c r="G140" s="9" t="s">
        <v>935</v>
      </c>
      <c r="H140" s="10">
        <v>170</v>
      </c>
      <c r="J140" t="s">
        <v>1217</v>
      </c>
      <c r="K140">
        <v>680.33334693999996</v>
      </c>
      <c r="L140" s="11">
        <f t="shared" si="9"/>
        <v>1.848269162688321E-3</v>
      </c>
      <c r="M140" s="11">
        <f t="shared" si="11"/>
        <v>0.54936584710624103</v>
      </c>
      <c r="N140" t="str">
        <f t="shared" si="10"/>
        <v>A</v>
      </c>
    </row>
    <row r="141" spans="1:14" x14ac:dyDescent="0.25">
      <c r="A141" s="1" t="s">
        <v>214</v>
      </c>
      <c r="B141" s="3">
        <v>50</v>
      </c>
      <c r="C141" s="1">
        <v>1</v>
      </c>
      <c r="D141" s="1">
        <v>2</v>
      </c>
      <c r="E141">
        <f t="shared" si="8"/>
        <v>48</v>
      </c>
      <c r="G141" s="9" t="s">
        <v>797</v>
      </c>
      <c r="H141" s="10">
        <v>106</v>
      </c>
      <c r="J141" t="s">
        <v>363</v>
      </c>
      <c r="K141">
        <v>678</v>
      </c>
      <c r="L141" s="11">
        <f t="shared" si="9"/>
        <v>1.8419301331310423E-3</v>
      </c>
      <c r="M141" s="11">
        <f t="shared" si="11"/>
        <v>0.55120777723937209</v>
      </c>
      <c r="N141" t="str">
        <f t="shared" si="10"/>
        <v>A</v>
      </c>
    </row>
    <row r="142" spans="1:14" x14ac:dyDescent="0.25">
      <c r="A142" s="1" t="s">
        <v>214</v>
      </c>
      <c r="B142" s="3">
        <v>50</v>
      </c>
      <c r="C142" s="1">
        <v>1</v>
      </c>
      <c r="D142" s="1">
        <v>2</v>
      </c>
      <c r="E142">
        <f t="shared" si="8"/>
        <v>48</v>
      </c>
      <c r="G142" s="9" t="s">
        <v>1143</v>
      </c>
      <c r="H142" s="10">
        <v>136</v>
      </c>
      <c r="J142" t="s">
        <v>1082</v>
      </c>
      <c r="K142">
        <v>676.33332656999994</v>
      </c>
      <c r="L142" s="11">
        <f t="shared" si="9"/>
        <v>1.8374022629056648E-3</v>
      </c>
      <c r="M142" s="11">
        <f t="shared" si="11"/>
        <v>0.55304517950227772</v>
      </c>
      <c r="N142" t="str">
        <f t="shared" si="10"/>
        <v>A</v>
      </c>
    </row>
    <row r="143" spans="1:14" x14ac:dyDescent="0.25">
      <c r="A143" s="1" t="s">
        <v>216</v>
      </c>
      <c r="B143" s="3">
        <v>155</v>
      </c>
      <c r="C143" s="1">
        <v>1</v>
      </c>
      <c r="D143" s="1">
        <v>7</v>
      </c>
      <c r="E143">
        <f t="shared" si="8"/>
        <v>148</v>
      </c>
      <c r="G143" s="9" t="s">
        <v>793</v>
      </c>
      <c r="H143" s="10">
        <v>659</v>
      </c>
      <c r="J143" t="s">
        <v>80</v>
      </c>
      <c r="K143">
        <v>672</v>
      </c>
      <c r="L143" s="11">
        <f t="shared" si="9"/>
        <v>1.8256298664661658E-3</v>
      </c>
      <c r="M143" s="11">
        <f t="shared" si="11"/>
        <v>0.55487080936874389</v>
      </c>
      <c r="N143" t="str">
        <f t="shared" si="10"/>
        <v>A</v>
      </c>
    </row>
    <row r="144" spans="1:14" x14ac:dyDescent="0.25">
      <c r="A144" s="1" t="s">
        <v>218</v>
      </c>
      <c r="B144" s="3">
        <v>88</v>
      </c>
      <c r="C144" s="1">
        <v>1</v>
      </c>
      <c r="D144" s="1">
        <v>6</v>
      </c>
      <c r="E144">
        <f t="shared" si="8"/>
        <v>82</v>
      </c>
      <c r="G144" s="9" t="s">
        <v>371</v>
      </c>
      <c r="H144" s="10">
        <v>185</v>
      </c>
      <c r="J144" t="s">
        <v>553</v>
      </c>
      <c r="K144">
        <v>668</v>
      </c>
      <c r="L144" s="11">
        <f t="shared" si="9"/>
        <v>1.8147630220229148E-3</v>
      </c>
      <c r="M144" s="11">
        <f t="shared" si="11"/>
        <v>0.55668557239076677</v>
      </c>
      <c r="N144" t="str">
        <f t="shared" si="10"/>
        <v>A</v>
      </c>
    </row>
    <row r="145" spans="1:14" x14ac:dyDescent="0.25">
      <c r="A145" s="1" t="s">
        <v>220</v>
      </c>
      <c r="B145" s="3">
        <v>12</v>
      </c>
      <c r="C145" s="1">
        <v>1</v>
      </c>
      <c r="D145" s="1">
        <v>1</v>
      </c>
      <c r="E145">
        <f t="shared" si="8"/>
        <v>11</v>
      </c>
      <c r="G145" s="9" t="s">
        <v>963</v>
      </c>
      <c r="H145" s="10">
        <v>74</v>
      </c>
      <c r="J145" t="s">
        <v>793</v>
      </c>
      <c r="K145">
        <v>659</v>
      </c>
      <c r="L145" s="11">
        <f t="shared" si="9"/>
        <v>1.7903126220256001E-3</v>
      </c>
      <c r="M145" s="11">
        <f t="shared" si="11"/>
        <v>0.55847588501279233</v>
      </c>
      <c r="N145" t="str">
        <f t="shared" si="10"/>
        <v>A</v>
      </c>
    </row>
    <row r="146" spans="1:14" x14ac:dyDescent="0.25">
      <c r="A146" s="1" t="s">
        <v>220</v>
      </c>
      <c r="B146" s="3">
        <v>12</v>
      </c>
      <c r="C146" s="1">
        <v>2</v>
      </c>
      <c r="D146" s="1">
        <v>2</v>
      </c>
      <c r="E146">
        <f t="shared" si="8"/>
        <v>22</v>
      </c>
      <c r="G146" s="9" t="s">
        <v>322</v>
      </c>
      <c r="H146" s="10">
        <v>152</v>
      </c>
      <c r="J146" t="s">
        <v>937</v>
      </c>
      <c r="K146">
        <v>659</v>
      </c>
      <c r="L146" s="11">
        <f t="shared" si="9"/>
        <v>1.7903126220256001E-3</v>
      </c>
      <c r="M146" s="11">
        <f t="shared" si="11"/>
        <v>0.56026619763481789</v>
      </c>
      <c r="N146" t="str">
        <f t="shared" si="10"/>
        <v>A</v>
      </c>
    </row>
    <row r="147" spans="1:14" x14ac:dyDescent="0.25">
      <c r="A147" s="1" t="s">
        <v>222</v>
      </c>
      <c r="B147" s="3">
        <v>14</v>
      </c>
      <c r="C147" s="1">
        <v>1</v>
      </c>
      <c r="D147" s="1">
        <v>1</v>
      </c>
      <c r="E147">
        <f t="shared" si="8"/>
        <v>13</v>
      </c>
      <c r="G147" s="9" t="s">
        <v>1175</v>
      </c>
      <c r="H147" s="10">
        <v>218</v>
      </c>
      <c r="J147" t="s">
        <v>953</v>
      </c>
      <c r="K147">
        <v>658</v>
      </c>
      <c r="L147" s="11">
        <f t="shared" si="9"/>
        <v>1.7875959109147873E-3</v>
      </c>
      <c r="M147" s="11">
        <f t="shared" si="11"/>
        <v>0.56205379354573271</v>
      </c>
      <c r="N147" t="str">
        <f t="shared" si="10"/>
        <v>A</v>
      </c>
    </row>
    <row r="148" spans="1:14" x14ac:dyDescent="0.25">
      <c r="A148" s="1" t="s">
        <v>224</v>
      </c>
      <c r="B148" s="3">
        <v>80</v>
      </c>
      <c r="C148" s="1">
        <v>1</v>
      </c>
      <c r="D148" s="1">
        <v>0</v>
      </c>
      <c r="E148">
        <f t="shared" si="8"/>
        <v>80</v>
      </c>
      <c r="G148" s="9" t="s">
        <v>196</v>
      </c>
      <c r="H148" s="10">
        <v>140</v>
      </c>
      <c r="J148" t="s">
        <v>889</v>
      </c>
      <c r="K148">
        <v>658</v>
      </c>
      <c r="L148" s="11">
        <f t="shared" si="9"/>
        <v>1.7875959109147873E-3</v>
      </c>
      <c r="M148" s="11">
        <f t="shared" si="11"/>
        <v>0.56384138945664752</v>
      </c>
      <c r="N148" t="str">
        <f t="shared" si="10"/>
        <v>A</v>
      </c>
    </row>
    <row r="149" spans="1:14" x14ac:dyDescent="0.25">
      <c r="A149" s="1" t="s">
        <v>226</v>
      </c>
      <c r="B149" s="3">
        <v>68</v>
      </c>
      <c r="C149" s="1">
        <v>1</v>
      </c>
      <c r="D149" s="1">
        <v>0</v>
      </c>
      <c r="E149">
        <f t="shared" si="8"/>
        <v>68</v>
      </c>
      <c r="G149" s="9" t="s">
        <v>624</v>
      </c>
      <c r="H149" s="10">
        <v>292</v>
      </c>
      <c r="J149" t="s">
        <v>1093</v>
      </c>
      <c r="K149">
        <v>658</v>
      </c>
      <c r="L149" s="11">
        <f t="shared" si="9"/>
        <v>1.7875959109147873E-3</v>
      </c>
      <c r="M149" s="11">
        <f t="shared" si="11"/>
        <v>0.56562898536756234</v>
      </c>
      <c r="N149" t="str">
        <f t="shared" si="10"/>
        <v>A</v>
      </c>
    </row>
    <row r="150" spans="1:14" x14ac:dyDescent="0.25">
      <c r="A150" s="1" t="s">
        <v>228</v>
      </c>
      <c r="B150" s="3">
        <v>359</v>
      </c>
      <c r="C150" s="1">
        <v>1</v>
      </c>
      <c r="D150" s="1">
        <v>35</v>
      </c>
      <c r="E150">
        <f t="shared" si="8"/>
        <v>324</v>
      </c>
      <c r="G150" s="9" t="s">
        <v>1198</v>
      </c>
      <c r="H150" s="10">
        <v>73</v>
      </c>
      <c r="J150" t="s">
        <v>930</v>
      </c>
      <c r="K150">
        <v>654</v>
      </c>
      <c r="L150" s="11">
        <f t="shared" si="9"/>
        <v>1.7767290664715363E-3</v>
      </c>
      <c r="M150" s="11">
        <f t="shared" si="11"/>
        <v>0.56740571443403387</v>
      </c>
      <c r="N150" t="str">
        <f t="shared" si="10"/>
        <v>A</v>
      </c>
    </row>
    <row r="151" spans="1:14" x14ac:dyDescent="0.25">
      <c r="A151" s="1" t="s">
        <v>229</v>
      </c>
      <c r="B151" s="3">
        <v>153</v>
      </c>
      <c r="C151" s="1">
        <v>1</v>
      </c>
      <c r="D151" s="1">
        <v>7</v>
      </c>
      <c r="E151">
        <f t="shared" si="8"/>
        <v>146</v>
      </c>
      <c r="G151" s="9" t="s">
        <v>667</v>
      </c>
      <c r="H151" s="10">
        <v>230</v>
      </c>
      <c r="J151" t="s">
        <v>622</v>
      </c>
      <c r="K151">
        <v>654</v>
      </c>
      <c r="L151" s="11">
        <f t="shared" si="9"/>
        <v>1.7767290664715363E-3</v>
      </c>
      <c r="M151" s="11">
        <f t="shared" si="11"/>
        <v>0.5691824435005054</v>
      </c>
      <c r="N151" t="str">
        <f t="shared" si="10"/>
        <v>A</v>
      </c>
    </row>
    <row r="152" spans="1:14" x14ac:dyDescent="0.25">
      <c r="A152" s="1" t="s">
        <v>231</v>
      </c>
      <c r="B152" s="3">
        <v>16</v>
      </c>
      <c r="C152" s="1">
        <v>1</v>
      </c>
      <c r="D152" s="1">
        <v>1</v>
      </c>
      <c r="E152">
        <f t="shared" si="8"/>
        <v>15</v>
      </c>
      <c r="G152" s="9" t="s">
        <v>415</v>
      </c>
      <c r="H152" s="10">
        <v>892</v>
      </c>
      <c r="J152" t="s">
        <v>1126</v>
      </c>
      <c r="K152">
        <v>653</v>
      </c>
      <c r="L152" s="11">
        <f t="shared" si="9"/>
        <v>1.7740123553607236E-3</v>
      </c>
      <c r="M152" s="11">
        <f t="shared" si="11"/>
        <v>0.57095645585586607</v>
      </c>
      <c r="N152" t="str">
        <f t="shared" si="10"/>
        <v>A</v>
      </c>
    </row>
    <row r="153" spans="1:14" x14ac:dyDescent="0.25">
      <c r="A153" s="1" t="s">
        <v>232</v>
      </c>
      <c r="B153" s="3">
        <v>145</v>
      </c>
      <c r="C153" s="1">
        <v>1</v>
      </c>
      <c r="D153" s="1">
        <v>10</v>
      </c>
      <c r="E153">
        <f t="shared" si="8"/>
        <v>135</v>
      </c>
      <c r="G153" s="9" t="s">
        <v>104</v>
      </c>
      <c r="H153" s="10">
        <v>585</v>
      </c>
      <c r="J153" t="s">
        <v>1096</v>
      </c>
      <c r="K153">
        <v>653</v>
      </c>
      <c r="L153" s="11">
        <f t="shared" si="9"/>
        <v>1.7740123553607236E-3</v>
      </c>
      <c r="M153" s="11">
        <f t="shared" si="11"/>
        <v>0.57273046821122675</v>
      </c>
      <c r="N153" t="str">
        <f t="shared" si="10"/>
        <v>A</v>
      </c>
    </row>
    <row r="154" spans="1:14" x14ac:dyDescent="0.25">
      <c r="A154" s="1" t="s">
        <v>234</v>
      </c>
      <c r="B154" s="3">
        <v>22</v>
      </c>
      <c r="C154" s="1">
        <v>1</v>
      </c>
      <c r="D154" s="1">
        <v>0</v>
      </c>
      <c r="E154">
        <f t="shared" si="8"/>
        <v>22</v>
      </c>
      <c r="G154" s="9" t="s">
        <v>882</v>
      </c>
      <c r="H154" s="10">
        <v>264</v>
      </c>
      <c r="J154" t="s">
        <v>961</v>
      </c>
      <c r="K154">
        <v>652</v>
      </c>
      <c r="L154" s="11">
        <f t="shared" si="9"/>
        <v>1.7712956442499108E-3</v>
      </c>
      <c r="M154" s="11">
        <f t="shared" si="11"/>
        <v>0.57450176385547669</v>
      </c>
      <c r="N154" t="str">
        <f t="shared" si="10"/>
        <v>A</v>
      </c>
    </row>
    <row r="155" spans="1:14" x14ac:dyDescent="0.25">
      <c r="A155" s="1" t="s">
        <v>234</v>
      </c>
      <c r="B155" s="3">
        <v>22</v>
      </c>
      <c r="C155" s="1">
        <v>1</v>
      </c>
      <c r="D155" s="1">
        <v>0</v>
      </c>
      <c r="E155">
        <f t="shared" si="8"/>
        <v>22</v>
      </c>
      <c r="G155" s="9" t="s">
        <v>1125</v>
      </c>
      <c r="H155" s="10">
        <v>423</v>
      </c>
      <c r="J155" t="s">
        <v>180</v>
      </c>
      <c r="K155">
        <v>651</v>
      </c>
      <c r="L155" s="11">
        <f t="shared" si="9"/>
        <v>1.7685789331390981E-3</v>
      </c>
      <c r="M155" s="11">
        <f t="shared" si="11"/>
        <v>0.57627034278861577</v>
      </c>
      <c r="N155" t="str">
        <f t="shared" si="10"/>
        <v>A</v>
      </c>
    </row>
    <row r="156" spans="1:14" x14ac:dyDescent="0.25">
      <c r="A156" s="1" t="s">
        <v>236</v>
      </c>
      <c r="B156" s="3">
        <v>36</v>
      </c>
      <c r="C156" s="1">
        <v>1</v>
      </c>
      <c r="D156" s="1">
        <v>0</v>
      </c>
      <c r="E156">
        <f t="shared" si="8"/>
        <v>36</v>
      </c>
      <c r="G156" s="9" t="s">
        <v>783</v>
      </c>
      <c r="H156" s="10">
        <v>1081</v>
      </c>
      <c r="J156" t="s">
        <v>389</v>
      </c>
      <c r="K156">
        <v>645</v>
      </c>
      <c r="L156" s="11">
        <f t="shared" si="9"/>
        <v>1.7522786664742216E-3</v>
      </c>
      <c r="M156" s="11">
        <f t="shared" si="11"/>
        <v>0.57802262145508998</v>
      </c>
      <c r="N156" t="str">
        <f t="shared" si="10"/>
        <v>A</v>
      </c>
    </row>
    <row r="157" spans="1:14" x14ac:dyDescent="0.25">
      <c r="A157" s="1" t="s">
        <v>236</v>
      </c>
      <c r="B157" s="3">
        <v>36</v>
      </c>
      <c r="C157" s="1">
        <v>1</v>
      </c>
      <c r="D157" s="1">
        <v>2</v>
      </c>
      <c r="E157">
        <f t="shared" si="8"/>
        <v>34</v>
      </c>
      <c r="G157" s="9" t="s">
        <v>1117</v>
      </c>
      <c r="H157" s="10">
        <v>773</v>
      </c>
      <c r="J157" t="s">
        <v>447</v>
      </c>
      <c r="K157">
        <v>640</v>
      </c>
      <c r="L157" s="11">
        <f t="shared" si="9"/>
        <v>1.738695110920158E-3</v>
      </c>
      <c r="M157" s="11">
        <f t="shared" si="11"/>
        <v>0.57976131656601015</v>
      </c>
      <c r="N157" t="str">
        <f t="shared" si="10"/>
        <v>A</v>
      </c>
    </row>
    <row r="158" spans="1:14" x14ac:dyDescent="0.25">
      <c r="A158" s="1" t="s">
        <v>236</v>
      </c>
      <c r="B158" s="3">
        <v>36</v>
      </c>
      <c r="C158" s="1">
        <v>1</v>
      </c>
      <c r="D158" s="1">
        <v>2</v>
      </c>
      <c r="E158">
        <f t="shared" si="8"/>
        <v>34</v>
      </c>
      <c r="G158" s="9" t="s">
        <v>1156</v>
      </c>
      <c r="H158" s="10">
        <v>153</v>
      </c>
      <c r="J158" t="s">
        <v>593</v>
      </c>
      <c r="K158">
        <v>636</v>
      </c>
      <c r="L158" s="11">
        <f t="shared" si="9"/>
        <v>1.727828266476907E-3</v>
      </c>
      <c r="M158" s="11">
        <f t="shared" si="11"/>
        <v>0.58148914483248704</v>
      </c>
      <c r="N158" t="str">
        <f t="shared" si="10"/>
        <v>A</v>
      </c>
    </row>
    <row r="159" spans="1:14" x14ac:dyDescent="0.25">
      <c r="A159" s="1" t="s">
        <v>236</v>
      </c>
      <c r="B159" s="3">
        <v>36</v>
      </c>
      <c r="C159" s="1">
        <v>1</v>
      </c>
      <c r="D159" s="1">
        <v>2</v>
      </c>
      <c r="E159">
        <f t="shared" si="8"/>
        <v>34</v>
      </c>
      <c r="G159" s="9" t="s">
        <v>1085</v>
      </c>
      <c r="H159" s="10">
        <v>66</v>
      </c>
      <c r="J159" t="s">
        <v>979</v>
      </c>
      <c r="K159">
        <v>634</v>
      </c>
      <c r="L159" s="11">
        <f t="shared" si="9"/>
        <v>1.7223948442552815E-3</v>
      </c>
      <c r="M159" s="11">
        <f t="shared" si="11"/>
        <v>0.58321153967674233</v>
      </c>
      <c r="N159" t="str">
        <f t="shared" si="10"/>
        <v>A</v>
      </c>
    </row>
    <row r="160" spans="1:14" x14ac:dyDescent="0.25">
      <c r="A160" s="1" t="s">
        <v>237</v>
      </c>
      <c r="B160" s="3">
        <v>450</v>
      </c>
      <c r="C160" s="1">
        <v>1</v>
      </c>
      <c r="D160" s="1">
        <v>0</v>
      </c>
      <c r="E160">
        <f t="shared" si="8"/>
        <v>450</v>
      </c>
      <c r="G160" s="9" t="s">
        <v>191</v>
      </c>
      <c r="H160" s="10">
        <v>192</v>
      </c>
      <c r="J160" t="s">
        <v>1002</v>
      </c>
      <c r="K160">
        <v>633</v>
      </c>
      <c r="L160" s="11">
        <f t="shared" si="9"/>
        <v>1.7196781331444686E-3</v>
      </c>
      <c r="M160" s="11">
        <f t="shared" si="11"/>
        <v>0.58493121780988677</v>
      </c>
      <c r="N160" t="str">
        <f t="shared" si="10"/>
        <v>A</v>
      </c>
    </row>
    <row r="161" spans="1:14" x14ac:dyDescent="0.25">
      <c r="A161" s="1" t="s">
        <v>238</v>
      </c>
      <c r="B161" s="3">
        <v>179</v>
      </c>
      <c r="C161" s="1">
        <v>1</v>
      </c>
      <c r="D161" s="1">
        <v>12</v>
      </c>
      <c r="E161">
        <f t="shared" si="8"/>
        <v>167</v>
      </c>
      <c r="G161" s="9" t="s">
        <v>389</v>
      </c>
      <c r="H161" s="10">
        <v>645</v>
      </c>
      <c r="J161" t="s">
        <v>1042</v>
      </c>
      <c r="K161">
        <v>632</v>
      </c>
      <c r="L161" s="11">
        <f t="shared" si="9"/>
        <v>1.716961422033656E-3</v>
      </c>
      <c r="M161" s="11">
        <f t="shared" si="11"/>
        <v>0.58664817923192047</v>
      </c>
      <c r="N161" t="str">
        <f t="shared" si="10"/>
        <v>A</v>
      </c>
    </row>
    <row r="162" spans="1:14" x14ac:dyDescent="0.25">
      <c r="A162" s="1" t="s">
        <v>239</v>
      </c>
      <c r="B162" s="3">
        <v>303</v>
      </c>
      <c r="C162" s="1">
        <v>1</v>
      </c>
      <c r="D162" s="1">
        <v>21</v>
      </c>
      <c r="E162">
        <f t="shared" si="8"/>
        <v>282</v>
      </c>
      <c r="G162" s="9" t="s">
        <v>785</v>
      </c>
      <c r="H162" s="10">
        <v>3482</v>
      </c>
      <c r="J162" t="s">
        <v>723</v>
      </c>
      <c r="K162">
        <v>631</v>
      </c>
      <c r="L162" s="11">
        <f t="shared" si="9"/>
        <v>1.7142447109228431E-3</v>
      </c>
      <c r="M162" s="11">
        <f t="shared" si="11"/>
        <v>0.58836242394284333</v>
      </c>
      <c r="N162" t="str">
        <f t="shared" si="10"/>
        <v>A</v>
      </c>
    </row>
    <row r="163" spans="1:14" x14ac:dyDescent="0.25">
      <c r="A163" s="1" t="s">
        <v>240</v>
      </c>
      <c r="B163" s="3">
        <v>948</v>
      </c>
      <c r="C163" s="1">
        <v>1</v>
      </c>
      <c r="D163" s="1">
        <v>142</v>
      </c>
      <c r="E163">
        <f t="shared" si="8"/>
        <v>806</v>
      </c>
      <c r="G163" s="9" t="s">
        <v>1002</v>
      </c>
      <c r="H163" s="10">
        <v>633</v>
      </c>
      <c r="J163" t="s">
        <v>291</v>
      </c>
      <c r="K163">
        <v>630</v>
      </c>
      <c r="L163" s="11">
        <f t="shared" si="9"/>
        <v>1.7115279998120305E-3</v>
      </c>
      <c r="M163" s="11">
        <f t="shared" si="11"/>
        <v>0.59007395194265533</v>
      </c>
      <c r="N163" t="str">
        <f t="shared" si="10"/>
        <v>A</v>
      </c>
    </row>
    <row r="164" spans="1:14" x14ac:dyDescent="0.25">
      <c r="A164" s="1" t="s">
        <v>242</v>
      </c>
      <c r="B164" s="3">
        <v>463</v>
      </c>
      <c r="C164" s="1">
        <v>1</v>
      </c>
      <c r="D164" s="1">
        <v>0</v>
      </c>
      <c r="E164">
        <f t="shared" si="8"/>
        <v>463</v>
      </c>
      <c r="G164" s="9" t="s">
        <v>575</v>
      </c>
      <c r="H164" s="10">
        <v>102</v>
      </c>
      <c r="J164" t="s">
        <v>458</v>
      </c>
      <c r="K164">
        <v>629</v>
      </c>
      <c r="L164" s="11">
        <f t="shared" si="9"/>
        <v>1.7088112887012176E-3</v>
      </c>
      <c r="M164" s="11">
        <f t="shared" si="11"/>
        <v>0.59178276323135659</v>
      </c>
      <c r="N164" t="str">
        <f t="shared" si="10"/>
        <v>A</v>
      </c>
    </row>
    <row r="165" spans="1:14" x14ac:dyDescent="0.25">
      <c r="A165" s="1" t="s">
        <v>244</v>
      </c>
      <c r="B165" s="3">
        <v>32</v>
      </c>
      <c r="C165" s="1">
        <v>1</v>
      </c>
      <c r="D165" s="1">
        <v>0</v>
      </c>
      <c r="E165">
        <f t="shared" si="8"/>
        <v>32</v>
      </c>
      <c r="G165" s="9" t="s">
        <v>1201</v>
      </c>
      <c r="H165" s="10">
        <v>1276</v>
      </c>
      <c r="J165" t="s">
        <v>1205</v>
      </c>
      <c r="K165">
        <v>628</v>
      </c>
      <c r="L165" s="11">
        <f t="shared" si="9"/>
        <v>1.706094577590405E-3</v>
      </c>
      <c r="M165" s="11">
        <f t="shared" si="11"/>
        <v>0.593488857808947</v>
      </c>
      <c r="N165" t="str">
        <f t="shared" si="10"/>
        <v>A</v>
      </c>
    </row>
    <row r="166" spans="1:14" x14ac:dyDescent="0.25">
      <c r="A166" s="1" t="s">
        <v>246</v>
      </c>
      <c r="B166" s="3">
        <v>40</v>
      </c>
      <c r="C166" s="1">
        <v>1</v>
      </c>
      <c r="D166" s="1">
        <v>0</v>
      </c>
      <c r="E166">
        <f t="shared" si="8"/>
        <v>40</v>
      </c>
      <c r="G166" s="9" t="s">
        <v>1159</v>
      </c>
      <c r="H166" s="10">
        <v>59</v>
      </c>
      <c r="J166" t="s">
        <v>895</v>
      </c>
      <c r="K166">
        <v>625</v>
      </c>
      <c r="L166" s="11">
        <f t="shared" si="9"/>
        <v>1.6979444442579666E-3</v>
      </c>
      <c r="M166" s="11">
        <f t="shared" si="11"/>
        <v>0.59518680225320497</v>
      </c>
      <c r="N166" t="str">
        <f t="shared" si="10"/>
        <v>A</v>
      </c>
    </row>
    <row r="167" spans="1:14" x14ac:dyDescent="0.25">
      <c r="A167" s="1" t="s">
        <v>246</v>
      </c>
      <c r="B167" s="3">
        <v>40</v>
      </c>
      <c r="C167" s="1">
        <v>1</v>
      </c>
      <c r="D167" s="1">
        <v>0</v>
      </c>
      <c r="E167">
        <f t="shared" si="8"/>
        <v>40</v>
      </c>
      <c r="G167" s="9" t="s">
        <v>305</v>
      </c>
      <c r="H167" s="10">
        <v>270</v>
      </c>
      <c r="J167" t="s">
        <v>541</v>
      </c>
      <c r="K167">
        <v>624</v>
      </c>
      <c r="L167" s="11">
        <f t="shared" si="9"/>
        <v>1.695227733147154E-3</v>
      </c>
      <c r="M167" s="11">
        <f t="shared" si="11"/>
        <v>0.59688202998635209</v>
      </c>
      <c r="N167" t="str">
        <f t="shared" si="10"/>
        <v>A</v>
      </c>
    </row>
    <row r="168" spans="1:14" x14ac:dyDescent="0.25">
      <c r="A168" s="1" t="s">
        <v>247</v>
      </c>
      <c r="B168" s="3">
        <v>25</v>
      </c>
      <c r="C168" s="1">
        <v>1</v>
      </c>
      <c r="D168" s="1">
        <v>0</v>
      </c>
      <c r="E168">
        <f t="shared" si="8"/>
        <v>25</v>
      </c>
      <c r="G168" s="9" t="s">
        <v>668</v>
      </c>
      <c r="H168" s="10">
        <v>139</v>
      </c>
      <c r="J168" t="s">
        <v>361</v>
      </c>
      <c r="K168">
        <v>624</v>
      </c>
      <c r="L168" s="11">
        <f t="shared" si="9"/>
        <v>1.695227733147154E-3</v>
      </c>
      <c r="M168" s="11">
        <f t="shared" si="11"/>
        <v>0.59857725771949921</v>
      </c>
      <c r="N168" t="str">
        <f t="shared" si="10"/>
        <v>A</v>
      </c>
    </row>
    <row r="169" spans="1:14" x14ac:dyDescent="0.25">
      <c r="A169" s="1" t="s">
        <v>247</v>
      </c>
      <c r="B169" s="3">
        <v>25</v>
      </c>
      <c r="C169" s="1">
        <v>1</v>
      </c>
      <c r="D169" s="1">
        <v>0</v>
      </c>
      <c r="E169">
        <f t="shared" si="8"/>
        <v>25</v>
      </c>
      <c r="G169" s="9" t="s">
        <v>462</v>
      </c>
      <c r="H169" s="10">
        <v>2596</v>
      </c>
      <c r="J169" t="s">
        <v>193</v>
      </c>
      <c r="K169">
        <v>621</v>
      </c>
      <c r="L169" s="11">
        <f t="shared" si="9"/>
        <v>1.6870775998147156E-3</v>
      </c>
      <c r="M169" s="11">
        <f t="shared" si="11"/>
        <v>0.60026433531931389</v>
      </c>
      <c r="N169" t="str">
        <f t="shared" si="10"/>
        <v>A</v>
      </c>
    </row>
    <row r="170" spans="1:14" x14ac:dyDescent="0.25">
      <c r="A170" s="1" t="s">
        <v>248</v>
      </c>
      <c r="B170" s="3">
        <v>219</v>
      </c>
      <c r="C170" s="1">
        <v>1</v>
      </c>
      <c r="D170" s="1">
        <v>21</v>
      </c>
      <c r="E170">
        <f t="shared" si="8"/>
        <v>198</v>
      </c>
      <c r="G170" s="9" t="s">
        <v>761</v>
      </c>
      <c r="H170" s="10">
        <v>206</v>
      </c>
      <c r="J170" t="s">
        <v>392</v>
      </c>
      <c r="K170">
        <v>621</v>
      </c>
      <c r="L170" s="11">
        <f t="shared" si="9"/>
        <v>1.6870775998147156E-3</v>
      </c>
      <c r="M170" s="11">
        <f t="shared" si="11"/>
        <v>0.60195141291912857</v>
      </c>
      <c r="N170" t="str">
        <f t="shared" si="10"/>
        <v>A</v>
      </c>
    </row>
    <row r="171" spans="1:14" x14ac:dyDescent="0.25">
      <c r="A171" s="1" t="s">
        <v>251</v>
      </c>
      <c r="B171" s="3">
        <v>53</v>
      </c>
      <c r="C171" s="1">
        <v>1</v>
      </c>
      <c r="D171" s="1">
        <v>0</v>
      </c>
      <c r="E171">
        <f t="shared" si="8"/>
        <v>53</v>
      </c>
      <c r="G171" s="9" t="s">
        <v>710</v>
      </c>
      <c r="H171" s="10">
        <v>43</v>
      </c>
      <c r="J171" t="s">
        <v>660</v>
      </c>
      <c r="K171">
        <v>614</v>
      </c>
      <c r="L171" s="11">
        <f t="shared" si="9"/>
        <v>1.6680606220390265E-3</v>
      </c>
      <c r="M171" s="11">
        <f t="shared" si="11"/>
        <v>0.60361947354116763</v>
      </c>
      <c r="N171" t="str">
        <f t="shared" si="10"/>
        <v>A</v>
      </c>
    </row>
    <row r="172" spans="1:14" x14ac:dyDescent="0.25">
      <c r="A172" s="1" t="s">
        <v>251</v>
      </c>
      <c r="B172" s="3">
        <v>53</v>
      </c>
      <c r="C172" s="1">
        <v>1</v>
      </c>
      <c r="D172" s="1">
        <v>0</v>
      </c>
      <c r="E172">
        <f t="shared" si="8"/>
        <v>53</v>
      </c>
      <c r="G172" s="9" t="s">
        <v>742</v>
      </c>
      <c r="H172" s="10">
        <v>264</v>
      </c>
      <c r="J172" t="s">
        <v>604</v>
      </c>
      <c r="K172">
        <v>611</v>
      </c>
      <c r="L172" s="11">
        <f t="shared" si="9"/>
        <v>1.6599104887065883E-3</v>
      </c>
      <c r="M172" s="11">
        <f t="shared" si="11"/>
        <v>0.60527938402987425</v>
      </c>
      <c r="N172" t="str">
        <f t="shared" si="10"/>
        <v>A</v>
      </c>
    </row>
    <row r="173" spans="1:14" x14ac:dyDescent="0.25">
      <c r="A173" s="1" t="s">
        <v>253</v>
      </c>
      <c r="B173" s="3">
        <v>72</v>
      </c>
      <c r="C173" s="1">
        <v>1</v>
      </c>
      <c r="D173" s="1">
        <v>0</v>
      </c>
      <c r="E173">
        <f t="shared" si="8"/>
        <v>72</v>
      </c>
      <c r="G173" s="9" t="s">
        <v>110</v>
      </c>
      <c r="H173" s="10">
        <v>249</v>
      </c>
      <c r="J173" t="s">
        <v>239</v>
      </c>
      <c r="K173">
        <v>606</v>
      </c>
      <c r="L173" s="11">
        <f t="shared" si="9"/>
        <v>1.6463269331525245E-3</v>
      </c>
      <c r="M173" s="11">
        <f t="shared" si="11"/>
        <v>0.60692571096302672</v>
      </c>
      <c r="N173" t="str">
        <f t="shared" si="10"/>
        <v>A</v>
      </c>
    </row>
    <row r="174" spans="1:14" x14ac:dyDescent="0.25">
      <c r="A174" s="1" t="s">
        <v>254</v>
      </c>
      <c r="B174" s="3">
        <v>57</v>
      </c>
      <c r="C174" s="1">
        <v>1</v>
      </c>
      <c r="D174" s="1">
        <v>0</v>
      </c>
      <c r="E174">
        <f t="shared" si="8"/>
        <v>57</v>
      </c>
      <c r="G174" s="9" t="s">
        <v>683</v>
      </c>
      <c r="H174" s="10">
        <v>935</v>
      </c>
      <c r="J174" t="s">
        <v>483</v>
      </c>
      <c r="K174">
        <v>603</v>
      </c>
      <c r="L174" s="11">
        <f t="shared" si="9"/>
        <v>1.6381767998200863E-3</v>
      </c>
      <c r="M174" s="11">
        <f t="shared" si="11"/>
        <v>0.60856388776284676</v>
      </c>
      <c r="N174" t="str">
        <f t="shared" si="10"/>
        <v>A</v>
      </c>
    </row>
    <row r="175" spans="1:14" x14ac:dyDescent="0.25">
      <c r="A175" s="1" t="s">
        <v>255</v>
      </c>
      <c r="B175" s="3">
        <v>115</v>
      </c>
      <c r="C175" s="1">
        <v>1</v>
      </c>
      <c r="D175" s="1">
        <v>11</v>
      </c>
      <c r="E175">
        <f t="shared" si="8"/>
        <v>104</v>
      </c>
      <c r="G175" s="9" t="s">
        <v>291</v>
      </c>
      <c r="H175" s="10">
        <v>630</v>
      </c>
      <c r="J175" t="s">
        <v>954</v>
      </c>
      <c r="K175">
        <v>601</v>
      </c>
      <c r="L175" s="11">
        <f t="shared" si="9"/>
        <v>1.6327433775984608E-3</v>
      </c>
      <c r="M175" s="11">
        <f t="shared" si="11"/>
        <v>0.6101966311404452</v>
      </c>
      <c r="N175" t="str">
        <f t="shared" si="10"/>
        <v>A</v>
      </c>
    </row>
    <row r="176" spans="1:14" x14ac:dyDescent="0.25">
      <c r="A176" s="1" t="s">
        <v>257</v>
      </c>
      <c r="B176" s="3">
        <v>70</v>
      </c>
      <c r="C176" s="1">
        <v>1</v>
      </c>
      <c r="D176" s="1">
        <v>3</v>
      </c>
      <c r="E176">
        <f t="shared" si="8"/>
        <v>67</v>
      </c>
      <c r="G176" s="9" t="s">
        <v>19</v>
      </c>
      <c r="H176" s="10">
        <v>270</v>
      </c>
      <c r="J176" t="s">
        <v>366</v>
      </c>
      <c r="K176">
        <v>600</v>
      </c>
      <c r="L176" s="11">
        <f t="shared" si="9"/>
        <v>1.630026666487648E-3</v>
      </c>
      <c r="M176" s="11">
        <f t="shared" si="11"/>
        <v>0.61182665780693279</v>
      </c>
      <c r="N176" t="str">
        <f t="shared" si="10"/>
        <v>A</v>
      </c>
    </row>
    <row r="177" spans="1:14" x14ac:dyDescent="0.25">
      <c r="A177" s="1" t="s">
        <v>259</v>
      </c>
      <c r="B177" s="3">
        <v>55</v>
      </c>
      <c r="C177" s="1">
        <v>1</v>
      </c>
      <c r="D177" s="1">
        <v>2</v>
      </c>
      <c r="E177">
        <f t="shared" si="8"/>
        <v>53</v>
      </c>
      <c r="G177" s="9" t="s">
        <v>821</v>
      </c>
      <c r="H177" s="10">
        <v>372</v>
      </c>
      <c r="J177" t="s">
        <v>946</v>
      </c>
      <c r="K177">
        <v>598</v>
      </c>
      <c r="L177" s="11">
        <f t="shared" si="9"/>
        <v>1.6245932442660225E-3</v>
      </c>
      <c r="M177" s="11">
        <f t="shared" si="11"/>
        <v>0.6134512510511988</v>
      </c>
      <c r="N177" t="str">
        <f t="shared" si="10"/>
        <v>A</v>
      </c>
    </row>
    <row r="178" spans="1:14" x14ac:dyDescent="0.25">
      <c r="A178" s="1" t="s">
        <v>212</v>
      </c>
      <c r="B178" s="3">
        <v>39</v>
      </c>
      <c r="C178" s="1">
        <v>1</v>
      </c>
      <c r="D178" s="1">
        <v>1</v>
      </c>
      <c r="E178">
        <f t="shared" si="8"/>
        <v>38</v>
      </c>
      <c r="G178" s="9" t="s">
        <v>899</v>
      </c>
      <c r="H178" s="10">
        <v>846</v>
      </c>
      <c r="J178" t="s">
        <v>805</v>
      </c>
      <c r="K178">
        <v>592</v>
      </c>
      <c r="L178" s="11">
        <f t="shared" si="9"/>
        <v>1.608292977601146E-3</v>
      </c>
      <c r="M178" s="11">
        <f t="shared" si="11"/>
        <v>0.61505954402879992</v>
      </c>
      <c r="N178" t="str">
        <f t="shared" si="10"/>
        <v>A</v>
      </c>
    </row>
    <row r="179" spans="1:14" x14ac:dyDescent="0.25">
      <c r="A179" s="1" t="s">
        <v>212</v>
      </c>
      <c r="B179" s="3">
        <v>39</v>
      </c>
      <c r="C179" s="1">
        <v>1</v>
      </c>
      <c r="D179" s="1">
        <v>1</v>
      </c>
      <c r="E179">
        <f t="shared" si="8"/>
        <v>38</v>
      </c>
      <c r="G179" s="9" t="s">
        <v>144</v>
      </c>
      <c r="H179" s="10">
        <v>249</v>
      </c>
      <c r="J179" t="s">
        <v>461</v>
      </c>
      <c r="K179">
        <v>591</v>
      </c>
      <c r="L179" s="11">
        <f t="shared" si="9"/>
        <v>1.6055762664903333E-3</v>
      </c>
      <c r="M179" s="11">
        <f t="shared" si="11"/>
        <v>0.6166651202952903</v>
      </c>
      <c r="N179" t="str">
        <f t="shared" si="10"/>
        <v>A</v>
      </c>
    </row>
    <row r="180" spans="1:14" x14ac:dyDescent="0.25">
      <c r="A180" s="1" t="s">
        <v>260</v>
      </c>
      <c r="B180" s="3">
        <v>29</v>
      </c>
      <c r="C180" s="1">
        <v>1</v>
      </c>
      <c r="D180" s="1">
        <v>0</v>
      </c>
      <c r="E180">
        <f t="shared" si="8"/>
        <v>29</v>
      </c>
      <c r="G180" s="9" t="s">
        <v>1166</v>
      </c>
      <c r="H180" s="10">
        <v>315</v>
      </c>
      <c r="J180" t="s">
        <v>987</v>
      </c>
      <c r="K180">
        <v>591</v>
      </c>
      <c r="L180" s="11">
        <f t="shared" si="9"/>
        <v>1.6055762664903333E-3</v>
      </c>
      <c r="M180" s="11">
        <f t="shared" si="11"/>
        <v>0.61827069656178069</v>
      </c>
      <c r="N180" t="str">
        <f t="shared" si="10"/>
        <v>A</v>
      </c>
    </row>
    <row r="181" spans="1:14" x14ac:dyDescent="0.25">
      <c r="A181" s="1" t="s">
        <v>261</v>
      </c>
      <c r="B181" s="3">
        <v>234</v>
      </c>
      <c r="C181" s="1">
        <v>1</v>
      </c>
      <c r="D181" s="1">
        <v>11</v>
      </c>
      <c r="E181">
        <f t="shared" si="8"/>
        <v>223</v>
      </c>
      <c r="G181" s="9" t="s">
        <v>608</v>
      </c>
      <c r="H181" s="10">
        <v>269</v>
      </c>
      <c r="J181" t="s">
        <v>707</v>
      </c>
      <c r="K181">
        <v>589</v>
      </c>
      <c r="L181" s="11">
        <f t="shared" si="9"/>
        <v>1.6001428442687078E-3</v>
      </c>
      <c r="M181" s="11">
        <f t="shared" si="11"/>
        <v>0.61987083940604937</v>
      </c>
      <c r="N181" t="str">
        <f t="shared" si="10"/>
        <v>A</v>
      </c>
    </row>
    <row r="182" spans="1:14" x14ac:dyDescent="0.25">
      <c r="A182" s="1" t="s">
        <v>262</v>
      </c>
      <c r="B182" s="3">
        <v>68</v>
      </c>
      <c r="C182" s="1">
        <v>1</v>
      </c>
      <c r="D182" s="1">
        <v>6</v>
      </c>
      <c r="E182">
        <f t="shared" si="8"/>
        <v>62</v>
      </c>
      <c r="G182" s="9" t="s">
        <v>57</v>
      </c>
      <c r="H182" s="10">
        <v>4985</v>
      </c>
      <c r="J182" t="s">
        <v>1072</v>
      </c>
      <c r="K182">
        <v>589</v>
      </c>
      <c r="L182" s="11">
        <f t="shared" si="9"/>
        <v>1.6001428442687078E-3</v>
      </c>
      <c r="M182" s="11">
        <f t="shared" si="11"/>
        <v>0.62147098225031805</v>
      </c>
      <c r="N182" t="str">
        <f t="shared" si="10"/>
        <v>A</v>
      </c>
    </row>
    <row r="183" spans="1:14" x14ac:dyDescent="0.25">
      <c r="A183" s="1" t="s">
        <v>264</v>
      </c>
      <c r="B183" s="3">
        <v>78</v>
      </c>
      <c r="C183" s="1">
        <v>2</v>
      </c>
      <c r="D183" s="1">
        <v>15</v>
      </c>
      <c r="E183">
        <f t="shared" si="8"/>
        <v>141</v>
      </c>
      <c r="G183" s="9" t="s">
        <v>163</v>
      </c>
      <c r="H183" s="10">
        <v>289</v>
      </c>
      <c r="J183" t="s">
        <v>999</v>
      </c>
      <c r="K183">
        <v>587</v>
      </c>
      <c r="L183" s="11">
        <f t="shared" si="9"/>
        <v>1.5947094220470823E-3</v>
      </c>
      <c r="M183" s="11">
        <f t="shared" si="11"/>
        <v>0.62306569167236514</v>
      </c>
      <c r="N183" t="str">
        <f t="shared" si="10"/>
        <v>A</v>
      </c>
    </row>
    <row r="184" spans="1:14" x14ac:dyDescent="0.25">
      <c r="A184" s="1" t="s">
        <v>265</v>
      </c>
      <c r="B184" s="3">
        <v>48</v>
      </c>
      <c r="C184" s="1">
        <v>1</v>
      </c>
      <c r="D184" s="1">
        <v>4</v>
      </c>
      <c r="E184">
        <f t="shared" si="8"/>
        <v>44</v>
      </c>
      <c r="G184" s="9" t="s">
        <v>1226</v>
      </c>
      <c r="H184" s="10">
        <v>30</v>
      </c>
      <c r="J184" t="s">
        <v>104</v>
      </c>
      <c r="K184">
        <v>585</v>
      </c>
      <c r="L184" s="11">
        <f t="shared" si="9"/>
        <v>1.5892759998254568E-3</v>
      </c>
      <c r="M184" s="11">
        <f t="shared" si="11"/>
        <v>0.62465496767219064</v>
      </c>
      <c r="N184" t="str">
        <f t="shared" si="10"/>
        <v>A</v>
      </c>
    </row>
    <row r="185" spans="1:14" x14ac:dyDescent="0.25">
      <c r="A185" s="1" t="s">
        <v>267</v>
      </c>
      <c r="B185" s="3">
        <v>66</v>
      </c>
      <c r="C185" s="1">
        <v>1</v>
      </c>
      <c r="D185" s="1">
        <v>4</v>
      </c>
      <c r="E185">
        <f t="shared" si="8"/>
        <v>62</v>
      </c>
      <c r="G185" s="9" t="s">
        <v>780</v>
      </c>
      <c r="H185" s="10">
        <v>213</v>
      </c>
      <c r="J185" t="s">
        <v>427</v>
      </c>
      <c r="K185">
        <v>585</v>
      </c>
      <c r="L185" s="11">
        <f t="shared" si="9"/>
        <v>1.5892759998254568E-3</v>
      </c>
      <c r="M185" s="11">
        <f t="shared" si="11"/>
        <v>0.62624424367201614</v>
      </c>
      <c r="N185" t="str">
        <f t="shared" si="10"/>
        <v>A</v>
      </c>
    </row>
    <row r="186" spans="1:14" x14ac:dyDescent="0.25">
      <c r="A186" s="1" t="s">
        <v>267</v>
      </c>
      <c r="B186" s="3">
        <v>66</v>
      </c>
      <c r="C186" s="1">
        <v>1</v>
      </c>
      <c r="D186" s="1">
        <v>0</v>
      </c>
      <c r="E186">
        <f t="shared" si="8"/>
        <v>66</v>
      </c>
      <c r="G186" s="9" t="s">
        <v>962</v>
      </c>
      <c r="H186" s="10">
        <v>137</v>
      </c>
      <c r="J186" t="s">
        <v>931</v>
      </c>
      <c r="K186">
        <v>576</v>
      </c>
      <c r="L186" s="11">
        <f t="shared" si="9"/>
        <v>1.5648255998281422E-3</v>
      </c>
      <c r="M186" s="11">
        <f t="shared" si="11"/>
        <v>0.62780906927184432</v>
      </c>
      <c r="N186" t="str">
        <f t="shared" si="10"/>
        <v>A</v>
      </c>
    </row>
    <row r="187" spans="1:14" x14ac:dyDescent="0.25">
      <c r="A187" s="1" t="s">
        <v>267</v>
      </c>
      <c r="B187" s="3">
        <v>66</v>
      </c>
      <c r="C187" s="1">
        <v>1</v>
      </c>
      <c r="D187" s="1">
        <v>0</v>
      </c>
      <c r="E187">
        <f t="shared" si="8"/>
        <v>66</v>
      </c>
      <c r="G187" s="9" t="s">
        <v>1190</v>
      </c>
      <c r="H187" s="10">
        <v>137</v>
      </c>
      <c r="J187" t="s">
        <v>898</v>
      </c>
      <c r="K187">
        <v>572</v>
      </c>
      <c r="L187" s="11">
        <f t="shared" si="9"/>
        <v>1.5539587553848912E-3</v>
      </c>
      <c r="M187" s="11">
        <f t="shared" si="11"/>
        <v>0.62936302802722921</v>
      </c>
      <c r="N187" t="str">
        <f t="shared" si="10"/>
        <v>A</v>
      </c>
    </row>
    <row r="188" spans="1:14" x14ac:dyDescent="0.25">
      <c r="A188" s="1" t="s">
        <v>267</v>
      </c>
      <c r="B188" s="3">
        <v>66</v>
      </c>
      <c r="C188" s="1">
        <v>1</v>
      </c>
      <c r="D188" s="1">
        <v>0</v>
      </c>
      <c r="E188">
        <f t="shared" si="8"/>
        <v>66</v>
      </c>
      <c r="G188" s="9" t="s">
        <v>1077</v>
      </c>
      <c r="H188" s="10">
        <v>56</v>
      </c>
      <c r="J188" t="s">
        <v>576</v>
      </c>
      <c r="K188">
        <v>571</v>
      </c>
      <c r="L188" s="11">
        <f t="shared" si="9"/>
        <v>1.5512420442740783E-3</v>
      </c>
      <c r="M188" s="11">
        <f t="shared" si="11"/>
        <v>0.63091427007150325</v>
      </c>
      <c r="N188" t="str">
        <f t="shared" si="10"/>
        <v>A</v>
      </c>
    </row>
    <row r="189" spans="1:14" x14ac:dyDescent="0.25">
      <c r="A189" s="1" t="s">
        <v>268</v>
      </c>
      <c r="B189" s="3">
        <v>286</v>
      </c>
      <c r="C189" s="1">
        <v>1</v>
      </c>
      <c r="D189" s="1">
        <v>20</v>
      </c>
      <c r="E189">
        <f t="shared" si="8"/>
        <v>266</v>
      </c>
      <c r="G189" s="9" t="s">
        <v>900</v>
      </c>
      <c r="H189" s="10">
        <v>92</v>
      </c>
      <c r="J189" t="s">
        <v>368</v>
      </c>
      <c r="K189">
        <v>566</v>
      </c>
      <c r="L189" s="11">
        <f t="shared" si="9"/>
        <v>1.5376584887200147E-3</v>
      </c>
      <c r="M189" s="11">
        <f t="shared" si="11"/>
        <v>0.63245192856022325</v>
      </c>
      <c r="N189" t="str">
        <f t="shared" si="10"/>
        <v>A</v>
      </c>
    </row>
    <row r="190" spans="1:14" x14ac:dyDescent="0.25">
      <c r="A190" s="1" t="s">
        <v>270</v>
      </c>
      <c r="B190" s="3">
        <v>40</v>
      </c>
      <c r="C190" s="1">
        <v>1</v>
      </c>
      <c r="D190" s="1">
        <v>0</v>
      </c>
      <c r="E190">
        <f t="shared" si="8"/>
        <v>40</v>
      </c>
      <c r="G190" s="9" t="s">
        <v>930</v>
      </c>
      <c r="H190" s="10">
        <v>654</v>
      </c>
      <c r="J190" t="s">
        <v>625</v>
      </c>
      <c r="K190">
        <v>564</v>
      </c>
      <c r="L190" s="11">
        <f t="shared" si="9"/>
        <v>1.5322250664983892E-3</v>
      </c>
      <c r="M190" s="11">
        <f t="shared" si="11"/>
        <v>0.63398415362672167</v>
      </c>
      <c r="N190" t="str">
        <f t="shared" si="10"/>
        <v>A</v>
      </c>
    </row>
    <row r="191" spans="1:14" x14ac:dyDescent="0.25">
      <c r="A191" s="1" t="s">
        <v>270</v>
      </c>
      <c r="B191" s="3">
        <v>40</v>
      </c>
      <c r="C191" s="1">
        <v>1</v>
      </c>
      <c r="D191" s="1">
        <v>0</v>
      </c>
      <c r="E191">
        <f t="shared" si="8"/>
        <v>40</v>
      </c>
      <c r="G191" s="9" t="s">
        <v>224</v>
      </c>
      <c r="H191" s="10">
        <v>80</v>
      </c>
      <c r="J191" t="s">
        <v>803</v>
      </c>
      <c r="K191">
        <v>562</v>
      </c>
      <c r="L191" s="11">
        <f t="shared" si="9"/>
        <v>1.5267916442767637E-3</v>
      </c>
      <c r="M191" s="11">
        <f t="shared" si="11"/>
        <v>0.63551094527099838</v>
      </c>
      <c r="N191" t="str">
        <f t="shared" si="10"/>
        <v>A</v>
      </c>
    </row>
    <row r="192" spans="1:14" x14ac:dyDescent="0.25">
      <c r="A192" s="1" t="s">
        <v>272</v>
      </c>
      <c r="B192" s="3">
        <v>788</v>
      </c>
      <c r="C192" s="1">
        <v>1</v>
      </c>
      <c r="D192" s="1">
        <v>0</v>
      </c>
      <c r="E192">
        <f t="shared" si="8"/>
        <v>788</v>
      </c>
      <c r="G192" s="9" t="s">
        <v>293</v>
      </c>
      <c r="H192" s="10">
        <v>986</v>
      </c>
      <c r="J192" t="s">
        <v>54</v>
      </c>
      <c r="K192">
        <v>553</v>
      </c>
      <c r="L192" s="11">
        <f t="shared" si="9"/>
        <v>1.502341244279449E-3</v>
      </c>
      <c r="M192" s="11">
        <f t="shared" si="11"/>
        <v>0.63701328651527789</v>
      </c>
      <c r="N192" t="str">
        <f t="shared" si="10"/>
        <v>A</v>
      </c>
    </row>
    <row r="193" spans="1:14" x14ac:dyDescent="0.25">
      <c r="A193" s="1" t="s">
        <v>274</v>
      </c>
      <c r="B193" s="3">
        <v>37</v>
      </c>
      <c r="C193" s="1">
        <v>1</v>
      </c>
      <c r="D193" s="1">
        <v>0</v>
      </c>
      <c r="E193">
        <f t="shared" si="8"/>
        <v>37</v>
      </c>
      <c r="G193" s="9" t="s">
        <v>847</v>
      </c>
      <c r="H193" s="10">
        <v>362</v>
      </c>
      <c r="J193" t="s">
        <v>817</v>
      </c>
      <c r="K193">
        <v>545</v>
      </c>
      <c r="L193" s="11">
        <f t="shared" si="9"/>
        <v>1.480607555392947E-3</v>
      </c>
      <c r="M193" s="11">
        <f t="shared" si="11"/>
        <v>0.63849389407067081</v>
      </c>
      <c r="N193" t="str">
        <f t="shared" si="10"/>
        <v>A</v>
      </c>
    </row>
    <row r="194" spans="1:14" x14ac:dyDescent="0.25">
      <c r="A194" s="1" t="s">
        <v>275</v>
      </c>
      <c r="B194" s="3">
        <v>414</v>
      </c>
      <c r="C194" s="1">
        <v>1</v>
      </c>
      <c r="D194" s="1">
        <v>28</v>
      </c>
      <c r="E194">
        <f t="shared" si="8"/>
        <v>386</v>
      </c>
      <c r="G194" s="9" t="s">
        <v>510</v>
      </c>
      <c r="H194" s="10">
        <v>516</v>
      </c>
      <c r="J194" t="s">
        <v>713</v>
      </c>
      <c r="K194">
        <v>538</v>
      </c>
      <c r="L194" s="11">
        <f t="shared" si="9"/>
        <v>1.4615905776172577E-3</v>
      </c>
      <c r="M194" s="11">
        <f t="shared" si="11"/>
        <v>0.63995548464828811</v>
      </c>
      <c r="N194" t="str">
        <f t="shared" si="10"/>
        <v>A</v>
      </c>
    </row>
    <row r="195" spans="1:14" x14ac:dyDescent="0.25">
      <c r="A195" s="1" t="s">
        <v>277</v>
      </c>
      <c r="B195" s="3">
        <v>356</v>
      </c>
      <c r="C195" s="1">
        <v>1</v>
      </c>
      <c r="D195" s="1">
        <v>24</v>
      </c>
      <c r="E195">
        <f t="shared" ref="E195:E258" si="12">C195*B195-D195</f>
        <v>332</v>
      </c>
      <c r="G195" s="9" t="s">
        <v>257</v>
      </c>
      <c r="H195" s="10">
        <v>350</v>
      </c>
      <c r="J195" t="s">
        <v>112</v>
      </c>
      <c r="K195">
        <v>537</v>
      </c>
      <c r="L195" s="11">
        <f t="shared" ref="L195:L258" si="13">K195/SUM($K$2:$K$804)</f>
        <v>1.458873866506445E-3</v>
      </c>
      <c r="M195" s="11">
        <f t="shared" si="11"/>
        <v>0.64141435851479456</v>
      </c>
      <c r="N195" t="str">
        <f t="shared" ref="N195:N258" si="14">IF(M195&lt;0.8, "A", IF(M195&lt;0.95,"B","C"))</f>
        <v>A</v>
      </c>
    </row>
    <row r="196" spans="1:14" x14ac:dyDescent="0.25">
      <c r="A196" s="1" t="s">
        <v>278</v>
      </c>
      <c r="B196" s="3">
        <v>100</v>
      </c>
      <c r="C196" s="1">
        <v>1</v>
      </c>
      <c r="D196" s="1">
        <v>5</v>
      </c>
      <c r="E196">
        <f t="shared" si="12"/>
        <v>95</v>
      </c>
      <c r="G196" s="9" t="s">
        <v>804</v>
      </c>
      <c r="H196" s="10">
        <v>133</v>
      </c>
      <c r="J196" t="s">
        <v>492</v>
      </c>
      <c r="K196">
        <v>537</v>
      </c>
      <c r="L196" s="11">
        <f t="shared" si="13"/>
        <v>1.458873866506445E-3</v>
      </c>
      <c r="M196" s="11">
        <f t="shared" ref="M196:M259" si="15">L196+M195</f>
        <v>0.64287323238130101</v>
      </c>
      <c r="N196" t="str">
        <f t="shared" si="14"/>
        <v>A</v>
      </c>
    </row>
    <row r="197" spans="1:14" x14ac:dyDescent="0.25">
      <c r="A197" s="1" t="s">
        <v>279</v>
      </c>
      <c r="B197" s="3">
        <v>156</v>
      </c>
      <c r="C197" s="1">
        <v>1</v>
      </c>
      <c r="D197" s="1">
        <v>15</v>
      </c>
      <c r="E197">
        <f t="shared" si="12"/>
        <v>141</v>
      </c>
      <c r="G197" s="9" t="s">
        <v>543</v>
      </c>
      <c r="H197" s="10">
        <v>231</v>
      </c>
      <c r="J197" t="s">
        <v>67</v>
      </c>
      <c r="K197">
        <v>533</v>
      </c>
      <c r="L197" s="11">
        <f t="shared" si="13"/>
        <v>1.448007022063194E-3</v>
      </c>
      <c r="M197" s="11">
        <f t="shared" si="15"/>
        <v>0.64432123940336417</v>
      </c>
      <c r="N197" t="str">
        <f t="shared" si="14"/>
        <v>A</v>
      </c>
    </row>
    <row r="198" spans="1:14" x14ac:dyDescent="0.25">
      <c r="A198" s="1" t="s">
        <v>280</v>
      </c>
      <c r="B198" s="3">
        <v>1354</v>
      </c>
      <c r="C198" s="1">
        <v>1</v>
      </c>
      <c r="D198" s="1">
        <v>94</v>
      </c>
      <c r="E198">
        <f t="shared" si="12"/>
        <v>1260</v>
      </c>
      <c r="G198" s="9" t="s">
        <v>1020</v>
      </c>
      <c r="H198" s="10">
        <v>426</v>
      </c>
      <c r="J198" t="s">
        <v>200</v>
      </c>
      <c r="K198">
        <v>524.57141807999994</v>
      </c>
      <c r="L198" s="11">
        <f t="shared" si="13"/>
        <v>1.4251089999127344E-3</v>
      </c>
      <c r="M198" s="11">
        <f t="shared" si="15"/>
        <v>0.64574634840327694</v>
      </c>
      <c r="N198" t="str">
        <f t="shared" si="14"/>
        <v>A</v>
      </c>
    </row>
    <row r="199" spans="1:14" x14ac:dyDescent="0.25">
      <c r="A199" s="1" t="s">
        <v>282</v>
      </c>
      <c r="B199" s="3">
        <v>235</v>
      </c>
      <c r="C199" s="1">
        <v>1</v>
      </c>
      <c r="D199" s="1">
        <v>23</v>
      </c>
      <c r="E199">
        <f t="shared" si="12"/>
        <v>212</v>
      </c>
      <c r="G199" s="9" t="s">
        <v>916</v>
      </c>
      <c r="H199" s="10">
        <v>108.66</v>
      </c>
      <c r="J199" t="s">
        <v>908</v>
      </c>
      <c r="K199">
        <v>524</v>
      </c>
      <c r="L199" s="11">
        <f t="shared" si="13"/>
        <v>1.4235566220658794E-3</v>
      </c>
      <c r="M199" s="11">
        <f t="shared" si="15"/>
        <v>0.64716990502534277</v>
      </c>
      <c r="N199" t="str">
        <f t="shared" si="14"/>
        <v>A</v>
      </c>
    </row>
    <row r="200" spans="1:14" x14ac:dyDescent="0.25">
      <c r="A200" s="1" t="s">
        <v>284</v>
      </c>
      <c r="B200" s="3">
        <v>306</v>
      </c>
      <c r="C200" s="1">
        <v>1</v>
      </c>
      <c r="D200" s="1">
        <v>30</v>
      </c>
      <c r="E200">
        <f t="shared" si="12"/>
        <v>276</v>
      </c>
      <c r="G200" s="9" t="s">
        <v>662</v>
      </c>
      <c r="H200" s="10">
        <v>51.714161600000004</v>
      </c>
      <c r="J200" t="s">
        <v>1039</v>
      </c>
      <c r="K200">
        <v>524</v>
      </c>
      <c r="L200" s="11">
        <f t="shared" si="13"/>
        <v>1.4235566220658794E-3</v>
      </c>
      <c r="M200" s="11">
        <f t="shared" si="15"/>
        <v>0.64859346164740861</v>
      </c>
      <c r="N200" t="str">
        <f t="shared" si="14"/>
        <v>A</v>
      </c>
    </row>
    <row r="201" spans="1:14" x14ac:dyDescent="0.25">
      <c r="A201" s="1" t="s">
        <v>285</v>
      </c>
      <c r="B201" s="3">
        <v>126</v>
      </c>
      <c r="C201" s="1">
        <v>1</v>
      </c>
      <c r="D201" s="1">
        <v>0</v>
      </c>
      <c r="E201">
        <f t="shared" si="12"/>
        <v>126</v>
      </c>
      <c r="G201" s="9" t="s">
        <v>333</v>
      </c>
      <c r="H201" s="10">
        <v>1314</v>
      </c>
      <c r="J201" t="s">
        <v>334</v>
      </c>
      <c r="K201">
        <v>522</v>
      </c>
      <c r="L201" s="11">
        <f t="shared" si="13"/>
        <v>1.4181231998442539E-3</v>
      </c>
      <c r="M201" s="11">
        <f t="shared" si="15"/>
        <v>0.65001158484725285</v>
      </c>
      <c r="N201" t="str">
        <f t="shared" si="14"/>
        <v>A</v>
      </c>
    </row>
    <row r="202" spans="1:14" x14ac:dyDescent="0.25">
      <c r="A202" s="1" t="s">
        <v>285</v>
      </c>
      <c r="B202" s="3">
        <v>126</v>
      </c>
      <c r="C202" s="1">
        <v>1</v>
      </c>
      <c r="D202" s="1">
        <v>0</v>
      </c>
      <c r="E202">
        <f t="shared" si="12"/>
        <v>126</v>
      </c>
      <c r="G202" s="9" t="s">
        <v>789</v>
      </c>
      <c r="H202" s="10">
        <v>26</v>
      </c>
      <c r="J202" t="s">
        <v>369</v>
      </c>
      <c r="K202">
        <v>519</v>
      </c>
      <c r="L202" s="11">
        <f t="shared" si="13"/>
        <v>1.4099730665118155E-3</v>
      </c>
      <c r="M202" s="11">
        <f t="shared" si="15"/>
        <v>0.65142155791376466</v>
      </c>
      <c r="N202" t="str">
        <f t="shared" si="14"/>
        <v>A</v>
      </c>
    </row>
    <row r="203" spans="1:14" x14ac:dyDescent="0.25">
      <c r="A203" s="1" t="s">
        <v>286</v>
      </c>
      <c r="B203" s="3">
        <v>70</v>
      </c>
      <c r="C203" s="1">
        <v>1</v>
      </c>
      <c r="D203" s="1">
        <v>0</v>
      </c>
      <c r="E203">
        <f t="shared" si="12"/>
        <v>70</v>
      </c>
      <c r="G203" s="9" t="s">
        <v>598</v>
      </c>
      <c r="H203" s="10">
        <v>436</v>
      </c>
      <c r="J203" t="s">
        <v>834</v>
      </c>
      <c r="K203">
        <v>517</v>
      </c>
      <c r="L203" s="11">
        <f t="shared" si="13"/>
        <v>1.40453964429019E-3</v>
      </c>
      <c r="M203" s="11">
        <f t="shared" si="15"/>
        <v>0.65282609755805487</v>
      </c>
      <c r="N203" t="str">
        <f t="shared" si="14"/>
        <v>A</v>
      </c>
    </row>
    <row r="204" spans="1:14" x14ac:dyDescent="0.25">
      <c r="A204" s="1" t="s">
        <v>287</v>
      </c>
      <c r="B204" s="3">
        <v>55</v>
      </c>
      <c r="C204" s="1">
        <v>1</v>
      </c>
      <c r="D204" s="1">
        <v>0</v>
      </c>
      <c r="E204">
        <f t="shared" si="12"/>
        <v>55</v>
      </c>
      <c r="G204" s="9" t="s">
        <v>605</v>
      </c>
      <c r="H204" s="10">
        <v>408</v>
      </c>
      <c r="J204" t="s">
        <v>510</v>
      </c>
      <c r="K204">
        <v>516</v>
      </c>
      <c r="L204" s="11">
        <f t="shared" si="13"/>
        <v>1.4018229331793774E-3</v>
      </c>
      <c r="M204" s="11">
        <f t="shared" si="15"/>
        <v>0.65422792049123424</v>
      </c>
      <c r="N204" t="str">
        <f t="shared" si="14"/>
        <v>A</v>
      </c>
    </row>
    <row r="205" spans="1:14" x14ac:dyDescent="0.25">
      <c r="A205" s="1" t="s">
        <v>288</v>
      </c>
      <c r="B205" s="3">
        <v>41</v>
      </c>
      <c r="C205" s="1">
        <v>1</v>
      </c>
      <c r="D205" s="1">
        <v>2</v>
      </c>
      <c r="E205">
        <f t="shared" si="12"/>
        <v>39</v>
      </c>
      <c r="G205" s="9" t="s">
        <v>1048</v>
      </c>
      <c r="H205" s="10">
        <v>404</v>
      </c>
      <c r="J205" t="s">
        <v>343</v>
      </c>
      <c r="K205">
        <v>514</v>
      </c>
      <c r="L205" s="11">
        <f t="shared" si="13"/>
        <v>1.3963895109577519E-3</v>
      </c>
      <c r="M205" s="11">
        <f t="shared" si="15"/>
        <v>0.65562431000219201</v>
      </c>
      <c r="N205" t="str">
        <f t="shared" si="14"/>
        <v>A</v>
      </c>
    </row>
    <row r="206" spans="1:14" x14ac:dyDescent="0.25">
      <c r="A206" s="1" t="s">
        <v>288</v>
      </c>
      <c r="B206" s="3">
        <v>43</v>
      </c>
      <c r="C206" s="1">
        <v>1</v>
      </c>
      <c r="D206" s="1">
        <v>2</v>
      </c>
      <c r="E206">
        <f t="shared" si="12"/>
        <v>41</v>
      </c>
      <c r="G206" s="9" t="s">
        <v>1150</v>
      </c>
      <c r="H206" s="10">
        <v>1160</v>
      </c>
      <c r="J206" t="s">
        <v>924</v>
      </c>
      <c r="K206">
        <v>512</v>
      </c>
      <c r="L206" s="11">
        <f t="shared" si="13"/>
        <v>1.3909560887361264E-3</v>
      </c>
      <c r="M206" s="11">
        <f t="shared" si="15"/>
        <v>0.65701526609092809</v>
      </c>
      <c r="N206" t="str">
        <f t="shared" si="14"/>
        <v>A</v>
      </c>
    </row>
    <row r="207" spans="1:14" x14ac:dyDescent="0.25">
      <c r="A207" s="1" t="s">
        <v>290</v>
      </c>
      <c r="B207" s="3">
        <v>90</v>
      </c>
      <c r="C207" s="1">
        <v>1</v>
      </c>
      <c r="D207" s="1">
        <v>4</v>
      </c>
      <c r="E207">
        <f t="shared" si="12"/>
        <v>86</v>
      </c>
      <c r="G207" s="9" t="s">
        <v>100</v>
      </c>
      <c r="H207" s="10">
        <v>102</v>
      </c>
      <c r="J207" t="s">
        <v>1214</v>
      </c>
      <c r="K207">
        <v>511</v>
      </c>
      <c r="L207" s="11">
        <f t="shared" si="13"/>
        <v>1.3882393776253135E-3</v>
      </c>
      <c r="M207" s="11">
        <f t="shared" si="15"/>
        <v>0.65840350546855342</v>
      </c>
      <c r="N207" t="str">
        <f t="shared" si="14"/>
        <v>A</v>
      </c>
    </row>
    <row r="208" spans="1:14" x14ac:dyDescent="0.25">
      <c r="A208" s="1" t="s">
        <v>291</v>
      </c>
      <c r="B208" s="3">
        <v>630</v>
      </c>
      <c r="C208" s="1">
        <v>1</v>
      </c>
      <c r="D208" s="1">
        <v>44</v>
      </c>
      <c r="E208">
        <f t="shared" si="12"/>
        <v>586</v>
      </c>
      <c r="G208" s="9" t="s">
        <v>242</v>
      </c>
      <c r="H208" s="10">
        <v>463</v>
      </c>
      <c r="J208" t="s">
        <v>891</v>
      </c>
      <c r="K208">
        <v>510.33332822999995</v>
      </c>
      <c r="L208" s="11">
        <f t="shared" si="13"/>
        <v>1.3864282230204893E-3</v>
      </c>
      <c r="M208" s="11">
        <f t="shared" si="15"/>
        <v>0.6597899336915739</v>
      </c>
      <c r="N208" t="str">
        <f t="shared" si="14"/>
        <v>A</v>
      </c>
    </row>
    <row r="209" spans="1:14" x14ac:dyDescent="0.25">
      <c r="A209" s="1" t="s">
        <v>293</v>
      </c>
      <c r="B209" s="3">
        <v>493</v>
      </c>
      <c r="C209" s="1">
        <v>1</v>
      </c>
      <c r="D209" s="1">
        <v>34</v>
      </c>
      <c r="E209">
        <f t="shared" si="12"/>
        <v>459</v>
      </c>
      <c r="G209" s="9" t="s">
        <v>121</v>
      </c>
      <c r="H209" s="10">
        <v>233</v>
      </c>
      <c r="J209" t="s">
        <v>311</v>
      </c>
      <c r="K209">
        <v>509</v>
      </c>
      <c r="L209" s="11">
        <f t="shared" si="13"/>
        <v>1.382805955403688E-3</v>
      </c>
      <c r="M209" s="11">
        <f t="shared" si="15"/>
        <v>0.66117273964697765</v>
      </c>
      <c r="N209" t="str">
        <f t="shared" si="14"/>
        <v>A</v>
      </c>
    </row>
    <row r="210" spans="1:14" x14ac:dyDescent="0.25">
      <c r="A210" s="1" t="s">
        <v>295</v>
      </c>
      <c r="B210" s="3">
        <v>441</v>
      </c>
      <c r="C210" s="1">
        <v>1</v>
      </c>
      <c r="D210" s="1">
        <v>30</v>
      </c>
      <c r="E210">
        <f t="shared" si="12"/>
        <v>411</v>
      </c>
      <c r="G210" s="9" t="s">
        <v>830</v>
      </c>
      <c r="H210" s="10">
        <v>222</v>
      </c>
      <c r="J210" t="s">
        <v>629</v>
      </c>
      <c r="K210">
        <v>506</v>
      </c>
      <c r="L210" s="11">
        <f t="shared" si="13"/>
        <v>1.3746558220712498E-3</v>
      </c>
      <c r="M210" s="11">
        <f t="shared" si="15"/>
        <v>0.66254739546904895</v>
      </c>
      <c r="N210" t="str">
        <f t="shared" si="14"/>
        <v>A</v>
      </c>
    </row>
    <row r="211" spans="1:14" x14ac:dyDescent="0.25">
      <c r="A211" s="1" t="s">
        <v>297</v>
      </c>
      <c r="B211" s="3">
        <v>79</v>
      </c>
      <c r="C211" s="1">
        <v>1</v>
      </c>
      <c r="D211" s="1">
        <v>7</v>
      </c>
      <c r="E211">
        <f t="shared" si="12"/>
        <v>72</v>
      </c>
      <c r="G211" s="9" t="s">
        <v>1096</v>
      </c>
      <c r="H211" s="10">
        <v>653</v>
      </c>
      <c r="J211" t="s">
        <v>748</v>
      </c>
      <c r="K211">
        <v>505</v>
      </c>
      <c r="L211" s="11">
        <f t="shared" si="13"/>
        <v>1.371939110960437E-3</v>
      </c>
      <c r="M211" s="11">
        <f t="shared" si="15"/>
        <v>0.6639193345800094</v>
      </c>
      <c r="N211" t="str">
        <f t="shared" si="14"/>
        <v>A</v>
      </c>
    </row>
    <row r="212" spans="1:14" x14ac:dyDescent="0.25">
      <c r="A212" s="1" t="s">
        <v>299</v>
      </c>
      <c r="B212" s="3">
        <v>75</v>
      </c>
      <c r="C212" s="1">
        <v>1</v>
      </c>
      <c r="D212" s="1">
        <v>5</v>
      </c>
      <c r="E212">
        <f t="shared" si="12"/>
        <v>70</v>
      </c>
      <c r="G212" s="9" t="s">
        <v>135</v>
      </c>
      <c r="H212" s="10">
        <v>474</v>
      </c>
      <c r="J212" t="s">
        <v>802</v>
      </c>
      <c r="K212">
        <v>504</v>
      </c>
      <c r="L212" s="11">
        <f t="shared" si="13"/>
        <v>1.3692223998496243E-3</v>
      </c>
      <c r="M212" s="11">
        <f t="shared" si="15"/>
        <v>0.665288556979859</v>
      </c>
      <c r="N212" t="str">
        <f t="shared" si="14"/>
        <v>A</v>
      </c>
    </row>
    <row r="213" spans="1:14" x14ac:dyDescent="0.25">
      <c r="A213" s="1" t="s">
        <v>299</v>
      </c>
      <c r="B213" s="3">
        <v>75</v>
      </c>
      <c r="C213" s="1">
        <v>1</v>
      </c>
      <c r="D213" s="1">
        <v>5</v>
      </c>
      <c r="E213">
        <f t="shared" si="12"/>
        <v>70</v>
      </c>
      <c r="G213" s="9" t="s">
        <v>771</v>
      </c>
      <c r="H213" s="10">
        <v>83</v>
      </c>
      <c r="J213" t="s">
        <v>679</v>
      </c>
      <c r="K213">
        <v>503.99999495999998</v>
      </c>
      <c r="L213" s="11">
        <f t="shared" si="13"/>
        <v>1.3692223861574003E-3</v>
      </c>
      <c r="M213" s="11">
        <f t="shared" si="15"/>
        <v>0.66665777936601645</v>
      </c>
      <c r="N213" t="str">
        <f t="shared" si="14"/>
        <v>A</v>
      </c>
    </row>
    <row r="214" spans="1:14" x14ac:dyDescent="0.25">
      <c r="A214" s="1" t="s">
        <v>301</v>
      </c>
      <c r="B214" s="3">
        <v>70</v>
      </c>
      <c r="C214" s="1">
        <v>1</v>
      </c>
      <c r="D214" s="1">
        <v>7</v>
      </c>
      <c r="E214">
        <f t="shared" si="12"/>
        <v>63</v>
      </c>
      <c r="G214" s="9" t="s">
        <v>773</v>
      </c>
      <c r="H214" s="10">
        <v>77</v>
      </c>
      <c r="J214" t="s">
        <v>1177</v>
      </c>
      <c r="K214">
        <v>502</v>
      </c>
      <c r="L214" s="11">
        <f t="shared" si="13"/>
        <v>1.3637889776279988E-3</v>
      </c>
      <c r="M214" s="11">
        <f t="shared" si="15"/>
        <v>0.66802156834364446</v>
      </c>
      <c r="N214" t="str">
        <f t="shared" si="14"/>
        <v>A</v>
      </c>
    </row>
    <row r="215" spans="1:14" x14ac:dyDescent="0.25">
      <c r="A215" s="1" t="s">
        <v>302</v>
      </c>
      <c r="B215" s="3">
        <v>75</v>
      </c>
      <c r="C215" s="1">
        <v>1</v>
      </c>
      <c r="D215" s="1">
        <v>5</v>
      </c>
      <c r="E215">
        <f t="shared" si="12"/>
        <v>70</v>
      </c>
      <c r="G215" s="9" t="s">
        <v>869</v>
      </c>
      <c r="H215" s="10">
        <v>178</v>
      </c>
      <c r="J215" t="s">
        <v>1051</v>
      </c>
      <c r="K215">
        <v>500</v>
      </c>
      <c r="L215" s="11">
        <f t="shared" si="13"/>
        <v>1.3583555554063733E-3</v>
      </c>
      <c r="M215" s="11">
        <f t="shared" si="15"/>
        <v>0.66937992389905088</v>
      </c>
      <c r="N215" t="str">
        <f t="shared" si="14"/>
        <v>A</v>
      </c>
    </row>
    <row r="216" spans="1:14" x14ac:dyDescent="0.25">
      <c r="A216" s="1" t="s">
        <v>304</v>
      </c>
      <c r="B216" s="3">
        <v>476</v>
      </c>
      <c r="C216" s="1">
        <v>1</v>
      </c>
      <c r="D216" s="1">
        <v>23</v>
      </c>
      <c r="E216">
        <f t="shared" si="12"/>
        <v>453</v>
      </c>
      <c r="G216" s="9" t="s">
        <v>1041</v>
      </c>
      <c r="H216" s="10">
        <v>150</v>
      </c>
      <c r="J216" t="s">
        <v>702</v>
      </c>
      <c r="K216">
        <v>500</v>
      </c>
      <c r="L216" s="11">
        <f t="shared" si="13"/>
        <v>1.3583555554063733E-3</v>
      </c>
      <c r="M216" s="11">
        <f t="shared" si="15"/>
        <v>0.6707382794544573</v>
      </c>
      <c r="N216" t="str">
        <f t="shared" si="14"/>
        <v>A</v>
      </c>
    </row>
    <row r="217" spans="1:14" x14ac:dyDescent="0.25">
      <c r="A217" s="1" t="s">
        <v>305</v>
      </c>
      <c r="B217" s="3">
        <v>270</v>
      </c>
      <c r="C217" s="1">
        <v>1</v>
      </c>
      <c r="D217" s="1">
        <v>27</v>
      </c>
      <c r="E217">
        <f t="shared" si="12"/>
        <v>243</v>
      </c>
      <c r="G217" s="9" t="s">
        <v>421</v>
      </c>
      <c r="H217" s="10">
        <v>40.872000000000007</v>
      </c>
      <c r="J217" t="s">
        <v>1186</v>
      </c>
      <c r="K217">
        <v>500</v>
      </c>
      <c r="L217" s="11">
        <f t="shared" si="13"/>
        <v>1.3583555554063733E-3</v>
      </c>
      <c r="M217" s="11">
        <f t="shared" si="15"/>
        <v>0.67209663500986372</v>
      </c>
      <c r="N217" t="str">
        <f t="shared" si="14"/>
        <v>A</v>
      </c>
    </row>
    <row r="218" spans="1:14" x14ac:dyDescent="0.25">
      <c r="A218" s="1" t="s">
        <v>307</v>
      </c>
      <c r="B218" s="3">
        <v>51</v>
      </c>
      <c r="C218" s="1">
        <v>1</v>
      </c>
      <c r="D218" s="1">
        <v>3</v>
      </c>
      <c r="E218">
        <f t="shared" si="12"/>
        <v>48</v>
      </c>
      <c r="G218" s="9" t="s">
        <v>732</v>
      </c>
      <c r="H218" s="10">
        <v>364</v>
      </c>
      <c r="J218" t="s">
        <v>431</v>
      </c>
      <c r="K218">
        <v>498</v>
      </c>
      <c r="L218" s="11">
        <f t="shared" si="13"/>
        <v>1.3529221331847478E-3</v>
      </c>
      <c r="M218" s="11">
        <f t="shared" si="15"/>
        <v>0.67344955714304844</v>
      </c>
      <c r="N218" t="str">
        <f t="shared" si="14"/>
        <v>A</v>
      </c>
    </row>
    <row r="219" spans="1:14" x14ac:dyDescent="0.25">
      <c r="A219" s="1" t="s">
        <v>307</v>
      </c>
      <c r="B219" s="3">
        <v>51</v>
      </c>
      <c r="C219" s="1">
        <v>1</v>
      </c>
      <c r="D219" s="1">
        <v>3</v>
      </c>
      <c r="E219">
        <f t="shared" si="12"/>
        <v>48</v>
      </c>
      <c r="G219" s="9" t="s">
        <v>695</v>
      </c>
      <c r="H219" s="10">
        <v>781</v>
      </c>
      <c r="J219" t="s">
        <v>1170</v>
      </c>
      <c r="K219">
        <v>497</v>
      </c>
      <c r="L219" s="11">
        <f t="shared" si="13"/>
        <v>1.3502054220739352E-3</v>
      </c>
      <c r="M219" s="11">
        <f t="shared" si="15"/>
        <v>0.67479976256512242</v>
      </c>
      <c r="N219" t="str">
        <f t="shared" si="14"/>
        <v>A</v>
      </c>
    </row>
    <row r="220" spans="1:14" x14ac:dyDescent="0.25">
      <c r="A220" s="1" t="s">
        <v>308</v>
      </c>
      <c r="B220" s="3">
        <v>240</v>
      </c>
      <c r="C220" s="1">
        <v>1</v>
      </c>
      <c r="D220" s="1">
        <v>16</v>
      </c>
      <c r="E220">
        <f t="shared" si="12"/>
        <v>224</v>
      </c>
      <c r="G220" s="9" t="s">
        <v>585</v>
      </c>
      <c r="H220" s="10">
        <v>731</v>
      </c>
      <c r="J220" t="s">
        <v>1200</v>
      </c>
      <c r="K220">
        <v>493</v>
      </c>
      <c r="L220" s="11">
        <f t="shared" si="13"/>
        <v>1.3393385776306842E-3</v>
      </c>
      <c r="M220" s="11">
        <f t="shared" si="15"/>
        <v>0.67613910114275311</v>
      </c>
      <c r="N220" t="str">
        <f t="shared" si="14"/>
        <v>A</v>
      </c>
    </row>
    <row r="221" spans="1:14" x14ac:dyDescent="0.25">
      <c r="A221" s="1" t="s">
        <v>309</v>
      </c>
      <c r="B221" s="3">
        <v>239</v>
      </c>
      <c r="C221" s="1">
        <v>1</v>
      </c>
      <c r="D221" s="1">
        <v>11</v>
      </c>
      <c r="E221">
        <f t="shared" si="12"/>
        <v>228</v>
      </c>
      <c r="G221" s="9" t="s">
        <v>406</v>
      </c>
      <c r="H221" s="10">
        <v>418</v>
      </c>
      <c r="J221" t="s">
        <v>496</v>
      </c>
      <c r="K221">
        <v>492</v>
      </c>
      <c r="L221" s="11">
        <f t="shared" si="13"/>
        <v>1.3366218665198713E-3</v>
      </c>
      <c r="M221" s="11">
        <f t="shared" si="15"/>
        <v>0.67747572300927295</v>
      </c>
      <c r="N221" t="str">
        <f t="shared" si="14"/>
        <v>A</v>
      </c>
    </row>
    <row r="222" spans="1:14" x14ac:dyDescent="0.25">
      <c r="A222" s="1" t="s">
        <v>311</v>
      </c>
      <c r="B222" s="3">
        <v>509</v>
      </c>
      <c r="C222" s="1">
        <v>1</v>
      </c>
      <c r="D222" s="1">
        <v>35</v>
      </c>
      <c r="E222">
        <f t="shared" si="12"/>
        <v>474</v>
      </c>
      <c r="G222" s="9" t="s">
        <v>759</v>
      </c>
      <c r="H222" s="10">
        <v>11948</v>
      </c>
      <c r="J222" t="s">
        <v>922</v>
      </c>
      <c r="K222">
        <v>489</v>
      </c>
      <c r="L222" s="11">
        <f t="shared" si="13"/>
        <v>1.3284717331874332E-3</v>
      </c>
      <c r="M222" s="11">
        <f t="shared" si="15"/>
        <v>0.67880419474246034</v>
      </c>
      <c r="N222" t="str">
        <f t="shared" si="14"/>
        <v>A</v>
      </c>
    </row>
    <row r="223" spans="1:14" x14ac:dyDescent="0.25">
      <c r="A223" s="1" t="s">
        <v>313</v>
      </c>
      <c r="B223" s="3">
        <v>133</v>
      </c>
      <c r="C223" s="1">
        <v>1</v>
      </c>
      <c r="D223" s="1">
        <v>9</v>
      </c>
      <c r="E223">
        <f t="shared" si="12"/>
        <v>124</v>
      </c>
      <c r="G223" s="9" t="s">
        <v>178</v>
      </c>
      <c r="H223" s="10">
        <v>1039</v>
      </c>
      <c r="J223" t="s">
        <v>791</v>
      </c>
      <c r="K223">
        <v>488</v>
      </c>
      <c r="L223" s="11">
        <f t="shared" si="13"/>
        <v>1.3257550220766203E-3</v>
      </c>
      <c r="M223" s="11">
        <f t="shared" si="15"/>
        <v>0.680129949764537</v>
      </c>
      <c r="N223" t="str">
        <f t="shared" si="14"/>
        <v>A</v>
      </c>
    </row>
    <row r="224" spans="1:14" x14ac:dyDescent="0.25">
      <c r="A224" s="1" t="s">
        <v>314</v>
      </c>
      <c r="B224" s="3">
        <v>10775.7</v>
      </c>
      <c r="C224" s="1">
        <v>0.14285713999999999</v>
      </c>
      <c r="D224" s="1">
        <v>153.38999999999999</v>
      </c>
      <c r="E224">
        <f t="shared" si="12"/>
        <v>1385.9956834979998</v>
      </c>
      <c r="G224" s="9" t="s">
        <v>845</v>
      </c>
      <c r="H224" s="10">
        <v>1114</v>
      </c>
      <c r="J224" t="s">
        <v>157</v>
      </c>
      <c r="K224">
        <v>488</v>
      </c>
      <c r="L224" s="11">
        <f t="shared" si="13"/>
        <v>1.3257550220766203E-3</v>
      </c>
      <c r="M224" s="11">
        <f t="shared" si="15"/>
        <v>0.68145570478661366</v>
      </c>
      <c r="N224" t="str">
        <f t="shared" si="14"/>
        <v>A</v>
      </c>
    </row>
    <row r="225" spans="1:14" x14ac:dyDescent="0.25">
      <c r="A225" s="1" t="s">
        <v>316</v>
      </c>
      <c r="B225" s="3">
        <v>216</v>
      </c>
      <c r="C225" s="1">
        <v>2</v>
      </c>
      <c r="D225" s="1">
        <v>64</v>
      </c>
      <c r="E225">
        <f t="shared" si="12"/>
        <v>368</v>
      </c>
      <c r="G225" s="9" t="s">
        <v>361</v>
      </c>
      <c r="H225" s="10">
        <v>624</v>
      </c>
      <c r="J225" t="s">
        <v>1027</v>
      </c>
      <c r="K225">
        <v>486</v>
      </c>
      <c r="L225" s="11">
        <f t="shared" si="13"/>
        <v>1.3203215998549948E-3</v>
      </c>
      <c r="M225" s="11">
        <f t="shared" si="15"/>
        <v>0.68277602638646862</v>
      </c>
      <c r="N225" t="str">
        <f t="shared" si="14"/>
        <v>A</v>
      </c>
    </row>
    <row r="226" spans="1:14" x14ac:dyDescent="0.25">
      <c r="A226" s="1" t="s">
        <v>318</v>
      </c>
      <c r="B226" s="3">
        <v>132</v>
      </c>
      <c r="C226" s="1">
        <v>1</v>
      </c>
      <c r="D226" s="1">
        <v>0</v>
      </c>
      <c r="E226">
        <f t="shared" si="12"/>
        <v>132</v>
      </c>
      <c r="G226" s="9" t="s">
        <v>1213</v>
      </c>
      <c r="H226" s="10">
        <v>188</v>
      </c>
      <c r="J226" t="s">
        <v>485</v>
      </c>
      <c r="K226">
        <v>480</v>
      </c>
      <c r="L226" s="11">
        <f t="shared" si="13"/>
        <v>1.3040213331901183E-3</v>
      </c>
      <c r="M226" s="11">
        <f t="shared" si="15"/>
        <v>0.68408004771965869</v>
      </c>
      <c r="N226" t="str">
        <f t="shared" si="14"/>
        <v>A</v>
      </c>
    </row>
    <row r="227" spans="1:14" x14ac:dyDescent="0.25">
      <c r="A227" s="1" t="s">
        <v>318</v>
      </c>
      <c r="B227" s="3">
        <v>132</v>
      </c>
      <c r="C227" s="1">
        <v>1</v>
      </c>
      <c r="D227" s="1">
        <v>0</v>
      </c>
      <c r="E227">
        <f t="shared" si="12"/>
        <v>132</v>
      </c>
      <c r="G227" s="9" t="s">
        <v>814</v>
      </c>
      <c r="H227" s="10">
        <v>96</v>
      </c>
      <c r="J227" t="s">
        <v>251</v>
      </c>
      <c r="K227">
        <v>477</v>
      </c>
      <c r="L227" s="11">
        <f t="shared" si="13"/>
        <v>1.2958711998576802E-3</v>
      </c>
      <c r="M227" s="11">
        <f t="shared" si="15"/>
        <v>0.68537591891951632</v>
      </c>
      <c r="N227" t="str">
        <f t="shared" si="14"/>
        <v>A</v>
      </c>
    </row>
    <row r="228" spans="1:14" x14ac:dyDescent="0.25">
      <c r="A228" s="1" t="s">
        <v>320</v>
      </c>
      <c r="B228" s="3">
        <v>154</v>
      </c>
      <c r="C228" s="1">
        <v>1</v>
      </c>
      <c r="D228" s="1">
        <v>0</v>
      </c>
      <c r="E228">
        <f t="shared" si="12"/>
        <v>154</v>
      </c>
      <c r="G228" s="9" t="s">
        <v>1063</v>
      </c>
      <c r="H228" s="10">
        <v>266</v>
      </c>
      <c r="J228" t="s">
        <v>567</v>
      </c>
      <c r="K228">
        <v>475</v>
      </c>
      <c r="L228" s="11">
        <f t="shared" si="13"/>
        <v>1.2904377776360547E-3</v>
      </c>
      <c r="M228" s="11">
        <f t="shared" si="15"/>
        <v>0.68666635669715237</v>
      </c>
      <c r="N228" t="str">
        <f t="shared" si="14"/>
        <v>A</v>
      </c>
    </row>
    <row r="229" spans="1:14" x14ac:dyDescent="0.25">
      <c r="A229" s="1" t="s">
        <v>321</v>
      </c>
      <c r="B229" s="3">
        <v>62</v>
      </c>
      <c r="C229" s="1">
        <v>2</v>
      </c>
      <c r="D229" s="1">
        <v>12</v>
      </c>
      <c r="E229">
        <f t="shared" si="12"/>
        <v>112</v>
      </c>
      <c r="G229" s="9" t="s">
        <v>483</v>
      </c>
      <c r="H229" s="10">
        <v>603</v>
      </c>
      <c r="J229" t="s">
        <v>135</v>
      </c>
      <c r="K229">
        <v>474</v>
      </c>
      <c r="L229" s="11">
        <f t="shared" si="13"/>
        <v>1.2877210665252418E-3</v>
      </c>
      <c r="M229" s="11">
        <f t="shared" si="15"/>
        <v>0.68795407776367756</v>
      </c>
      <c r="N229" t="str">
        <f t="shared" si="14"/>
        <v>A</v>
      </c>
    </row>
    <row r="230" spans="1:14" x14ac:dyDescent="0.25">
      <c r="A230" s="1" t="s">
        <v>322</v>
      </c>
      <c r="B230" s="3">
        <v>76</v>
      </c>
      <c r="C230" s="1">
        <v>1</v>
      </c>
      <c r="D230" s="1">
        <v>5</v>
      </c>
      <c r="E230">
        <f t="shared" si="12"/>
        <v>71</v>
      </c>
      <c r="G230" s="9" t="s">
        <v>1011</v>
      </c>
      <c r="H230" s="10">
        <v>53</v>
      </c>
      <c r="J230" t="s">
        <v>744</v>
      </c>
      <c r="K230">
        <v>473</v>
      </c>
      <c r="L230" s="11">
        <f t="shared" si="13"/>
        <v>1.2850043554144292E-3</v>
      </c>
      <c r="M230" s="11">
        <f t="shared" si="15"/>
        <v>0.68923908211909202</v>
      </c>
      <c r="N230" t="str">
        <f t="shared" si="14"/>
        <v>A</v>
      </c>
    </row>
    <row r="231" spans="1:14" x14ac:dyDescent="0.25">
      <c r="A231" s="1" t="s">
        <v>322</v>
      </c>
      <c r="B231" s="3">
        <v>76</v>
      </c>
      <c r="C231" s="1">
        <v>1</v>
      </c>
      <c r="D231" s="1">
        <v>5</v>
      </c>
      <c r="E231">
        <f t="shared" si="12"/>
        <v>71</v>
      </c>
      <c r="G231" s="9" t="s">
        <v>1109</v>
      </c>
      <c r="H231" s="10">
        <v>221</v>
      </c>
      <c r="J231" t="s">
        <v>1206</v>
      </c>
      <c r="K231">
        <v>472</v>
      </c>
      <c r="L231" s="11">
        <f t="shared" si="13"/>
        <v>1.2822876443036165E-3</v>
      </c>
      <c r="M231" s="11">
        <f t="shared" si="15"/>
        <v>0.69052136976339562</v>
      </c>
      <c r="N231" t="str">
        <f t="shared" si="14"/>
        <v>A</v>
      </c>
    </row>
    <row r="232" spans="1:14" x14ac:dyDescent="0.25">
      <c r="A232" s="1" t="s">
        <v>324</v>
      </c>
      <c r="B232" s="3">
        <v>46</v>
      </c>
      <c r="C232" s="1">
        <v>1</v>
      </c>
      <c r="D232" s="1">
        <v>2</v>
      </c>
      <c r="E232">
        <f t="shared" si="12"/>
        <v>44</v>
      </c>
      <c r="G232" s="9" t="s">
        <v>287</v>
      </c>
      <c r="H232" s="10">
        <v>55</v>
      </c>
      <c r="J232" t="s">
        <v>835</v>
      </c>
      <c r="K232">
        <v>470</v>
      </c>
      <c r="L232" s="11">
        <f t="shared" si="13"/>
        <v>1.276854222081991E-3</v>
      </c>
      <c r="M232" s="11">
        <f t="shared" si="15"/>
        <v>0.69179822398547763</v>
      </c>
      <c r="N232" t="str">
        <f t="shared" si="14"/>
        <v>A</v>
      </c>
    </row>
    <row r="233" spans="1:14" x14ac:dyDescent="0.25">
      <c r="A233" s="1" t="s">
        <v>326</v>
      </c>
      <c r="B233" s="3">
        <v>108</v>
      </c>
      <c r="C233" s="1">
        <v>1</v>
      </c>
      <c r="D233" s="1">
        <v>10</v>
      </c>
      <c r="E233">
        <f t="shared" si="12"/>
        <v>98</v>
      </c>
      <c r="G233" s="9" t="s">
        <v>286</v>
      </c>
      <c r="H233" s="10">
        <v>140</v>
      </c>
      <c r="J233" t="s">
        <v>1184</v>
      </c>
      <c r="K233">
        <v>470</v>
      </c>
      <c r="L233" s="11">
        <f t="shared" si="13"/>
        <v>1.276854222081991E-3</v>
      </c>
      <c r="M233" s="11">
        <f t="shared" si="15"/>
        <v>0.69307507820755965</v>
      </c>
      <c r="N233" t="str">
        <f t="shared" si="14"/>
        <v>A</v>
      </c>
    </row>
    <row r="234" spans="1:14" x14ac:dyDescent="0.25">
      <c r="A234" s="1" t="s">
        <v>328</v>
      </c>
      <c r="B234" s="3">
        <v>685</v>
      </c>
      <c r="C234" s="1">
        <v>0.1071429</v>
      </c>
      <c r="D234" s="1">
        <v>1.39</v>
      </c>
      <c r="E234">
        <f t="shared" si="12"/>
        <v>72.002886500000002</v>
      </c>
      <c r="G234" s="9" t="s">
        <v>986</v>
      </c>
      <c r="H234" s="10">
        <v>204</v>
      </c>
      <c r="J234" t="s">
        <v>261</v>
      </c>
      <c r="K234">
        <v>468</v>
      </c>
      <c r="L234" s="11">
        <f t="shared" si="13"/>
        <v>1.2714207998603655E-3</v>
      </c>
      <c r="M234" s="11">
        <f t="shared" si="15"/>
        <v>0.69434649900741996</v>
      </c>
      <c r="N234" t="str">
        <f t="shared" si="14"/>
        <v>A</v>
      </c>
    </row>
    <row r="235" spans="1:14" x14ac:dyDescent="0.25">
      <c r="A235" s="1" t="s">
        <v>330</v>
      </c>
      <c r="B235" s="3">
        <v>34</v>
      </c>
      <c r="C235" s="1">
        <v>1</v>
      </c>
      <c r="D235" s="1">
        <v>0</v>
      </c>
      <c r="E235">
        <f t="shared" si="12"/>
        <v>34</v>
      </c>
      <c r="G235" s="9" t="s">
        <v>745</v>
      </c>
      <c r="H235" s="10">
        <v>78</v>
      </c>
      <c r="J235" t="s">
        <v>236</v>
      </c>
      <c r="K235">
        <v>468</v>
      </c>
      <c r="L235" s="11">
        <f t="shared" si="13"/>
        <v>1.2714207998603655E-3</v>
      </c>
      <c r="M235" s="11">
        <f t="shared" si="15"/>
        <v>0.69561791980728027</v>
      </c>
      <c r="N235" t="str">
        <f t="shared" si="14"/>
        <v>A</v>
      </c>
    </row>
    <row r="236" spans="1:14" x14ac:dyDescent="0.25">
      <c r="A236" s="1" t="s">
        <v>330</v>
      </c>
      <c r="B236" s="3">
        <v>34</v>
      </c>
      <c r="C236" s="1">
        <v>1</v>
      </c>
      <c r="D236" s="1">
        <v>1</v>
      </c>
      <c r="E236">
        <f t="shared" si="12"/>
        <v>33</v>
      </c>
      <c r="G236" s="9" t="s">
        <v>677</v>
      </c>
      <c r="H236" s="10">
        <v>339</v>
      </c>
      <c r="J236" t="s">
        <v>787</v>
      </c>
      <c r="K236">
        <v>468</v>
      </c>
      <c r="L236" s="11">
        <f t="shared" si="13"/>
        <v>1.2714207998603655E-3</v>
      </c>
      <c r="M236" s="11">
        <f t="shared" si="15"/>
        <v>0.69688934060714058</v>
      </c>
      <c r="N236" t="str">
        <f t="shared" si="14"/>
        <v>A</v>
      </c>
    </row>
    <row r="237" spans="1:14" x14ac:dyDescent="0.25">
      <c r="A237" s="1" t="s">
        <v>331</v>
      </c>
      <c r="B237" s="3">
        <v>26</v>
      </c>
      <c r="C237" s="1">
        <v>1</v>
      </c>
      <c r="D237" s="1">
        <v>1</v>
      </c>
      <c r="E237">
        <f t="shared" si="12"/>
        <v>25</v>
      </c>
      <c r="G237" s="9" t="s">
        <v>969</v>
      </c>
      <c r="H237" s="10">
        <v>272</v>
      </c>
      <c r="J237" t="s">
        <v>282</v>
      </c>
      <c r="K237">
        <v>467</v>
      </c>
      <c r="L237" s="11">
        <f t="shared" si="13"/>
        <v>1.2687040887495527E-3</v>
      </c>
      <c r="M237" s="11">
        <f t="shared" si="15"/>
        <v>0.69815804469589016</v>
      </c>
      <c r="N237" t="str">
        <f t="shared" si="14"/>
        <v>A</v>
      </c>
    </row>
    <row r="238" spans="1:14" x14ac:dyDescent="0.25">
      <c r="A238" s="1" t="s">
        <v>333</v>
      </c>
      <c r="B238" s="3">
        <v>657</v>
      </c>
      <c r="C238" s="1">
        <v>1</v>
      </c>
      <c r="D238" s="1">
        <v>19</v>
      </c>
      <c r="E238">
        <f t="shared" si="12"/>
        <v>638</v>
      </c>
      <c r="G238" s="9" t="s">
        <v>1212</v>
      </c>
      <c r="H238" s="10">
        <v>30</v>
      </c>
      <c r="J238" t="s">
        <v>116</v>
      </c>
      <c r="K238">
        <v>464</v>
      </c>
      <c r="L238" s="11">
        <f t="shared" si="13"/>
        <v>1.2605539554171145E-3</v>
      </c>
      <c r="M238" s="11">
        <f t="shared" si="15"/>
        <v>0.69941859865130729</v>
      </c>
      <c r="N238" t="str">
        <f t="shared" si="14"/>
        <v>A</v>
      </c>
    </row>
    <row r="239" spans="1:14" x14ac:dyDescent="0.25">
      <c r="A239" s="1" t="s">
        <v>333</v>
      </c>
      <c r="B239" s="3">
        <v>657</v>
      </c>
      <c r="C239" s="1">
        <v>1</v>
      </c>
      <c r="D239" s="1">
        <v>19</v>
      </c>
      <c r="E239">
        <f t="shared" si="12"/>
        <v>638</v>
      </c>
      <c r="G239" s="9" t="s">
        <v>417</v>
      </c>
      <c r="H239" s="10">
        <v>403</v>
      </c>
      <c r="J239" t="s">
        <v>242</v>
      </c>
      <c r="K239">
        <v>463</v>
      </c>
      <c r="L239" s="11">
        <f t="shared" si="13"/>
        <v>1.2578372443063017E-3</v>
      </c>
      <c r="M239" s="11">
        <f t="shared" si="15"/>
        <v>0.70067643589561357</v>
      </c>
      <c r="N239" t="str">
        <f t="shared" si="14"/>
        <v>A</v>
      </c>
    </row>
    <row r="240" spans="1:14" x14ac:dyDescent="0.25">
      <c r="A240" s="1" t="s">
        <v>334</v>
      </c>
      <c r="B240" s="3">
        <v>174</v>
      </c>
      <c r="C240" s="1">
        <v>3</v>
      </c>
      <c r="D240" s="1">
        <v>0</v>
      </c>
      <c r="E240">
        <f t="shared" si="12"/>
        <v>522</v>
      </c>
      <c r="G240" s="9" t="s">
        <v>649</v>
      </c>
      <c r="H240" s="10">
        <v>64.900000000000006</v>
      </c>
      <c r="J240" t="s">
        <v>348</v>
      </c>
      <c r="K240">
        <v>458</v>
      </c>
      <c r="L240" s="11">
        <f t="shared" si="13"/>
        <v>1.244253688752238E-3</v>
      </c>
      <c r="M240" s="11">
        <f t="shared" si="15"/>
        <v>0.70192068958436582</v>
      </c>
      <c r="N240" t="str">
        <f t="shared" si="14"/>
        <v>A</v>
      </c>
    </row>
    <row r="241" spans="1:14" x14ac:dyDescent="0.25">
      <c r="A241" s="1" t="s">
        <v>336</v>
      </c>
      <c r="B241" s="3">
        <v>159</v>
      </c>
      <c r="C241" s="1">
        <v>1</v>
      </c>
      <c r="D241" s="1">
        <v>7</v>
      </c>
      <c r="E241">
        <f t="shared" si="12"/>
        <v>152</v>
      </c>
      <c r="G241" s="9" t="s">
        <v>944</v>
      </c>
      <c r="H241" s="10">
        <v>170</v>
      </c>
      <c r="J241" t="s">
        <v>681</v>
      </c>
      <c r="K241">
        <v>452</v>
      </c>
      <c r="L241" s="11">
        <f t="shared" si="13"/>
        <v>1.2279534220873615E-3</v>
      </c>
      <c r="M241" s="11">
        <f t="shared" si="15"/>
        <v>0.70314864300645319</v>
      </c>
      <c r="N241" t="str">
        <f t="shared" si="14"/>
        <v>A</v>
      </c>
    </row>
    <row r="242" spans="1:14" x14ac:dyDescent="0.25">
      <c r="A242" s="1" t="s">
        <v>337</v>
      </c>
      <c r="B242" s="3">
        <v>223</v>
      </c>
      <c r="C242" s="1">
        <v>1</v>
      </c>
      <c r="D242" s="1">
        <v>11</v>
      </c>
      <c r="E242">
        <f t="shared" si="12"/>
        <v>212</v>
      </c>
      <c r="G242" s="9" t="s">
        <v>461</v>
      </c>
      <c r="H242" s="10">
        <v>591</v>
      </c>
      <c r="J242" t="s">
        <v>522</v>
      </c>
      <c r="K242">
        <v>450</v>
      </c>
      <c r="L242" s="11">
        <f t="shared" si="13"/>
        <v>1.222519999865736E-3</v>
      </c>
      <c r="M242" s="11">
        <f t="shared" si="15"/>
        <v>0.70437116300631897</v>
      </c>
      <c r="N242" t="str">
        <f t="shared" si="14"/>
        <v>A</v>
      </c>
    </row>
    <row r="243" spans="1:14" x14ac:dyDescent="0.25">
      <c r="A243" s="1" t="s">
        <v>339</v>
      </c>
      <c r="B243" s="3">
        <v>879</v>
      </c>
      <c r="C243" s="1">
        <v>1</v>
      </c>
      <c r="D243" s="1">
        <v>61</v>
      </c>
      <c r="E243">
        <f t="shared" si="12"/>
        <v>818</v>
      </c>
      <c r="G243" s="9" t="s">
        <v>631</v>
      </c>
      <c r="H243" s="10">
        <v>203</v>
      </c>
      <c r="J243" t="s">
        <v>237</v>
      </c>
      <c r="K243">
        <v>450</v>
      </c>
      <c r="L243" s="11">
        <f t="shared" si="13"/>
        <v>1.222519999865736E-3</v>
      </c>
      <c r="M243" s="11">
        <f t="shared" si="15"/>
        <v>0.70559368300618475</v>
      </c>
      <c r="N243" t="str">
        <f t="shared" si="14"/>
        <v>A</v>
      </c>
    </row>
    <row r="244" spans="1:14" x14ac:dyDescent="0.25">
      <c r="A244" s="1" t="s">
        <v>341</v>
      </c>
      <c r="B244" s="3">
        <v>172</v>
      </c>
      <c r="C244" s="1">
        <v>1</v>
      </c>
      <c r="D244" s="1">
        <v>0</v>
      </c>
      <c r="E244">
        <f t="shared" si="12"/>
        <v>172</v>
      </c>
      <c r="G244" s="9" t="s">
        <v>517</v>
      </c>
      <c r="H244" s="10">
        <v>245</v>
      </c>
      <c r="J244" t="s">
        <v>904</v>
      </c>
      <c r="K244">
        <v>449</v>
      </c>
      <c r="L244" s="11">
        <f t="shared" si="13"/>
        <v>1.2198032887549232E-3</v>
      </c>
      <c r="M244" s="11">
        <f t="shared" si="15"/>
        <v>0.70681348629493967</v>
      </c>
      <c r="N244" t="str">
        <f t="shared" si="14"/>
        <v>A</v>
      </c>
    </row>
    <row r="245" spans="1:14" x14ac:dyDescent="0.25">
      <c r="A245" s="1" t="s">
        <v>343</v>
      </c>
      <c r="B245" s="3">
        <v>514</v>
      </c>
      <c r="C245" s="1">
        <v>1</v>
      </c>
      <c r="D245" s="1">
        <v>0</v>
      </c>
      <c r="E245">
        <f t="shared" si="12"/>
        <v>514</v>
      </c>
      <c r="G245" s="9" t="s">
        <v>1107</v>
      </c>
      <c r="H245" s="10">
        <v>78</v>
      </c>
      <c r="J245" t="s">
        <v>1013</v>
      </c>
      <c r="K245">
        <v>449</v>
      </c>
      <c r="L245" s="11">
        <f t="shared" si="13"/>
        <v>1.2198032887549232E-3</v>
      </c>
      <c r="M245" s="11">
        <f t="shared" si="15"/>
        <v>0.7080332895836946</v>
      </c>
      <c r="N245" t="str">
        <f t="shared" si="14"/>
        <v>A</v>
      </c>
    </row>
    <row r="246" spans="1:14" x14ac:dyDescent="0.25">
      <c r="A246" s="1" t="s">
        <v>344</v>
      </c>
      <c r="B246" s="3">
        <v>87</v>
      </c>
      <c r="C246" s="1">
        <v>1</v>
      </c>
      <c r="D246" s="1">
        <v>0</v>
      </c>
      <c r="E246">
        <f t="shared" si="12"/>
        <v>87</v>
      </c>
      <c r="G246" s="9" t="s">
        <v>309</v>
      </c>
      <c r="H246" s="10">
        <v>717</v>
      </c>
      <c r="J246" t="s">
        <v>524</v>
      </c>
      <c r="K246">
        <v>448</v>
      </c>
      <c r="L246" s="11">
        <f t="shared" si="13"/>
        <v>1.2170865776441105E-3</v>
      </c>
      <c r="M246" s="11">
        <f t="shared" si="15"/>
        <v>0.70925037616133868</v>
      </c>
      <c r="N246" t="str">
        <f t="shared" si="14"/>
        <v>A</v>
      </c>
    </row>
    <row r="247" spans="1:14" x14ac:dyDescent="0.25">
      <c r="A247" s="1" t="s">
        <v>346</v>
      </c>
      <c r="B247" s="3">
        <v>84</v>
      </c>
      <c r="C247" s="1">
        <v>1</v>
      </c>
      <c r="D247" s="1">
        <v>12.34</v>
      </c>
      <c r="E247">
        <f t="shared" si="12"/>
        <v>71.66</v>
      </c>
      <c r="G247" s="9" t="s">
        <v>1025</v>
      </c>
      <c r="H247" s="10">
        <v>2123</v>
      </c>
      <c r="J247" t="s">
        <v>903</v>
      </c>
      <c r="K247">
        <v>448</v>
      </c>
      <c r="L247" s="11">
        <f t="shared" si="13"/>
        <v>1.2170865776441105E-3</v>
      </c>
      <c r="M247" s="11">
        <f t="shared" si="15"/>
        <v>0.71046746273898276</v>
      </c>
      <c r="N247" t="str">
        <f t="shared" si="14"/>
        <v>A</v>
      </c>
    </row>
    <row r="248" spans="1:14" x14ac:dyDescent="0.25">
      <c r="A248" s="1" t="s">
        <v>346</v>
      </c>
      <c r="B248" s="3">
        <v>84</v>
      </c>
      <c r="C248" s="1">
        <v>2</v>
      </c>
      <c r="D248" s="1">
        <v>24.66</v>
      </c>
      <c r="E248">
        <f t="shared" si="12"/>
        <v>143.34</v>
      </c>
      <c r="G248" s="9" t="s">
        <v>681</v>
      </c>
      <c r="H248" s="10">
        <v>452</v>
      </c>
      <c r="J248" t="s">
        <v>757</v>
      </c>
      <c r="K248">
        <v>447</v>
      </c>
      <c r="L248" s="11">
        <f t="shared" si="13"/>
        <v>1.2143698665332977E-3</v>
      </c>
      <c r="M248" s="11">
        <f t="shared" si="15"/>
        <v>0.7116818326055161</v>
      </c>
      <c r="N248" t="str">
        <f t="shared" si="14"/>
        <v>A</v>
      </c>
    </row>
    <row r="249" spans="1:14" x14ac:dyDescent="0.25">
      <c r="A249" s="1" t="s">
        <v>348</v>
      </c>
      <c r="B249" s="3">
        <v>458</v>
      </c>
      <c r="C249" s="1">
        <v>1</v>
      </c>
      <c r="D249" s="1">
        <v>0</v>
      </c>
      <c r="E249">
        <f t="shared" si="12"/>
        <v>458</v>
      </c>
      <c r="G249" s="9" t="s">
        <v>550</v>
      </c>
      <c r="H249" s="10">
        <v>1254</v>
      </c>
      <c r="J249" t="s">
        <v>299</v>
      </c>
      <c r="K249">
        <v>447</v>
      </c>
      <c r="L249" s="11">
        <f t="shared" si="13"/>
        <v>1.2143698665332977E-3</v>
      </c>
      <c r="M249" s="11">
        <f t="shared" si="15"/>
        <v>0.71289620247204943</v>
      </c>
      <c r="N249" t="str">
        <f t="shared" si="14"/>
        <v>A</v>
      </c>
    </row>
    <row r="250" spans="1:14" x14ac:dyDescent="0.25">
      <c r="A250" s="1" t="s">
        <v>350</v>
      </c>
      <c r="B250" s="3">
        <v>393</v>
      </c>
      <c r="C250" s="1">
        <v>1</v>
      </c>
      <c r="D250" s="1">
        <v>0</v>
      </c>
      <c r="E250">
        <f t="shared" si="12"/>
        <v>393</v>
      </c>
      <c r="G250" s="9" t="s">
        <v>652</v>
      </c>
      <c r="H250" s="10">
        <v>425</v>
      </c>
      <c r="J250" t="s">
        <v>627</v>
      </c>
      <c r="K250">
        <v>446</v>
      </c>
      <c r="L250" s="11">
        <f t="shared" si="13"/>
        <v>1.211653155422485E-3</v>
      </c>
      <c r="M250" s="11">
        <f t="shared" si="15"/>
        <v>0.71410785562747192</v>
      </c>
      <c r="N250" t="str">
        <f t="shared" si="14"/>
        <v>A</v>
      </c>
    </row>
    <row r="251" spans="1:14" x14ac:dyDescent="0.25">
      <c r="A251" s="1" t="s">
        <v>351</v>
      </c>
      <c r="B251" s="3">
        <v>996.23</v>
      </c>
      <c r="C251" s="1">
        <v>1</v>
      </c>
      <c r="D251" s="1">
        <v>0</v>
      </c>
      <c r="E251">
        <f t="shared" si="12"/>
        <v>996.23</v>
      </c>
      <c r="G251" s="9" t="s">
        <v>593</v>
      </c>
      <c r="H251" s="10">
        <v>636</v>
      </c>
      <c r="J251" t="s">
        <v>1144</v>
      </c>
      <c r="K251">
        <v>445</v>
      </c>
      <c r="L251" s="11">
        <f t="shared" si="13"/>
        <v>1.2089364443116724E-3</v>
      </c>
      <c r="M251" s="11">
        <f t="shared" si="15"/>
        <v>0.71531679207178356</v>
      </c>
      <c r="N251" t="str">
        <f t="shared" si="14"/>
        <v>A</v>
      </c>
    </row>
    <row r="252" spans="1:14" x14ac:dyDescent="0.25">
      <c r="A252" s="1" t="s">
        <v>353</v>
      </c>
      <c r="B252" s="3">
        <v>364</v>
      </c>
      <c r="C252" s="1">
        <v>0.7</v>
      </c>
      <c r="D252" s="1">
        <v>0</v>
      </c>
      <c r="E252">
        <f t="shared" si="12"/>
        <v>254.79999999999998</v>
      </c>
      <c r="G252" s="9" t="s">
        <v>1052</v>
      </c>
      <c r="H252" s="10">
        <v>1047</v>
      </c>
      <c r="J252" t="s">
        <v>1010</v>
      </c>
      <c r="K252">
        <v>444</v>
      </c>
      <c r="L252" s="11">
        <f t="shared" si="13"/>
        <v>1.2062197332008595E-3</v>
      </c>
      <c r="M252" s="11">
        <f t="shared" si="15"/>
        <v>0.71652301180498446</v>
      </c>
      <c r="N252" t="str">
        <f t="shared" si="14"/>
        <v>A</v>
      </c>
    </row>
    <row r="253" spans="1:14" x14ac:dyDescent="0.25">
      <c r="A253" s="1" t="s">
        <v>355</v>
      </c>
      <c r="B253" s="3">
        <v>16</v>
      </c>
      <c r="C253" s="1">
        <v>1</v>
      </c>
      <c r="D253" s="1">
        <v>0</v>
      </c>
      <c r="E253">
        <f t="shared" si="12"/>
        <v>16</v>
      </c>
      <c r="G253" s="9" t="s">
        <v>950</v>
      </c>
      <c r="H253" s="10">
        <v>1145</v>
      </c>
      <c r="J253" t="s">
        <v>295</v>
      </c>
      <c r="K253">
        <v>441</v>
      </c>
      <c r="L253" s="11">
        <f t="shared" si="13"/>
        <v>1.1980695998684214E-3</v>
      </c>
      <c r="M253" s="11">
        <f t="shared" si="15"/>
        <v>0.71772108140485291</v>
      </c>
      <c r="N253" t="str">
        <f t="shared" si="14"/>
        <v>A</v>
      </c>
    </row>
    <row r="254" spans="1:14" x14ac:dyDescent="0.25">
      <c r="A254" s="1" t="s">
        <v>356</v>
      </c>
      <c r="B254" s="3">
        <v>39</v>
      </c>
      <c r="C254" s="1">
        <v>1</v>
      </c>
      <c r="D254" s="1">
        <v>0</v>
      </c>
      <c r="E254">
        <f t="shared" si="12"/>
        <v>39</v>
      </c>
      <c r="G254" s="9" t="s">
        <v>127</v>
      </c>
      <c r="H254" s="10">
        <v>952</v>
      </c>
      <c r="J254" t="s">
        <v>337</v>
      </c>
      <c r="K254">
        <v>439</v>
      </c>
      <c r="L254" s="11">
        <f t="shared" si="13"/>
        <v>1.1926361776467959E-3</v>
      </c>
      <c r="M254" s="11">
        <f t="shared" si="15"/>
        <v>0.71891371758249967</v>
      </c>
      <c r="N254" t="str">
        <f t="shared" si="14"/>
        <v>A</v>
      </c>
    </row>
    <row r="255" spans="1:14" x14ac:dyDescent="0.25">
      <c r="A255" s="1" t="s">
        <v>358</v>
      </c>
      <c r="B255" s="3">
        <v>41</v>
      </c>
      <c r="C255" s="1">
        <v>1</v>
      </c>
      <c r="D255" s="1">
        <v>0</v>
      </c>
      <c r="E255">
        <f t="shared" si="12"/>
        <v>41</v>
      </c>
      <c r="G255" s="9" t="s">
        <v>255</v>
      </c>
      <c r="H255" s="10">
        <v>115</v>
      </c>
      <c r="J255" t="s">
        <v>1047</v>
      </c>
      <c r="K255">
        <v>439</v>
      </c>
      <c r="L255" s="11">
        <f t="shared" si="13"/>
        <v>1.1926361776467959E-3</v>
      </c>
      <c r="M255" s="11">
        <f t="shared" si="15"/>
        <v>0.72010635376014642</v>
      </c>
      <c r="N255" t="str">
        <f t="shared" si="14"/>
        <v>A</v>
      </c>
    </row>
    <row r="256" spans="1:14" x14ac:dyDescent="0.25">
      <c r="A256" s="1" t="s">
        <v>356</v>
      </c>
      <c r="B256" s="3">
        <v>38</v>
      </c>
      <c r="C256" s="1">
        <v>1</v>
      </c>
      <c r="D256" s="1">
        <v>0</v>
      </c>
      <c r="E256">
        <f t="shared" si="12"/>
        <v>38</v>
      </c>
      <c r="G256" s="9" t="s">
        <v>1039</v>
      </c>
      <c r="H256" s="10">
        <v>524</v>
      </c>
      <c r="J256" t="s">
        <v>408</v>
      </c>
      <c r="K256">
        <v>438</v>
      </c>
      <c r="L256" s="11">
        <f t="shared" si="13"/>
        <v>1.189919466535983E-3</v>
      </c>
      <c r="M256" s="11">
        <f t="shared" si="15"/>
        <v>0.72129627322668244</v>
      </c>
      <c r="N256" t="str">
        <f t="shared" si="14"/>
        <v>A</v>
      </c>
    </row>
    <row r="257" spans="1:14" x14ac:dyDescent="0.25">
      <c r="A257" s="1" t="s">
        <v>248</v>
      </c>
      <c r="B257" s="3">
        <v>222</v>
      </c>
      <c r="C257" s="1">
        <v>1</v>
      </c>
      <c r="D257" s="1">
        <v>0</v>
      </c>
      <c r="E257">
        <f t="shared" si="12"/>
        <v>222</v>
      </c>
      <c r="G257" s="9" t="s">
        <v>707</v>
      </c>
      <c r="H257" s="10">
        <v>589</v>
      </c>
      <c r="J257" t="s">
        <v>520</v>
      </c>
      <c r="K257">
        <v>438</v>
      </c>
      <c r="L257" s="11">
        <f t="shared" si="13"/>
        <v>1.189919466535983E-3</v>
      </c>
      <c r="M257" s="11">
        <f t="shared" si="15"/>
        <v>0.72248619269321845</v>
      </c>
      <c r="N257" t="str">
        <f t="shared" si="14"/>
        <v>A</v>
      </c>
    </row>
    <row r="258" spans="1:14" x14ac:dyDescent="0.25">
      <c r="A258" s="1" t="s">
        <v>359</v>
      </c>
      <c r="B258" s="3">
        <v>245</v>
      </c>
      <c r="C258" s="1">
        <v>1</v>
      </c>
      <c r="D258" s="1">
        <v>0</v>
      </c>
      <c r="E258">
        <f t="shared" si="12"/>
        <v>245</v>
      </c>
      <c r="G258" s="9" t="s">
        <v>548</v>
      </c>
      <c r="H258" s="10">
        <v>2703.89</v>
      </c>
      <c r="J258" t="s">
        <v>598</v>
      </c>
      <c r="K258">
        <v>436</v>
      </c>
      <c r="L258" s="11">
        <f t="shared" si="13"/>
        <v>1.1844860443143575E-3</v>
      </c>
      <c r="M258" s="11">
        <f t="shared" si="15"/>
        <v>0.72367067873753277</v>
      </c>
      <c r="N258" t="str">
        <f t="shared" si="14"/>
        <v>A</v>
      </c>
    </row>
    <row r="259" spans="1:14" x14ac:dyDescent="0.25">
      <c r="A259" s="1" t="s">
        <v>361</v>
      </c>
      <c r="B259" s="3">
        <v>203</v>
      </c>
      <c r="C259" s="1">
        <v>1</v>
      </c>
      <c r="D259" s="1">
        <v>10</v>
      </c>
      <c r="E259">
        <f t="shared" ref="E259:E322" si="16">C259*B259-D259</f>
        <v>193</v>
      </c>
      <c r="G259" s="9" t="s">
        <v>1174</v>
      </c>
      <c r="H259" s="10">
        <v>339</v>
      </c>
      <c r="J259" t="s">
        <v>232</v>
      </c>
      <c r="K259">
        <v>435</v>
      </c>
      <c r="L259" s="11">
        <f t="shared" ref="L259:L322" si="17">K259/SUM($K$2:$K$804)</f>
        <v>1.1817693332035449E-3</v>
      </c>
      <c r="M259" s="11">
        <f t="shared" si="15"/>
        <v>0.72485244807073634</v>
      </c>
      <c r="N259" t="str">
        <f t="shared" ref="N259:N322" si="18">IF(M259&lt;0.8, "A", IF(M259&lt;0.95,"B","C"))</f>
        <v>A</v>
      </c>
    </row>
    <row r="260" spans="1:14" x14ac:dyDescent="0.25">
      <c r="A260" s="1" t="s">
        <v>361</v>
      </c>
      <c r="B260" s="3">
        <v>203</v>
      </c>
      <c r="C260" s="1">
        <v>1</v>
      </c>
      <c r="D260" s="1">
        <v>10</v>
      </c>
      <c r="E260">
        <f t="shared" si="16"/>
        <v>193</v>
      </c>
      <c r="G260" s="9" t="s">
        <v>54</v>
      </c>
      <c r="H260" s="10">
        <v>553</v>
      </c>
      <c r="J260" t="s">
        <v>177</v>
      </c>
      <c r="K260">
        <v>432</v>
      </c>
      <c r="L260" s="11">
        <f t="shared" si="17"/>
        <v>1.1736191998711065E-3</v>
      </c>
      <c r="M260" s="11">
        <f t="shared" ref="M260:M323" si="19">L260+M259</f>
        <v>0.72602606727060748</v>
      </c>
      <c r="N260" t="str">
        <f t="shared" si="18"/>
        <v>A</v>
      </c>
    </row>
    <row r="261" spans="1:14" x14ac:dyDescent="0.25">
      <c r="A261" s="1" t="s">
        <v>362</v>
      </c>
      <c r="B261" s="3">
        <v>207</v>
      </c>
      <c r="C261" s="1">
        <v>1</v>
      </c>
      <c r="D261" s="1">
        <v>10</v>
      </c>
      <c r="E261">
        <f t="shared" si="16"/>
        <v>197</v>
      </c>
      <c r="G261" s="9" t="s">
        <v>966</v>
      </c>
      <c r="H261" s="10">
        <v>76</v>
      </c>
      <c r="J261" t="s">
        <v>1054</v>
      </c>
      <c r="K261">
        <v>432</v>
      </c>
      <c r="L261" s="11">
        <f t="shared" si="17"/>
        <v>1.1736191998711065E-3</v>
      </c>
      <c r="M261" s="11">
        <f t="shared" si="19"/>
        <v>0.72719968647047861</v>
      </c>
      <c r="N261" t="str">
        <f t="shared" si="18"/>
        <v>A</v>
      </c>
    </row>
    <row r="262" spans="1:14" x14ac:dyDescent="0.25">
      <c r="A262" s="1" t="s">
        <v>363</v>
      </c>
      <c r="B262" s="3">
        <v>678</v>
      </c>
      <c r="C262" s="1">
        <v>1</v>
      </c>
      <c r="D262" s="1">
        <v>20</v>
      </c>
      <c r="E262">
        <f t="shared" si="16"/>
        <v>658</v>
      </c>
      <c r="G262" s="9" t="s">
        <v>398</v>
      </c>
      <c r="H262" s="10">
        <v>78</v>
      </c>
      <c r="J262" t="s">
        <v>316</v>
      </c>
      <c r="K262">
        <v>432</v>
      </c>
      <c r="L262" s="11">
        <f t="shared" si="17"/>
        <v>1.1736191998711065E-3</v>
      </c>
      <c r="M262" s="11">
        <f t="shared" si="19"/>
        <v>0.72837330567034975</v>
      </c>
      <c r="N262" t="str">
        <f t="shared" si="18"/>
        <v>A</v>
      </c>
    </row>
    <row r="263" spans="1:14" x14ac:dyDescent="0.25">
      <c r="A263" s="1" t="s">
        <v>364</v>
      </c>
      <c r="B263" s="3">
        <v>164</v>
      </c>
      <c r="C263" s="1">
        <v>1</v>
      </c>
      <c r="D263" s="1">
        <v>16</v>
      </c>
      <c r="E263">
        <f t="shared" si="16"/>
        <v>148</v>
      </c>
      <c r="G263" s="9" t="s">
        <v>401</v>
      </c>
      <c r="H263" s="10">
        <v>176</v>
      </c>
      <c r="J263" t="s">
        <v>769</v>
      </c>
      <c r="K263">
        <v>431</v>
      </c>
      <c r="L263" s="11">
        <f t="shared" si="17"/>
        <v>1.1709024887602939E-3</v>
      </c>
      <c r="M263" s="11">
        <f t="shared" si="19"/>
        <v>0.72954420815911003</v>
      </c>
      <c r="N263" t="str">
        <f t="shared" si="18"/>
        <v>A</v>
      </c>
    </row>
    <row r="264" spans="1:14" x14ac:dyDescent="0.25">
      <c r="A264" s="1" t="s">
        <v>366</v>
      </c>
      <c r="B264" s="3">
        <v>60</v>
      </c>
      <c r="C264" s="1">
        <v>1</v>
      </c>
      <c r="D264" s="1">
        <v>4</v>
      </c>
      <c r="E264">
        <f t="shared" si="16"/>
        <v>56</v>
      </c>
      <c r="G264" s="9" t="s">
        <v>1012</v>
      </c>
      <c r="H264" s="10">
        <v>200</v>
      </c>
      <c r="J264" t="s">
        <v>1145</v>
      </c>
      <c r="K264">
        <v>431</v>
      </c>
      <c r="L264" s="11">
        <f t="shared" si="17"/>
        <v>1.1709024887602939E-3</v>
      </c>
      <c r="M264" s="11">
        <f t="shared" si="19"/>
        <v>0.73071511064787031</v>
      </c>
      <c r="N264" t="str">
        <f t="shared" si="18"/>
        <v>A</v>
      </c>
    </row>
    <row r="265" spans="1:14" x14ac:dyDescent="0.25">
      <c r="A265" s="1" t="s">
        <v>367</v>
      </c>
      <c r="B265" s="3">
        <v>40</v>
      </c>
      <c r="C265" s="1">
        <v>1</v>
      </c>
      <c r="D265" s="1">
        <v>4</v>
      </c>
      <c r="E265">
        <f t="shared" si="16"/>
        <v>36</v>
      </c>
      <c r="G265" s="9" t="s">
        <v>1130</v>
      </c>
      <c r="H265" s="10">
        <v>255</v>
      </c>
      <c r="J265" t="s">
        <v>1161</v>
      </c>
      <c r="K265">
        <v>428</v>
      </c>
      <c r="L265" s="11">
        <f t="shared" si="17"/>
        <v>1.1627523554278555E-3</v>
      </c>
      <c r="M265" s="11">
        <f t="shared" si="19"/>
        <v>0.73187786300329816</v>
      </c>
      <c r="N265" t="str">
        <f t="shared" si="18"/>
        <v>A</v>
      </c>
    </row>
    <row r="266" spans="1:14" x14ac:dyDescent="0.25">
      <c r="A266" s="1" t="s">
        <v>368</v>
      </c>
      <c r="B266" s="3">
        <v>566</v>
      </c>
      <c r="C266" s="1">
        <v>1</v>
      </c>
      <c r="D266" s="1">
        <v>39</v>
      </c>
      <c r="E266">
        <f t="shared" si="16"/>
        <v>527</v>
      </c>
      <c r="G266" s="9" t="s">
        <v>1055</v>
      </c>
      <c r="H266" s="10">
        <v>278</v>
      </c>
      <c r="J266" t="s">
        <v>1020</v>
      </c>
      <c r="K266">
        <v>426</v>
      </c>
      <c r="L266" s="11">
        <f t="shared" si="17"/>
        <v>1.15731893320623E-3</v>
      </c>
      <c r="M266" s="11">
        <f t="shared" si="19"/>
        <v>0.73303518193650441</v>
      </c>
      <c r="N266" t="str">
        <f t="shared" si="18"/>
        <v>A</v>
      </c>
    </row>
    <row r="267" spans="1:14" x14ac:dyDescent="0.25">
      <c r="A267" s="1" t="s">
        <v>369</v>
      </c>
      <c r="B267" s="3">
        <v>519</v>
      </c>
      <c r="C267" s="1">
        <v>1</v>
      </c>
      <c r="D267" s="1">
        <v>51</v>
      </c>
      <c r="E267">
        <f t="shared" si="16"/>
        <v>468</v>
      </c>
      <c r="G267" s="9" t="s">
        <v>655</v>
      </c>
      <c r="H267" s="10">
        <v>141</v>
      </c>
      <c r="J267" t="s">
        <v>853</v>
      </c>
      <c r="K267">
        <v>425</v>
      </c>
      <c r="L267" s="11">
        <f t="shared" si="17"/>
        <v>1.1546022220954174E-3</v>
      </c>
      <c r="M267" s="11">
        <f t="shared" si="19"/>
        <v>0.73418978415859981</v>
      </c>
      <c r="N267" t="str">
        <f t="shared" si="18"/>
        <v>A</v>
      </c>
    </row>
    <row r="268" spans="1:14" x14ac:dyDescent="0.25">
      <c r="A268" s="1" t="s">
        <v>371</v>
      </c>
      <c r="B268" s="3">
        <v>185</v>
      </c>
      <c r="C268" s="1">
        <v>1</v>
      </c>
      <c r="D268" s="1">
        <v>12</v>
      </c>
      <c r="E268">
        <f t="shared" si="16"/>
        <v>173</v>
      </c>
      <c r="G268" s="9" t="s">
        <v>610</v>
      </c>
      <c r="H268" s="10">
        <v>141</v>
      </c>
      <c r="J268" t="s">
        <v>652</v>
      </c>
      <c r="K268">
        <v>425</v>
      </c>
      <c r="L268" s="11">
        <f t="shared" si="17"/>
        <v>1.1546022220954174E-3</v>
      </c>
      <c r="M268" s="11">
        <f t="shared" si="19"/>
        <v>0.73534438638069521</v>
      </c>
      <c r="N268" t="str">
        <f t="shared" si="18"/>
        <v>A</v>
      </c>
    </row>
    <row r="269" spans="1:14" x14ac:dyDescent="0.25">
      <c r="A269" s="1" t="s">
        <v>372</v>
      </c>
      <c r="B269" s="3">
        <v>1105</v>
      </c>
      <c r="C269" s="1">
        <v>1</v>
      </c>
      <c r="D269" s="1">
        <v>77</v>
      </c>
      <c r="E269">
        <f t="shared" si="16"/>
        <v>1028</v>
      </c>
      <c r="G269" s="9" t="s">
        <v>313</v>
      </c>
      <c r="H269" s="10">
        <v>133</v>
      </c>
      <c r="J269" t="s">
        <v>1125</v>
      </c>
      <c r="K269">
        <v>423</v>
      </c>
      <c r="L269" s="11">
        <f t="shared" si="17"/>
        <v>1.1491687998737919E-3</v>
      </c>
      <c r="M269" s="11">
        <f t="shared" si="19"/>
        <v>0.73649355518056903</v>
      </c>
      <c r="N269" t="str">
        <f t="shared" si="18"/>
        <v>A</v>
      </c>
    </row>
    <row r="270" spans="1:14" x14ac:dyDescent="0.25">
      <c r="A270" s="1" t="s">
        <v>373</v>
      </c>
      <c r="B270" s="3">
        <v>2151</v>
      </c>
      <c r="C270" s="1">
        <v>0.33333333999999998</v>
      </c>
      <c r="D270" s="1">
        <v>50</v>
      </c>
      <c r="E270">
        <f t="shared" si="16"/>
        <v>667.00001434000001</v>
      </c>
      <c r="G270" s="9" t="s">
        <v>238</v>
      </c>
      <c r="H270" s="10">
        <v>720</v>
      </c>
      <c r="J270" t="s">
        <v>99</v>
      </c>
      <c r="K270">
        <v>423</v>
      </c>
      <c r="L270" s="11">
        <f t="shared" si="17"/>
        <v>1.1491687998737919E-3</v>
      </c>
      <c r="M270" s="11">
        <f t="shared" si="19"/>
        <v>0.73764272398044284</v>
      </c>
      <c r="N270" t="str">
        <f t="shared" si="18"/>
        <v>A</v>
      </c>
    </row>
    <row r="271" spans="1:14" x14ac:dyDescent="0.25">
      <c r="A271" s="1" t="s">
        <v>375</v>
      </c>
      <c r="B271" s="3">
        <v>4</v>
      </c>
      <c r="C271" s="1">
        <v>24</v>
      </c>
      <c r="D271" s="1">
        <v>0</v>
      </c>
      <c r="E271">
        <f t="shared" si="16"/>
        <v>96</v>
      </c>
      <c r="G271" s="9" t="s">
        <v>330</v>
      </c>
      <c r="H271" s="10">
        <v>102</v>
      </c>
      <c r="J271" t="s">
        <v>1195</v>
      </c>
      <c r="K271">
        <v>419</v>
      </c>
      <c r="L271" s="11">
        <f t="shared" si="17"/>
        <v>1.1383019554305409E-3</v>
      </c>
      <c r="M271" s="11">
        <f t="shared" si="19"/>
        <v>0.73878102593587336</v>
      </c>
      <c r="N271" t="str">
        <f t="shared" si="18"/>
        <v>A</v>
      </c>
    </row>
    <row r="272" spans="1:14" x14ac:dyDescent="0.25">
      <c r="A272" s="1" t="s">
        <v>376</v>
      </c>
      <c r="B272" s="3">
        <v>89</v>
      </c>
      <c r="C272" s="1">
        <v>1</v>
      </c>
      <c r="D272" s="1">
        <v>4</v>
      </c>
      <c r="E272">
        <f t="shared" si="16"/>
        <v>85</v>
      </c>
      <c r="G272" s="9" t="s">
        <v>460</v>
      </c>
      <c r="H272" s="10">
        <v>97</v>
      </c>
      <c r="J272" t="s">
        <v>175</v>
      </c>
      <c r="K272">
        <v>419</v>
      </c>
      <c r="L272" s="11">
        <f t="shared" si="17"/>
        <v>1.1383019554305409E-3</v>
      </c>
      <c r="M272" s="11">
        <f t="shared" si="19"/>
        <v>0.73991932789130388</v>
      </c>
      <c r="N272" t="str">
        <f t="shared" si="18"/>
        <v>A</v>
      </c>
    </row>
    <row r="273" spans="1:14" x14ac:dyDescent="0.25">
      <c r="A273" s="1" t="s">
        <v>376</v>
      </c>
      <c r="B273" s="3">
        <v>89</v>
      </c>
      <c r="C273" s="1">
        <v>1</v>
      </c>
      <c r="D273" s="1">
        <v>4</v>
      </c>
      <c r="E273">
        <f t="shared" si="16"/>
        <v>85</v>
      </c>
      <c r="G273" s="9" t="s">
        <v>1134</v>
      </c>
      <c r="H273" s="10">
        <v>240</v>
      </c>
      <c r="J273" t="s">
        <v>406</v>
      </c>
      <c r="K273">
        <v>418</v>
      </c>
      <c r="L273" s="11">
        <f t="shared" si="17"/>
        <v>1.135585244319728E-3</v>
      </c>
      <c r="M273" s="11">
        <f t="shared" si="19"/>
        <v>0.74105491313562366</v>
      </c>
      <c r="N273" t="str">
        <f t="shared" si="18"/>
        <v>A</v>
      </c>
    </row>
    <row r="274" spans="1:14" x14ac:dyDescent="0.25">
      <c r="A274" s="1" t="s">
        <v>377</v>
      </c>
      <c r="B274" s="3">
        <v>44</v>
      </c>
      <c r="C274" s="1">
        <v>1</v>
      </c>
      <c r="D274" s="1">
        <v>2</v>
      </c>
      <c r="E274">
        <f t="shared" si="16"/>
        <v>42</v>
      </c>
      <c r="G274" s="9" t="s">
        <v>125</v>
      </c>
      <c r="H274" s="10">
        <v>2217</v>
      </c>
      <c r="J274" t="s">
        <v>464</v>
      </c>
      <c r="K274">
        <v>418</v>
      </c>
      <c r="L274" s="11">
        <f t="shared" si="17"/>
        <v>1.135585244319728E-3</v>
      </c>
      <c r="M274" s="11">
        <f t="shared" si="19"/>
        <v>0.74219049837994344</v>
      </c>
      <c r="N274" t="str">
        <f t="shared" si="18"/>
        <v>A</v>
      </c>
    </row>
    <row r="275" spans="1:14" x14ac:dyDescent="0.25">
      <c r="A275" s="1" t="s">
        <v>377</v>
      </c>
      <c r="B275" s="3">
        <v>44</v>
      </c>
      <c r="C275" s="1">
        <v>1</v>
      </c>
      <c r="D275" s="1">
        <v>2</v>
      </c>
      <c r="E275">
        <f t="shared" si="16"/>
        <v>42</v>
      </c>
      <c r="G275" s="9" t="s">
        <v>578</v>
      </c>
      <c r="H275" s="10">
        <v>218</v>
      </c>
      <c r="J275" t="s">
        <v>589</v>
      </c>
      <c r="K275">
        <v>417</v>
      </c>
      <c r="L275" s="11">
        <f t="shared" si="17"/>
        <v>1.1328685332089154E-3</v>
      </c>
      <c r="M275" s="11">
        <f t="shared" si="19"/>
        <v>0.74332336691315237</v>
      </c>
      <c r="N275" t="str">
        <f t="shared" si="18"/>
        <v>A</v>
      </c>
    </row>
    <row r="276" spans="1:14" x14ac:dyDescent="0.25">
      <c r="A276" s="1" t="s">
        <v>378</v>
      </c>
      <c r="B276" s="3">
        <v>40</v>
      </c>
      <c r="C276" s="1">
        <v>1</v>
      </c>
      <c r="D276" s="1">
        <v>2</v>
      </c>
      <c r="E276">
        <f t="shared" si="16"/>
        <v>38</v>
      </c>
      <c r="G276" s="9" t="s">
        <v>874</v>
      </c>
      <c r="H276" s="10">
        <v>109</v>
      </c>
      <c r="J276" t="s">
        <v>275</v>
      </c>
      <c r="K276">
        <v>414</v>
      </c>
      <c r="L276" s="11">
        <f t="shared" si="17"/>
        <v>1.1247183998764772E-3</v>
      </c>
      <c r="M276" s="11">
        <f t="shared" si="19"/>
        <v>0.74444808531302886</v>
      </c>
      <c r="N276" t="str">
        <f t="shared" si="18"/>
        <v>A</v>
      </c>
    </row>
    <row r="277" spans="1:14" x14ac:dyDescent="0.25">
      <c r="A277" s="1" t="s">
        <v>378</v>
      </c>
      <c r="B277" s="3">
        <v>40</v>
      </c>
      <c r="C277" s="1">
        <v>1</v>
      </c>
      <c r="D277" s="1">
        <v>2</v>
      </c>
      <c r="E277">
        <f t="shared" si="16"/>
        <v>38</v>
      </c>
      <c r="G277" s="9" t="s">
        <v>387</v>
      </c>
      <c r="H277" s="10">
        <v>64</v>
      </c>
      <c r="J277" t="s">
        <v>813</v>
      </c>
      <c r="K277">
        <v>409</v>
      </c>
      <c r="L277" s="11">
        <f t="shared" si="17"/>
        <v>1.1111348443224134E-3</v>
      </c>
      <c r="M277" s="11">
        <f t="shared" si="19"/>
        <v>0.74555922015735132</v>
      </c>
      <c r="N277" t="str">
        <f t="shared" si="18"/>
        <v>A</v>
      </c>
    </row>
    <row r="278" spans="1:14" x14ac:dyDescent="0.25">
      <c r="A278" s="1" t="s">
        <v>379</v>
      </c>
      <c r="B278" s="3">
        <v>76</v>
      </c>
      <c r="C278" s="1">
        <v>1</v>
      </c>
      <c r="D278" s="1">
        <v>5</v>
      </c>
      <c r="E278">
        <f t="shared" si="16"/>
        <v>71</v>
      </c>
      <c r="G278" s="9" t="s">
        <v>376</v>
      </c>
      <c r="H278" s="10">
        <v>178</v>
      </c>
      <c r="J278" t="s">
        <v>605</v>
      </c>
      <c r="K278">
        <v>408</v>
      </c>
      <c r="L278" s="11">
        <f t="shared" si="17"/>
        <v>1.1084181332116007E-3</v>
      </c>
      <c r="M278" s="11">
        <f t="shared" si="19"/>
        <v>0.74666763829056293</v>
      </c>
      <c r="N278" t="str">
        <f t="shared" si="18"/>
        <v>A</v>
      </c>
    </row>
    <row r="279" spans="1:14" x14ac:dyDescent="0.25">
      <c r="A279" s="1" t="s">
        <v>254</v>
      </c>
      <c r="B279" s="3">
        <v>58</v>
      </c>
      <c r="C279" s="1">
        <v>1</v>
      </c>
      <c r="D279" s="1">
        <v>4</v>
      </c>
      <c r="E279">
        <f t="shared" si="16"/>
        <v>54</v>
      </c>
      <c r="G279" s="9" t="s">
        <v>777</v>
      </c>
      <c r="H279" s="10">
        <v>120</v>
      </c>
      <c r="J279" t="s">
        <v>858</v>
      </c>
      <c r="K279">
        <v>407</v>
      </c>
      <c r="L279" s="11">
        <f t="shared" si="17"/>
        <v>1.1057014221007879E-3</v>
      </c>
      <c r="M279" s="11">
        <f t="shared" si="19"/>
        <v>0.74777333971266369</v>
      </c>
      <c r="N279" t="str">
        <f t="shared" si="18"/>
        <v>A</v>
      </c>
    </row>
    <row r="280" spans="1:14" x14ac:dyDescent="0.25">
      <c r="A280" s="1" t="s">
        <v>254</v>
      </c>
      <c r="B280" s="3">
        <v>58</v>
      </c>
      <c r="C280" s="1">
        <v>1</v>
      </c>
      <c r="D280" s="1">
        <v>4</v>
      </c>
      <c r="E280">
        <f t="shared" si="16"/>
        <v>54</v>
      </c>
      <c r="G280" s="9" t="s">
        <v>1081</v>
      </c>
      <c r="H280" s="10">
        <v>117</v>
      </c>
      <c r="J280" t="s">
        <v>475</v>
      </c>
      <c r="K280">
        <v>406</v>
      </c>
      <c r="L280" s="11">
        <f t="shared" si="17"/>
        <v>1.1029847109899752E-3</v>
      </c>
      <c r="M280" s="11">
        <f t="shared" si="19"/>
        <v>0.74887632442365371</v>
      </c>
      <c r="N280" t="str">
        <f t="shared" si="18"/>
        <v>A</v>
      </c>
    </row>
    <row r="281" spans="1:14" x14ac:dyDescent="0.25">
      <c r="A281" s="1" t="s">
        <v>381</v>
      </c>
      <c r="B281" s="3">
        <v>19</v>
      </c>
      <c r="C281" s="1">
        <v>1</v>
      </c>
      <c r="D281" s="1">
        <v>0</v>
      </c>
      <c r="E281">
        <f t="shared" si="16"/>
        <v>19</v>
      </c>
      <c r="G281" s="9" t="s">
        <v>518</v>
      </c>
      <c r="H281" s="10">
        <v>219</v>
      </c>
      <c r="J281" t="s">
        <v>131</v>
      </c>
      <c r="K281">
        <v>405</v>
      </c>
      <c r="L281" s="11">
        <f t="shared" si="17"/>
        <v>1.1002679998791624E-3</v>
      </c>
      <c r="M281" s="11">
        <f t="shared" si="19"/>
        <v>0.74997659242353287</v>
      </c>
      <c r="N281" t="str">
        <f t="shared" si="18"/>
        <v>A</v>
      </c>
    </row>
    <row r="282" spans="1:14" x14ac:dyDescent="0.25">
      <c r="A282" s="1" t="s">
        <v>382</v>
      </c>
      <c r="B282" s="3">
        <v>347</v>
      </c>
      <c r="C282" s="1">
        <v>1</v>
      </c>
      <c r="D282" s="1">
        <v>24</v>
      </c>
      <c r="E282">
        <f t="shared" si="16"/>
        <v>323</v>
      </c>
      <c r="G282" s="9" t="s">
        <v>425</v>
      </c>
      <c r="H282" s="10">
        <v>3697</v>
      </c>
      <c r="J282" t="s">
        <v>1048</v>
      </c>
      <c r="K282">
        <v>404</v>
      </c>
      <c r="L282" s="11">
        <f t="shared" si="17"/>
        <v>1.0975512887683497E-3</v>
      </c>
      <c r="M282" s="11">
        <f t="shared" si="19"/>
        <v>0.75107414371230119</v>
      </c>
      <c r="N282" t="str">
        <f t="shared" si="18"/>
        <v>A</v>
      </c>
    </row>
    <row r="283" spans="1:14" x14ac:dyDescent="0.25">
      <c r="A283" s="1" t="s">
        <v>383</v>
      </c>
      <c r="B283" s="3">
        <v>107</v>
      </c>
      <c r="C283" s="1">
        <v>1</v>
      </c>
      <c r="D283" s="1">
        <v>5</v>
      </c>
      <c r="E283">
        <f t="shared" si="16"/>
        <v>102</v>
      </c>
      <c r="G283" s="9" t="s">
        <v>657</v>
      </c>
      <c r="H283" s="10">
        <v>1219</v>
      </c>
      <c r="J283" t="s">
        <v>645</v>
      </c>
      <c r="K283">
        <v>404</v>
      </c>
      <c r="L283" s="11">
        <f t="shared" si="17"/>
        <v>1.0975512887683497E-3</v>
      </c>
      <c r="M283" s="11">
        <f t="shared" si="19"/>
        <v>0.75217169500106951</v>
      </c>
      <c r="N283" t="str">
        <f t="shared" si="18"/>
        <v>A</v>
      </c>
    </row>
    <row r="284" spans="1:14" x14ac:dyDescent="0.25">
      <c r="A284" s="1" t="s">
        <v>384</v>
      </c>
      <c r="B284" s="3">
        <v>1522</v>
      </c>
      <c r="C284" s="1">
        <v>1</v>
      </c>
      <c r="D284" s="1">
        <v>106</v>
      </c>
      <c r="E284">
        <f t="shared" si="16"/>
        <v>1416</v>
      </c>
      <c r="G284" s="9" t="s">
        <v>87</v>
      </c>
      <c r="H284" s="10">
        <v>106</v>
      </c>
      <c r="J284" t="s">
        <v>470</v>
      </c>
      <c r="K284">
        <v>403</v>
      </c>
      <c r="L284" s="11">
        <f t="shared" si="17"/>
        <v>1.0948345776575369E-3</v>
      </c>
      <c r="M284" s="11">
        <f t="shared" si="19"/>
        <v>0.75326652957872708</v>
      </c>
      <c r="N284" t="str">
        <f t="shared" si="18"/>
        <v>A</v>
      </c>
    </row>
    <row r="285" spans="1:14" x14ac:dyDescent="0.25">
      <c r="A285" s="1" t="s">
        <v>386</v>
      </c>
      <c r="B285" s="3">
        <v>37</v>
      </c>
      <c r="C285" s="1">
        <v>1</v>
      </c>
      <c r="D285" s="1">
        <v>1</v>
      </c>
      <c r="E285">
        <f t="shared" si="16"/>
        <v>36</v>
      </c>
      <c r="G285" s="9" t="s">
        <v>379</v>
      </c>
      <c r="H285" s="10">
        <v>152</v>
      </c>
      <c r="J285" t="s">
        <v>417</v>
      </c>
      <c r="K285">
        <v>403</v>
      </c>
      <c r="L285" s="11">
        <f t="shared" si="17"/>
        <v>1.0948345776575369E-3</v>
      </c>
      <c r="M285" s="11">
        <f t="shared" si="19"/>
        <v>0.75436136415638466</v>
      </c>
      <c r="N285" t="str">
        <f t="shared" si="18"/>
        <v>A</v>
      </c>
    </row>
    <row r="286" spans="1:14" x14ac:dyDescent="0.25">
      <c r="A286" s="1" t="s">
        <v>386</v>
      </c>
      <c r="B286" s="3">
        <v>37</v>
      </c>
      <c r="C286" s="1">
        <v>1</v>
      </c>
      <c r="D286" s="1">
        <v>1</v>
      </c>
      <c r="E286">
        <f t="shared" si="16"/>
        <v>36</v>
      </c>
      <c r="G286" s="9" t="s">
        <v>992</v>
      </c>
      <c r="H286" s="10">
        <v>222</v>
      </c>
      <c r="J286" t="s">
        <v>1064</v>
      </c>
      <c r="K286">
        <v>403</v>
      </c>
      <c r="L286" s="11">
        <f t="shared" si="17"/>
        <v>1.0948345776575369E-3</v>
      </c>
      <c r="M286" s="11">
        <f t="shared" si="19"/>
        <v>0.75545619873404224</v>
      </c>
      <c r="N286" t="str">
        <f t="shared" si="18"/>
        <v>A</v>
      </c>
    </row>
    <row r="287" spans="1:14" x14ac:dyDescent="0.25">
      <c r="A287" s="1" t="s">
        <v>387</v>
      </c>
      <c r="B287" s="3">
        <v>32</v>
      </c>
      <c r="C287" s="1">
        <v>1</v>
      </c>
      <c r="D287" s="1">
        <v>1</v>
      </c>
      <c r="E287">
        <f t="shared" si="16"/>
        <v>31</v>
      </c>
      <c r="G287" s="9" t="s">
        <v>926</v>
      </c>
      <c r="H287" s="10">
        <v>275</v>
      </c>
      <c r="J287" t="s">
        <v>1123</v>
      </c>
      <c r="K287">
        <v>402</v>
      </c>
      <c r="L287" s="11">
        <f t="shared" si="17"/>
        <v>1.0921178665467242E-3</v>
      </c>
      <c r="M287" s="11">
        <f t="shared" si="19"/>
        <v>0.75654831660058897</v>
      </c>
      <c r="N287" t="str">
        <f t="shared" si="18"/>
        <v>A</v>
      </c>
    </row>
    <row r="288" spans="1:14" x14ac:dyDescent="0.25">
      <c r="A288" s="1" t="s">
        <v>387</v>
      </c>
      <c r="B288" s="3">
        <v>32</v>
      </c>
      <c r="C288" s="1">
        <v>1</v>
      </c>
      <c r="D288" s="1">
        <v>1</v>
      </c>
      <c r="E288">
        <f t="shared" si="16"/>
        <v>31</v>
      </c>
      <c r="G288" s="9" t="s">
        <v>1022</v>
      </c>
      <c r="H288" s="10">
        <v>142</v>
      </c>
      <c r="J288" t="s">
        <v>449</v>
      </c>
      <c r="K288">
        <v>402</v>
      </c>
      <c r="L288" s="11">
        <f t="shared" si="17"/>
        <v>1.0921178665467242E-3</v>
      </c>
      <c r="M288" s="11">
        <f t="shared" si="19"/>
        <v>0.75764043446713569</v>
      </c>
      <c r="N288" t="str">
        <f t="shared" si="18"/>
        <v>A</v>
      </c>
    </row>
    <row r="289" spans="1:14" x14ac:dyDescent="0.25">
      <c r="A289" s="1" t="s">
        <v>389</v>
      </c>
      <c r="B289" s="3">
        <v>215</v>
      </c>
      <c r="C289" s="1">
        <v>1</v>
      </c>
      <c r="D289" s="1">
        <v>10</v>
      </c>
      <c r="E289">
        <f t="shared" si="16"/>
        <v>205</v>
      </c>
      <c r="G289" s="9" t="s">
        <v>976</v>
      </c>
      <c r="H289" s="10">
        <v>125</v>
      </c>
      <c r="J289" t="s">
        <v>870</v>
      </c>
      <c r="K289">
        <v>398</v>
      </c>
      <c r="L289" s="11">
        <f t="shared" si="17"/>
        <v>1.0812510221034732E-3</v>
      </c>
      <c r="M289" s="11">
        <f t="shared" si="19"/>
        <v>0.75872168548923913</v>
      </c>
      <c r="N289" t="str">
        <f t="shared" si="18"/>
        <v>A</v>
      </c>
    </row>
    <row r="290" spans="1:14" x14ac:dyDescent="0.25">
      <c r="A290" s="1" t="s">
        <v>390</v>
      </c>
      <c r="B290" s="3">
        <v>282</v>
      </c>
      <c r="C290" s="1">
        <v>1</v>
      </c>
      <c r="D290" s="1">
        <v>14</v>
      </c>
      <c r="E290">
        <f t="shared" si="16"/>
        <v>268</v>
      </c>
      <c r="G290" s="9" t="s">
        <v>137</v>
      </c>
      <c r="H290" s="10">
        <v>76</v>
      </c>
      <c r="J290" t="s">
        <v>267</v>
      </c>
      <c r="K290">
        <v>396</v>
      </c>
      <c r="L290" s="11">
        <f t="shared" si="17"/>
        <v>1.0758175998818477E-3</v>
      </c>
      <c r="M290" s="11">
        <f t="shared" si="19"/>
        <v>0.75979750308912097</v>
      </c>
      <c r="N290" t="str">
        <f t="shared" si="18"/>
        <v>A</v>
      </c>
    </row>
    <row r="291" spans="1:14" x14ac:dyDescent="0.25">
      <c r="A291" s="1" t="s">
        <v>392</v>
      </c>
      <c r="B291" s="3">
        <v>207</v>
      </c>
      <c r="C291" s="1">
        <v>1</v>
      </c>
      <c r="D291" s="1">
        <v>14</v>
      </c>
      <c r="E291">
        <f t="shared" si="16"/>
        <v>193</v>
      </c>
      <c r="G291" s="9" t="s">
        <v>1182</v>
      </c>
      <c r="H291" s="10">
        <v>376</v>
      </c>
      <c r="J291" t="s">
        <v>1059</v>
      </c>
      <c r="K291">
        <v>394</v>
      </c>
      <c r="L291" s="11">
        <f t="shared" si="17"/>
        <v>1.0703841776602222E-3</v>
      </c>
      <c r="M291" s="11">
        <f t="shared" si="19"/>
        <v>0.76086788726678123</v>
      </c>
      <c r="N291" t="str">
        <f t="shared" si="18"/>
        <v>A</v>
      </c>
    </row>
    <row r="292" spans="1:14" x14ac:dyDescent="0.25">
      <c r="A292" s="1" t="s">
        <v>392</v>
      </c>
      <c r="B292" s="3">
        <v>207</v>
      </c>
      <c r="C292" s="1">
        <v>1</v>
      </c>
      <c r="D292" s="1">
        <v>0</v>
      </c>
      <c r="E292">
        <f t="shared" si="16"/>
        <v>207</v>
      </c>
      <c r="G292" s="9" t="s">
        <v>775</v>
      </c>
      <c r="H292" s="10">
        <v>1257</v>
      </c>
      <c r="J292" t="s">
        <v>350</v>
      </c>
      <c r="K292">
        <v>393</v>
      </c>
      <c r="L292" s="11">
        <f t="shared" si="17"/>
        <v>1.0676674665494094E-3</v>
      </c>
      <c r="M292" s="11">
        <f t="shared" si="19"/>
        <v>0.76193555473333063</v>
      </c>
      <c r="N292" t="str">
        <f t="shared" si="18"/>
        <v>A</v>
      </c>
    </row>
    <row r="293" spans="1:14" x14ac:dyDescent="0.25">
      <c r="A293" s="1" t="s">
        <v>393</v>
      </c>
      <c r="B293" s="3">
        <v>106</v>
      </c>
      <c r="C293" s="1">
        <v>1</v>
      </c>
      <c r="D293" s="1">
        <v>12.63</v>
      </c>
      <c r="E293">
        <f t="shared" si="16"/>
        <v>93.37</v>
      </c>
      <c r="G293" s="9" t="s">
        <v>67</v>
      </c>
      <c r="H293" s="10">
        <v>533</v>
      </c>
      <c r="J293" t="s">
        <v>1183</v>
      </c>
      <c r="K293">
        <v>389</v>
      </c>
      <c r="L293" s="11">
        <f t="shared" si="17"/>
        <v>1.0568006221061586E-3</v>
      </c>
      <c r="M293" s="11">
        <f t="shared" si="19"/>
        <v>0.76299235535543675</v>
      </c>
      <c r="N293" t="str">
        <f t="shared" si="18"/>
        <v>A</v>
      </c>
    </row>
    <row r="294" spans="1:14" x14ac:dyDescent="0.25">
      <c r="A294" s="1" t="s">
        <v>395</v>
      </c>
      <c r="B294" s="3">
        <v>105</v>
      </c>
      <c r="C294" s="1">
        <v>1</v>
      </c>
      <c r="D294" s="1">
        <v>12.51</v>
      </c>
      <c r="E294">
        <f t="shared" si="16"/>
        <v>92.49</v>
      </c>
      <c r="G294" s="9" t="s">
        <v>666</v>
      </c>
      <c r="H294" s="10">
        <v>122</v>
      </c>
      <c r="J294" t="s">
        <v>692</v>
      </c>
      <c r="K294">
        <v>385</v>
      </c>
      <c r="L294" s="11">
        <f t="shared" si="17"/>
        <v>1.0459337776629076E-3</v>
      </c>
      <c r="M294" s="11">
        <f t="shared" si="19"/>
        <v>0.76403828913309968</v>
      </c>
      <c r="N294" t="str">
        <f t="shared" si="18"/>
        <v>A</v>
      </c>
    </row>
    <row r="295" spans="1:14" x14ac:dyDescent="0.25">
      <c r="A295" s="1" t="s">
        <v>397</v>
      </c>
      <c r="B295" s="3">
        <v>175</v>
      </c>
      <c r="C295" s="1">
        <v>1</v>
      </c>
      <c r="D295" s="1">
        <v>20.86</v>
      </c>
      <c r="E295">
        <f t="shared" si="16"/>
        <v>154.13999999999999</v>
      </c>
      <c r="G295" s="9" t="s">
        <v>1185</v>
      </c>
      <c r="H295" s="10">
        <v>274</v>
      </c>
      <c r="J295" t="s">
        <v>798</v>
      </c>
      <c r="K295">
        <v>378</v>
      </c>
      <c r="L295" s="11">
        <f t="shared" si="17"/>
        <v>1.0269167998872182E-3</v>
      </c>
      <c r="M295" s="11">
        <f t="shared" si="19"/>
        <v>0.76506520593298688</v>
      </c>
      <c r="N295" t="str">
        <f t="shared" si="18"/>
        <v>A</v>
      </c>
    </row>
    <row r="296" spans="1:14" x14ac:dyDescent="0.25">
      <c r="A296" s="1" t="s">
        <v>331</v>
      </c>
      <c r="B296" s="3">
        <v>26</v>
      </c>
      <c r="C296" s="1">
        <v>1</v>
      </c>
      <c r="D296" s="1">
        <v>0</v>
      </c>
      <c r="E296">
        <f t="shared" si="16"/>
        <v>26</v>
      </c>
      <c r="G296" s="9" t="s">
        <v>378</v>
      </c>
      <c r="H296" s="10">
        <v>80</v>
      </c>
      <c r="J296" t="s">
        <v>285</v>
      </c>
      <c r="K296">
        <v>378</v>
      </c>
      <c r="L296" s="11">
        <f t="shared" si="17"/>
        <v>1.0269167998872182E-3</v>
      </c>
      <c r="M296" s="11">
        <f t="shared" si="19"/>
        <v>0.76609212273287408</v>
      </c>
      <c r="N296" t="str">
        <f t="shared" si="18"/>
        <v>A</v>
      </c>
    </row>
    <row r="297" spans="1:14" x14ac:dyDescent="0.25">
      <c r="A297" s="1" t="s">
        <v>331</v>
      </c>
      <c r="B297" s="3">
        <v>26</v>
      </c>
      <c r="C297" s="1">
        <v>1</v>
      </c>
      <c r="D297" s="1">
        <v>0</v>
      </c>
      <c r="E297">
        <f t="shared" si="16"/>
        <v>26</v>
      </c>
      <c r="G297" s="9" t="s">
        <v>384</v>
      </c>
      <c r="H297" s="10">
        <v>1522</v>
      </c>
      <c r="J297" t="s">
        <v>488</v>
      </c>
      <c r="K297">
        <v>377</v>
      </c>
      <c r="L297" s="11">
        <f t="shared" si="17"/>
        <v>1.0242000887764056E-3</v>
      </c>
      <c r="M297" s="11">
        <f t="shared" si="19"/>
        <v>0.76711632282165043</v>
      </c>
      <c r="N297" t="str">
        <f t="shared" si="18"/>
        <v>A</v>
      </c>
    </row>
    <row r="298" spans="1:14" x14ac:dyDescent="0.25">
      <c r="A298" s="1" t="s">
        <v>331</v>
      </c>
      <c r="B298" s="3">
        <v>26</v>
      </c>
      <c r="C298" s="1">
        <v>1</v>
      </c>
      <c r="D298" s="1">
        <v>0</v>
      </c>
      <c r="E298">
        <f t="shared" si="16"/>
        <v>26</v>
      </c>
      <c r="G298" s="9" t="s">
        <v>854</v>
      </c>
      <c r="H298" s="10">
        <v>1280</v>
      </c>
      <c r="J298" t="s">
        <v>1182</v>
      </c>
      <c r="K298">
        <v>376</v>
      </c>
      <c r="L298" s="11">
        <f t="shared" si="17"/>
        <v>1.0214833776655927E-3</v>
      </c>
      <c r="M298" s="11">
        <f t="shared" si="19"/>
        <v>0.76813780619931604</v>
      </c>
      <c r="N298" t="str">
        <f t="shared" si="18"/>
        <v>A</v>
      </c>
    </row>
    <row r="299" spans="1:14" x14ac:dyDescent="0.25">
      <c r="A299" s="1" t="s">
        <v>398</v>
      </c>
      <c r="B299" s="3">
        <v>78</v>
      </c>
      <c r="C299" s="1">
        <v>1</v>
      </c>
      <c r="D299" s="1">
        <v>0</v>
      </c>
      <c r="E299">
        <f t="shared" si="16"/>
        <v>78</v>
      </c>
      <c r="G299" s="9" t="s">
        <v>886</v>
      </c>
      <c r="H299" s="10">
        <v>824</v>
      </c>
      <c r="J299" t="s">
        <v>857</v>
      </c>
      <c r="K299">
        <v>376</v>
      </c>
      <c r="L299" s="11">
        <f t="shared" si="17"/>
        <v>1.0214833776655927E-3</v>
      </c>
      <c r="M299" s="11">
        <f t="shared" si="19"/>
        <v>0.76915928957698165</v>
      </c>
      <c r="N299" t="str">
        <f t="shared" si="18"/>
        <v>A</v>
      </c>
    </row>
    <row r="300" spans="1:14" x14ac:dyDescent="0.25">
      <c r="A300" s="1" t="s">
        <v>400</v>
      </c>
      <c r="B300" s="3">
        <v>149</v>
      </c>
      <c r="C300" s="1">
        <v>1</v>
      </c>
      <c r="D300" s="1">
        <v>0</v>
      </c>
      <c r="E300">
        <f t="shared" si="16"/>
        <v>149</v>
      </c>
      <c r="G300" s="9" t="s">
        <v>779</v>
      </c>
      <c r="H300" s="10">
        <v>355</v>
      </c>
      <c r="J300" t="s">
        <v>565</v>
      </c>
      <c r="K300">
        <v>376</v>
      </c>
      <c r="L300" s="11">
        <f t="shared" si="17"/>
        <v>1.0214833776655927E-3</v>
      </c>
      <c r="M300" s="11">
        <f t="shared" si="19"/>
        <v>0.77018077295464726</v>
      </c>
      <c r="N300" t="str">
        <f t="shared" si="18"/>
        <v>A</v>
      </c>
    </row>
    <row r="301" spans="1:14" x14ac:dyDescent="0.25">
      <c r="A301" s="1" t="s">
        <v>401</v>
      </c>
      <c r="B301" s="3">
        <v>176</v>
      </c>
      <c r="C301" s="1">
        <v>1</v>
      </c>
      <c r="D301" s="1">
        <v>0</v>
      </c>
      <c r="E301">
        <f t="shared" si="16"/>
        <v>176</v>
      </c>
      <c r="G301" s="9" t="s">
        <v>972</v>
      </c>
      <c r="H301" s="10">
        <v>88</v>
      </c>
      <c r="J301" t="s">
        <v>988</v>
      </c>
      <c r="K301">
        <v>375</v>
      </c>
      <c r="L301" s="11">
        <f t="shared" si="17"/>
        <v>1.0187666665547801E-3</v>
      </c>
      <c r="M301" s="11">
        <f t="shared" si="19"/>
        <v>0.77119953962120202</v>
      </c>
      <c r="N301" t="str">
        <f t="shared" si="18"/>
        <v>A</v>
      </c>
    </row>
    <row r="302" spans="1:14" x14ac:dyDescent="0.25">
      <c r="A302" s="1" t="s">
        <v>403</v>
      </c>
      <c r="B302" s="3">
        <v>17</v>
      </c>
      <c r="C302" s="1">
        <v>1</v>
      </c>
      <c r="D302" s="1">
        <v>1</v>
      </c>
      <c r="E302">
        <f t="shared" si="16"/>
        <v>16</v>
      </c>
      <c r="G302" s="9" t="s">
        <v>198</v>
      </c>
      <c r="H302" s="10">
        <v>268</v>
      </c>
      <c r="J302" t="s">
        <v>719</v>
      </c>
      <c r="K302">
        <v>372</v>
      </c>
      <c r="L302" s="11">
        <f t="shared" si="17"/>
        <v>1.0106165332223417E-3</v>
      </c>
      <c r="M302" s="11">
        <f t="shared" si="19"/>
        <v>0.77221015615442434</v>
      </c>
      <c r="N302" t="str">
        <f t="shared" si="18"/>
        <v>A</v>
      </c>
    </row>
    <row r="303" spans="1:14" x14ac:dyDescent="0.25">
      <c r="A303" s="1" t="s">
        <v>405</v>
      </c>
      <c r="B303" s="3">
        <v>24</v>
      </c>
      <c r="C303" s="1">
        <v>1</v>
      </c>
      <c r="D303" s="1">
        <v>2</v>
      </c>
      <c r="E303">
        <f t="shared" si="16"/>
        <v>22</v>
      </c>
      <c r="G303" s="9" t="s">
        <v>1070</v>
      </c>
      <c r="H303" s="10">
        <v>152.96</v>
      </c>
      <c r="J303" t="s">
        <v>155</v>
      </c>
      <c r="K303">
        <v>372</v>
      </c>
      <c r="L303" s="11">
        <f t="shared" si="17"/>
        <v>1.0106165332223417E-3</v>
      </c>
      <c r="M303" s="11">
        <f t="shared" si="19"/>
        <v>0.77322077268764666</v>
      </c>
      <c r="N303" t="str">
        <f t="shared" si="18"/>
        <v>A</v>
      </c>
    </row>
    <row r="304" spans="1:14" x14ac:dyDescent="0.25">
      <c r="A304" s="1" t="s">
        <v>405</v>
      </c>
      <c r="B304" s="3">
        <v>24</v>
      </c>
      <c r="C304" s="1">
        <v>1</v>
      </c>
      <c r="D304" s="1">
        <v>2</v>
      </c>
      <c r="E304">
        <f t="shared" si="16"/>
        <v>22</v>
      </c>
      <c r="G304" s="9" t="s">
        <v>1100</v>
      </c>
      <c r="H304" s="10">
        <v>129</v>
      </c>
      <c r="J304" t="s">
        <v>821</v>
      </c>
      <c r="K304">
        <v>372</v>
      </c>
      <c r="L304" s="11">
        <f t="shared" si="17"/>
        <v>1.0106165332223417E-3</v>
      </c>
      <c r="M304" s="11">
        <f t="shared" si="19"/>
        <v>0.77423138922086898</v>
      </c>
      <c r="N304" t="str">
        <f t="shared" si="18"/>
        <v>A</v>
      </c>
    </row>
    <row r="305" spans="1:14" x14ac:dyDescent="0.25">
      <c r="A305" s="1" t="s">
        <v>406</v>
      </c>
      <c r="B305" s="3">
        <v>418</v>
      </c>
      <c r="C305" s="1">
        <v>1</v>
      </c>
      <c r="D305" s="1">
        <v>41</v>
      </c>
      <c r="E305">
        <f t="shared" si="16"/>
        <v>377</v>
      </c>
      <c r="G305" s="9" t="s">
        <v>1177</v>
      </c>
      <c r="H305" s="10">
        <v>502</v>
      </c>
      <c r="J305" t="s">
        <v>529</v>
      </c>
      <c r="K305">
        <v>371</v>
      </c>
      <c r="L305" s="11">
        <f t="shared" si="17"/>
        <v>1.0078998221115291E-3</v>
      </c>
      <c r="M305" s="11">
        <f t="shared" si="19"/>
        <v>0.77523928904298056</v>
      </c>
      <c r="N305" t="str">
        <f t="shared" si="18"/>
        <v>A</v>
      </c>
    </row>
    <row r="306" spans="1:14" x14ac:dyDescent="0.25">
      <c r="A306" s="1" t="s">
        <v>408</v>
      </c>
      <c r="B306" s="3">
        <v>73</v>
      </c>
      <c r="C306" s="1">
        <v>1</v>
      </c>
      <c r="D306" s="1">
        <v>0</v>
      </c>
      <c r="E306">
        <f t="shared" si="16"/>
        <v>73</v>
      </c>
      <c r="G306" s="9" t="s">
        <v>1119</v>
      </c>
      <c r="H306" s="10">
        <v>288</v>
      </c>
      <c r="J306" t="s">
        <v>851</v>
      </c>
      <c r="K306">
        <v>370</v>
      </c>
      <c r="L306" s="11">
        <f t="shared" si="17"/>
        <v>1.0051831110007162E-3</v>
      </c>
      <c r="M306" s="11">
        <f t="shared" si="19"/>
        <v>0.77624447215398129</v>
      </c>
      <c r="N306" t="str">
        <f t="shared" si="18"/>
        <v>A</v>
      </c>
    </row>
    <row r="307" spans="1:14" x14ac:dyDescent="0.25">
      <c r="A307" s="1" t="s">
        <v>409</v>
      </c>
      <c r="B307" s="3">
        <v>759</v>
      </c>
      <c r="C307" s="1">
        <v>1</v>
      </c>
      <c r="D307" s="1">
        <v>0</v>
      </c>
      <c r="E307">
        <f t="shared" si="16"/>
        <v>759</v>
      </c>
      <c r="G307" s="9" t="s">
        <v>140</v>
      </c>
      <c r="H307" s="10">
        <v>0.11999999999999998</v>
      </c>
      <c r="J307" t="s">
        <v>133</v>
      </c>
      <c r="K307">
        <v>370</v>
      </c>
      <c r="L307" s="11">
        <f t="shared" si="17"/>
        <v>1.0051831110007162E-3</v>
      </c>
      <c r="M307" s="11">
        <f t="shared" si="19"/>
        <v>0.77724965526498202</v>
      </c>
      <c r="N307" t="str">
        <f t="shared" si="18"/>
        <v>A</v>
      </c>
    </row>
    <row r="308" spans="1:14" x14ac:dyDescent="0.25">
      <c r="A308" s="1" t="s">
        <v>411</v>
      </c>
      <c r="B308" s="3">
        <v>272</v>
      </c>
      <c r="C308" s="1">
        <v>1</v>
      </c>
      <c r="D308" s="1">
        <v>0</v>
      </c>
      <c r="E308">
        <f t="shared" si="16"/>
        <v>272</v>
      </c>
      <c r="G308" s="9" t="s">
        <v>991</v>
      </c>
      <c r="H308" s="10">
        <v>50</v>
      </c>
      <c r="J308" t="s">
        <v>562</v>
      </c>
      <c r="K308">
        <v>368</v>
      </c>
      <c r="L308" s="11">
        <f t="shared" si="17"/>
        <v>9.997496887790907E-4</v>
      </c>
      <c r="M308" s="11">
        <f t="shared" si="19"/>
        <v>0.77824940495376116</v>
      </c>
      <c r="N308" t="str">
        <f t="shared" si="18"/>
        <v>A</v>
      </c>
    </row>
    <row r="309" spans="1:14" x14ac:dyDescent="0.25">
      <c r="A309" s="1" t="s">
        <v>413</v>
      </c>
      <c r="B309" s="3">
        <v>1197</v>
      </c>
      <c r="C309" s="1">
        <v>0.1</v>
      </c>
      <c r="D309" s="1">
        <v>0</v>
      </c>
      <c r="E309">
        <f t="shared" si="16"/>
        <v>119.7</v>
      </c>
      <c r="G309" s="9" t="s">
        <v>458</v>
      </c>
      <c r="H309" s="10">
        <v>629</v>
      </c>
      <c r="J309" t="s">
        <v>1179</v>
      </c>
      <c r="K309">
        <v>367.8</v>
      </c>
      <c r="L309" s="11">
        <f t="shared" si="17"/>
        <v>9.9920634655692822E-4</v>
      </c>
      <c r="M309" s="11">
        <f t="shared" si="19"/>
        <v>0.77924861130031808</v>
      </c>
      <c r="N309" t="str">
        <f t="shared" si="18"/>
        <v>A</v>
      </c>
    </row>
    <row r="310" spans="1:14" x14ac:dyDescent="0.25">
      <c r="A310" s="1" t="s">
        <v>415</v>
      </c>
      <c r="B310" s="3">
        <v>35</v>
      </c>
      <c r="C310" s="1">
        <v>1</v>
      </c>
      <c r="D310" s="1">
        <v>0</v>
      </c>
      <c r="E310">
        <f t="shared" si="16"/>
        <v>35</v>
      </c>
      <c r="G310" s="9" t="s">
        <v>858</v>
      </c>
      <c r="H310" s="10">
        <v>407</v>
      </c>
      <c r="J310" t="s">
        <v>328</v>
      </c>
      <c r="K310">
        <v>366.96436400000005</v>
      </c>
      <c r="L310" s="11">
        <f t="shared" si="17"/>
        <v>9.9693616495113318E-4</v>
      </c>
      <c r="M310" s="11">
        <f t="shared" si="19"/>
        <v>0.7802455474652692</v>
      </c>
      <c r="N310" t="str">
        <f t="shared" si="18"/>
        <v>A</v>
      </c>
    </row>
    <row r="311" spans="1:14" x14ac:dyDescent="0.25">
      <c r="A311" s="1" t="s">
        <v>415</v>
      </c>
      <c r="B311" s="3">
        <v>35</v>
      </c>
      <c r="C311" s="1">
        <v>1</v>
      </c>
      <c r="D311" s="1">
        <v>0</v>
      </c>
      <c r="E311">
        <f t="shared" si="16"/>
        <v>35</v>
      </c>
      <c r="G311" s="9" t="s">
        <v>838</v>
      </c>
      <c r="H311" s="10">
        <v>726</v>
      </c>
      <c r="J311" t="s">
        <v>968</v>
      </c>
      <c r="K311">
        <v>366</v>
      </c>
      <c r="L311" s="11">
        <f t="shared" si="17"/>
        <v>9.943162665574652E-4</v>
      </c>
      <c r="M311" s="11">
        <f t="shared" si="19"/>
        <v>0.78123986373182663</v>
      </c>
      <c r="N311" t="str">
        <f t="shared" si="18"/>
        <v>A</v>
      </c>
    </row>
    <row r="312" spans="1:14" x14ac:dyDescent="0.25">
      <c r="A312" s="1" t="s">
        <v>416</v>
      </c>
      <c r="B312" s="3">
        <v>8</v>
      </c>
      <c r="C312" s="1">
        <v>2</v>
      </c>
      <c r="D312" s="1">
        <v>0</v>
      </c>
      <c r="E312">
        <f t="shared" si="16"/>
        <v>16</v>
      </c>
      <c r="G312" s="9" t="s">
        <v>108</v>
      </c>
      <c r="H312" s="10">
        <v>247</v>
      </c>
      <c r="J312" t="s">
        <v>147</v>
      </c>
      <c r="K312">
        <v>365.15999999999997</v>
      </c>
      <c r="L312" s="11">
        <f t="shared" si="17"/>
        <v>9.9203422922438246E-4</v>
      </c>
      <c r="M312" s="11">
        <f t="shared" si="19"/>
        <v>0.78223189796105097</v>
      </c>
      <c r="N312" t="str">
        <f t="shared" si="18"/>
        <v>A</v>
      </c>
    </row>
    <row r="313" spans="1:14" x14ac:dyDescent="0.25">
      <c r="A313" s="1" t="s">
        <v>417</v>
      </c>
      <c r="B313" s="3">
        <v>403</v>
      </c>
      <c r="C313" s="1">
        <v>1</v>
      </c>
      <c r="D313" s="1">
        <v>28</v>
      </c>
      <c r="E313">
        <f t="shared" si="16"/>
        <v>375</v>
      </c>
      <c r="G313" s="9" t="s">
        <v>411</v>
      </c>
      <c r="H313" s="10">
        <v>272</v>
      </c>
      <c r="J313" t="s">
        <v>732</v>
      </c>
      <c r="K313">
        <v>364</v>
      </c>
      <c r="L313" s="11">
        <f t="shared" si="17"/>
        <v>9.888828443358397E-4</v>
      </c>
      <c r="M313" s="11">
        <f t="shared" si="19"/>
        <v>0.78322078080538682</v>
      </c>
      <c r="N313" t="str">
        <f t="shared" si="18"/>
        <v>A</v>
      </c>
    </row>
    <row r="314" spans="1:14" x14ac:dyDescent="0.25">
      <c r="A314" s="1" t="s">
        <v>419</v>
      </c>
      <c r="B314" s="3">
        <v>109</v>
      </c>
      <c r="C314" s="1">
        <v>1</v>
      </c>
      <c r="D314" s="1">
        <v>7</v>
      </c>
      <c r="E314">
        <f t="shared" si="16"/>
        <v>102</v>
      </c>
      <c r="G314" s="9" t="s">
        <v>436</v>
      </c>
      <c r="H314" s="10">
        <v>137</v>
      </c>
      <c r="J314" t="s">
        <v>331</v>
      </c>
      <c r="K314">
        <v>364</v>
      </c>
      <c r="L314" s="11">
        <f t="shared" si="17"/>
        <v>9.888828443358397E-4</v>
      </c>
      <c r="M314" s="11">
        <f t="shared" si="19"/>
        <v>0.78420966364972267</v>
      </c>
      <c r="N314" t="str">
        <f t="shared" si="18"/>
        <v>A</v>
      </c>
    </row>
    <row r="315" spans="1:14" x14ac:dyDescent="0.25">
      <c r="A315" s="1" t="s">
        <v>421</v>
      </c>
      <c r="B315" s="3">
        <v>204.36</v>
      </c>
      <c r="C315" s="1">
        <v>0.2</v>
      </c>
      <c r="D315" s="1">
        <v>1.87</v>
      </c>
      <c r="E315">
        <f t="shared" si="16"/>
        <v>39.00200000000001</v>
      </c>
      <c r="G315" s="9" t="s">
        <v>408</v>
      </c>
      <c r="H315" s="10">
        <v>438</v>
      </c>
      <c r="J315" t="s">
        <v>519</v>
      </c>
      <c r="K315">
        <v>363</v>
      </c>
      <c r="L315" s="11">
        <f t="shared" si="17"/>
        <v>9.8616613322502706E-4</v>
      </c>
      <c r="M315" s="11">
        <f t="shared" si="19"/>
        <v>0.78519582978294766</v>
      </c>
      <c r="N315" t="str">
        <f t="shared" si="18"/>
        <v>A</v>
      </c>
    </row>
    <row r="316" spans="1:14" x14ac:dyDescent="0.25">
      <c r="A316" s="1" t="s">
        <v>423</v>
      </c>
      <c r="B316" s="3">
        <v>195</v>
      </c>
      <c r="C316" s="1">
        <v>1</v>
      </c>
      <c r="D316" s="1">
        <v>0</v>
      </c>
      <c r="E316">
        <f t="shared" si="16"/>
        <v>195</v>
      </c>
      <c r="G316" s="9" t="s">
        <v>1155</v>
      </c>
      <c r="H316" s="10">
        <v>39</v>
      </c>
      <c r="J316" t="s">
        <v>1164</v>
      </c>
      <c r="K316">
        <v>363</v>
      </c>
      <c r="L316" s="11">
        <f t="shared" si="17"/>
        <v>9.8616613322502706E-4</v>
      </c>
      <c r="M316" s="11">
        <f t="shared" si="19"/>
        <v>0.78618199591617266</v>
      </c>
      <c r="N316" t="str">
        <f t="shared" si="18"/>
        <v>A</v>
      </c>
    </row>
    <row r="317" spans="1:14" x14ac:dyDescent="0.25">
      <c r="A317" s="1" t="s">
        <v>424</v>
      </c>
      <c r="B317" s="3">
        <v>588</v>
      </c>
      <c r="C317" s="1">
        <v>1</v>
      </c>
      <c r="D317" s="1">
        <v>41</v>
      </c>
      <c r="E317">
        <f t="shared" si="16"/>
        <v>547</v>
      </c>
      <c r="G317" s="9" t="s">
        <v>1154</v>
      </c>
      <c r="H317" s="10">
        <v>74</v>
      </c>
      <c r="J317" t="s">
        <v>442</v>
      </c>
      <c r="K317">
        <v>362</v>
      </c>
      <c r="L317" s="11">
        <f t="shared" si="17"/>
        <v>9.8344942211421441E-4</v>
      </c>
      <c r="M317" s="11">
        <f t="shared" si="19"/>
        <v>0.78716544533828692</v>
      </c>
      <c r="N317" t="str">
        <f t="shared" si="18"/>
        <v>A</v>
      </c>
    </row>
    <row r="318" spans="1:14" x14ac:dyDescent="0.25">
      <c r="A318" s="1" t="s">
        <v>425</v>
      </c>
      <c r="B318" s="3">
        <v>1848</v>
      </c>
      <c r="C318" s="1">
        <v>1</v>
      </c>
      <c r="D318" s="1">
        <v>129</v>
      </c>
      <c r="E318">
        <f t="shared" si="16"/>
        <v>1719</v>
      </c>
      <c r="G318" s="9" t="s">
        <v>769</v>
      </c>
      <c r="H318" s="10">
        <v>431</v>
      </c>
      <c r="J318" t="s">
        <v>847</v>
      </c>
      <c r="K318">
        <v>362</v>
      </c>
      <c r="L318" s="11">
        <f t="shared" si="17"/>
        <v>9.8344942211421441E-4</v>
      </c>
      <c r="M318" s="11">
        <f t="shared" si="19"/>
        <v>0.78814889476040118</v>
      </c>
      <c r="N318" t="str">
        <f t="shared" si="18"/>
        <v>A</v>
      </c>
    </row>
    <row r="319" spans="1:14" x14ac:dyDescent="0.25">
      <c r="A319" s="1" t="s">
        <v>425</v>
      </c>
      <c r="B319" s="3">
        <v>1849</v>
      </c>
      <c r="C319" s="1">
        <v>1</v>
      </c>
      <c r="D319" s="1">
        <v>129</v>
      </c>
      <c r="E319">
        <f t="shared" si="16"/>
        <v>1720</v>
      </c>
      <c r="G319" s="9" t="s">
        <v>840</v>
      </c>
      <c r="H319" s="10">
        <v>313</v>
      </c>
      <c r="J319" t="s">
        <v>888</v>
      </c>
      <c r="K319">
        <v>361</v>
      </c>
      <c r="L319" s="11">
        <f t="shared" si="17"/>
        <v>9.8073271100340156E-4</v>
      </c>
      <c r="M319" s="11">
        <f t="shared" si="19"/>
        <v>0.78912962747140458</v>
      </c>
      <c r="N319" t="str">
        <f t="shared" si="18"/>
        <v>A</v>
      </c>
    </row>
    <row r="320" spans="1:14" x14ac:dyDescent="0.25">
      <c r="A320" s="1" t="s">
        <v>427</v>
      </c>
      <c r="B320" s="3">
        <v>585</v>
      </c>
      <c r="C320" s="1">
        <v>1</v>
      </c>
      <c r="D320" s="1">
        <v>0</v>
      </c>
      <c r="E320">
        <f t="shared" si="16"/>
        <v>585</v>
      </c>
      <c r="G320" s="9" t="s">
        <v>689</v>
      </c>
      <c r="H320" s="10">
        <v>998</v>
      </c>
      <c r="J320" t="s">
        <v>1005</v>
      </c>
      <c r="K320">
        <v>358</v>
      </c>
      <c r="L320" s="11">
        <f t="shared" si="17"/>
        <v>9.725825776709633E-4</v>
      </c>
      <c r="M320" s="11">
        <f t="shared" si="19"/>
        <v>0.79010221004907555</v>
      </c>
      <c r="N320" t="str">
        <f t="shared" si="18"/>
        <v>A</v>
      </c>
    </row>
    <row r="321" spans="1:14" x14ac:dyDescent="0.25">
      <c r="A321" s="1" t="s">
        <v>429</v>
      </c>
      <c r="B321" s="3">
        <v>56.1</v>
      </c>
      <c r="C321" s="1">
        <v>1</v>
      </c>
      <c r="D321" s="1">
        <v>2.1</v>
      </c>
      <c r="E321">
        <f t="shared" si="16"/>
        <v>54</v>
      </c>
      <c r="G321" s="9" t="s">
        <v>184</v>
      </c>
      <c r="H321" s="10">
        <v>115</v>
      </c>
      <c r="J321" t="s">
        <v>823</v>
      </c>
      <c r="K321">
        <v>357.12</v>
      </c>
      <c r="L321" s="11">
        <f t="shared" si="17"/>
        <v>9.7019187189344809E-4</v>
      </c>
      <c r="M321" s="11">
        <f t="shared" si="19"/>
        <v>0.79107240192096895</v>
      </c>
      <c r="N321" t="str">
        <f t="shared" si="18"/>
        <v>A</v>
      </c>
    </row>
    <row r="322" spans="1:14" x14ac:dyDescent="0.25">
      <c r="A322" s="1" t="s">
        <v>366</v>
      </c>
      <c r="B322" s="3">
        <v>60</v>
      </c>
      <c r="C322" s="1">
        <v>1</v>
      </c>
      <c r="D322" s="1">
        <v>4</v>
      </c>
      <c r="E322">
        <f t="shared" si="16"/>
        <v>56</v>
      </c>
      <c r="G322" s="9" t="s">
        <v>33</v>
      </c>
      <c r="H322" s="10">
        <v>1850</v>
      </c>
      <c r="J322" t="s">
        <v>779</v>
      </c>
      <c r="K322">
        <v>355</v>
      </c>
      <c r="L322" s="11">
        <f t="shared" si="17"/>
        <v>9.6443244433852505E-4</v>
      </c>
      <c r="M322" s="11">
        <f t="shared" si="19"/>
        <v>0.79203683436530747</v>
      </c>
      <c r="N322" t="str">
        <f t="shared" si="18"/>
        <v>A</v>
      </c>
    </row>
    <row r="323" spans="1:14" x14ac:dyDescent="0.25">
      <c r="A323" s="1" t="s">
        <v>430</v>
      </c>
      <c r="B323" s="3">
        <v>235</v>
      </c>
      <c r="C323" s="1">
        <v>1</v>
      </c>
      <c r="D323" s="1">
        <v>11</v>
      </c>
      <c r="E323">
        <f t="shared" ref="E323:E386" si="20">C323*B323-D323</f>
        <v>224</v>
      </c>
      <c r="G323" s="9" t="s">
        <v>50</v>
      </c>
      <c r="H323" s="10">
        <v>123</v>
      </c>
      <c r="J323" t="s">
        <v>1032</v>
      </c>
      <c r="K323">
        <v>354</v>
      </c>
      <c r="L323" s="11">
        <f t="shared" ref="L323:L386" si="21">K323/SUM($K$2:$K$804)</f>
        <v>9.617157332277123E-4</v>
      </c>
      <c r="M323" s="11">
        <f t="shared" si="19"/>
        <v>0.79299855009853515</v>
      </c>
      <c r="N323" t="str">
        <f t="shared" ref="N323:N386" si="22">IF(M323&lt;0.8, "A", IF(M323&lt;0.95,"B","C"))</f>
        <v>A</v>
      </c>
    </row>
    <row r="324" spans="1:14" x14ac:dyDescent="0.25">
      <c r="A324" s="1" t="s">
        <v>430</v>
      </c>
      <c r="B324" s="3">
        <v>235</v>
      </c>
      <c r="C324" s="1">
        <v>1</v>
      </c>
      <c r="D324" s="1">
        <v>11</v>
      </c>
      <c r="E324">
        <f t="shared" si="20"/>
        <v>224</v>
      </c>
      <c r="G324" s="9" t="s">
        <v>35</v>
      </c>
      <c r="H324" s="10">
        <v>693</v>
      </c>
      <c r="J324" t="s">
        <v>750</v>
      </c>
      <c r="K324">
        <v>353</v>
      </c>
      <c r="L324" s="11">
        <f t="shared" si="21"/>
        <v>9.5899902211689955E-4</v>
      </c>
      <c r="M324" s="11">
        <f t="shared" ref="M324:M387" si="23">L324+M323</f>
        <v>0.79395754912065208</v>
      </c>
      <c r="N324" t="str">
        <f t="shared" si="22"/>
        <v>A</v>
      </c>
    </row>
    <row r="325" spans="1:14" x14ac:dyDescent="0.25">
      <c r="A325" s="1" t="s">
        <v>431</v>
      </c>
      <c r="B325" s="3">
        <v>166</v>
      </c>
      <c r="C325" s="1">
        <v>1</v>
      </c>
      <c r="D325" s="1">
        <v>11</v>
      </c>
      <c r="E325">
        <f t="shared" si="20"/>
        <v>155</v>
      </c>
      <c r="G325" s="9" t="s">
        <v>1195</v>
      </c>
      <c r="H325" s="10">
        <v>419</v>
      </c>
      <c r="J325" t="s">
        <v>1133</v>
      </c>
      <c r="K325">
        <v>351</v>
      </c>
      <c r="L325" s="11">
        <f t="shared" si="21"/>
        <v>9.5356559989527405E-4</v>
      </c>
      <c r="M325" s="11">
        <f t="shared" si="23"/>
        <v>0.79491111472054732</v>
      </c>
      <c r="N325" t="str">
        <f t="shared" si="22"/>
        <v>A</v>
      </c>
    </row>
    <row r="326" spans="1:14" x14ac:dyDescent="0.25">
      <c r="A326" s="1" t="s">
        <v>431</v>
      </c>
      <c r="B326" s="3">
        <v>166</v>
      </c>
      <c r="C326" s="1">
        <v>1</v>
      </c>
      <c r="D326" s="1">
        <v>11</v>
      </c>
      <c r="E326">
        <f t="shared" si="20"/>
        <v>155</v>
      </c>
      <c r="G326" s="9" t="s">
        <v>1146</v>
      </c>
      <c r="H326" s="10">
        <v>240</v>
      </c>
      <c r="J326" t="s">
        <v>257</v>
      </c>
      <c r="K326">
        <v>350</v>
      </c>
      <c r="L326" s="11">
        <f t="shared" si="21"/>
        <v>9.508488887844613E-4</v>
      </c>
      <c r="M326" s="11">
        <f t="shared" si="23"/>
        <v>0.79586196360933181</v>
      </c>
      <c r="N326" t="str">
        <f t="shared" si="22"/>
        <v>A</v>
      </c>
    </row>
    <row r="327" spans="1:14" x14ac:dyDescent="0.25">
      <c r="A327" s="1" t="s">
        <v>431</v>
      </c>
      <c r="B327" s="3">
        <v>166</v>
      </c>
      <c r="C327" s="1">
        <v>1</v>
      </c>
      <c r="D327" s="1">
        <v>11</v>
      </c>
      <c r="E327">
        <f t="shared" si="20"/>
        <v>155</v>
      </c>
      <c r="G327" s="9" t="s">
        <v>280</v>
      </c>
      <c r="H327" s="10">
        <v>1354</v>
      </c>
      <c r="J327" t="s">
        <v>397</v>
      </c>
      <c r="K327">
        <v>350</v>
      </c>
      <c r="L327" s="11">
        <f t="shared" si="21"/>
        <v>9.508488887844613E-4</v>
      </c>
      <c r="M327" s="11">
        <f t="shared" si="23"/>
        <v>0.79681281249811631</v>
      </c>
      <c r="N327" t="str">
        <f t="shared" si="22"/>
        <v>A</v>
      </c>
    </row>
    <row r="328" spans="1:14" x14ac:dyDescent="0.25">
      <c r="A328" s="1" t="s">
        <v>432</v>
      </c>
      <c r="B328" s="3">
        <v>895</v>
      </c>
      <c r="C328" s="1">
        <v>1</v>
      </c>
      <c r="D328" s="1">
        <v>62</v>
      </c>
      <c r="E328">
        <f t="shared" si="20"/>
        <v>833</v>
      </c>
      <c r="G328" s="9" t="s">
        <v>334</v>
      </c>
      <c r="H328" s="10">
        <v>522</v>
      </c>
      <c r="J328" t="s">
        <v>214</v>
      </c>
      <c r="K328">
        <v>350</v>
      </c>
      <c r="L328" s="11">
        <f t="shared" si="21"/>
        <v>9.508488887844613E-4</v>
      </c>
      <c r="M328" s="11">
        <f t="shared" si="23"/>
        <v>0.7977636613869008</v>
      </c>
      <c r="N328" t="str">
        <f t="shared" si="22"/>
        <v>A</v>
      </c>
    </row>
    <row r="329" spans="1:14" x14ac:dyDescent="0.25">
      <c r="A329" s="1" t="s">
        <v>434</v>
      </c>
      <c r="B329" s="3">
        <v>57</v>
      </c>
      <c r="C329" s="1">
        <v>1</v>
      </c>
      <c r="D329" s="1">
        <v>3</v>
      </c>
      <c r="E329">
        <f t="shared" si="20"/>
        <v>54</v>
      </c>
      <c r="G329" s="9" t="s">
        <v>933</v>
      </c>
      <c r="H329" s="10">
        <v>254</v>
      </c>
      <c r="J329" t="s">
        <v>95</v>
      </c>
      <c r="K329">
        <v>350</v>
      </c>
      <c r="L329" s="11">
        <f t="shared" si="21"/>
        <v>9.508488887844613E-4</v>
      </c>
      <c r="M329" s="11">
        <f t="shared" si="23"/>
        <v>0.7987145102756853</v>
      </c>
      <c r="N329" t="str">
        <f t="shared" si="22"/>
        <v>A</v>
      </c>
    </row>
    <row r="330" spans="1:14" x14ac:dyDescent="0.25">
      <c r="A330" s="1" t="s">
        <v>434</v>
      </c>
      <c r="B330" s="3">
        <v>57</v>
      </c>
      <c r="C330" s="1">
        <v>1</v>
      </c>
      <c r="D330" s="1">
        <v>3</v>
      </c>
      <c r="E330">
        <f t="shared" si="20"/>
        <v>54</v>
      </c>
      <c r="G330" s="9" t="s">
        <v>1210</v>
      </c>
      <c r="H330" s="10">
        <v>1812</v>
      </c>
      <c r="J330" t="s">
        <v>901</v>
      </c>
      <c r="K330">
        <v>347</v>
      </c>
      <c r="L330" s="11">
        <f t="shared" si="21"/>
        <v>9.4269875545202316E-4</v>
      </c>
      <c r="M330" s="11">
        <f t="shared" si="23"/>
        <v>0.79965720903113735</v>
      </c>
      <c r="N330" t="str">
        <f t="shared" si="22"/>
        <v>A</v>
      </c>
    </row>
    <row r="331" spans="1:14" x14ac:dyDescent="0.25">
      <c r="A331" s="1" t="s">
        <v>436</v>
      </c>
      <c r="B331" s="3">
        <v>137</v>
      </c>
      <c r="C331" s="1">
        <v>1</v>
      </c>
      <c r="D331" s="1">
        <v>6</v>
      </c>
      <c r="E331">
        <f t="shared" si="20"/>
        <v>131</v>
      </c>
      <c r="G331" s="9" t="s">
        <v>277</v>
      </c>
      <c r="H331" s="10">
        <v>717</v>
      </c>
      <c r="J331" t="s">
        <v>226</v>
      </c>
      <c r="K331">
        <v>343</v>
      </c>
      <c r="L331" s="11">
        <f t="shared" si="21"/>
        <v>9.3183191100877215E-4</v>
      </c>
      <c r="M331" s="11">
        <f t="shared" si="23"/>
        <v>0.80058904094214611</v>
      </c>
      <c r="N331" t="str">
        <f t="shared" si="22"/>
        <v>B</v>
      </c>
    </row>
    <row r="332" spans="1:14" x14ac:dyDescent="0.25">
      <c r="A332" s="1" t="s">
        <v>437</v>
      </c>
      <c r="B332" s="3">
        <v>14</v>
      </c>
      <c r="C332" s="1">
        <v>1</v>
      </c>
      <c r="D332" s="1">
        <v>1</v>
      </c>
      <c r="E332">
        <f t="shared" si="20"/>
        <v>13</v>
      </c>
      <c r="G332" s="9" t="s">
        <v>193</v>
      </c>
      <c r="H332" s="10">
        <v>621</v>
      </c>
      <c r="J332" t="s">
        <v>741</v>
      </c>
      <c r="K332">
        <v>342</v>
      </c>
      <c r="L332" s="11">
        <f t="shared" si="21"/>
        <v>9.291151998979594E-4</v>
      </c>
      <c r="M332" s="11">
        <f t="shared" si="23"/>
        <v>0.80151815614204402</v>
      </c>
      <c r="N332" t="str">
        <f t="shared" si="22"/>
        <v>B</v>
      </c>
    </row>
    <row r="333" spans="1:14" x14ac:dyDescent="0.25">
      <c r="A333" s="1" t="s">
        <v>439</v>
      </c>
      <c r="B333" s="3">
        <v>157</v>
      </c>
      <c r="C333" s="1">
        <v>1</v>
      </c>
      <c r="D333" s="1">
        <v>0</v>
      </c>
      <c r="E333">
        <f t="shared" si="20"/>
        <v>157</v>
      </c>
      <c r="G333" s="9" t="s">
        <v>921</v>
      </c>
      <c r="H333" s="10">
        <v>247</v>
      </c>
      <c r="J333" t="s">
        <v>38</v>
      </c>
      <c r="K333">
        <v>340</v>
      </c>
      <c r="L333" s="11">
        <f t="shared" si="21"/>
        <v>9.236817776763339E-4</v>
      </c>
      <c r="M333" s="11">
        <f t="shared" si="23"/>
        <v>0.80244183791972035</v>
      </c>
      <c r="N333" t="str">
        <f t="shared" si="22"/>
        <v>B</v>
      </c>
    </row>
    <row r="334" spans="1:14" x14ac:dyDescent="0.25">
      <c r="A334" s="1" t="s">
        <v>440</v>
      </c>
      <c r="B334" s="3">
        <v>121</v>
      </c>
      <c r="C334" s="1">
        <v>1</v>
      </c>
      <c r="D334" s="1">
        <v>8</v>
      </c>
      <c r="E334">
        <f t="shared" si="20"/>
        <v>113</v>
      </c>
      <c r="G334" s="9" t="s">
        <v>554</v>
      </c>
      <c r="H334" s="10">
        <v>214</v>
      </c>
      <c r="J334" t="s">
        <v>686</v>
      </c>
      <c r="K334">
        <v>339.58000000000004</v>
      </c>
      <c r="L334" s="11">
        <f t="shared" si="21"/>
        <v>9.2254075900979264E-4</v>
      </c>
      <c r="M334" s="11">
        <f t="shared" si="23"/>
        <v>0.80336437867873012</v>
      </c>
      <c r="N334" t="str">
        <f t="shared" si="22"/>
        <v>B</v>
      </c>
    </row>
    <row r="335" spans="1:14" x14ac:dyDescent="0.25">
      <c r="A335" s="1" t="s">
        <v>441</v>
      </c>
      <c r="B335" s="3">
        <v>169</v>
      </c>
      <c r="C335" s="1">
        <v>1</v>
      </c>
      <c r="D335" s="1">
        <v>8</v>
      </c>
      <c r="E335">
        <f t="shared" si="20"/>
        <v>161</v>
      </c>
      <c r="G335" s="9" t="s">
        <v>1153</v>
      </c>
      <c r="H335" s="10">
        <v>310.5</v>
      </c>
      <c r="J335" t="s">
        <v>677</v>
      </c>
      <c r="K335">
        <v>339</v>
      </c>
      <c r="L335" s="11">
        <f t="shared" si="21"/>
        <v>9.2096506656552115E-4</v>
      </c>
      <c r="M335" s="11">
        <f t="shared" si="23"/>
        <v>0.80428534374529559</v>
      </c>
      <c r="N335" t="str">
        <f t="shared" si="22"/>
        <v>B</v>
      </c>
    </row>
    <row r="336" spans="1:14" x14ac:dyDescent="0.25">
      <c r="A336" s="1" t="s">
        <v>442</v>
      </c>
      <c r="B336" s="3">
        <v>181</v>
      </c>
      <c r="C336" s="1">
        <v>1</v>
      </c>
      <c r="D336" s="1">
        <v>9</v>
      </c>
      <c r="E336">
        <f t="shared" si="20"/>
        <v>172</v>
      </c>
      <c r="G336" s="9" t="s">
        <v>362</v>
      </c>
      <c r="H336" s="10">
        <v>207</v>
      </c>
      <c r="J336" t="s">
        <v>1174</v>
      </c>
      <c r="K336">
        <v>339</v>
      </c>
      <c r="L336" s="11">
        <f t="shared" si="21"/>
        <v>9.2096506656552115E-4</v>
      </c>
      <c r="M336" s="11">
        <f t="shared" si="23"/>
        <v>0.80520630881186106</v>
      </c>
      <c r="N336" t="str">
        <f t="shared" si="22"/>
        <v>B</v>
      </c>
    </row>
    <row r="337" spans="1:14" x14ac:dyDescent="0.25">
      <c r="A337" s="1" t="s">
        <v>443</v>
      </c>
      <c r="B337" s="3">
        <v>50</v>
      </c>
      <c r="C337" s="1">
        <v>1</v>
      </c>
      <c r="D337" s="1">
        <v>2</v>
      </c>
      <c r="E337">
        <f t="shared" si="20"/>
        <v>48</v>
      </c>
      <c r="G337" s="9" t="s">
        <v>153</v>
      </c>
      <c r="H337" s="10">
        <v>1412</v>
      </c>
      <c r="J337" t="s">
        <v>89</v>
      </c>
      <c r="K337">
        <v>338</v>
      </c>
      <c r="L337" s="11">
        <f t="shared" si="21"/>
        <v>9.182483554547084E-4</v>
      </c>
      <c r="M337" s="11">
        <f t="shared" si="23"/>
        <v>0.80612455716731579</v>
      </c>
      <c r="N337" t="str">
        <f t="shared" si="22"/>
        <v>B</v>
      </c>
    </row>
    <row r="338" spans="1:14" x14ac:dyDescent="0.25">
      <c r="A338" s="1" t="s">
        <v>445</v>
      </c>
      <c r="B338" s="3">
        <v>252</v>
      </c>
      <c r="C338" s="1">
        <v>1</v>
      </c>
      <c r="D338" s="1">
        <v>12</v>
      </c>
      <c r="E338">
        <f t="shared" si="20"/>
        <v>240</v>
      </c>
      <c r="G338" s="9" t="s">
        <v>222</v>
      </c>
      <c r="H338" s="10">
        <v>144</v>
      </c>
      <c r="J338" t="s">
        <v>1009</v>
      </c>
      <c r="K338">
        <v>336</v>
      </c>
      <c r="L338" s="11">
        <f t="shared" si="21"/>
        <v>9.128149332330829E-4</v>
      </c>
      <c r="M338" s="11">
        <f t="shared" si="23"/>
        <v>0.80703737210054882</v>
      </c>
      <c r="N338" t="str">
        <f t="shared" si="22"/>
        <v>B</v>
      </c>
    </row>
    <row r="339" spans="1:14" x14ac:dyDescent="0.25">
      <c r="A339" s="1" t="s">
        <v>447</v>
      </c>
      <c r="B339" s="3">
        <v>640</v>
      </c>
      <c r="C339" s="1">
        <v>1</v>
      </c>
      <c r="D339" s="1">
        <v>44</v>
      </c>
      <c r="E339">
        <f t="shared" si="20"/>
        <v>596</v>
      </c>
      <c r="G339" s="9" t="s">
        <v>437</v>
      </c>
      <c r="H339" s="10">
        <v>28</v>
      </c>
      <c r="J339" t="s">
        <v>1098</v>
      </c>
      <c r="K339">
        <v>336</v>
      </c>
      <c r="L339" s="11">
        <f t="shared" si="21"/>
        <v>9.128149332330829E-4</v>
      </c>
      <c r="M339" s="11">
        <f t="shared" si="23"/>
        <v>0.80795018703378185</v>
      </c>
      <c r="N339" t="str">
        <f t="shared" si="22"/>
        <v>B</v>
      </c>
    </row>
    <row r="340" spans="1:14" x14ac:dyDescent="0.25">
      <c r="A340" s="1" t="s">
        <v>448</v>
      </c>
      <c r="B340" s="3">
        <v>8</v>
      </c>
      <c r="C340" s="1">
        <v>10</v>
      </c>
      <c r="D340" s="1">
        <v>0</v>
      </c>
      <c r="E340">
        <f t="shared" si="20"/>
        <v>80</v>
      </c>
      <c r="G340" s="9" t="s">
        <v>220</v>
      </c>
      <c r="H340" s="10">
        <v>36</v>
      </c>
      <c r="J340" t="s">
        <v>1108</v>
      </c>
      <c r="K340">
        <v>336</v>
      </c>
      <c r="L340" s="11">
        <f t="shared" si="21"/>
        <v>9.128149332330829E-4</v>
      </c>
      <c r="M340" s="11">
        <f t="shared" si="23"/>
        <v>0.80886300196701488</v>
      </c>
      <c r="N340" t="str">
        <f t="shared" si="22"/>
        <v>B</v>
      </c>
    </row>
    <row r="341" spans="1:14" x14ac:dyDescent="0.25">
      <c r="A341" s="1" t="s">
        <v>449</v>
      </c>
      <c r="B341" s="3">
        <v>402</v>
      </c>
      <c r="C341" s="1">
        <v>1</v>
      </c>
      <c r="D341" s="1">
        <v>0</v>
      </c>
      <c r="E341">
        <f t="shared" si="20"/>
        <v>402</v>
      </c>
      <c r="G341" s="9" t="s">
        <v>660</v>
      </c>
      <c r="H341" s="10">
        <v>614</v>
      </c>
      <c r="J341" t="s">
        <v>259</v>
      </c>
      <c r="K341">
        <v>333</v>
      </c>
      <c r="L341" s="11">
        <f t="shared" si="21"/>
        <v>9.0466479990064465E-4</v>
      </c>
      <c r="M341" s="11">
        <f t="shared" si="23"/>
        <v>0.80976766676691547</v>
      </c>
      <c r="N341" t="str">
        <f t="shared" si="22"/>
        <v>B</v>
      </c>
    </row>
    <row r="342" spans="1:14" x14ac:dyDescent="0.25">
      <c r="A342" s="1" t="s">
        <v>451</v>
      </c>
      <c r="B342" s="3">
        <v>93</v>
      </c>
      <c r="C342" s="1">
        <v>1</v>
      </c>
      <c r="D342" s="1">
        <v>0</v>
      </c>
      <c r="E342">
        <f t="shared" si="20"/>
        <v>93</v>
      </c>
      <c r="G342" s="9" t="s">
        <v>331</v>
      </c>
      <c r="H342" s="10">
        <v>364</v>
      </c>
      <c r="J342" t="s">
        <v>755</v>
      </c>
      <c r="K342">
        <v>328</v>
      </c>
      <c r="L342" s="11">
        <f t="shared" si="21"/>
        <v>8.9108124434658089E-4</v>
      </c>
      <c r="M342" s="11">
        <f t="shared" si="23"/>
        <v>0.81065874801126203</v>
      </c>
      <c r="N342" t="str">
        <f t="shared" si="22"/>
        <v>B</v>
      </c>
    </row>
    <row r="343" spans="1:14" x14ac:dyDescent="0.25">
      <c r="A343" s="1" t="s">
        <v>451</v>
      </c>
      <c r="B343" s="3">
        <v>93</v>
      </c>
      <c r="C343" s="1">
        <v>1</v>
      </c>
      <c r="D343" s="1">
        <v>0</v>
      </c>
      <c r="E343">
        <f t="shared" si="20"/>
        <v>93</v>
      </c>
      <c r="G343" s="9" t="s">
        <v>721</v>
      </c>
      <c r="H343" s="10">
        <v>292</v>
      </c>
      <c r="J343" t="s">
        <v>602</v>
      </c>
      <c r="K343">
        <v>328</v>
      </c>
      <c r="L343" s="11">
        <f t="shared" si="21"/>
        <v>8.9108124434658089E-4</v>
      </c>
      <c r="M343" s="11">
        <f t="shared" si="23"/>
        <v>0.81154982925560859</v>
      </c>
      <c r="N343" t="str">
        <f t="shared" si="22"/>
        <v>B</v>
      </c>
    </row>
    <row r="344" spans="1:14" x14ac:dyDescent="0.25">
      <c r="A344" s="1" t="s">
        <v>452</v>
      </c>
      <c r="B344" s="3">
        <v>135</v>
      </c>
      <c r="C344" s="1">
        <v>2</v>
      </c>
      <c r="D344" s="1">
        <v>0</v>
      </c>
      <c r="E344">
        <f t="shared" si="20"/>
        <v>270</v>
      </c>
      <c r="G344" s="9" t="s">
        <v>973</v>
      </c>
      <c r="H344" s="10">
        <v>101</v>
      </c>
      <c r="J344" t="s">
        <v>932</v>
      </c>
      <c r="K344">
        <v>327.60000000000002</v>
      </c>
      <c r="L344" s="11">
        <f t="shared" si="21"/>
        <v>8.8999455990225592E-4</v>
      </c>
      <c r="M344" s="11">
        <f t="shared" si="23"/>
        <v>0.81243982381551083</v>
      </c>
      <c r="N344" t="str">
        <f t="shared" si="22"/>
        <v>B</v>
      </c>
    </row>
    <row r="345" spans="1:14" x14ac:dyDescent="0.25">
      <c r="A345" s="1" t="s">
        <v>454</v>
      </c>
      <c r="B345" s="3">
        <v>239</v>
      </c>
      <c r="C345" s="1">
        <v>1</v>
      </c>
      <c r="D345" s="1">
        <v>0</v>
      </c>
      <c r="E345">
        <f t="shared" si="20"/>
        <v>239</v>
      </c>
      <c r="G345" s="9" t="s">
        <v>870</v>
      </c>
      <c r="H345" s="10">
        <v>398</v>
      </c>
      <c r="J345" t="s">
        <v>497</v>
      </c>
      <c r="K345">
        <v>327</v>
      </c>
      <c r="L345" s="11">
        <f t="shared" si="21"/>
        <v>8.8836453323576814E-4</v>
      </c>
      <c r="M345" s="11">
        <f t="shared" si="23"/>
        <v>0.81332818834874665</v>
      </c>
      <c r="N345" t="str">
        <f t="shared" si="22"/>
        <v>B</v>
      </c>
    </row>
    <row r="346" spans="1:14" x14ac:dyDescent="0.25">
      <c r="A346" s="1" t="s">
        <v>456</v>
      </c>
      <c r="B346" s="3">
        <v>46</v>
      </c>
      <c r="C346" s="1">
        <v>1</v>
      </c>
      <c r="D346" s="1">
        <v>3</v>
      </c>
      <c r="E346">
        <f t="shared" si="20"/>
        <v>43</v>
      </c>
      <c r="G346" s="9" t="s">
        <v>339</v>
      </c>
      <c r="H346" s="10">
        <v>1746</v>
      </c>
      <c r="J346" t="s">
        <v>730</v>
      </c>
      <c r="K346">
        <v>322</v>
      </c>
      <c r="L346" s="11">
        <f t="shared" si="21"/>
        <v>8.7478097768170439E-4</v>
      </c>
      <c r="M346" s="11">
        <f t="shared" si="23"/>
        <v>0.81420296932642833</v>
      </c>
      <c r="N346" t="str">
        <f t="shared" si="22"/>
        <v>B</v>
      </c>
    </row>
    <row r="347" spans="1:14" x14ac:dyDescent="0.25">
      <c r="A347" s="1" t="s">
        <v>457</v>
      </c>
      <c r="B347" s="3">
        <v>42</v>
      </c>
      <c r="C347" s="1">
        <v>1</v>
      </c>
      <c r="D347" s="1">
        <v>2</v>
      </c>
      <c r="E347">
        <f t="shared" si="20"/>
        <v>40</v>
      </c>
      <c r="G347" s="9" t="s">
        <v>1029</v>
      </c>
      <c r="H347" s="10">
        <v>245</v>
      </c>
      <c r="J347" t="s">
        <v>1222</v>
      </c>
      <c r="K347">
        <v>322</v>
      </c>
      <c r="L347" s="11">
        <f t="shared" si="21"/>
        <v>8.7478097768170439E-4</v>
      </c>
      <c r="M347" s="11">
        <f t="shared" si="23"/>
        <v>0.81507775030411</v>
      </c>
      <c r="N347" t="str">
        <f t="shared" si="22"/>
        <v>B</v>
      </c>
    </row>
    <row r="348" spans="1:14" x14ac:dyDescent="0.25">
      <c r="A348" s="1" t="s">
        <v>458</v>
      </c>
      <c r="B348" s="3">
        <v>629</v>
      </c>
      <c r="C348" s="1">
        <v>1</v>
      </c>
      <c r="D348" s="1">
        <v>44</v>
      </c>
      <c r="E348">
        <f t="shared" si="20"/>
        <v>585</v>
      </c>
      <c r="G348" s="9" t="s">
        <v>321</v>
      </c>
      <c r="H348" s="10">
        <v>186</v>
      </c>
      <c r="J348" t="s">
        <v>1053</v>
      </c>
      <c r="K348">
        <v>319</v>
      </c>
      <c r="L348" s="11">
        <f t="shared" si="21"/>
        <v>8.6663084434926625E-4</v>
      </c>
      <c r="M348" s="11">
        <f t="shared" si="23"/>
        <v>0.81594438114845924</v>
      </c>
      <c r="N348" t="str">
        <f t="shared" si="22"/>
        <v>B</v>
      </c>
    </row>
    <row r="349" spans="1:14" x14ac:dyDescent="0.25">
      <c r="A349" s="1" t="s">
        <v>460</v>
      </c>
      <c r="B349" s="3">
        <v>97</v>
      </c>
      <c r="C349" s="1">
        <v>1</v>
      </c>
      <c r="D349" s="1">
        <v>4</v>
      </c>
      <c r="E349">
        <f t="shared" si="20"/>
        <v>93</v>
      </c>
      <c r="G349" s="9" t="s">
        <v>1053</v>
      </c>
      <c r="H349" s="10">
        <v>319</v>
      </c>
      <c r="J349" t="s">
        <v>725</v>
      </c>
      <c r="K349">
        <v>319</v>
      </c>
      <c r="L349" s="11">
        <f t="shared" si="21"/>
        <v>8.6663084434926625E-4</v>
      </c>
      <c r="M349" s="11">
        <f t="shared" si="23"/>
        <v>0.81681101199280848</v>
      </c>
      <c r="N349" t="str">
        <f t="shared" si="22"/>
        <v>B</v>
      </c>
    </row>
    <row r="350" spans="1:14" x14ac:dyDescent="0.25">
      <c r="A350" s="1" t="s">
        <v>461</v>
      </c>
      <c r="B350" s="3">
        <v>299</v>
      </c>
      <c r="C350" s="1">
        <v>1</v>
      </c>
      <c r="D350" s="1">
        <v>14</v>
      </c>
      <c r="E350">
        <f t="shared" si="20"/>
        <v>285</v>
      </c>
      <c r="G350" s="9" t="s">
        <v>805</v>
      </c>
      <c r="H350" s="10">
        <v>592</v>
      </c>
      <c r="J350" t="s">
        <v>206</v>
      </c>
      <c r="K350">
        <v>317</v>
      </c>
      <c r="L350" s="11">
        <f t="shared" si="21"/>
        <v>8.6119742212764075E-4</v>
      </c>
      <c r="M350" s="11">
        <f t="shared" si="23"/>
        <v>0.81767220941493612</v>
      </c>
      <c r="N350" t="str">
        <f t="shared" si="22"/>
        <v>B</v>
      </c>
    </row>
    <row r="351" spans="1:14" x14ac:dyDescent="0.25">
      <c r="A351" s="1" t="s">
        <v>462</v>
      </c>
      <c r="B351" s="3">
        <v>1258</v>
      </c>
      <c r="C351" s="1">
        <v>1</v>
      </c>
      <c r="D351" s="1">
        <v>0</v>
      </c>
      <c r="E351">
        <f t="shared" si="20"/>
        <v>1258</v>
      </c>
      <c r="G351" s="9" t="s">
        <v>641</v>
      </c>
      <c r="H351" s="10">
        <v>899</v>
      </c>
      <c r="J351" t="s">
        <v>1031</v>
      </c>
      <c r="K351">
        <v>316</v>
      </c>
      <c r="L351" s="11">
        <f t="shared" si="21"/>
        <v>8.58480711016828E-4</v>
      </c>
      <c r="M351" s="11">
        <f t="shared" si="23"/>
        <v>0.81853069012595292</v>
      </c>
      <c r="N351" t="str">
        <f t="shared" si="22"/>
        <v>B</v>
      </c>
    </row>
    <row r="352" spans="1:14" x14ac:dyDescent="0.25">
      <c r="A352" s="1" t="s">
        <v>464</v>
      </c>
      <c r="B352" s="3">
        <v>418</v>
      </c>
      <c r="C352" s="1">
        <v>1</v>
      </c>
      <c r="D352" s="1">
        <v>39.35</v>
      </c>
      <c r="E352">
        <f t="shared" si="20"/>
        <v>378.65</v>
      </c>
      <c r="G352" s="9" t="s">
        <v>373</v>
      </c>
      <c r="H352" s="10">
        <v>717.00001434000001</v>
      </c>
      <c r="J352" t="s">
        <v>1166</v>
      </c>
      <c r="K352">
        <v>315</v>
      </c>
      <c r="L352" s="11">
        <f t="shared" si="21"/>
        <v>8.5576399990601524E-4</v>
      </c>
      <c r="M352" s="11">
        <f t="shared" si="23"/>
        <v>0.81938645412585898</v>
      </c>
      <c r="N352" t="str">
        <f t="shared" si="22"/>
        <v>B</v>
      </c>
    </row>
    <row r="353" spans="1:14" x14ac:dyDescent="0.25">
      <c r="A353" s="1" t="s">
        <v>465</v>
      </c>
      <c r="B353" s="3">
        <v>30</v>
      </c>
      <c r="C353" s="1">
        <v>1</v>
      </c>
      <c r="D353" s="1">
        <v>2.83</v>
      </c>
      <c r="E353">
        <f t="shared" si="20"/>
        <v>27.17</v>
      </c>
      <c r="G353" s="9" t="s">
        <v>314</v>
      </c>
      <c r="H353" s="10">
        <v>1539.3856834979999</v>
      </c>
      <c r="J353" t="s">
        <v>840</v>
      </c>
      <c r="K353">
        <v>313</v>
      </c>
      <c r="L353" s="11">
        <f t="shared" si="21"/>
        <v>8.5033057768438974E-4</v>
      </c>
      <c r="M353" s="11">
        <f t="shared" si="23"/>
        <v>0.82023678470354333</v>
      </c>
      <c r="N353" t="str">
        <f t="shared" si="22"/>
        <v>B</v>
      </c>
    </row>
    <row r="354" spans="1:14" x14ac:dyDescent="0.25">
      <c r="A354" s="1" t="s">
        <v>465</v>
      </c>
      <c r="B354" s="3">
        <v>30</v>
      </c>
      <c r="C354" s="1">
        <v>1</v>
      </c>
      <c r="D354" s="1">
        <v>2.82</v>
      </c>
      <c r="E354">
        <f t="shared" si="20"/>
        <v>27.18</v>
      </c>
      <c r="G354" s="9" t="s">
        <v>1219</v>
      </c>
      <c r="H354" s="10">
        <v>29.9</v>
      </c>
      <c r="J354" t="s">
        <v>1153</v>
      </c>
      <c r="K354">
        <v>310.5</v>
      </c>
      <c r="L354" s="11">
        <f t="shared" si="21"/>
        <v>8.4353879990735781E-4</v>
      </c>
      <c r="M354" s="11">
        <f t="shared" si="23"/>
        <v>0.82108032350345073</v>
      </c>
      <c r="N354" t="str">
        <f t="shared" si="22"/>
        <v>B</v>
      </c>
    </row>
    <row r="355" spans="1:14" x14ac:dyDescent="0.25">
      <c r="A355" s="1" t="s">
        <v>466</v>
      </c>
      <c r="B355" s="3">
        <v>30</v>
      </c>
      <c r="C355" s="1">
        <v>1</v>
      </c>
      <c r="D355" s="1">
        <v>3</v>
      </c>
      <c r="E355">
        <f t="shared" si="20"/>
        <v>27</v>
      </c>
      <c r="G355" s="9" t="s">
        <v>208</v>
      </c>
      <c r="H355" s="10">
        <v>59</v>
      </c>
      <c r="J355" t="s">
        <v>490</v>
      </c>
      <c r="K355">
        <v>309</v>
      </c>
      <c r="L355" s="11">
        <f t="shared" si="21"/>
        <v>8.3946373324113874E-4</v>
      </c>
      <c r="M355" s="11">
        <f t="shared" si="23"/>
        <v>0.8219197872366919</v>
      </c>
      <c r="N355" t="str">
        <f t="shared" si="22"/>
        <v>B</v>
      </c>
    </row>
    <row r="356" spans="1:14" x14ac:dyDescent="0.25">
      <c r="A356" s="1" t="s">
        <v>468</v>
      </c>
      <c r="B356" s="3">
        <v>199</v>
      </c>
      <c r="C356" s="1">
        <v>1</v>
      </c>
      <c r="D356" s="1">
        <v>0</v>
      </c>
      <c r="E356">
        <f t="shared" si="20"/>
        <v>199</v>
      </c>
      <c r="G356" s="9" t="s">
        <v>39</v>
      </c>
      <c r="H356" s="10">
        <v>284</v>
      </c>
      <c r="J356" t="s">
        <v>146</v>
      </c>
      <c r="K356">
        <v>309</v>
      </c>
      <c r="L356" s="11">
        <f t="shared" si="21"/>
        <v>8.3946373324113874E-4</v>
      </c>
      <c r="M356" s="11">
        <f t="shared" si="23"/>
        <v>0.82275925096993308</v>
      </c>
      <c r="N356" t="str">
        <f t="shared" si="22"/>
        <v>B</v>
      </c>
    </row>
    <row r="357" spans="1:14" x14ac:dyDescent="0.25">
      <c r="A357" s="1" t="s">
        <v>469</v>
      </c>
      <c r="B357" s="3">
        <v>270</v>
      </c>
      <c r="C357" s="1">
        <v>1</v>
      </c>
      <c r="D357" s="1">
        <v>18</v>
      </c>
      <c r="E357">
        <f t="shared" si="20"/>
        <v>252</v>
      </c>
      <c r="G357" s="9" t="s">
        <v>76</v>
      </c>
      <c r="H357" s="10">
        <v>147</v>
      </c>
      <c r="J357" t="s">
        <v>583</v>
      </c>
      <c r="K357">
        <v>308</v>
      </c>
      <c r="L357" s="11">
        <f t="shared" si="21"/>
        <v>8.3674702213032599E-4</v>
      </c>
      <c r="M357" s="11">
        <f t="shared" si="23"/>
        <v>0.8235959979920634</v>
      </c>
      <c r="N357" t="str">
        <f t="shared" si="22"/>
        <v>B</v>
      </c>
    </row>
    <row r="358" spans="1:14" x14ac:dyDescent="0.25">
      <c r="A358" s="1" t="s">
        <v>470</v>
      </c>
      <c r="B358" s="3">
        <v>403</v>
      </c>
      <c r="C358" s="1">
        <v>1</v>
      </c>
      <c r="D358" s="1">
        <v>0</v>
      </c>
      <c r="E358">
        <f t="shared" si="20"/>
        <v>403</v>
      </c>
      <c r="G358" s="9" t="s">
        <v>904</v>
      </c>
      <c r="H358" s="10">
        <v>449</v>
      </c>
      <c r="J358" t="s">
        <v>636</v>
      </c>
      <c r="K358">
        <v>308</v>
      </c>
      <c r="L358" s="11">
        <f t="shared" si="21"/>
        <v>8.3674702213032599E-4</v>
      </c>
      <c r="M358" s="11">
        <f t="shared" si="23"/>
        <v>0.82443274501419372</v>
      </c>
      <c r="N358" t="str">
        <f t="shared" si="22"/>
        <v>B</v>
      </c>
    </row>
    <row r="359" spans="1:14" x14ac:dyDescent="0.25">
      <c r="A359" s="1" t="s">
        <v>397</v>
      </c>
      <c r="B359" s="3">
        <v>175</v>
      </c>
      <c r="C359" s="1">
        <v>1</v>
      </c>
      <c r="D359" s="1">
        <v>0</v>
      </c>
      <c r="E359">
        <f t="shared" si="20"/>
        <v>175</v>
      </c>
      <c r="G359" s="9" t="s">
        <v>320</v>
      </c>
      <c r="H359" s="10">
        <v>154</v>
      </c>
      <c r="J359" t="s">
        <v>902</v>
      </c>
      <c r="K359">
        <v>307</v>
      </c>
      <c r="L359" s="11">
        <f t="shared" si="21"/>
        <v>8.3403031101951324E-4</v>
      </c>
      <c r="M359" s="11">
        <f t="shared" si="23"/>
        <v>0.8252667753252132</v>
      </c>
      <c r="N359" t="str">
        <f t="shared" si="22"/>
        <v>B</v>
      </c>
    </row>
    <row r="360" spans="1:14" x14ac:dyDescent="0.25">
      <c r="A360" s="1" t="s">
        <v>472</v>
      </c>
      <c r="B360" s="3">
        <v>143</v>
      </c>
      <c r="C360" s="1">
        <v>1</v>
      </c>
      <c r="D360" s="1">
        <v>0</v>
      </c>
      <c r="E360">
        <f t="shared" si="20"/>
        <v>143</v>
      </c>
      <c r="G360" s="9" t="s">
        <v>318</v>
      </c>
      <c r="H360" s="10">
        <v>264</v>
      </c>
      <c r="J360" t="s">
        <v>482</v>
      </c>
      <c r="K360">
        <v>307</v>
      </c>
      <c r="L360" s="11">
        <f t="shared" si="21"/>
        <v>8.3403031101951324E-4</v>
      </c>
      <c r="M360" s="11">
        <f t="shared" si="23"/>
        <v>0.82610080563623267</v>
      </c>
      <c r="N360" t="str">
        <f t="shared" si="22"/>
        <v>B</v>
      </c>
    </row>
    <row r="361" spans="1:14" x14ac:dyDescent="0.25">
      <c r="A361" s="1" t="s">
        <v>473</v>
      </c>
      <c r="B361" s="3">
        <v>907</v>
      </c>
      <c r="C361" s="1">
        <v>1</v>
      </c>
      <c r="D361" s="1">
        <v>27</v>
      </c>
      <c r="E361">
        <f t="shared" si="20"/>
        <v>880</v>
      </c>
      <c r="G361" s="9" t="s">
        <v>1120</v>
      </c>
      <c r="H361" s="10">
        <v>302</v>
      </c>
      <c r="J361" t="s">
        <v>284</v>
      </c>
      <c r="K361">
        <v>306</v>
      </c>
      <c r="L361" s="11">
        <f t="shared" si="21"/>
        <v>8.3131359990870049E-4</v>
      </c>
      <c r="M361" s="11">
        <f t="shared" si="23"/>
        <v>0.82693211923614141</v>
      </c>
      <c r="N361" t="str">
        <f t="shared" si="22"/>
        <v>B</v>
      </c>
    </row>
    <row r="362" spans="1:14" x14ac:dyDescent="0.25">
      <c r="A362" s="1" t="s">
        <v>475</v>
      </c>
      <c r="B362" s="3">
        <v>406</v>
      </c>
      <c r="C362" s="1">
        <v>1</v>
      </c>
      <c r="D362" s="1">
        <v>28</v>
      </c>
      <c r="E362">
        <f t="shared" si="20"/>
        <v>378</v>
      </c>
      <c r="G362" s="9" t="s">
        <v>392</v>
      </c>
      <c r="H362" s="10">
        <v>621</v>
      </c>
      <c r="J362" t="s">
        <v>229</v>
      </c>
      <c r="K362">
        <v>306</v>
      </c>
      <c r="L362" s="11">
        <f t="shared" si="21"/>
        <v>8.3131359990870049E-4</v>
      </c>
      <c r="M362" s="11">
        <f t="shared" si="23"/>
        <v>0.82776343283605014</v>
      </c>
      <c r="N362" t="str">
        <f t="shared" si="22"/>
        <v>B</v>
      </c>
    </row>
    <row r="363" spans="1:14" x14ac:dyDescent="0.25">
      <c r="A363" s="1" t="s">
        <v>476</v>
      </c>
      <c r="B363" s="3">
        <v>922</v>
      </c>
      <c r="C363" s="1">
        <v>1</v>
      </c>
      <c r="D363" s="1">
        <v>0</v>
      </c>
      <c r="E363">
        <f t="shared" si="20"/>
        <v>922</v>
      </c>
      <c r="G363" s="9" t="s">
        <v>1050</v>
      </c>
      <c r="H363" s="10">
        <v>38</v>
      </c>
      <c r="J363" t="s">
        <v>595</v>
      </c>
      <c r="K363">
        <v>306</v>
      </c>
      <c r="L363" s="11">
        <f t="shared" si="21"/>
        <v>8.3131359990870049E-4</v>
      </c>
      <c r="M363" s="11">
        <f t="shared" si="23"/>
        <v>0.82859474643595887</v>
      </c>
      <c r="N363" t="str">
        <f t="shared" si="22"/>
        <v>B</v>
      </c>
    </row>
    <row r="364" spans="1:14" x14ac:dyDescent="0.25">
      <c r="A364" s="1" t="s">
        <v>477</v>
      </c>
      <c r="B364" s="3">
        <v>41</v>
      </c>
      <c r="C364" s="1">
        <v>1</v>
      </c>
      <c r="D364" s="1">
        <v>2</v>
      </c>
      <c r="E364">
        <f t="shared" si="20"/>
        <v>39</v>
      </c>
      <c r="G364" s="9" t="s">
        <v>1163</v>
      </c>
      <c r="H364" s="10">
        <v>82</v>
      </c>
      <c r="J364" t="s">
        <v>552</v>
      </c>
      <c r="K364">
        <v>305</v>
      </c>
      <c r="L364" s="11">
        <f t="shared" si="21"/>
        <v>8.2859688879788774E-4</v>
      </c>
      <c r="M364" s="11">
        <f t="shared" si="23"/>
        <v>0.82942334332475676</v>
      </c>
      <c r="N364" t="str">
        <f t="shared" si="22"/>
        <v>B</v>
      </c>
    </row>
    <row r="365" spans="1:14" x14ac:dyDescent="0.25">
      <c r="A365" s="1" t="s">
        <v>477</v>
      </c>
      <c r="B365" s="3">
        <v>41</v>
      </c>
      <c r="C365" s="1">
        <v>1</v>
      </c>
      <c r="D365" s="1">
        <v>2</v>
      </c>
      <c r="E365">
        <f t="shared" si="20"/>
        <v>39</v>
      </c>
      <c r="G365" s="9" t="s">
        <v>304</v>
      </c>
      <c r="H365" s="10">
        <v>1362</v>
      </c>
      <c r="J365" t="s">
        <v>607</v>
      </c>
      <c r="K365">
        <v>303</v>
      </c>
      <c r="L365" s="11">
        <f t="shared" si="21"/>
        <v>8.2316346657626224E-4</v>
      </c>
      <c r="M365" s="11">
        <f t="shared" si="23"/>
        <v>0.83024650679133305</v>
      </c>
      <c r="N365" t="str">
        <f t="shared" si="22"/>
        <v>B</v>
      </c>
    </row>
    <row r="366" spans="1:14" x14ac:dyDescent="0.25">
      <c r="A366" s="1" t="s">
        <v>478</v>
      </c>
      <c r="B366" s="3">
        <v>76</v>
      </c>
      <c r="C366" s="1">
        <v>1</v>
      </c>
      <c r="D366" s="1">
        <v>5</v>
      </c>
      <c r="E366">
        <f t="shared" si="20"/>
        <v>71</v>
      </c>
      <c r="G366" s="9" t="s">
        <v>1112</v>
      </c>
      <c r="H366" s="10">
        <v>107</v>
      </c>
      <c r="J366" t="s">
        <v>1120</v>
      </c>
      <c r="K366">
        <v>302</v>
      </c>
      <c r="L366" s="11">
        <f t="shared" si="21"/>
        <v>8.2044675546544949E-4</v>
      </c>
      <c r="M366" s="11">
        <f t="shared" si="23"/>
        <v>0.83106695354679849</v>
      </c>
      <c r="N366" t="str">
        <f t="shared" si="22"/>
        <v>B</v>
      </c>
    </row>
    <row r="367" spans="1:14" x14ac:dyDescent="0.25">
      <c r="A367" s="1" t="s">
        <v>119</v>
      </c>
      <c r="B367" s="3">
        <v>47.05</v>
      </c>
      <c r="C367" s="1">
        <v>1</v>
      </c>
      <c r="D367" s="1">
        <v>2.0499999999999998</v>
      </c>
      <c r="E367">
        <f t="shared" si="20"/>
        <v>45</v>
      </c>
      <c r="G367" s="9" t="s">
        <v>1094</v>
      </c>
      <c r="H367" s="10">
        <v>290</v>
      </c>
      <c r="J367" t="s">
        <v>784</v>
      </c>
      <c r="K367">
        <v>300</v>
      </c>
      <c r="L367" s="11">
        <f t="shared" si="21"/>
        <v>8.1501333324382399E-4</v>
      </c>
      <c r="M367" s="11">
        <f t="shared" si="23"/>
        <v>0.83188196688004235</v>
      </c>
      <c r="N367" t="str">
        <f t="shared" si="22"/>
        <v>B</v>
      </c>
    </row>
    <row r="368" spans="1:14" x14ac:dyDescent="0.25">
      <c r="A368" s="1" t="s">
        <v>479</v>
      </c>
      <c r="B368" s="3">
        <v>91</v>
      </c>
      <c r="C368" s="1">
        <v>1</v>
      </c>
      <c r="D368" s="1">
        <v>9</v>
      </c>
      <c r="E368">
        <f t="shared" si="20"/>
        <v>82</v>
      </c>
      <c r="G368" s="9" t="s">
        <v>672</v>
      </c>
      <c r="H368" s="10">
        <v>56</v>
      </c>
      <c r="J368" t="s">
        <v>278</v>
      </c>
      <c r="K368">
        <v>300</v>
      </c>
      <c r="L368" s="11">
        <f t="shared" si="21"/>
        <v>8.1501333324382399E-4</v>
      </c>
      <c r="M368" s="11">
        <f t="shared" si="23"/>
        <v>0.8326969802132862</v>
      </c>
      <c r="N368" t="str">
        <f t="shared" si="22"/>
        <v>B</v>
      </c>
    </row>
    <row r="369" spans="1:14" x14ac:dyDescent="0.25">
      <c r="A369" s="1" t="s">
        <v>481</v>
      </c>
      <c r="B369" s="3">
        <v>256</v>
      </c>
      <c r="C369" s="1">
        <v>1</v>
      </c>
      <c r="D369" s="1">
        <v>17</v>
      </c>
      <c r="E369">
        <f t="shared" si="20"/>
        <v>239</v>
      </c>
      <c r="G369" s="9" t="s">
        <v>265</v>
      </c>
      <c r="H369" s="10">
        <v>192</v>
      </c>
      <c r="J369" t="s">
        <v>1092</v>
      </c>
      <c r="K369">
        <v>298</v>
      </c>
      <c r="L369" s="11">
        <f t="shared" si="21"/>
        <v>8.0957991102219848E-4</v>
      </c>
      <c r="M369" s="11">
        <f t="shared" si="23"/>
        <v>0.83350656012430835</v>
      </c>
      <c r="N369" t="str">
        <f t="shared" si="22"/>
        <v>B</v>
      </c>
    </row>
    <row r="370" spans="1:14" x14ac:dyDescent="0.25">
      <c r="A370" s="1" t="s">
        <v>482</v>
      </c>
      <c r="B370" s="3">
        <v>148</v>
      </c>
      <c r="C370" s="1">
        <v>1</v>
      </c>
      <c r="D370" s="1">
        <v>10</v>
      </c>
      <c r="E370">
        <f t="shared" si="20"/>
        <v>138</v>
      </c>
      <c r="G370" s="9" t="s">
        <v>733</v>
      </c>
      <c r="H370" s="10">
        <v>81</v>
      </c>
      <c r="J370" t="s">
        <v>1208</v>
      </c>
      <c r="K370">
        <v>298</v>
      </c>
      <c r="L370" s="11">
        <f t="shared" si="21"/>
        <v>8.0957991102219848E-4</v>
      </c>
      <c r="M370" s="11">
        <f t="shared" si="23"/>
        <v>0.8343161400353305</v>
      </c>
      <c r="N370" t="str">
        <f t="shared" si="22"/>
        <v>B</v>
      </c>
    </row>
    <row r="371" spans="1:14" x14ac:dyDescent="0.25">
      <c r="A371" s="1" t="s">
        <v>483</v>
      </c>
      <c r="B371" s="3">
        <v>603</v>
      </c>
      <c r="C371" s="1">
        <v>1</v>
      </c>
      <c r="D371" s="1">
        <v>42</v>
      </c>
      <c r="E371">
        <f t="shared" si="20"/>
        <v>561</v>
      </c>
      <c r="G371" s="9" t="s">
        <v>451</v>
      </c>
      <c r="H371" s="10">
        <v>186</v>
      </c>
      <c r="J371" t="s">
        <v>169</v>
      </c>
      <c r="K371">
        <v>297</v>
      </c>
      <c r="L371" s="11">
        <f t="shared" si="21"/>
        <v>8.0686319991138573E-4</v>
      </c>
      <c r="M371" s="11">
        <f t="shared" si="23"/>
        <v>0.83512300323524191</v>
      </c>
      <c r="N371" t="str">
        <f t="shared" si="22"/>
        <v>B</v>
      </c>
    </row>
    <row r="372" spans="1:14" x14ac:dyDescent="0.25">
      <c r="A372" s="1" t="s">
        <v>485</v>
      </c>
      <c r="B372" s="3">
        <v>240</v>
      </c>
      <c r="C372" s="1">
        <v>1</v>
      </c>
      <c r="D372" s="1">
        <v>16</v>
      </c>
      <c r="E372">
        <f t="shared" si="20"/>
        <v>224</v>
      </c>
      <c r="G372" s="9" t="s">
        <v>375</v>
      </c>
      <c r="H372" s="10">
        <v>272</v>
      </c>
      <c r="J372" t="s">
        <v>1071</v>
      </c>
      <c r="K372">
        <v>295.23</v>
      </c>
      <c r="L372" s="11">
        <f t="shared" si="21"/>
        <v>8.0205462124524726E-4</v>
      </c>
      <c r="M372" s="11">
        <f t="shared" si="23"/>
        <v>0.83592505785648719</v>
      </c>
      <c r="N372" t="str">
        <f t="shared" si="22"/>
        <v>B</v>
      </c>
    </row>
    <row r="373" spans="1:14" x14ac:dyDescent="0.25">
      <c r="A373" s="1" t="s">
        <v>486</v>
      </c>
      <c r="B373" s="3">
        <v>901</v>
      </c>
      <c r="C373" s="1">
        <v>1</v>
      </c>
      <c r="D373" s="1">
        <v>63</v>
      </c>
      <c r="E373">
        <f t="shared" si="20"/>
        <v>838</v>
      </c>
      <c r="G373" s="9" t="s">
        <v>1043</v>
      </c>
      <c r="H373" s="10">
        <v>126</v>
      </c>
      <c r="J373" t="s">
        <v>161</v>
      </c>
      <c r="K373">
        <v>295</v>
      </c>
      <c r="L373" s="11">
        <f t="shared" si="21"/>
        <v>8.0142977768976023E-4</v>
      </c>
      <c r="M373" s="11">
        <f t="shared" si="23"/>
        <v>0.8367264876341769</v>
      </c>
      <c r="N373" t="str">
        <f t="shared" si="22"/>
        <v>B</v>
      </c>
    </row>
    <row r="374" spans="1:14" x14ac:dyDescent="0.25">
      <c r="A374" s="1" t="s">
        <v>487</v>
      </c>
      <c r="B374" s="3">
        <v>602</v>
      </c>
      <c r="C374" s="1">
        <v>1</v>
      </c>
      <c r="D374" s="1">
        <v>42</v>
      </c>
      <c r="E374">
        <f t="shared" si="20"/>
        <v>560</v>
      </c>
      <c r="G374" s="9" t="s">
        <v>448</v>
      </c>
      <c r="H374" s="10">
        <v>104</v>
      </c>
      <c r="J374" t="s">
        <v>624</v>
      </c>
      <c r="K374">
        <v>292</v>
      </c>
      <c r="L374" s="11">
        <f t="shared" si="21"/>
        <v>7.9327964435732209E-4</v>
      </c>
      <c r="M374" s="11">
        <f t="shared" si="23"/>
        <v>0.83751976727853417</v>
      </c>
      <c r="N374" t="str">
        <f t="shared" si="22"/>
        <v>B</v>
      </c>
    </row>
    <row r="375" spans="1:14" x14ac:dyDescent="0.25">
      <c r="A375" s="1" t="s">
        <v>487</v>
      </c>
      <c r="B375" s="3">
        <v>596</v>
      </c>
      <c r="C375" s="1">
        <v>1</v>
      </c>
      <c r="D375" s="1">
        <v>41</v>
      </c>
      <c r="E375">
        <f t="shared" si="20"/>
        <v>555</v>
      </c>
      <c r="G375" s="9" t="s">
        <v>647</v>
      </c>
      <c r="H375" s="10">
        <v>104</v>
      </c>
      <c r="J375" t="s">
        <v>721</v>
      </c>
      <c r="K375">
        <v>292</v>
      </c>
      <c r="L375" s="11">
        <f t="shared" si="21"/>
        <v>7.9327964435732209E-4</v>
      </c>
      <c r="M375" s="11">
        <f t="shared" si="23"/>
        <v>0.83831304692289144</v>
      </c>
      <c r="N375" t="str">
        <f t="shared" si="22"/>
        <v>B</v>
      </c>
    </row>
    <row r="376" spans="1:14" x14ac:dyDescent="0.25">
      <c r="A376" s="1" t="s">
        <v>488</v>
      </c>
      <c r="B376" s="3">
        <v>377</v>
      </c>
      <c r="C376" s="1">
        <v>1</v>
      </c>
      <c r="D376" s="1">
        <v>37</v>
      </c>
      <c r="E376">
        <f t="shared" si="20"/>
        <v>340</v>
      </c>
      <c r="G376" s="9" t="s">
        <v>949</v>
      </c>
      <c r="H376" s="10">
        <v>110</v>
      </c>
      <c r="J376" t="s">
        <v>941</v>
      </c>
      <c r="K376">
        <v>291</v>
      </c>
      <c r="L376" s="11">
        <f t="shared" si="21"/>
        <v>7.9056293324650934E-4</v>
      </c>
      <c r="M376" s="11">
        <f t="shared" si="23"/>
        <v>0.83910360985613797</v>
      </c>
      <c r="N376" t="str">
        <f t="shared" si="22"/>
        <v>B</v>
      </c>
    </row>
    <row r="377" spans="1:14" x14ac:dyDescent="0.25">
      <c r="A377" s="1" t="s">
        <v>490</v>
      </c>
      <c r="B377" s="3">
        <v>309</v>
      </c>
      <c r="C377" s="1">
        <v>1</v>
      </c>
      <c r="D377" s="1">
        <v>0</v>
      </c>
      <c r="E377">
        <f t="shared" si="20"/>
        <v>309</v>
      </c>
      <c r="G377" s="9" t="s">
        <v>395</v>
      </c>
      <c r="H377" s="10">
        <v>210</v>
      </c>
      <c r="J377" t="s">
        <v>1094</v>
      </c>
      <c r="K377">
        <v>290</v>
      </c>
      <c r="L377" s="11">
        <f t="shared" si="21"/>
        <v>7.8784622213569659E-4</v>
      </c>
      <c r="M377" s="11">
        <f t="shared" si="23"/>
        <v>0.83989145607827365</v>
      </c>
      <c r="N377" t="str">
        <f t="shared" si="22"/>
        <v>B</v>
      </c>
    </row>
    <row r="378" spans="1:14" x14ac:dyDescent="0.25">
      <c r="A378" s="1" t="s">
        <v>492</v>
      </c>
      <c r="B378" s="3">
        <v>110</v>
      </c>
      <c r="C378" s="1">
        <v>1</v>
      </c>
      <c r="D378" s="1">
        <v>11</v>
      </c>
      <c r="E378">
        <f t="shared" si="20"/>
        <v>99</v>
      </c>
      <c r="G378" s="9" t="s">
        <v>1032</v>
      </c>
      <c r="H378" s="10">
        <v>354</v>
      </c>
      <c r="J378" t="s">
        <v>163</v>
      </c>
      <c r="K378">
        <v>289</v>
      </c>
      <c r="L378" s="11">
        <f t="shared" si="21"/>
        <v>7.8512951102488384E-4</v>
      </c>
      <c r="M378" s="11">
        <f t="shared" si="23"/>
        <v>0.84067658558929848</v>
      </c>
      <c r="N378" t="str">
        <f t="shared" si="22"/>
        <v>B</v>
      </c>
    </row>
    <row r="379" spans="1:14" x14ac:dyDescent="0.25">
      <c r="A379" s="1" t="s">
        <v>98</v>
      </c>
      <c r="B379" s="3">
        <v>220</v>
      </c>
      <c r="C379" s="1">
        <v>1</v>
      </c>
      <c r="D379" s="1">
        <v>15</v>
      </c>
      <c r="E379">
        <f t="shared" si="20"/>
        <v>205</v>
      </c>
      <c r="G379" s="9" t="s">
        <v>951</v>
      </c>
      <c r="H379" s="10">
        <v>209</v>
      </c>
      <c r="J379" t="s">
        <v>1119</v>
      </c>
      <c r="K379">
        <v>288</v>
      </c>
      <c r="L379" s="11">
        <f t="shared" si="21"/>
        <v>7.8241279991407109E-4</v>
      </c>
      <c r="M379" s="11">
        <f t="shared" si="23"/>
        <v>0.84145899838921256</v>
      </c>
      <c r="N379" t="str">
        <f t="shared" si="22"/>
        <v>B</v>
      </c>
    </row>
    <row r="380" spans="1:14" x14ac:dyDescent="0.25">
      <c r="A380" s="1" t="s">
        <v>493</v>
      </c>
      <c r="B380" s="3">
        <v>192</v>
      </c>
      <c r="C380" s="1">
        <v>1</v>
      </c>
      <c r="D380" s="1">
        <v>19</v>
      </c>
      <c r="E380">
        <f t="shared" si="20"/>
        <v>173</v>
      </c>
      <c r="G380" s="9" t="s">
        <v>1194</v>
      </c>
      <c r="H380" s="10">
        <v>235</v>
      </c>
      <c r="J380" t="s">
        <v>52</v>
      </c>
      <c r="K380">
        <v>288</v>
      </c>
      <c r="L380" s="11">
        <f t="shared" si="21"/>
        <v>7.8241279991407109E-4</v>
      </c>
      <c r="M380" s="11">
        <f t="shared" si="23"/>
        <v>0.84224141118912665</v>
      </c>
      <c r="N380" t="str">
        <f t="shared" si="22"/>
        <v>B</v>
      </c>
    </row>
    <row r="381" spans="1:14" x14ac:dyDescent="0.25">
      <c r="A381" s="1" t="s">
        <v>495</v>
      </c>
      <c r="B381" s="3">
        <v>156</v>
      </c>
      <c r="C381" s="1">
        <v>1</v>
      </c>
      <c r="D381" s="1">
        <v>7</v>
      </c>
      <c r="E381">
        <f t="shared" si="20"/>
        <v>149</v>
      </c>
      <c r="G381" s="9" t="s">
        <v>744</v>
      </c>
      <c r="H381" s="10">
        <v>473</v>
      </c>
      <c r="J381" t="s">
        <v>735</v>
      </c>
      <c r="K381">
        <v>286</v>
      </c>
      <c r="L381" s="11">
        <f t="shared" si="21"/>
        <v>7.7697937769244559E-4</v>
      </c>
      <c r="M381" s="11">
        <f t="shared" si="23"/>
        <v>0.84301839056681915</v>
      </c>
      <c r="N381" t="str">
        <f t="shared" si="22"/>
        <v>B</v>
      </c>
    </row>
    <row r="382" spans="1:14" x14ac:dyDescent="0.25">
      <c r="A382" s="1" t="s">
        <v>496</v>
      </c>
      <c r="B382" s="3">
        <v>492</v>
      </c>
      <c r="C382" s="1">
        <v>1</v>
      </c>
      <c r="D382" s="1">
        <v>49</v>
      </c>
      <c r="E382">
        <f t="shared" si="20"/>
        <v>443</v>
      </c>
      <c r="G382" s="9" t="s">
        <v>709</v>
      </c>
      <c r="H382" s="10">
        <v>87</v>
      </c>
      <c r="J382" t="s">
        <v>472</v>
      </c>
      <c r="K382">
        <v>286</v>
      </c>
      <c r="L382" s="11">
        <f t="shared" si="21"/>
        <v>7.7697937769244559E-4</v>
      </c>
      <c r="M382" s="11">
        <f t="shared" si="23"/>
        <v>0.84379536994451165</v>
      </c>
      <c r="N382" t="str">
        <f t="shared" si="22"/>
        <v>B</v>
      </c>
    </row>
    <row r="383" spans="1:14" x14ac:dyDescent="0.25">
      <c r="A383" s="1" t="s">
        <v>497</v>
      </c>
      <c r="B383" s="3">
        <v>327</v>
      </c>
      <c r="C383" s="1">
        <v>1</v>
      </c>
      <c r="D383" s="1">
        <v>22</v>
      </c>
      <c r="E383">
        <f t="shared" si="20"/>
        <v>305</v>
      </c>
      <c r="G383" s="9" t="s">
        <v>850</v>
      </c>
      <c r="H383" s="10">
        <v>35</v>
      </c>
      <c r="J383" t="s">
        <v>570</v>
      </c>
      <c r="K383">
        <v>286</v>
      </c>
      <c r="L383" s="11">
        <f t="shared" si="21"/>
        <v>7.7697937769244559E-4</v>
      </c>
      <c r="M383" s="11">
        <f t="shared" si="23"/>
        <v>0.84457234932220415</v>
      </c>
      <c r="N383" t="str">
        <f t="shared" si="22"/>
        <v>B</v>
      </c>
    </row>
    <row r="384" spans="1:14" x14ac:dyDescent="0.25">
      <c r="A384" s="1" t="s">
        <v>89</v>
      </c>
      <c r="B384" s="3">
        <v>31</v>
      </c>
      <c r="C384" s="1">
        <v>1</v>
      </c>
      <c r="D384" s="1">
        <v>1</v>
      </c>
      <c r="E384">
        <f t="shared" si="20"/>
        <v>30</v>
      </c>
      <c r="G384" s="9" t="s">
        <v>942</v>
      </c>
      <c r="H384" s="10">
        <v>127</v>
      </c>
      <c r="J384" t="s">
        <v>268</v>
      </c>
      <c r="K384">
        <v>286</v>
      </c>
      <c r="L384" s="11">
        <f t="shared" si="21"/>
        <v>7.7697937769244559E-4</v>
      </c>
      <c r="M384" s="11">
        <f t="shared" si="23"/>
        <v>0.84534932869989665</v>
      </c>
      <c r="N384" t="str">
        <f t="shared" si="22"/>
        <v>B</v>
      </c>
    </row>
    <row r="385" spans="1:14" x14ac:dyDescent="0.25">
      <c r="A385" s="1" t="s">
        <v>443</v>
      </c>
      <c r="B385" s="3">
        <v>50</v>
      </c>
      <c r="C385" s="1">
        <v>1</v>
      </c>
      <c r="D385" s="1">
        <v>2</v>
      </c>
      <c r="E385">
        <f t="shared" si="20"/>
        <v>48</v>
      </c>
      <c r="G385" s="9" t="s">
        <v>430</v>
      </c>
      <c r="H385" s="10">
        <v>706</v>
      </c>
      <c r="J385" t="s">
        <v>1193</v>
      </c>
      <c r="K385">
        <v>285</v>
      </c>
      <c r="L385" s="11">
        <f t="shared" si="21"/>
        <v>7.7426266658163284E-4</v>
      </c>
      <c r="M385" s="11">
        <f t="shared" si="23"/>
        <v>0.8461235913664783</v>
      </c>
      <c r="N385" t="str">
        <f t="shared" si="22"/>
        <v>B</v>
      </c>
    </row>
    <row r="386" spans="1:14" x14ac:dyDescent="0.25">
      <c r="A386" s="1" t="s">
        <v>499</v>
      </c>
      <c r="B386" s="3">
        <v>95</v>
      </c>
      <c r="C386" s="1">
        <v>1</v>
      </c>
      <c r="D386" s="1">
        <v>4</v>
      </c>
      <c r="E386">
        <f t="shared" si="20"/>
        <v>91</v>
      </c>
      <c r="G386" s="9" t="s">
        <v>557</v>
      </c>
      <c r="H386" s="10">
        <v>100</v>
      </c>
      <c r="J386" t="s">
        <v>39</v>
      </c>
      <c r="K386">
        <v>284</v>
      </c>
      <c r="L386" s="11">
        <f t="shared" si="21"/>
        <v>7.7154595547082008E-4</v>
      </c>
      <c r="M386" s="11">
        <f t="shared" si="23"/>
        <v>0.8468951373219491</v>
      </c>
      <c r="N386" t="str">
        <f t="shared" si="22"/>
        <v>B</v>
      </c>
    </row>
    <row r="387" spans="1:14" x14ac:dyDescent="0.25">
      <c r="A387" s="1" t="s">
        <v>500</v>
      </c>
      <c r="B387" s="3">
        <v>120</v>
      </c>
      <c r="C387" s="1">
        <v>1</v>
      </c>
      <c r="D387" s="1">
        <v>12</v>
      </c>
      <c r="E387">
        <f t="shared" ref="E387:E450" si="24">C387*B387-D387</f>
        <v>108</v>
      </c>
      <c r="G387" s="9" t="s">
        <v>1145</v>
      </c>
      <c r="H387" s="10">
        <v>431</v>
      </c>
      <c r="J387" t="s">
        <v>390</v>
      </c>
      <c r="K387">
        <v>282</v>
      </c>
      <c r="L387" s="11">
        <f t="shared" ref="L387:L450" si="25">K387/SUM($K$2:$K$804)</f>
        <v>7.6611253324919458E-4</v>
      </c>
      <c r="M387" s="11">
        <f t="shared" si="23"/>
        <v>0.84766124985519831</v>
      </c>
      <c r="N387" t="str">
        <f t="shared" ref="N387:N450" si="26">IF(M387&lt;0.8, "A", IF(M387&lt;0.95,"B","C"))</f>
        <v>B</v>
      </c>
    </row>
    <row r="388" spans="1:14" x14ac:dyDescent="0.25">
      <c r="A388" s="1" t="s">
        <v>502</v>
      </c>
      <c r="B388" s="3">
        <v>216</v>
      </c>
      <c r="C388" s="1">
        <v>1</v>
      </c>
      <c r="D388" s="1">
        <v>15</v>
      </c>
      <c r="E388">
        <f t="shared" si="24"/>
        <v>201</v>
      </c>
      <c r="G388" s="9" t="s">
        <v>680</v>
      </c>
      <c r="H388" s="10">
        <v>224</v>
      </c>
      <c r="J388" t="s">
        <v>981</v>
      </c>
      <c r="K388">
        <v>282</v>
      </c>
      <c r="L388" s="11">
        <f t="shared" si="25"/>
        <v>7.6611253324919458E-4</v>
      </c>
      <c r="M388" s="11">
        <f t="shared" ref="M388:M451" si="27">L388+M387</f>
        <v>0.84842736238844751</v>
      </c>
      <c r="N388" t="str">
        <f t="shared" si="26"/>
        <v>B</v>
      </c>
    </row>
    <row r="389" spans="1:14" x14ac:dyDescent="0.25">
      <c r="A389" s="1" t="s">
        <v>504</v>
      </c>
      <c r="B389" s="3">
        <v>24</v>
      </c>
      <c r="C389" s="1">
        <v>1</v>
      </c>
      <c r="D389" s="1">
        <v>1</v>
      </c>
      <c r="E389">
        <f t="shared" si="24"/>
        <v>23</v>
      </c>
      <c r="G389" s="9" t="s">
        <v>532</v>
      </c>
      <c r="H389" s="10">
        <v>3497</v>
      </c>
      <c r="J389" t="s">
        <v>558</v>
      </c>
      <c r="K389">
        <v>282</v>
      </c>
      <c r="L389" s="11">
        <f t="shared" si="25"/>
        <v>7.6611253324919458E-4</v>
      </c>
      <c r="M389" s="11">
        <f t="shared" si="27"/>
        <v>0.84919347492169672</v>
      </c>
      <c r="N389" t="str">
        <f t="shared" si="26"/>
        <v>B</v>
      </c>
    </row>
    <row r="390" spans="1:14" x14ac:dyDescent="0.25">
      <c r="A390" s="1" t="s">
        <v>505</v>
      </c>
      <c r="B390" s="3">
        <v>12</v>
      </c>
      <c r="C390" s="1">
        <v>1</v>
      </c>
      <c r="D390" s="1">
        <v>1</v>
      </c>
      <c r="E390">
        <f t="shared" si="24"/>
        <v>11</v>
      </c>
      <c r="G390" s="9" t="s">
        <v>658</v>
      </c>
      <c r="H390" s="10">
        <v>1018</v>
      </c>
      <c r="J390" t="s">
        <v>416</v>
      </c>
      <c r="K390">
        <v>280</v>
      </c>
      <c r="L390" s="11">
        <f t="shared" si="25"/>
        <v>7.6067911102756908E-4</v>
      </c>
      <c r="M390" s="11">
        <f t="shared" si="27"/>
        <v>0.84995415403272434</v>
      </c>
      <c r="N390" t="str">
        <f t="shared" si="26"/>
        <v>B</v>
      </c>
    </row>
    <row r="391" spans="1:14" x14ac:dyDescent="0.25">
      <c r="A391" s="1" t="s">
        <v>212</v>
      </c>
      <c r="B391" s="3">
        <v>41</v>
      </c>
      <c r="C391" s="1">
        <v>1</v>
      </c>
      <c r="D391" s="1">
        <v>2</v>
      </c>
      <c r="E391">
        <f t="shared" si="24"/>
        <v>39</v>
      </c>
      <c r="G391" s="9" t="s">
        <v>750</v>
      </c>
      <c r="H391" s="10">
        <v>353</v>
      </c>
      <c r="J391" t="s">
        <v>129</v>
      </c>
      <c r="K391">
        <v>280</v>
      </c>
      <c r="L391" s="11">
        <f t="shared" si="25"/>
        <v>7.6067911102756908E-4</v>
      </c>
      <c r="M391" s="11">
        <f t="shared" si="27"/>
        <v>0.85071483314375196</v>
      </c>
      <c r="N391" t="str">
        <f t="shared" si="26"/>
        <v>B</v>
      </c>
    </row>
    <row r="392" spans="1:14" x14ac:dyDescent="0.25">
      <c r="A392" s="1" t="s">
        <v>507</v>
      </c>
      <c r="B392" s="3">
        <v>726</v>
      </c>
      <c r="C392" s="1">
        <v>1</v>
      </c>
      <c r="D392" s="1">
        <v>50</v>
      </c>
      <c r="E392">
        <f t="shared" si="24"/>
        <v>676</v>
      </c>
      <c r="G392" s="9" t="s">
        <v>943</v>
      </c>
      <c r="H392" s="10">
        <v>2642</v>
      </c>
      <c r="J392" t="s">
        <v>948</v>
      </c>
      <c r="K392">
        <v>279</v>
      </c>
      <c r="L392" s="11">
        <f t="shared" si="25"/>
        <v>7.5796239991675633E-4</v>
      </c>
      <c r="M392" s="11">
        <f t="shared" si="27"/>
        <v>0.85147279554366873</v>
      </c>
      <c r="N392" t="str">
        <f t="shared" si="26"/>
        <v>B</v>
      </c>
    </row>
    <row r="393" spans="1:14" x14ac:dyDescent="0.25">
      <c r="A393" s="1" t="s">
        <v>212</v>
      </c>
      <c r="B393" s="3">
        <v>41</v>
      </c>
      <c r="C393" s="1">
        <v>1</v>
      </c>
      <c r="D393" s="1">
        <v>2</v>
      </c>
      <c r="E393">
        <f t="shared" si="24"/>
        <v>39</v>
      </c>
      <c r="G393" s="9" t="s">
        <v>429</v>
      </c>
      <c r="H393" s="10">
        <v>56.1</v>
      </c>
      <c r="J393" t="s">
        <v>678</v>
      </c>
      <c r="K393">
        <v>279</v>
      </c>
      <c r="L393" s="11">
        <f t="shared" si="25"/>
        <v>7.5796239991675633E-4</v>
      </c>
      <c r="M393" s="11">
        <f t="shared" si="27"/>
        <v>0.85223075794358549</v>
      </c>
      <c r="N393" t="str">
        <f t="shared" si="26"/>
        <v>B</v>
      </c>
    </row>
    <row r="394" spans="1:14" x14ac:dyDescent="0.25">
      <c r="A394" s="1" t="s">
        <v>509</v>
      </c>
      <c r="B394" s="3">
        <v>136</v>
      </c>
      <c r="C394" s="1">
        <v>1</v>
      </c>
      <c r="D394" s="1">
        <v>13</v>
      </c>
      <c r="E394">
        <f t="shared" si="24"/>
        <v>123</v>
      </c>
      <c r="G394" s="9" t="s">
        <v>251</v>
      </c>
      <c r="H394" s="10">
        <v>477</v>
      </c>
      <c r="J394" t="s">
        <v>1055</v>
      </c>
      <c r="K394">
        <v>278</v>
      </c>
      <c r="L394" s="11">
        <f t="shared" si="25"/>
        <v>7.5524568880594358E-4</v>
      </c>
      <c r="M394" s="11">
        <f t="shared" si="27"/>
        <v>0.85298600363239141</v>
      </c>
      <c r="N394" t="str">
        <f t="shared" si="26"/>
        <v>B</v>
      </c>
    </row>
    <row r="395" spans="1:14" x14ac:dyDescent="0.25">
      <c r="A395" s="1" t="s">
        <v>257</v>
      </c>
      <c r="B395" s="3">
        <v>70</v>
      </c>
      <c r="C395" s="1">
        <v>1</v>
      </c>
      <c r="D395" s="1">
        <v>3</v>
      </c>
      <c r="E395">
        <f t="shared" si="24"/>
        <v>67</v>
      </c>
      <c r="G395" s="9" t="s">
        <v>324</v>
      </c>
      <c r="H395" s="10">
        <v>46</v>
      </c>
      <c r="J395" t="s">
        <v>1129</v>
      </c>
      <c r="K395">
        <v>276</v>
      </c>
      <c r="L395" s="11">
        <f t="shared" si="25"/>
        <v>7.4981226658431808E-4</v>
      </c>
      <c r="M395" s="11">
        <f t="shared" si="27"/>
        <v>0.85373581589897574</v>
      </c>
      <c r="N395" t="str">
        <f t="shared" si="26"/>
        <v>B</v>
      </c>
    </row>
    <row r="396" spans="1:14" x14ac:dyDescent="0.25">
      <c r="A396" s="1" t="s">
        <v>510</v>
      </c>
      <c r="B396" s="3">
        <v>258</v>
      </c>
      <c r="C396" s="1">
        <v>1</v>
      </c>
      <c r="D396" s="1">
        <v>18</v>
      </c>
      <c r="E396">
        <f t="shared" si="24"/>
        <v>240</v>
      </c>
      <c r="G396" s="9" t="s">
        <v>190</v>
      </c>
      <c r="H396" s="10">
        <v>92</v>
      </c>
      <c r="J396" t="s">
        <v>926</v>
      </c>
      <c r="K396">
        <v>275</v>
      </c>
      <c r="L396" s="11">
        <f t="shared" si="25"/>
        <v>7.4709555547350533E-4</v>
      </c>
      <c r="M396" s="11">
        <f t="shared" si="27"/>
        <v>0.85448291145444921</v>
      </c>
      <c r="N396" t="str">
        <f t="shared" si="26"/>
        <v>B</v>
      </c>
    </row>
    <row r="397" spans="1:14" x14ac:dyDescent="0.25">
      <c r="A397" s="1" t="s">
        <v>511</v>
      </c>
      <c r="B397" s="3">
        <v>54</v>
      </c>
      <c r="C397" s="1">
        <v>1</v>
      </c>
      <c r="D397" s="1">
        <v>5</v>
      </c>
      <c r="E397">
        <f t="shared" si="24"/>
        <v>49</v>
      </c>
      <c r="G397" s="9" t="s">
        <v>499</v>
      </c>
      <c r="H397" s="10">
        <v>95</v>
      </c>
      <c r="J397" t="s">
        <v>1083</v>
      </c>
      <c r="K397">
        <v>275</v>
      </c>
      <c r="L397" s="11">
        <f t="shared" si="25"/>
        <v>7.4709555547350533E-4</v>
      </c>
      <c r="M397" s="11">
        <f t="shared" si="27"/>
        <v>0.85523000700992269</v>
      </c>
      <c r="N397" t="str">
        <f t="shared" si="26"/>
        <v>B</v>
      </c>
    </row>
    <row r="398" spans="1:14" x14ac:dyDescent="0.25">
      <c r="A398" s="1" t="s">
        <v>513</v>
      </c>
      <c r="B398" s="3">
        <v>154</v>
      </c>
      <c r="C398" s="1">
        <v>1</v>
      </c>
      <c r="D398" s="1">
        <v>15</v>
      </c>
      <c r="E398">
        <f t="shared" si="24"/>
        <v>139</v>
      </c>
      <c r="G398" s="9" t="s">
        <v>873</v>
      </c>
      <c r="H398" s="10">
        <v>55</v>
      </c>
      <c r="J398" t="s">
        <v>1185</v>
      </c>
      <c r="K398">
        <v>274</v>
      </c>
      <c r="L398" s="11">
        <f t="shared" si="25"/>
        <v>7.4437884436269258E-4</v>
      </c>
      <c r="M398" s="11">
        <f t="shared" si="27"/>
        <v>0.85597438585428542</v>
      </c>
      <c r="N398" t="str">
        <f t="shared" si="26"/>
        <v>B</v>
      </c>
    </row>
    <row r="399" spans="1:14" x14ac:dyDescent="0.25">
      <c r="A399" s="1" t="s">
        <v>270</v>
      </c>
      <c r="B399" s="3">
        <v>40</v>
      </c>
      <c r="C399" s="1">
        <v>1</v>
      </c>
      <c r="D399" s="1">
        <v>2</v>
      </c>
      <c r="E399">
        <f t="shared" si="24"/>
        <v>38</v>
      </c>
      <c r="G399" s="9" t="s">
        <v>1044</v>
      </c>
      <c r="H399" s="10">
        <v>103</v>
      </c>
      <c r="J399" t="s">
        <v>1089</v>
      </c>
      <c r="K399">
        <v>274</v>
      </c>
      <c r="L399" s="11">
        <f t="shared" si="25"/>
        <v>7.4437884436269258E-4</v>
      </c>
      <c r="M399" s="11">
        <f t="shared" si="27"/>
        <v>0.85671876469864816</v>
      </c>
      <c r="N399" t="str">
        <f t="shared" si="26"/>
        <v>B</v>
      </c>
    </row>
    <row r="400" spans="1:14" x14ac:dyDescent="0.25">
      <c r="A400" s="1" t="s">
        <v>270</v>
      </c>
      <c r="B400" s="3">
        <v>40</v>
      </c>
      <c r="C400" s="1">
        <v>1</v>
      </c>
      <c r="D400" s="1">
        <v>2</v>
      </c>
      <c r="E400">
        <f t="shared" si="24"/>
        <v>38</v>
      </c>
      <c r="G400" s="9" t="s">
        <v>552</v>
      </c>
      <c r="H400" s="10">
        <v>305</v>
      </c>
      <c r="J400" t="s">
        <v>1034</v>
      </c>
      <c r="K400">
        <v>273.00001364999997</v>
      </c>
      <c r="L400" s="11">
        <f t="shared" si="25"/>
        <v>7.4166217033498649E-4</v>
      </c>
      <c r="M400" s="11">
        <f t="shared" si="27"/>
        <v>0.85746042686898316</v>
      </c>
      <c r="N400" t="str">
        <f t="shared" si="26"/>
        <v>B</v>
      </c>
    </row>
    <row r="401" spans="1:14" x14ac:dyDescent="0.25">
      <c r="A401" s="1" t="s">
        <v>514</v>
      </c>
      <c r="B401" s="3">
        <v>124</v>
      </c>
      <c r="C401" s="1">
        <v>1</v>
      </c>
      <c r="D401" s="1">
        <v>8</v>
      </c>
      <c r="E401">
        <f t="shared" si="24"/>
        <v>116</v>
      </c>
      <c r="G401" s="9" t="s">
        <v>940</v>
      </c>
      <c r="H401" s="10">
        <v>144</v>
      </c>
      <c r="J401" t="s">
        <v>596</v>
      </c>
      <c r="K401">
        <v>273</v>
      </c>
      <c r="L401" s="11">
        <f t="shared" si="25"/>
        <v>7.4166213325187983E-4</v>
      </c>
      <c r="M401" s="11">
        <f t="shared" si="27"/>
        <v>0.85820208900223505</v>
      </c>
      <c r="N401" t="str">
        <f t="shared" si="26"/>
        <v>B</v>
      </c>
    </row>
    <row r="402" spans="1:14" x14ac:dyDescent="0.25">
      <c r="A402" s="1" t="s">
        <v>514</v>
      </c>
      <c r="B402" s="3">
        <v>124</v>
      </c>
      <c r="C402" s="1">
        <v>1</v>
      </c>
      <c r="D402" s="1">
        <v>21.24</v>
      </c>
      <c r="E402">
        <f t="shared" si="24"/>
        <v>102.76</v>
      </c>
      <c r="G402" s="9" t="s">
        <v>603</v>
      </c>
      <c r="H402" s="10">
        <v>835</v>
      </c>
      <c r="J402" t="s">
        <v>564</v>
      </c>
      <c r="K402">
        <v>273</v>
      </c>
      <c r="L402" s="11">
        <f t="shared" si="25"/>
        <v>7.4166213325187983E-4</v>
      </c>
      <c r="M402" s="11">
        <f t="shared" si="27"/>
        <v>0.85894375113548693</v>
      </c>
      <c r="N402" t="str">
        <f t="shared" si="26"/>
        <v>B</v>
      </c>
    </row>
    <row r="403" spans="1:14" x14ac:dyDescent="0.25">
      <c r="A403" s="1" t="s">
        <v>514</v>
      </c>
      <c r="B403" s="3">
        <v>124</v>
      </c>
      <c r="C403" s="1">
        <v>1</v>
      </c>
      <c r="D403" s="1">
        <v>8</v>
      </c>
      <c r="E403">
        <f t="shared" si="24"/>
        <v>116</v>
      </c>
      <c r="G403" s="9" t="s">
        <v>63</v>
      </c>
      <c r="H403" s="10">
        <v>1570</v>
      </c>
      <c r="J403" t="s">
        <v>969</v>
      </c>
      <c r="K403">
        <v>272</v>
      </c>
      <c r="L403" s="11">
        <f t="shared" si="25"/>
        <v>7.3894542214106708E-4</v>
      </c>
      <c r="M403" s="11">
        <f t="shared" si="27"/>
        <v>0.85968269655762797</v>
      </c>
      <c r="N403" t="str">
        <f t="shared" si="26"/>
        <v>B</v>
      </c>
    </row>
    <row r="404" spans="1:14" x14ac:dyDescent="0.25">
      <c r="A404" s="1" t="s">
        <v>299</v>
      </c>
      <c r="B404" s="3">
        <v>75</v>
      </c>
      <c r="C404" s="1">
        <v>1</v>
      </c>
      <c r="D404" s="1">
        <v>5</v>
      </c>
      <c r="E404">
        <f t="shared" si="24"/>
        <v>70</v>
      </c>
      <c r="G404" s="9" t="s">
        <v>937</v>
      </c>
      <c r="H404" s="10">
        <v>659</v>
      </c>
      <c r="J404" t="s">
        <v>411</v>
      </c>
      <c r="K404">
        <v>272</v>
      </c>
      <c r="L404" s="11">
        <f t="shared" si="25"/>
        <v>7.3894542214106708E-4</v>
      </c>
      <c r="M404" s="11">
        <f t="shared" si="27"/>
        <v>0.860421641979769</v>
      </c>
      <c r="N404" t="str">
        <f t="shared" si="26"/>
        <v>B</v>
      </c>
    </row>
    <row r="405" spans="1:14" x14ac:dyDescent="0.25">
      <c r="A405" s="1" t="s">
        <v>515</v>
      </c>
      <c r="B405" s="3">
        <v>105</v>
      </c>
      <c r="C405" s="1">
        <v>1</v>
      </c>
      <c r="D405" s="1">
        <v>10</v>
      </c>
      <c r="E405">
        <f t="shared" si="24"/>
        <v>95</v>
      </c>
      <c r="G405" s="9" t="s">
        <v>1092</v>
      </c>
      <c r="H405" s="10">
        <v>298</v>
      </c>
      <c r="J405" t="s">
        <v>375</v>
      </c>
      <c r="K405">
        <v>272</v>
      </c>
      <c r="L405" s="11">
        <f t="shared" si="25"/>
        <v>7.3894542214106708E-4</v>
      </c>
      <c r="M405" s="11">
        <f t="shared" si="27"/>
        <v>0.86116058740191004</v>
      </c>
      <c r="N405" t="str">
        <f t="shared" si="26"/>
        <v>B</v>
      </c>
    </row>
    <row r="406" spans="1:14" x14ac:dyDescent="0.25">
      <c r="A406" s="1" t="s">
        <v>517</v>
      </c>
      <c r="B406" s="3">
        <v>49</v>
      </c>
      <c r="C406" s="1">
        <v>2</v>
      </c>
      <c r="D406" s="1">
        <v>9</v>
      </c>
      <c r="E406">
        <f t="shared" si="24"/>
        <v>89</v>
      </c>
      <c r="G406" s="9" t="s">
        <v>690</v>
      </c>
      <c r="H406" s="10">
        <v>698</v>
      </c>
      <c r="J406" t="s">
        <v>1014</v>
      </c>
      <c r="K406">
        <v>271</v>
      </c>
      <c r="L406" s="11">
        <f t="shared" si="25"/>
        <v>7.3622871103025433E-4</v>
      </c>
      <c r="M406" s="11">
        <f t="shared" si="27"/>
        <v>0.86189681611294033</v>
      </c>
      <c r="N406" t="str">
        <f t="shared" si="26"/>
        <v>B</v>
      </c>
    </row>
    <row r="407" spans="1:14" x14ac:dyDescent="0.25">
      <c r="A407" s="1" t="s">
        <v>518</v>
      </c>
      <c r="B407" s="3">
        <v>73</v>
      </c>
      <c r="C407" s="1">
        <v>1</v>
      </c>
      <c r="D407" s="1">
        <v>5</v>
      </c>
      <c r="E407">
        <f t="shared" si="24"/>
        <v>68</v>
      </c>
      <c r="G407" s="9" t="s">
        <v>353</v>
      </c>
      <c r="H407" s="10">
        <v>254.79999999999998</v>
      </c>
      <c r="J407" t="s">
        <v>701</v>
      </c>
      <c r="K407">
        <v>270</v>
      </c>
      <c r="L407" s="11">
        <f t="shared" si="25"/>
        <v>7.3351199991944158E-4</v>
      </c>
      <c r="M407" s="11">
        <f t="shared" si="27"/>
        <v>0.86263032811285978</v>
      </c>
      <c r="N407" t="str">
        <f t="shared" si="26"/>
        <v>B</v>
      </c>
    </row>
    <row r="408" spans="1:14" x14ac:dyDescent="0.25">
      <c r="A408" s="1" t="s">
        <v>518</v>
      </c>
      <c r="B408" s="3">
        <v>73</v>
      </c>
      <c r="C408" s="1">
        <v>1</v>
      </c>
      <c r="D408" s="1">
        <v>5</v>
      </c>
      <c r="E408">
        <f t="shared" si="24"/>
        <v>68</v>
      </c>
      <c r="G408" s="9" t="s">
        <v>466</v>
      </c>
      <c r="H408" s="10">
        <v>240</v>
      </c>
      <c r="J408" t="s">
        <v>452</v>
      </c>
      <c r="K408">
        <v>270</v>
      </c>
      <c r="L408" s="11">
        <f t="shared" si="25"/>
        <v>7.3351199991944158E-4</v>
      </c>
      <c r="M408" s="11">
        <f t="shared" si="27"/>
        <v>0.86336384011277922</v>
      </c>
      <c r="N408" t="str">
        <f t="shared" si="26"/>
        <v>B</v>
      </c>
    </row>
    <row r="409" spans="1:14" x14ac:dyDescent="0.25">
      <c r="A409" s="1" t="s">
        <v>78</v>
      </c>
      <c r="B409" s="3">
        <v>174</v>
      </c>
      <c r="C409" s="1">
        <v>1</v>
      </c>
      <c r="D409" s="1">
        <v>8</v>
      </c>
      <c r="E409">
        <f t="shared" si="24"/>
        <v>166</v>
      </c>
      <c r="G409" s="9" t="s">
        <v>974</v>
      </c>
      <c r="H409" s="10">
        <v>82</v>
      </c>
      <c r="J409" t="s">
        <v>305</v>
      </c>
      <c r="K409">
        <v>270</v>
      </c>
      <c r="L409" s="11">
        <f t="shared" si="25"/>
        <v>7.3351199991944158E-4</v>
      </c>
      <c r="M409" s="11">
        <f t="shared" si="27"/>
        <v>0.86409735211269867</v>
      </c>
      <c r="N409" t="str">
        <f t="shared" si="26"/>
        <v>B</v>
      </c>
    </row>
    <row r="410" spans="1:14" x14ac:dyDescent="0.25">
      <c r="A410" s="1" t="s">
        <v>519</v>
      </c>
      <c r="B410" s="3">
        <v>121</v>
      </c>
      <c r="C410" s="1">
        <v>1</v>
      </c>
      <c r="D410" s="1">
        <v>0</v>
      </c>
      <c r="E410">
        <f t="shared" si="24"/>
        <v>121</v>
      </c>
      <c r="G410" s="9" t="s">
        <v>735</v>
      </c>
      <c r="H410" s="10">
        <v>286</v>
      </c>
      <c r="J410" t="s">
        <v>19</v>
      </c>
      <c r="K410">
        <v>270</v>
      </c>
      <c r="L410" s="11">
        <f t="shared" si="25"/>
        <v>7.3351199991944158E-4</v>
      </c>
      <c r="M410" s="11">
        <f t="shared" si="27"/>
        <v>0.86483086411261811</v>
      </c>
      <c r="N410" t="str">
        <f t="shared" si="26"/>
        <v>B</v>
      </c>
    </row>
    <row r="411" spans="1:14" x14ac:dyDescent="0.25">
      <c r="A411" s="1" t="s">
        <v>520</v>
      </c>
      <c r="B411" s="3">
        <v>438</v>
      </c>
      <c r="C411" s="1">
        <v>1</v>
      </c>
      <c r="D411" s="1">
        <v>43</v>
      </c>
      <c r="E411">
        <f t="shared" si="24"/>
        <v>395</v>
      </c>
      <c r="G411" s="9" t="s">
        <v>526</v>
      </c>
      <c r="H411" s="10">
        <v>234</v>
      </c>
      <c r="J411" t="s">
        <v>469</v>
      </c>
      <c r="K411">
        <v>270</v>
      </c>
      <c r="L411" s="11">
        <f t="shared" si="25"/>
        <v>7.3351199991944158E-4</v>
      </c>
      <c r="M411" s="11">
        <f t="shared" si="27"/>
        <v>0.86556437611253756</v>
      </c>
      <c r="N411" t="str">
        <f t="shared" si="26"/>
        <v>B</v>
      </c>
    </row>
    <row r="412" spans="1:14" x14ac:dyDescent="0.25">
      <c r="A412" s="1" t="s">
        <v>521</v>
      </c>
      <c r="B412" s="3">
        <v>149</v>
      </c>
      <c r="C412" s="1">
        <v>1</v>
      </c>
      <c r="D412" s="1">
        <v>10</v>
      </c>
      <c r="E412">
        <f t="shared" si="24"/>
        <v>139</v>
      </c>
      <c r="G412" s="9" t="s">
        <v>65</v>
      </c>
      <c r="H412" s="10">
        <v>1206</v>
      </c>
      <c r="J412" t="s">
        <v>290</v>
      </c>
      <c r="K412">
        <v>270</v>
      </c>
      <c r="L412" s="11">
        <f t="shared" si="25"/>
        <v>7.3351199991944158E-4</v>
      </c>
      <c r="M412" s="11">
        <f t="shared" si="27"/>
        <v>0.866297888112457</v>
      </c>
      <c r="N412" t="str">
        <f t="shared" si="26"/>
        <v>B</v>
      </c>
    </row>
    <row r="413" spans="1:14" x14ac:dyDescent="0.25">
      <c r="A413" s="1" t="s">
        <v>522</v>
      </c>
      <c r="B413" s="3">
        <v>225</v>
      </c>
      <c r="C413" s="1">
        <v>1</v>
      </c>
      <c r="D413" s="1">
        <v>22</v>
      </c>
      <c r="E413">
        <f t="shared" si="24"/>
        <v>203</v>
      </c>
      <c r="G413" s="9" t="s">
        <v>826</v>
      </c>
      <c r="H413" s="10">
        <v>1468</v>
      </c>
      <c r="J413" t="s">
        <v>608</v>
      </c>
      <c r="K413">
        <v>269</v>
      </c>
      <c r="L413" s="11">
        <f t="shared" si="25"/>
        <v>7.3079528880862883E-4</v>
      </c>
      <c r="M413" s="11">
        <f t="shared" si="27"/>
        <v>0.8670286834012656</v>
      </c>
      <c r="N413" t="str">
        <f t="shared" si="26"/>
        <v>B</v>
      </c>
    </row>
    <row r="414" spans="1:14" x14ac:dyDescent="0.25">
      <c r="A414" s="1" t="s">
        <v>522</v>
      </c>
      <c r="B414" s="3">
        <v>225</v>
      </c>
      <c r="C414" s="1">
        <v>1</v>
      </c>
      <c r="D414" s="1">
        <v>0</v>
      </c>
      <c r="E414">
        <f t="shared" si="24"/>
        <v>225</v>
      </c>
      <c r="G414" s="9" t="s">
        <v>522</v>
      </c>
      <c r="H414" s="10">
        <v>450</v>
      </c>
      <c r="J414" t="s">
        <v>198</v>
      </c>
      <c r="K414">
        <v>268</v>
      </c>
      <c r="L414" s="11">
        <f t="shared" si="25"/>
        <v>7.2807857769781608E-4</v>
      </c>
      <c r="M414" s="11">
        <f t="shared" si="27"/>
        <v>0.86775676197896345</v>
      </c>
      <c r="N414" t="str">
        <f t="shared" si="26"/>
        <v>B</v>
      </c>
    </row>
    <row r="415" spans="1:14" x14ac:dyDescent="0.25">
      <c r="A415" s="1" t="s">
        <v>524</v>
      </c>
      <c r="B415" s="3">
        <v>448</v>
      </c>
      <c r="C415" s="1">
        <v>1</v>
      </c>
      <c r="D415" s="1">
        <v>0</v>
      </c>
      <c r="E415">
        <f t="shared" si="24"/>
        <v>448</v>
      </c>
      <c r="G415" s="9" t="s">
        <v>988</v>
      </c>
      <c r="H415" s="10">
        <v>375</v>
      </c>
      <c r="J415" t="s">
        <v>1063</v>
      </c>
      <c r="K415">
        <v>266</v>
      </c>
      <c r="L415" s="11">
        <f t="shared" si="25"/>
        <v>7.2264515547619057E-4</v>
      </c>
      <c r="M415" s="11">
        <f t="shared" si="27"/>
        <v>0.86847940713443961</v>
      </c>
      <c r="N415" t="str">
        <f t="shared" si="26"/>
        <v>B</v>
      </c>
    </row>
    <row r="416" spans="1:14" x14ac:dyDescent="0.25">
      <c r="A416" s="1" t="s">
        <v>259</v>
      </c>
      <c r="B416" s="3">
        <v>55</v>
      </c>
      <c r="C416" s="1">
        <v>1</v>
      </c>
      <c r="D416" s="1">
        <v>2</v>
      </c>
      <c r="E416">
        <f t="shared" si="24"/>
        <v>53</v>
      </c>
      <c r="G416" s="9" t="s">
        <v>1051</v>
      </c>
      <c r="H416" s="10">
        <v>500</v>
      </c>
      <c r="J416" t="s">
        <v>863</v>
      </c>
      <c r="K416">
        <v>265</v>
      </c>
      <c r="L416" s="11">
        <f t="shared" si="25"/>
        <v>7.1992844436537782E-4</v>
      </c>
      <c r="M416" s="11">
        <f t="shared" si="27"/>
        <v>0.86919933557880502</v>
      </c>
      <c r="N416" t="str">
        <f t="shared" si="26"/>
        <v>B</v>
      </c>
    </row>
    <row r="417" spans="1:14" x14ac:dyDescent="0.25">
      <c r="A417" s="1" t="s">
        <v>259</v>
      </c>
      <c r="B417" s="3">
        <v>55</v>
      </c>
      <c r="C417" s="1">
        <v>1</v>
      </c>
      <c r="D417" s="1">
        <v>2</v>
      </c>
      <c r="E417">
        <f t="shared" si="24"/>
        <v>53</v>
      </c>
      <c r="G417" s="9" t="s">
        <v>447</v>
      </c>
      <c r="H417" s="10">
        <v>640</v>
      </c>
      <c r="J417" t="s">
        <v>882</v>
      </c>
      <c r="K417">
        <v>264</v>
      </c>
      <c r="L417" s="11">
        <f t="shared" si="25"/>
        <v>7.1721173325456518E-4</v>
      </c>
      <c r="M417" s="11">
        <f t="shared" si="27"/>
        <v>0.86991654731205958</v>
      </c>
      <c r="N417" t="str">
        <f t="shared" si="26"/>
        <v>B</v>
      </c>
    </row>
    <row r="418" spans="1:14" x14ac:dyDescent="0.25">
      <c r="A418" s="1" t="s">
        <v>259</v>
      </c>
      <c r="B418" s="3">
        <v>55</v>
      </c>
      <c r="C418" s="1">
        <v>1</v>
      </c>
      <c r="D418" s="1">
        <v>2</v>
      </c>
      <c r="E418">
        <f t="shared" si="24"/>
        <v>53</v>
      </c>
      <c r="G418" s="9" t="s">
        <v>481</v>
      </c>
      <c r="H418" s="10">
        <v>256</v>
      </c>
      <c r="J418" t="s">
        <v>742</v>
      </c>
      <c r="K418">
        <v>264</v>
      </c>
      <c r="L418" s="11">
        <f t="shared" si="25"/>
        <v>7.1721173325456518E-4</v>
      </c>
      <c r="M418" s="11">
        <f t="shared" si="27"/>
        <v>0.87063375904531415</v>
      </c>
      <c r="N418" t="str">
        <f t="shared" si="26"/>
        <v>B</v>
      </c>
    </row>
    <row r="419" spans="1:14" x14ac:dyDescent="0.25">
      <c r="A419" s="1" t="s">
        <v>78</v>
      </c>
      <c r="B419" s="3">
        <v>174</v>
      </c>
      <c r="C419" s="1">
        <v>1</v>
      </c>
      <c r="D419" s="1">
        <v>8</v>
      </c>
      <c r="E419">
        <f t="shared" si="24"/>
        <v>166</v>
      </c>
      <c r="G419" s="9" t="s">
        <v>236</v>
      </c>
      <c r="H419" s="10">
        <v>468</v>
      </c>
      <c r="J419" t="s">
        <v>318</v>
      </c>
      <c r="K419">
        <v>264</v>
      </c>
      <c r="L419" s="11">
        <f t="shared" si="25"/>
        <v>7.1721173325456518E-4</v>
      </c>
      <c r="M419" s="11">
        <f t="shared" si="27"/>
        <v>0.87135097077856871</v>
      </c>
      <c r="N419" t="str">
        <f t="shared" si="26"/>
        <v>B</v>
      </c>
    </row>
    <row r="420" spans="1:14" x14ac:dyDescent="0.25">
      <c r="A420" s="1" t="s">
        <v>526</v>
      </c>
      <c r="B420" s="3">
        <v>78</v>
      </c>
      <c r="C420" s="1">
        <v>1</v>
      </c>
      <c r="D420" s="1">
        <v>3</v>
      </c>
      <c r="E420">
        <f t="shared" si="24"/>
        <v>75</v>
      </c>
      <c r="G420" s="9" t="s">
        <v>816</v>
      </c>
      <c r="H420" s="10">
        <v>126</v>
      </c>
      <c r="J420" t="s">
        <v>746</v>
      </c>
      <c r="K420">
        <v>261</v>
      </c>
      <c r="L420" s="11">
        <f t="shared" si="25"/>
        <v>7.0906159992212693E-4</v>
      </c>
      <c r="M420" s="11">
        <f t="shared" si="27"/>
        <v>0.87206003237849083</v>
      </c>
      <c r="N420" t="str">
        <f t="shared" si="26"/>
        <v>B</v>
      </c>
    </row>
    <row r="421" spans="1:14" x14ac:dyDescent="0.25">
      <c r="A421" s="1" t="s">
        <v>527</v>
      </c>
      <c r="B421" s="3">
        <v>685</v>
      </c>
      <c r="C421" s="1">
        <v>1</v>
      </c>
      <c r="D421" s="1">
        <v>0</v>
      </c>
      <c r="E421">
        <f t="shared" si="24"/>
        <v>685</v>
      </c>
      <c r="G421" s="9" t="s">
        <v>1224</v>
      </c>
      <c r="H421" s="10">
        <v>48</v>
      </c>
      <c r="J421" t="s">
        <v>481</v>
      </c>
      <c r="K421">
        <v>256</v>
      </c>
      <c r="L421" s="11">
        <f t="shared" si="25"/>
        <v>6.9547804436806318E-4</v>
      </c>
      <c r="M421" s="11">
        <f t="shared" si="27"/>
        <v>0.87275551042285893</v>
      </c>
      <c r="N421" t="str">
        <f t="shared" si="26"/>
        <v>B</v>
      </c>
    </row>
    <row r="422" spans="1:14" x14ac:dyDescent="0.25">
      <c r="A422" s="1" t="s">
        <v>466</v>
      </c>
      <c r="B422" s="3">
        <v>30</v>
      </c>
      <c r="C422" s="1">
        <v>1</v>
      </c>
      <c r="D422" s="1">
        <v>0</v>
      </c>
      <c r="E422">
        <f t="shared" si="24"/>
        <v>30</v>
      </c>
      <c r="G422" s="9" t="s">
        <v>589</v>
      </c>
      <c r="H422" s="10">
        <v>417</v>
      </c>
      <c r="J422" t="s">
        <v>1130</v>
      </c>
      <c r="K422">
        <v>255</v>
      </c>
      <c r="L422" s="11">
        <f t="shared" si="25"/>
        <v>6.9276133325725043E-4</v>
      </c>
      <c r="M422" s="11">
        <f t="shared" si="27"/>
        <v>0.87344827175611617</v>
      </c>
      <c r="N422" t="str">
        <f t="shared" si="26"/>
        <v>B</v>
      </c>
    </row>
    <row r="423" spans="1:14" x14ac:dyDescent="0.25">
      <c r="A423" s="1" t="s">
        <v>163</v>
      </c>
      <c r="B423" s="3">
        <v>17</v>
      </c>
      <c r="C423" s="1">
        <v>2</v>
      </c>
      <c r="D423" s="1">
        <v>0</v>
      </c>
      <c r="E423">
        <f t="shared" si="24"/>
        <v>34</v>
      </c>
      <c r="G423" s="9" t="s">
        <v>1035</v>
      </c>
      <c r="H423" s="10">
        <v>51</v>
      </c>
      <c r="J423" t="s">
        <v>599</v>
      </c>
      <c r="K423">
        <v>255</v>
      </c>
      <c r="L423" s="11">
        <f t="shared" si="25"/>
        <v>6.9276133325725043E-4</v>
      </c>
      <c r="M423" s="11">
        <f t="shared" si="27"/>
        <v>0.87414103308937341</v>
      </c>
      <c r="N423" t="str">
        <f t="shared" si="26"/>
        <v>B</v>
      </c>
    </row>
    <row r="424" spans="1:14" x14ac:dyDescent="0.25">
      <c r="A424" s="1" t="s">
        <v>163</v>
      </c>
      <c r="B424" s="3">
        <v>17</v>
      </c>
      <c r="C424" s="1">
        <v>1</v>
      </c>
      <c r="D424" s="1">
        <v>1</v>
      </c>
      <c r="E424">
        <f t="shared" si="24"/>
        <v>16</v>
      </c>
      <c r="G424" s="9" t="s">
        <v>1069</v>
      </c>
      <c r="H424" s="10">
        <v>78</v>
      </c>
      <c r="J424" t="s">
        <v>353</v>
      </c>
      <c r="K424">
        <v>254.79999999999998</v>
      </c>
      <c r="L424" s="11">
        <f t="shared" si="25"/>
        <v>6.9221799103508783E-4</v>
      </c>
      <c r="M424" s="11">
        <f t="shared" si="27"/>
        <v>0.87483325108040855</v>
      </c>
      <c r="N424" t="str">
        <f t="shared" si="26"/>
        <v>B</v>
      </c>
    </row>
    <row r="425" spans="1:14" x14ac:dyDescent="0.25">
      <c r="A425" s="1" t="s">
        <v>529</v>
      </c>
      <c r="B425" s="3">
        <v>371</v>
      </c>
      <c r="C425" s="1">
        <v>1</v>
      </c>
      <c r="D425" s="1">
        <v>25</v>
      </c>
      <c r="E425">
        <f t="shared" si="24"/>
        <v>346</v>
      </c>
      <c r="G425" s="9" t="s">
        <v>639</v>
      </c>
      <c r="H425" s="10">
        <v>1534</v>
      </c>
      <c r="J425" t="s">
        <v>933</v>
      </c>
      <c r="K425">
        <v>254</v>
      </c>
      <c r="L425" s="11">
        <f t="shared" si="25"/>
        <v>6.9004462214643768E-4</v>
      </c>
      <c r="M425" s="11">
        <f t="shared" si="27"/>
        <v>0.87552329570255494</v>
      </c>
      <c r="N425" t="str">
        <f t="shared" si="26"/>
        <v>B</v>
      </c>
    </row>
    <row r="426" spans="1:14" x14ac:dyDescent="0.25">
      <c r="A426" s="1" t="s">
        <v>531</v>
      </c>
      <c r="B426" s="3">
        <v>253</v>
      </c>
      <c r="C426" s="1">
        <v>1</v>
      </c>
      <c r="D426" s="1">
        <v>12</v>
      </c>
      <c r="E426">
        <f t="shared" si="24"/>
        <v>241</v>
      </c>
      <c r="G426" s="9" t="s">
        <v>386</v>
      </c>
      <c r="H426" s="10">
        <v>111</v>
      </c>
      <c r="J426" t="s">
        <v>752</v>
      </c>
      <c r="K426">
        <v>254</v>
      </c>
      <c r="L426" s="11">
        <f t="shared" si="25"/>
        <v>6.9004462214643768E-4</v>
      </c>
      <c r="M426" s="11">
        <f t="shared" si="27"/>
        <v>0.87621334032470133</v>
      </c>
      <c r="N426" t="str">
        <f t="shared" si="26"/>
        <v>B</v>
      </c>
    </row>
    <row r="427" spans="1:14" x14ac:dyDescent="0.25">
      <c r="A427" s="1" t="s">
        <v>415</v>
      </c>
      <c r="B427" s="3">
        <v>35</v>
      </c>
      <c r="C427" s="1">
        <v>1</v>
      </c>
      <c r="D427" s="1">
        <v>2</v>
      </c>
      <c r="E427">
        <f t="shared" si="24"/>
        <v>33</v>
      </c>
      <c r="G427" s="9" t="s">
        <v>893</v>
      </c>
      <c r="H427" s="10">
        <v>93</v>
      </c>
      <c r="J427" t="s">
        <v>1104</v>
      </c>
      <c r="K427">
        <v>254</v>
      </c>
      <c r="L427" s="11">
        <f t="shared" si="25"/>
        <v>6.9004462214643768E-4</v>
      </c>
      <c r="M427" s="11">
        <f t="shared" si="27"/>
        <v>0.87690338494684772</v>
      </c>
      <c r="N427" t="str">
        <f t="shared" si="26"/>
        <v>B</v>
      </c>
    </row>
    <row r="428" spans="1:14" x14ac:dyDescent="0.25">
      <c r="A428" s="1" t="s">
        <v>415</v>
      </c>
      <c r="B428" s="3">
        <v>35</v>
      </c>
      <c r="C428" s="1">
        <v>1</v>
      </c>
      <c r="D428" s="1">
        <v>2</v>
      </c>
      <c r="E428">
        <f t="shared" si="24"/>
        <v>33</v>
      </c>
      <c r="G428" s="9" t="s">
        <v>472</v>
      </c>
      <c r="H428" s="10">
        <v>286</v>
      </c>
      <c r="J428" t="s">
        <v>531</v>
      </c>
      <c r="K428">
        <v>253</v>
      </c>
      <c r="L428" s="11">
        <f t="shared" si="25"/>
        <v>6.8732791103562492E-4</v>
      </c>
      <c r="M428" s="11">
        <f t="shared" si="27"/>
        <v>0.87759071285788337</v>
      </c>
      <c r="N428" t="str">
        <f t="shared" si="26"/>
        <v>B</v>
      </c>
    </row>
    <row r="429" spans="1:14" x14ac:dyDescent="0.25">
      <c r="A429" s="1" t="s">
        <v>415</v>
      </c>
      <c r="B429" s="3">
        <v>35</v>
      </c>
      <c r="C429" s="1">
        <v>1</v>
      </c>
      <c r="D429" s="1">
        <v>2</v>
      </c>
      <c r="E429">
        <f t="shared" si="24"/>
        <v>33</v>
      </c>
      <c r="G429" s="9" t="s">
        <v>424</v>
      </c>
      <c r="H429" s="10">
        <v>2350</v>
      </c>
      <c r="J429" t="s">
        <v>346</v>
      </c>
      <c r="K429">
        <v>252</v>
      </c>
      <c r="L429" s="11">
        <f t="shared" si="25"/>
        <v>6.8461119992481217E-4</v>
      </c>
      <c r="M429" s="11">
        <f t="shared" si="27"/>
        <v>0.87827532405780817</v>
      </c>
      <c r="N429" t="str">
        <f t="shared" si="26"/>
        <v>B</v>
      </c>
    </row>
    <row r="430" spans="1:14" x14ac:dyDescent="0.25">
      <c r="A430" s="1" t="s">
        <v>415</v>
      </c>
      <c r="B430" s="3">
        <v>35</v>
      </c>
      <c r="C430" s="1">
        <v>1</v>
      </c>
      <c r="D430" s="1">
        <v>2</v>
      </c>
      <c r="E430">
        <f t="shared" si="24"/>
        <v>33</v>
      </c>
      <c r="G430" s="9" t="s">
        <v>713</v>
      </c>
      <c r="H430" s="10">
        <v>538</v>
      </c>
      <c r="J430" t="s">
        <v>445</v>
      </c>
      <c r="K430">
        <v>252</v>
      </c>
      <c r="L430" s="11">
        <f t="shared" si="25"/>
        <v>6.8461119992481217E-4</v>
      </c>
      <c r="M430" s="11">
        <f t="shared" si="27"/>
        <v>0.87895993525773297</v>
      </c>
      <c r="N430" t="str">
        <f t="shared" si="26"/>
        <v>B</v>
      </c>
    </row>
    <row r="431" spans="1:14" x14ac:dyDescent="0.25">
      <c r="A431" s="1" t="s">
        <v>415</v>
      </c>
      <c r="B431" s="3">
        <v>35</v>
      </c>
      <c r="C431" s="1">
        <v>1</v>
      </c>
      <c r="D431" s="1">
        <v>2</v>
      </c>
      <c r="E431">
        <f t="shared" si="24"/>
        <v>33</v>
      </c>
      <c r="G431" s="9" t="s">
        <v>820</v>
      </c>
      <c r="H431" s="10">
        <v>955</v>
      </c>
      <c r="J431" t="s">
        <v>110</v>
      </c>
      <c r="K431">
        <v>249</v>
      </c>
      <c r="L431" s="11">
        <f t="shared" si="25"/>
        <v>6.7646106659237392E-4</v>
      </c>
      <c r="M431" s="11">
        <f t="shared" si="27"/>
        <v>0.87963639632432533</v>
      </c>
      <c r="N431" t="str">
        <f t="shared" si="26"/>
        <v>B</v>
      </c>
    </row>
    <row r="432" spans="1:14" x14ac:dyDescent="0.25">
      <c r="A432" s="1" t="s">
        <v>532</v>
      </c>
      <c r="B432" s="3">
        <v>3497</v>
      </c>
      <c r="C432" s="1">
        <v>1</v>
      </c>
      <c r="D432" s="1">
        <v>349</v>
      </c>
      <c r="E432">
        <f t="shared" si="24"/>
        <v>3148</v>
      </c>
      <c r="G432" s="9" t="s">
        <v>487</v>
      </c>
      <c r="H432" s="10">
        <v>1198</v>
      </c>
      <c r="J432" t="s">
        <v>144</v>
      </c>
      <c r="K432">
        <v>249</v>
      </c>
      <c r="L432" s="11">
        <f t="shared" si="25"/>
        <v>6.7646106659237392E-4</v>
      </c>
      <c r="M432" s="11">
        <f t="shared" si="27"/>
        <v>0.88031285739091769</v>
      </c>
      <c r="N432" t="str">
        <f t="shared" si="26"/>
        <v>B</v>
      </c>
    </row>
    <row r="433" spans="1:14" x14ac:dyDescent="0.25">
      <c r="A433" s="1" t="s">
        <v>78</v>
      </c>
      <c r="B433" s="3">
        <v>174</v>
      </c>
      <c r="C433" s="1">
        <v>1</v>
      </c>
      <c r="D433" s="1">
        <v>8</v>
      </c>
      <c r="E433">
        <f t="shared" si="24"/>
        <v>166</v>
      </c>
      <c r="G433" s="9" t="s">
        <v>488</v>
      </c>
      <c r="H433" s="10">
        <v>377</v>
      </c>
      <c r="J433" t="s">
        <v>108</v>
      </c>
      <c r="K433">
        <v>247</v>
      </c>
      <c r="L433" s="11">
        <f t="shared" si="25"/>
        <v>6.7102764437074842E-4</v>
      </c>
      <c r="M433" s="11">
        <f t="shared" si="27"/>
        <v>0.88098388503528846</v>
      </c>
      <c r="N433" t="str">
        <f t="shared" si="26"/>
        <v>B</v>
      </c>
    </row>
    <row r="434" spans="1:14" x14ac:dyDescent="0.25">
      <c r="A434" s="1" t="s">
        <v>147</v>
      </c>
      <c r="B434" s="3">
        <v>121.72</v>
      </c>
      <c r="C434" s="1">
        <v>1</v>
      </c>
      <c r="D434" s="1">
        <v>0</v>
      </c>
      <c r="E434">
        <f t="shared" si="24"/>
        <v>121.72</v>
      </c>
      <c r="G434" s="9" t="s">
        <v>654</v>
      </c>
      <c r="H434" s="10">
        <v>185.00000369999998</v>
      </c>
      <c r="J434" t="s">
        <v>921</v>
      </c>
      <c r="K434">
        <v>247</v>
      </c>
      <c r="L434" s="11">
        <f t="shared" si="25"/>
        <v>6.7102764437074842E-4</v>
      </c>
      <c r="M434" s="11">
        <f t="shared" si="27"/>
        <v>0.88165491267965923</v>
      </c>
      <c r="N434" t="str">
        <f t="shared" si="26"/>
        <v>B</v>
      </c>
    </row>
    <row r="435" spans="1:14" x14ac:dyDescent="0.25">
      <c r="A435" s="1" t="s">
        <v>147</v>
      </c>
      <c r="B435" s="3">
        <v>121.72</v>
      </c>
      <c r="C435" s="1">
        <v>1</v>
      </c>
      <c r="D435" s="1">
        <v>0</v>
      </c>
      <c r="E435">
        <f t="shared" si="24"/>
        <v>121.72</v>
      </c>
      <c r="G435" s="9" t="s">
        <v>555</v>
      </c>
      <c r="H435" s="10">
        <v>949</v>
      </c>
      <c r="J435" t="s">
        <v>517</v>
      </c>
      <c r="K435">
        <v>245</v>
      </c>
      <c r="L435" s="11">
        <f t="shared" si="25"/>
        <v>6.6559422214912292E-4</v>
      </c>
      <c r="M435" s="11">
        <f t="shared" si="27"/>
        <v>0.8823205069018083</v>
      </c>
      <c r="N435" t="str">
        <f t="shared" si="26"/>
        <v>B</v>
      </c>
    </row>
    <row r="436" spans="1:14" x14ac:dyDescent="0.25">
      <c r="A436" s="1" t="s">
        <v>534</v>
      </c>
      <c r="B436" s="3">
        <v>722</v>
      </c>
      <c r="C436" s="1">
        <v>1</v>
      </c>
      <c r="D436" s="1">
        <v>50</v>
      </c>
      <c r="E436">
        <f t="shared" si="24"/>
        <v>672</v>
      </c>
      <c r="G436" s="9" t="s">
        <v>878</v>
      </c>
      <c r="H436" s="10">
        <v>749</v>
      </c>
      <c r="J436" t="s">
        <v>1029</v>
      </c>
      <c r="K436">
        <v>245</v>
      </c>
      <c r="L436" s="11">
        <f t="shared" si="25"/>
        <v>6.6559422214912292E-4</v>
      </c>
      <c r="M436" s="11">
        <f t="shared" si="27"/>
        <v>0.88298610112395737</v>
      </c>
      <c r="N436" t="str">
        <f t="shared" si="26"/>
        <v>B</v>
      </c>
    </row>
    <row r="437" spans="1:14" x14ac:dyDescent="0.25">
      <c r="A437" s="1" t="s">
        <v>535</v>
      </c>
      <c r="B437" s="3">
        <v>153</v>
      </c>
      <c r="C437" s="1">
        <v>1</v>
      </c>
      <c r="D437" s="1">
        <v>7</v>
      </c>
      <c r="E437">
        <f t="shared" si="24"/>
        <v>146</v>
      </c>
      <c r="G437" s="9" t="s">
        <v>723</v>
      </c>
      <c r="H437" s="10">
        <v>631</v>
      </c>
      <c r="J437" t="s">
        <v>359</v>
      </c>
      <c r="K437">
        <v>245</v>
      </c>
      <c r="L437" s="11">
        <f t="shared" si="25"/>
        <v>6.6559422214912292E-4</v>
      </c>
      <c r="M437" s="11">
        <f t="shared" si="27"/>
        <v>0.88365169534610644</v>
      </c>
      <c r="N437" t="str">
        <f t="shared" si="26"/>
        <v>B</v>
      </c>
    </row>
    <row r="438" spans="1:14" x14ac:dyDescent="0.25">
      <c r="A438" s="1" t="s">
        <v>537</v>
      </c>
      <c r="B438" s="3">
        <v>554</v>
      </c>
      <c r="C438" s="1">
        <v>0.2</v>
      </c>
      <c r="D438" s="1">
        <v>6.8</v>
      </c>
      <c r="E438">
        <f t="shared" si="24"/>
        <v>104.00000000000001</v>
      </c>
      <c r="G438" s="9" t="s">
        <v>1068</v>
      </c>
      <c r="H438" s="10">
        <v>162</v>
      </c>
      <c r="J438" t="s">
        <v>1134</v>
      </c>
      <c r="K438">
        <v>240</v>
      </c>
      <c r="L438" s="11">
        <f t="shared" si="25"/>
        <v>6.5201066659505917E-4</v>
      </c>
      <c r="M438" s="11">
        <f t="shared" si="27"/>
        <v>0.88430370601270147</v>
      </c>
      <c r="N438" t="str">
        <f t="shared" si="26"/>
        <v>B</v>
      </c>
    </row>
    <row r="439" spans="1:14" x14ac:dyDescent="0.25">
      <c r="A439" s="1" t="s">
        <v>539</v>
      </c>
      <c r="B439" s="3">
        <v>122</v>
      </c>
      <c r="C439" s="1">
        <v>1</v>
      </c>
      <c r="D439" s="1">
        <v>0</v>
      </c>
      <c r="E439">
        <f t="shared" si="24"/>
        <v>122</v>
      </c>
      <c r="G439" s="9" t="s">
        <v>765</v>
      </c>
      <c r="H439" s="10">
        <v>861</v>
      </c>
      <c r="J439" t="s">
        <v>1146</v>
      </c>
      <c r="K439">
        <v>240</v>
      </c>
      <c r="L439" s="11">
        <f t="shared" si="25"/>
        <v>6.5201066659505917E-4</v>
      </c>
      <c r="M439" s="11">
        <f t="shared" si="27"/>
        <v>0.88495571667929651</v>
      </c>
      <c r="N439" t="str">
        <f t="shared" si="26"/>
        <v>B</v>
      </c>
    </row>
    <row r="440" spans="1:14" x14ac:dyDescent="0.25">
      <c r="A440" s="1" t="s">
        <v>541</v>
      </c>
      <c r="B440" s="3">
        <v>624</v>
      </c>
      <c r="C440" s="1">
        <v>1</v>
      </c>
      <c r="D440" s="1">
        <v>18</v>
      </c>
      <c r="E440">
        <f t="shared" si="24"/>
        <v>606</v>
      </c>
      <c r="G440" s="9" t="s">
        <v>1183</v>
      </c>
      <c r="H440" s="10">
        <v>389</v>
      </c>
      <c r="J440" t="s">
        <v>466</v>
      </c>
      <c r="K440">
        <v>240</v>
      </c>
      <c r="L440" s="11">
        <f t="shared" si="25"/>
        <v>6.5201066659505917E-4</v>
      </c>
      <c r="M440" s="11">
        <f t="shared" si="27"/>
        <v>0.88560772734589155</v>
      </c>
      <c r="N440" t="str">
        <f t="shared" si="26"/>
        <v>B</v>
      </c>
    </row>
    <row r="441" spans="1:14" x14ac:dyDescent="0.25">
      <c r="A441" s="1" t="s">
        <v>543</v>
      </c>
      <c r="B441" s="3">
        <v>231</v>
      </c>
      <c r="C441" s="1">
        <v>1</v>
      </c>
      <c r="D441" s="1">
        <v>23</v>
      </c>
      <c r="E441">
        <f t="shared" si="24"/>
        <v>208</v>
      </c>
      <c r="G441" s="9" t="s">
        <v>716</v>
      </c>
      <c r="H441" s="10">
        <v>886.5</v>
      </c>
      <c r="J441" t="s">
        <v>308</v>
      </c>
      <c r="K441">
        <v>240</v>
      </c>
      <c r="L441" s="11">
        <f t="shared" si="25"/>
        <v>6.5201066659505917E-4</v>
      </c>
      <c r="M441" s="11">
        <f t="shared" si="27"/>
        <v>0.88625973801248659</v>
      </c>
      <c r="N441" t="str">
        <f t="shared" si="26"/>
        <v>B</v>
      </c>
    </row>
    <row r="442" spans="1:14" x14ac:dyDescent="0.25">
      <c r="A442" s="1" t="s">
        <v>95</v>
      </c>
      <c r="B442" s="3">
        <v>50</v>
      </c>
      <c r="C442" s="1">
        <v>2</v>
      </c>
      <c r="D442" s="1">
        <v>10</v>
      </c>
      <c r="E442">
        <f t="shared" si="24"/>
        <v>90</v>
      </c>
      <c r="G442" s="9" t="s">
        <v>1170</v>
      </c>
      <c r="H442" s="10">
        <v>497</v>
      </c>
      <c r="J442" t="s">
        <v>454</v>
      </c>
      <c r="K442">
        <v>239</v>
      </c>
      <c r="L442" s="11">
        <f t="shared" si="25"/>
        <v>6.4929395548424642E-4</v>
      </c>
      <c r="M442" s="11">
        <f t="shared" si="27"/>
        <v>0.88690903196797088</v>
      </c>
      <c r="N442" t="str">
        <f t="shared" si="26"/>
        <v>B</v>
      </c>
    </row>
    <row r="443" spans="1:14" x14ac:dyDescent="0.25">
      <c r="A443" s="1" t="s">
        <v>545</v>
      </c>
      <c r="B443" s="3">
        <v>167</v>
      </c>
      <c r="C443" s="1">
        <v>1</v>
      </c>
      <c r="D443" s="1">
        <v>0</v>
      </c>
      <c r="E443">
        <f t="shared" si="24"/>
        <v>167</v>
      </c>
      <c r="G443" s="9" t="s">
        <v>640</v>
      </c>
      <c r="H443" s="10">
        <v>87</v>
      </c>
      <c r="J443" t="s">
        <v>212</v>
      </c>
      <c r="K443">
        <v>238</v>
      </c>
      <c r="L443" s="11">
        <f t="shared" si="25"/>
        <v>6.4657724437343367E-4</v>
      </c>
      <c r="M443" s="11">
        <f t="shared" si="27"/>
        <v>0.88755560921234433</v>
      </c>
      <c r="N443" t="str">
        <f t="shared" si="26"/>
        <v>B</v>
      </c>
    </row>
    <row r="444" spans="1:14" x14ac:dyDescent="0.25">
      <c r="A444" s="1" t="s">
        <v>546</v>
      </c>
      <c r="B444" s="3">
        <v>57</v>
      </c>
      <c r="C444" s="1">
        <v>1</v>
      </c>
      <c r="D444" s="1">
        <v>0</v>
      </c>
      <c r="E444">
        <f t="shared" si="24"/>
        <v>57</v>
      </c>
      <c r="G444" s="9" t="s">
        <v>546</v>
      </c>
      <c r="H444" s="10">
        <v>57</v>
      </c>
      <c r="J444" t="s">
        <v>810</v>
      </c>
      <c r="K444">
        <v>236</v>
      </c>
      <c r="L444" s="11">
        <f t="shared" si="25"/>
        <v>6.4114382215180827E-4</v>
      </c>
      <c r="M444" s="11">
        <f t="shared" si="27"/>
        <v>0.88819675303449619</v>
      </c>
      <c r="N444" t="str">
        <f t="shared" si="26"/>
        <v>B</v>
      </c>
    </row>
    <row r="445" spans="1:14" x14ac:dyDescent="0.25">
      <c r="A445" s="1" t="s">
        <v>381</v>
      </c>
      <c r="B445" s="3">
        <v>19</v>
      </c>
      <c r="C445" s="1">
        <v>1</v>
      </c>
      <c r="D445" s="1">
        <v>0</v>
      </c>
      <c r="E445">
        <f t="shared" si="24"/>
        <v>19</v>
      </c>
      <c r="G445" s="9" t="s">
        <v>1059</v>
      </c>
      <c r="H445" s="10">
        <v>394</v>
      </c>
      <c r="J445" t="s">
        <v>1194</v>
      </c>
      <c r="K445">
        <v>235</v>
      </c>
      <c r="L445" s="11">
        <f t="shared" si="25"/>
        <v>6.3842711104099552E-4</v>
      </c>
      <c r="M445" s="11">
        <f t="shared" si="27"/>
        <v>0.8888351801455372</v>
      </c>
      <c r="N445" t="str">
        <f t="shared" si="26"/>
        <v>B</v>
      </c>
    </row>
    <row r="446" spans="1:14" x14ac:dyDescent="0.25">
      <c r="A446" s="1" t="s">
        <v>547</v>
      </c>
      <c r="B446" s="3">
        <v>54</v>
      </c>
      <c r="C446" s="1">
        <v>1</v>
      </c>
      <c r="D446" s="1">
        <v>0</v>
      </c>
      <c r="E446">
        <f t="shared" si="24"/>
        <v>54</v>
      </c>
      <c r="G446" s="9" t="s">
        <v>364</v>
      </c>
      <c r="H446" s="10">
        <v>164</v>
      </c>
      <c r="J446" t="s">
        <v>526</v>
      </c>
      <c r="K446">
        <v>234</v>
      </c>
      <c r="L446" s="11">
        <f t="shared" si="25"/>
        <v>6.3571039993018277E-4</v>
      </c>
      <c r="M446" s="11">
        <f t="shared" si="27"/>
        <v>0.88947089054546735</v>
      </c>
      <c r="N446" t="str">
        <f t="shared" si="26"/>
        <v>B</v>
      </c>
    </row>
    <row r="447" spans="1:14" x14ac:dyDescent="0.25">
      <c r="A447" s="1" t="s">
        <v>548</v>
      </c>
      <c r="B447" s="3">
        <v>902</v>
      </c>
      <c r="C447" s="1">
        <v>1</v>
      </c>
      <c r="D447" s="1">
        <v>0</v>
      </c>
      <c r="E447">
        <f t="shared" si="24"/>
        <v>902</v>
      </c>
      <c r="G447" s="9" t="s">
        <v>684</v>
      </c>
      <c r="H447" s="10">
        <v>818</v>
      </c>
      <c r="J447" t="s">
        <v>270</v>
      </c>
      <c r="K447">
        <v>234</v>
      </c>
      <c r="L447" s="11">
        <f t="shared" si="25"/>
        <v>6.3571039993018277E-4</v>
      </c>
      <c r="M447" s="11">
        <f t="shared" si="27"/>
        <v>0.89010660094539751</v>
      </c>
      <c r="N447" t="str">
        <f t="shared" si="26"/>
        <v>B</v>
      </c>
    </row>
    <row r="448" spans="1:14" x14ac:dyDescent="0.25">
      <c r="A448" s="1" t="s">
        <v>550</v>
      </c>
      <c r="B448" s="3">
        <v>418</v>
      </c>
      <c r="C448" s="1">
        <v>1</v>
      </c>
      <c r="D448" s="1">
        <v>29</v>
      </c>
      <c r="E448">
        <f t="shared" si="24"/>
        <v>389</v>
      </c>
      <c r="G448" s="9" t="s">
        <v>547</v>
      </c>
      <c r="H448" s="10">
        <v>54</v>
      </c>
      <c r="J448" t="s">
        <v>121</v>
      </c>
      <c r="K448">
        <v>233</v>
      </c>
      <c r="L448" s="11">
        <f t="shared" si="25"/>
        <v>6.3299368881937002E-4</v>
      </c>
      <c r="M448" s="11">
        <f t="shared" si="27"/>
        <v>0.89073959463421692</v>
      </c>
      <c r="N448" t="str">
        <f t="shared" si="26"/>
        <v>B</v>
      </c>
    </row>
    <row r="449" spans="1:14" x14ac:dyDescent="0.25">
      <c r="A449" s="1" t="s">
        <v>366</v>
      </c>
      <c r="B449" s="3">
        <v>60</v>
      </c>
      <c r="C449" s="1">
        <v>1</v>
      </c>
      <c r="D449" s="1">
        <v>4</v>
      </c>
      <c r="E449">
        <f t="shared" si="24"/>
        <v>56</v>
      </c>
      <c r="G449" s="9" t="s">
        <v>423</v>
      </c>
      <c r="H449" s="10">
        <v>195</v>
      </c>
      <c r="J449" t="s">
        <v>44</v>
      </c>
      <c r="K449">
        <v>232</v>
      </c>
      <c r="L449" s="11">
        <f t="shared" si="25"/>
        <v>6.3027697770855727E-4</v>
      </c>
      <c r="M449" s="11">
        <f t="shared" si="27"/>
        <v>0.89136987161192549</v>
      </c>
      <c r="N449" t="str">
        <f t="shared" si="26"/>
        <v>B</v>
      </c>
    </row>
    <row r="450" spans="1:14" x14ac:dyDescent="0.25">
      <c r="A450" s="1" t="s">
        <v>552</v>
      </c>
      <c r="B450" s="3">
        <v>61</v>
      </c>
      <c r="C450" s="1">
        <v>2</v>
      </c>
      <c r="D450" s="1">
        <v>12</v>
      </c>
      <c r="E450">
        <f t="shared" si="24"/>
        <v>110</v>
      </c>
      <c r="G450" s="9" t="s">
        <v>810</v>
      </c>
      <c r="H450" s="10">
        <v>236</v>
      </c>
      <c r="J450" t="s">
        <v>543</v>
      </c>
      <c r="K450">
        <v>231</v>
      </c>
      <c r="L450" s="11">
        <f t="shared" si="25"/>
        <v>6.2756026659774452E-4</v>
      </c>
      <c r="M450" s="11">
        <f t="shared" si="27"/>
        <v>0.89199743187852321</v>
      </c>
      <c r="N450" t="str">
        <f t="shared" si="26"/>
        <v>B</v>
      </c>
    </row>
    <row r="451" spans="1:14" x14ac:dyDescent="0.25">
      <c r="A451" s="1" t="s">
        <v>553</v>
      </c>
      <c r="B451" s="3">
        <v>668</v>
      </c>
      <c r="C451" s="1">
        <v>1</v>
      </c>
      <c r="D451" s="1">
        <v>66</v>
      </c>
      <c r="E451">
        <f t="shared" ref="E451:E514" si="28">C451*B451-D451</f>
        <v>602</v>
      </c>
      <c r="G451" s="9" t="s">
        <v>812</v>
      </c>
      <c r="H451" s="10">
        <v>98</v>
      </c>
      <c r="J451" t="s">
        <v>667</v>
      </c>
      <c r="K451">
        <v>230</v>
      </c>
      <c r="L451" s="11">
        <f t="shared" ref="L451:L514" si="29">K451/SUM($K$2:$K$804)</f>
        <v>6.2484355548693177E-4</v>
      </c>
      <c r="M451" s="11">
        <f t="shared" si="27"/>
        <v>0.89262227543401018</v>
      </c>
      <c r="N451" t="str">
        <f t="shared" ref="N451:N514" si="30">IF(M451&lt;0.8, "A", IF(M451&lt;0.95,"B","C"))</f>
        <v>B</v>
      </c>
    </row>
    <row r="452" spans="1:14" x14ac:dyDescent="0.25">
      <c r="A452" s="1" t="s">
        <v>554</v>
      </c>
      <c r="B452" s="3">
        <v>214</v>
      </c>
      <c r="C452" s="1">
        <v>1</v>
      </c>
      <c r="D452" s="1">
        <v>0</v>
      </c>
      <c r="E452">
        <f t="shared" si="28"/>
        <v>214</v>
      </c>
      <c r="G452" s="9" t="s">
        <v>811</v>
      </c>
      <c r="H452" s="10">
        <v>104</v>
      </c>
      <c r="J452" t="s">
        <v>186</v>
      </c>
      <c r="K452">
        <v>227</v>
      </c>
      <c r="L452" s="11">
        <f t="shared" si="29"/>
        <v>6.1669342215449352E-4</v>
      </c>
      <c r="M452" s="11">
        <f t="shared" ref="M452:M515" si="31">L452+M451</f>
        <v>0.89323896885616472</v>
      </c>
      <c r="N452" t="str">
        <f t="shared" si="30"/>
        <v>B</v>
      </c>
    </row>
    <row r="453" spans="1:14" x14ac:dyDescent="0.25">
      <c r="A453" s="1" t="s">
        <v>555</v>
      </c>
      <c r="B453" s="3">
        <v>473</v>
      </c>
      <c r="C453" s="1">
        <v>1</v>
      </c>
      <c r="D453" s="1">
        <v>33</v>
      </c>
      <c r="E453">
        <f t="shared" si="28"/>
        <v>440</v>
      </c>
      <c r="G453" s="9" t="s">
        <v>454</v>
      </c>
      <c r="H453" s="10">
        <v>239</v>
      </c>
      <c r="J453" t="s">
        <v>559</v>
      </c>
      <c r="K453">
        <v>226</v>
      </c>
      <c r="L453" s="11">
        <f t="shared" si="29"/>
        <v>6.1397671104368077E-4</v>
      </c>
      <c r="M453" s="11">
        <f t="shared" si="31"/>
        <v>0.8938529455672084</v>
      </c>
      <c r="N453" t="str">
        <f t="shared" si="30"/>
        <v>B</v>
      </c>
    </row>
    <row r="454" spans="1:14" x14ac:dyDescent="0.25">
      <c r="A454" s="1" t="s">
        <v>557</v>
      </c>
      <c r="B454" s="3">
        <v>100</v>
      </c>
      <c r="C454" s="1">
        <v>1</v>
      </c>
      <c r="D454" s="1">
        <v>5</v>
      </c>
      <c r="E454">
        <f t="shared" si="28"/>
        <v>95</v>
      </c>
      <c r="G454" s="9" t="s">
        <v>803</v>
      </c>
      <c r="H454" s="10">
        <v>562</v>
      </c>
      <c r="J454" t="s">
        <v>680</v>
      </c>
      <c r="K454">
        <v>224</v>
      </c>
      <c r="L454" s="11">
        <f t="shared" si="29"/>
        <v>6.0854328882205527E-4</v>
      </c>
      <c r="M454" s="11">
        <f t="shared" si="31"/>
        <v>0.8944614888560305</v>
      </c>
      <c r="N454" t="str">
        <f t="shared" si="30"/>
        <v>B</v>
      </c>
    </row>
    <row r="455" spans="1:14" x14ac:dyDescent="0.25">
      <c r="A455" s="1" t="s">
        <v>28</v>
      </c>
      <c r="B455" s="3">
        <v>539</v>
      </c>
      <c r="C455" s="1">
        <v>1</v>
      </c>
      <c r="D455" s="1">
        <v>53</v>
      </c>
      <c r="E455">
        <f t="shared" si="28"/>
        <v>486</v>
      </c>
      <c r="G455" s="9" t="s">
        <v>1161</v>
      </c>
      <c r="H455" s="10">
        <v>428</v>
      </c>
      <c r="J455" t="s">
        <v>830</v>
      </c>
      <c r="K455">
        <v>222</v>
      </c>
      <c r="L455" s="11">
        <f t="shared" si="29"/>
        <v>6.0310986660042976E-4</v>
      </c>
      <c r="M455" s="11">
        <f t="shared" si="31"/>
        <v>0.89506459872263089</v>
      </c>
      <c r="N455" t="str">
        <f t="shared" si="30"/>
        <v>B</v>
      </c>
    </row>
    <row r="456" spans="1:14" x14ac:dyDescent="0.25">
      <c r="A456" s="1" t="s">
        <v>28</v>
      </c>
      <c r="B456" s="3">
        <v>539</v>
      </c>
      <c r="C456" s="1">
        <v>1</v>
      </c>
      <c r="D456" s="1">
        <v>53</v>
      </c>
      <c r="E456">
        <f t="shared" si="28"/>
        <v>486</v>
      </c>
      <c r="G456" s="9" t="s">
        <v>725</v>
      </c>
      <c r="H456" s="10">
        <v>319</v>
      </c>
      <c r="J456" t="s">
        <v>992</v>
      </c>
      <c r="K456">
        <v>222</v>
      </c>
      <c r="L456" s="11">
        <f t="shared" si="29"/>
        <v>6.0310986660042976E-4</v>
      </c>
      <c r="M456" s="11">
        <f t="shared" si="31"/>
        <v>0.89566770858923128</v>
      </c>
      <c r="N456" t="str">
        <f t="shared" si="30"/>
        <v>B</v>
      </c>
    </row>
    <row r="457" spans="1:14" x14ac:dyDescent="0.25">
      <c r="A457" s="1" t="s">
        <v>238</v>
      </c>
      <c r="B457" s="3">
        <v>179</v>
      </c>
      <c r="C457" s="1">
        <v>1</v>
      </c>
      <c r="D457" s="1">
        <v>0</v>
      </c>
      <c r="E457">
        <f t="shared" si="28"/>
        <v>179</v>
      </c>
      <c r="G457" s="9" t="s">
        <v>566</v>
      </c>
      <c r="H457" s="10">
        <v>130</v>
      </c>
      <c r="J457" t="s">
        <v>173</v>
      </c>
      <c r="K457">
        <v>222</v>
      </c>
      <c r="L457" s="11">
        <f t="shared" si="29"/>
        <v>6.0310986660042976E-4</v>
      </c>
      <c r="M457" s="11">
        <f t="shared" si="31"/>
        <v>0.89627081845583167</v>
      </c>
      <c r="N457" t="str">
        <f t="shared" si="30"/>
        <v>B</v>
      </c>
    </row>
    <row r="458" spans="1:14" x14ac:dyDescent="0.25">
      <c r="A458" s="1" t="s">
        <v>558</v>
      </c>
      <c r="B458" s="3">
        <v>282</v>
      </c>
      <c r="C458" s="1">
        <v>1</v>
      </c>
      <c r="D458" s="1">
        <v>0</v>
      </c>
      <c r="E458">
        <f t="shared" si="28"/>
        <v>282</v>
      </c>
      <c r="G458" s="9" t="s">
        <v>632</v>
      </c>
      <c r="H458" s="10">
        <v>100</v>
      </c>
      <c r="J458" t="s">
        <v>1109</v>
      </c>
      <c r="K458">
        <v>221</v>
      </c>
      <c r="L458" s="11">
        <f t="shared" si="29"/>
        <v>6.0039315548961701E-4</v>
      </c>
      <c r="M458" s="11">
        <f t="shared" si="31"/>
        <v>0.89687121161132133</v>
      </c>
      <c r="N458" t="str">
        <f t="shared" si="30"/>
        <v>B</v>
      </c>
    </row>
    <row r="459" spans="1:14" x14ac:dyDescent="0.25">
      <c r="A459" s="1" t="s">
        <v>137</v>
      </c>
      <c r="B459" s="3">
        <v>38</v>
      </c>
      <c r="C459" s="1">
        <v>1</v>
      </c>
      <c r="D459" s="1">
        <v>0</v>
      </c>
      <c r="E459">
        <f t="shared" si="28"/>
        <v>38</v>
      </c>
      <c r="G459" s="9" t="s">
        <v>848</v>
      </c>
      <c r="H459" s="10">
        <v>214</v>
      </c>
      <c r="J459" t="s">
        <v>591</v>
      </c>
      <c r="K459">
        <v>221</v>
      </c>
      <c r="L459" s="11">
        <f t="shared" si="29"/>
        <v>6.0039315548961701E-4</v>
      </c>
      <c r="M459" s="11">
        <f t="shared" si="31"/>
        <v>0.89747160476681098</v>
      </c>
      <c r="N459" t="str">
        <f t="shared" si="30"/>
        <v>B</v>
      </c>
    </row>
    <row r="460" spans="1:14" x14ac:dyDescent="0.25">
      <c r="A460" s="1" t="s">
        <v>559</v>
      </c>
      <c r="B460" s="3">
        <v>226</v>
      </c>
      <c r="C460" s="1">
        <v>1</v>
      </c>
      <c r="D460" s="1">
        <v>22</v>
      </c>
      <c r="E460">
        <f t="shared" si="28"/>
        <v>204</v>
      </c>
      <c r="G460" s="9" t="s">
        <v>1083</v>
      </c>
      <c r="H460" s="10">
        <v>275</v>
      </c>
      <c r="J460" t="s">
        <v>518</v>
      </c>
      <c r="K460">
        <v>219</v>
      </c>
      <c r="L460" s="11">
        <f t="shared" si="29"/>
        <v>5.9495973326799151E-4</v>
      </c>
      <c r="M460" s="11">
        <f t="shared" si="31"/>
        <v>0.89806656450007893</v>
      </c>
      <c r="N460" t="str">
        <f t="shared" si="30"/>
        <v>B</v>
      </c>
    </row>
    <row r="461" spans="1:14" x14ac:dyDescent="0.25">
      <c r="A461" s="1" t="s">
        <v>290</v>
      </c>
      <c r="B461" s="3">
        <v>90</v>
      </c>
      <c r="C461" s="1">
        <v>1</v>
      </c>
      <c r="D461" s="1">
        <v>4</v>
      </c>
      <c r="E461">
        <f t="shared" si="28"/>
        <v>86</v>
      </c>
      <c r="G461" s="9" t="s">
        <v>1114</v>
      </c>
      <c r="H461" s="10">
        <v>1150</v>
      </c>
      <c r="J461" t="s">
        <v>1148</v>
      </c>
      <c r="K461">
        <v>219</v>
      </c>
      <c r="L461" s="11">
        <f t="shared" si="29"/>
        <v>5.9495973326799151E-4</v>
      </c>
      <c r="M461" s="11">
        <f t="shared" si="31"/>
        <v>0.89866152423334689</v>
      </c>
      <c r="N461" t="str">
        <f t="shared" si="30"/>
        <v>B</v>
      </c>
    </row>
    <row r="462" spans="1:14" x14ac:dyDescent="0.25">
      <c r="A462" s="1" t="s">
        <v>561</v>
      </c>
      <c r="B462" s="3">
        <v>106</v>
      </c>
      <c r="C462" s="1">
        <v>1</v>
      </c>
      <c r="D462" s="1">
        <v>5</v>
      </c>
      <c r="E462">
        <f t="shared" si="28"/>
        <v>101</v>
      </c>
      <c r="G462" s="9" t="s">
        <v>1123</v>
      </c>
      <c r="H462" s="10">
        <v>402</v>
      </c>
      <c r="J462" t="s">
        <v>1175</v>
      </c>
      <c r="K462">
        <v>218</v>
      </c>
      <c r="L462" s="11">
        <f t="shared" si="29"/>
        <v>5.9224302215717876E-4</v>
      </c>
      <c r="M462" s="11">
        <f t="shared" si="31"/>
        <v>0.8992537672555041</v>
      </c>
      <c r="N462" t="str">
        <f t="shared" si="30"/>
        <v>B</v>
      </c>
    </row>
    <row r="463" spans="1:14" x14ac:dyDescent="0.25">
      <c r="A463" s="1" t="s">
        <v>37</v>
      </c>
      <c r="B463" s="3">
        <v>413</v>
      </c>
      <c r="C463" s="1">
        <v>1</v>
      </c>
      <c r="D463" s="1">
        <v>20</v>
      </c>
      <c r="E463">
        <f t="shared" si="28"/>
        <v>393</v>
      </c>
      <c r="G463" s="9" t="s">
        <v>308</v>
      </c>
      <c r="H463" s="10">
        <v>240</v>
      </c>
      <c r="J463" t="s">
        <v>578</v>
      </c>
      <c r="K463">
        <v>218</v>
      </c>
      <c r="L463" s="11">
        <f t="shared" si="29"/>
        <v>5.9224302215717876E-4</v>
      </c>
      <c r="M463" s="11">
        <f t="shared" si="31"/>
        <v>0.89984601027766131</v>
      </c>
      <c r="N463" t="str">
        <f t="shared" si="30"/>
        <v>B</v>
      </c>
    </row>
    <row r="464" spans="1:14" x14ac:dyDescent="0.25">
      <c r="A464" s="1" t="s">
        <v>25</v>
      </c>
      <c r="B464" s="3">
        <v>2563</v>
      </c>
      <c r="C464" s="1">
        <v>1</v>
      </c>
      <c r="D464" s="1">
        <v>76</v>
      </c>
      <c r="E464">
        <f t="shared" si="28"/>
        <v>2487</v>
      </c>
      <c r="G464" s="9" t="s">
        <v>382</v>
      </c>
      <c r="H464" s="10">
        <v>996</v>
      </c>
      <c r="J464" t="s">
        <v>828</v>
      </c>
      <c r="K464">
        <v>217</v>
      </c>
      <c r="L464" s="11">
        <f t="shared" si="29"/>
        <v>5.8952631104636601E-4</v>
      </c>
      <c r="M464" s="11">
        <f t="shared" si="31"/>
        <v>0.90043553658870767</v>
      </c>
      <c r="N464" t="str">
        <f t="shared" si="30"/>
        <v>B</v>
      </c>
    </row>
    <row r="465" spans="1:14" x14ac:dyDescent="0.25">
      <c r="A465" s="1" t="s">
        <v>562</v>
      </c>
      <c r="B465" s="3">
        <v>368</v>
      </c>
      <c r="C465" s="1">
        <v>1</v>
      </c>
      <c r="D465" s="1">
        <v>18</v>
      </c>
      <c r="E465">
        <f t="shared" si="28"/>
        <v>350</v>
      </c>
      <c r="G465" s="9" t="s">
        <v>99</v>
      </c>
      <c r="H465" s="10">
        <v>423</v>
      </c>
      <c r="J465" t="s">
        <v>502</v>
      </c>
      <c r="K465">
        <v>216</v>
      </c>
      <c r="L465" s="11">
        <f t="shared" si="29"/>
        <v>5.8680959993555326E-4</v>
      </c>
      <c r="M465" s="11">
        <f t="shared" si="31"/>
        <v>0.90102234618864319</v>
      </c>
      <c r="N465" t="str">
        <f t="shared" si="30"/>
        <v>B</v>
      </c>
    </row>
    <row r="466" spans="1:14" x14ac:dyDescent="0.25">
      <c r="A466" s="1" t="s">
        <v>564</v>
      </c>
      <c r="B466" s="3">
        <v>273</v>
      </c>
      <c r="C466" s="1">
        <v>1</v>
      </c>
      <c r="D466" s="1">
        <v>19</v>
      </c>
      <c r="E466">
        <f t="shared" si="28"/>
        <v>254</v>
      </c>
      <c r="G466" s="9" t="s">
        <v>282</v>
      </c>
      <c r="H466" s="10">
        <v>467</v>
      </c>
      <c r="J466" t="s">
        <v>554</v>
      </c>
      <c r="K466">
        <v>214</v>
      </c>
      <c r="L466" s="11">
        <f t="shared" si="29"/>
        <v>5.8137617771392776E-4</v>
      </c>
      <c r="M466" s="11">
        <f t="shared" si="31"/>
        <v>0.90160372236635711</v>
      </c>
      <c r="N466" t="str">
        <f t="shared" si="30"/>
        <v>B</v>
      </c>
    </row>
    <row r="467" spans="1:14" x14ac:dyDescent="0.25">
      <c r="A467" s="1" t="s">
        <v>565</v>
      </c>
      <c r="B467" s="3">
        <v>188</v>
      </c>
      <c r="C467" s="1">
        <v>1</v>
      </c>
      <c r="D467" s="1">
        <v>9</v>
      </c>
      <c r="E467">
        <f t="shared" si="28"/>
        <v>179</v>
      </c>
      <c r="G467" s="9" t="s">
        <v>650</v>
      </c>
      <c r="H467" s="10">
        <v>65</v>
      </c>
      <c r="J467" t="s">
        <v>848</v>
      </c>
      <c r="K467">
        <v>214</v>
      </c>
      <c r="L467" s="11">
        <f t="shared" si="29"/>
        <v>5.8137617771392776E-4</v>
      </c>
      <c r="M467" s="11">
        <f t="shared" si="31"/>
        <v>0.90218509854407103</v>
      </c>
      <c r="N467" t="str">
        <f t="shared" si="30"/>
        <v>B</v>
      </c>
    </row>
    <row r="468" spans="1:14" x14ac:dyDescent="0.25">
      <c r="A468" s="1" t="s">
        <v>565</v>
      </c>
      <c r="B468" s="3">
        <v>188</v>
      </c>
      <c r="C468" s="1">
        <v>1</v>
      </c>
      <c r="D468" s="1">
        <v>9</v>
      </c>
      <c r="E468">
        <f t="shared" si="28"/>
        <v>179</v>
      </c>
      <c r="G468" s="9" t="s">
        <v>397</v>
      </c>
      <c r="H468" s="10">
        <v>350</v>
      </c>
      <c r="J468" t="s">
        <v>1049</v>
      </c>
      <c r="K468">
        <v>214</v>
      </c>
      <c r="L468" s="11">
        <f t="shared" si="29"/>
        <v>5.8137617771392776E-4</v>
      </c>
      <c r="M468" s="11">
        <f t="shared" si="31"/>
        <v>0.90276647472178495</v>
      </c>
      <c r="N468" t="str">
        <f t="shared" si="30"/>
        <v>B</v>
      </c>
    </row>
    <row r="469" spans="1:14" x14ac:dyDescent="0.25">
      <c r="A469" s="1" t="s">
        <v>566</v>
      </c>
      <c r="B469" s="3">
        <v>65</v>
      </c>
      <c r="C469" s="1">
        <v>1</v>
      </c>
      <c r="D469" s="1">
        <v>4</v>
      </c>
      <c r="E469">
        <f t="shared" si="28"/>
        <v>61</v>
      </c>
      <c r="G469" s="9" t="s">
        <v>368</v>
      </c>
      <c r="H469" s="10">
        <v>566</v>
      </c>
      <c r="J469" t="s">
        <v>763</v>
      </c>
      <c r="K469">
        <v>213</v>
      </c>
      <c r="L469" s="11">
        <f t="shared" si="29"/>
        <v>5.7865946660311501E-4</v>
      </c>
      <c r="M469" s="11">
        <f t="shared" si="31"/>
        <v>0.90334513418838802</v>
      </c>
      <c r="N469" t="str">
        <f t="shared" si="30"/>
        <v>B</v>
      </c>
    </row>
    <row r="470" spans="1:14" x14ac:dyDescent="0.25">
      <c r="A470" s="1" t="s">
        <v>566</v>
      </c>
      <c r="B470" s="3">
        <v>65</v>
      </c>
      <c r="C470" s="1">
        <v>1</v>
      </c>
      <c r="D470" s="1">
        <v>4</v>
      </c>
      <c r="E470">
        <f t="shared" si="28"/>
        <v>61</v>
      </c>
      <c r="G470" s="9" t="s">
        <v>328</v>
      </c>
      <c r="H470" s="10">
        <v>366.96436400000005</v>
      </c>
      <c r="J470" t="s">
        <v>780</v>
      </c>
      <c r="K470">
        <v>213</v>
      </c>
      <c r="L470" s="11">
        <f t="shared" si="29"/>
        <v>5.7865946660311501E-4</v>
      </c>
      <c r="M470" s="11">
        <f t="shared" si="31"/>
        <v>0.90392379365499109</v>
      </c>
      <c r="N470" t="str">
        <f t="shared" si="30"/>
        <v>B</v>
      </c>
    </row>
    <row r="471" spans="1:14" x14ac:dyDescent="0.25">
      <c r="A471" s="1" t="s">
        <v>567</v>
      </c>
      <c r="B471" s="3">
        <v>236</v>
      </c>
      <c r="C471" s="1">
        <v>1</v>
      </c>
      <c r="D471" s="1">
        <v>23</v>
      </c>
      <c r="E471">
        <f t="shared" si="28"/>
        <v>213</v>
      </c>
      <c r="G471" s="9" t="s">
        <v>509</v>
      </c>
      <c r="H471" s="10">
        <v>136</v>
      </c>
      <c r="J471" t="s">
        <v>393</v>
      </c>
      <c r="K471">
        <v>212</v>
      </c>
      <c r="L471" s="11">
        <f t="shared" si="29"/>
        <v>5.7594275549230226E-4</v>
      </c>
      <c r="M471" s="11">
        <f t="shared" si="31"/>
        <v>0.90449973641048342</v>
      </c>
      <c r="N471" t="str">
        <f t="shared" si="30"/>
        <v>B</v>
      </c>
    </row>
    <row r="472" spans="1:14" x14ac:dyDescent="0.25">
      <c r="A472" s="1" t="s">
        <v>568</v>
      </c>
      <c r="B472" s="3">
        <v>530</v>
      </c>
      <c r="C472" s="1">
        <v>1</v>
      </c>
      <c r="D472" s="1">
        <v>37</v>
      </c>
      <c r="E472">
        <f t="shared" si="28"/>
        <v>493</v>
      </c>
      <c r="G472" s="9" t="s">
        <v>1074</v>
      </c>
      <c r="H472" s="10">
        <v>91</v>
      </c>
      <c r="J472" t="s">
        <v>149</v>
      </c>
      <c r="K472">
        <v>211</v>
      </c>
      <c r="L472" s="11">
        <f t="shared" si="29"/>
        <v>5.7322604438148951E-4</v>
      </c>
      <c r="M472" s="11">
        <f t="shared" si="31"/>
        <v>0.9050729624548649</v>
      </c>
      <c r="N472" t="str">
        <f t="shared" si="30"/>
        <v>B</v>
      </c>
    </row>
    <row r="473" spans="1:14" x14ac:dyDescent="0.25">
      <c r="A473" s="1" t="s">
        <v>570</v>
      </c>
      <c r="B473" s="3">
        <v>286</v>
      </c>
      <c r="C473" s="1">
        <v>1</v>
      </c>
      <c r="D473" s="1">
        <v>14</v>
      </c>
      <c r="E473">
        <f t="shared" si="28"/>
        <v>272</v>
      </c>
      <c r="G473" s="9" t="s">
        <v>297</v>
      </c>
      <c r="H473" s="10">
        <v>79</v>
      </c>
      <c r="J473" t="s">
        <v>395</v>
      </c>
      <c r="K473">
        <v>210</v>
      </c>
      <c r="L473" s="11">
        <f t="shared" si="29"/>
        <v>5.7050933327067676E-4</v>
      </c>
      <c r="M473" s="11">
        <f t="shared" si="31"/>
        <v>0.90564347178813553</v>
      </c>
      <c r="N473" t="str">
        <f t="shared" si="30"/>
        <v>B</v>
      </c>
    </row>
    <row r="474" spans="1:14" x14ac:dyDescent="0.25">
      <c r="A474" s="1" t="s">
        <v>299</v>
      </c>
      <c r="B474" s="3">
        <v>74</v>
      </c>
      <c r="C474" s="1">
        <v>1</v>
      </c>
      <c r="D474" s="1">
        <v>5</v>
      </c>
      <c r="E474">
        <f t="shared" si="28"/>
        <v>69</v>
      </c>
      <c r="G474" s="9" t="s">
        <v>416</v>
      </c>
      <c r="H474" s="10">
        <v>280</v>
      </c>
      <c r="J474" t="s">
        <v>301</v>
      </c>
      <c r="K474">
        <v>210</v>
      </c>
      <c r="L474" s="11">
        <f t="shared" si="29"/>
        <v>5.7050933327067676E-4</v>
      </c>
      <c r="M474" s="11">
        <f t="shared" si="31"/>
        <v>0.90621398112140616</v>
      </c>
      <c r="N474" t="str">
        <f t="shared" si="30"/>
        <v>B</v>
      </c>
    </row>
    <row r="475" spans="1:14" x14ac:dyDescent="0.25">
      <c r="A475" s="1" t="s">
        <v>299</v>
      </c>
      <c r="B475" s="3">
        <v>74</v>
      </c>
      <c r="C475" s="1">
        <v>1</v>
      </c>
      <c r="D475" s="1">
        <v>5</v>
      </c>
      <c r="E475">
        <f t="shared" si="28"/>
        <v>69</v>
      </c>
      <c r="G475" s="9" t="s">
        <v>931</v>
      </c>
      <c r="H475" s="10">
        <v>576</v>
      </c>
      <c r="J475" t="s">
        <v>465</v>
      </c>
      <c r="K475">
        <v>210</v>
      </c>
      <c r="L475" s="11">
        <f t="shared" si="29"/>
        <v>5.7050933327067676E-4</v>
      </c>
      <c r="M475" s="11">
        <f t="shared" si="31"/>
        <v>0.90678449045467679</v>
      </c>
      <c r="N475" t="str">
        <f t="shared" si="30"/>
        <v>B</v>
      </c>
    </row>
    <row r="476" spans="1:14" x14ac:dyDescent="0.25">
      <c r="A476" s="1" t="s">
        <v>571</v>
      </c>
      <c r="B476" s="3">
        <v>58</v>
      </c>
      <c r="C476" s="1">
        <v>1</v>
      </c>
      <c r="D476" s="1">
        <v>5</v>
      </c>
      <c r="E476">
        <f t="shared" si="28"/>
        <v>53</v>
      </c>
      <c r="G476" s="9" t="s">
        <v>1181</v>
      </c>
      <c r="H476" s="10">
        <v>798</v>
      </c>
      <c r="J476" t="s">
        <v>951</v>
      </c>
      <c r="K476">
        <v>209</v>
      </c>
      <c r="L476" s="11">
        <f t="shared" si="29"/>
        <v>5.6779262215986401E-4</v>
      </c>
      <c r="M476" s="11">
        <f t="shared" si="31"/>
        <v>0.90735228307683669</v>
      </c>
      <c r="N476" t="str">
        <f t="shared" si="30"/>
        <v>B</v>
      </c>
    </row>
    <row r="477" spans="1:14" x14ac:dyDescent="0.25">
      <c r="A477" s="1" t="s">
        <v>573</v>
      </c>
      <c r="B477" s="3">
        <v>99</v>
      </c>
      <c r="C477" s="1">
        <v>1</v>
      </c>
      <c r="D477" s="1">
        <v>0</v>
      </c>
      <c r="E477">
        <f t="shared" si="28"/>
        <v>99</v>
      </c>
      <c r="G477" s="9" t="s">
        <v>531</v>
      </c>
      <c r="H477" s="10">
        <v>253</v>
      </c>
      <c r="J477" t="s">
        <v>362</v>
      </c>
      <c r="K477">
        <v>207</v>
      </c>
      <c r="L477" s="11">
        <f t="shared" si="29"/>
        <v>5.6235919993823861E-4</v>
      </c>
      <c r="M477" s="11">
        <f t="shared" si="31"/>
        <v>0.90791464227677487</v>
      </c>
      <c r="N477" t="str">
        <f t="shared" si="30"/>
        <v>B</v>
      </c>
    </row>
    <row r="478" spans="1:14" x14ac:dyDescent="0.25">
      <c r="A478" s="1" t="s">
        <v>575</v>
      </c>
      <c r="B478" s="3">
        <v>102</v>
      </c>
      <c r="C478" s="1">
        <v>1</v>
      </c>
      <c r="D478" s="1">
        <v>5</v>
      </c>
      <c r="E478">
        <f t="shared" si="28"/>
        <v>97</v>
      </c>
      <c r="G478" s="9" t="s">
        <v>469</v>
      </c>
      <c r="H478" s="10">
        <v>270</v>
      </c>
      <c r="J478" t="s">
        <v>977</v>
      </c>
      <c r="K478">
        <v>207</v>
      </c>
      <c r="L478" s="11">
        <f t="shared" si="29"/>
        <v>5.6235919993823861E-4</v>
      </c>
      <c r="M478" s="11">
        <f t="shared" si="31"/>
        <v>0.90847700147671306</v>
      </c>
      <c r="N478" t="str">
        <f t="shared" si="30"/>
        <v>B</v>
      </c>
    </row>
    <row r="479" spans="1:14" x14ac:dyDescent="0.25">
      <c r="A479" s="1" t="s">
        <v>576</v>
      </c>
      <c r="B479" s="3">
        <v>571</v>
      </c>
      <c r="C479" s="1">
        <v>1</v>
      </c>
      <c r="D479" s="1">
        <v>39</v>
      </c>
      <c r="E479">
        <f t="shared" si="28"/>
        <v>532</v>
      </c>
      <c r="G479" s="9" t="s">
        <v>828</v>
      </c>
      <c r="H479" s="10">
        <v>217</v>
      </c>
      <c r="J479" t="s">
        <v>761</v>
      </c>
      <c r="K479">
        <v>206</v>
      </c>
      <c r="L479" s="11">
        <f t="shared" si="29"/>
        <v>5.5964248882742586E-4</v>
      </c>
      <c r="M479" s="11">
        <f t="shared" si="31"/>
        <v>0.90903664396554051</v>
      </c>
      <c r="N479" t="str">
        <f t="shared" si="30"/>
        <v>B</v>
      </c>
    </row>
    <row r="480" spans="1:14" x14ac:dyDescent="0.25">
      <c r="A480" s="1" t="s">
        <v>578</v>
      </c>
      <c r="B480" s="3">
        <v>218</v>
      </c>
      <c r="C480" s="1">
        <v>1</v>
      </c>
      <c r="D480" s="1">
        <v>0</v>
      </c>
      <c r="E480">
        <f t="shared" si="28"/>
        <v>218</v>
      </c>
      <c r="G480" s="9" t="s">
        <v>1072</v>
      </c>
      <c r="H480" s="10">
        <v>589</v>
      </c>
      <c r="J480" t="s">
        <v>47</v>
      </c>
      <c r="K480">
        <v>206</v>
      </c>
      <c r="L480" s="11">
        <f t="shared" si="29"/>
        <v>5.5964248882742586E-4</v>
      </c>
      <c r="M480" s="11">
        <f t="shared" si="31"/>
        <v>0.90959628645436796</v>
      </c>
      <c r="N480" t="str">
        <f t="shared" si="30"/>
        <v>B</v>
      </c>
    </row>
    <row r="481" spans="1:14" x14ac:dyDescent="0.25">
      <c r="A481" s="1" t="s">
        <v>580</v>
      </c>
      <c r="B481" s="3">
        <v>57</v>
      </c>
      <c r="C481" s="1">
        <v>1</v>
      </c>
      <c r="D481" s="1">
        <v>9.76</v>
      </c>
      <c r="E481">
        <f t="shared" si="28"/>
        <v>47.24</v>
      </c>
      <c r="G481" s="9" t="s">
        <v>520</v>
      </c>
      <c r="H481" s="10">
        <v>438</v>
      </c>
      <c r="J481" t="s">
        <v>808</v>
      </c>
      <c r="K481">
        <v>206</v>
      </c>
      <c r="L481" s="11">
        <f t="shared" si="29"/>
        <v>5.5964248882742586E-4</v>
      </c>
      <c r="M481" s="11">
        <f t="shared" si="31"/>
        <v>0.91015592894319541</v>
      </c>
      <c r="N481" t="str">
        <f t="shared" si="30"/>
        <v>B</v>
      </c>
    </row>
    <row r="482" spans="1:14" x14ac:dyDescent="0.25">
      <c r="A482" s="1" t="s">
        <v>581</v>
      </c>
      <c r="B482" s="3">
        <v>56</v>
      </c>
      <c r="C482" s="1">
        <v>1</v>
      </c>
      <c r="D482" s="1">
        <v>5</v>
      </c>
      <c r="E482">
        <f t="shared" si="28"/>
        <v>51</v>
      </c>
      <c r="G482" s="9" t="s">
        <v>496</v>
      </c>
      <c r="H482" s="10">
        <v>492</v>
      </c>
      <c r="J482" t="s">
        <v>986</v>
      </c>
      <c r="K482">
        <v>204</v>
      </c>
      <c r="L482" s="11">
        <f t="shared" si="29"/>
        <v>5.5420906660580036E-4</v>
      </c>
      <c r="M482" s="11">
        <f t="shared" si="31"/>
        <v>0.91071013800980116</v>
      </c>
      <c r="N482" t="str">
        <f t="shared" si="30"/>
        <v>B</v>
      </c>
    </row>
    <row r="483" spans="1:14" x14ac:dyDescent="0.25">
      <c r="A483" s="1" t="s">
        <v>583</v>
      </c>
      <c r="B483" s="3">
        <v>14</v>
      </c>
      <c r="C483" s="1">
        <v>2</v>
      </c>
      <c r="D483" s="1">
        <v>2</v>
      </c>
      <c r="E483">
        <f t="shared" si="28"/>
        <v>26</v>
      </c>
      <c r="G483" s="9" t="s">
        <v>490</v>
      </c>
      <c r="H483" s="10">
        <v>309</v>
      </c>
      <c r="J483" t="s">
        <v>631</v>
      </c>
      <c r="K483">
        <v>203</v>
      </c>
      <c r="L483" s="11">
        <f t="shared" si="29"/>
        <v>5.5149235549498761E-4</v>
      </c>
      <c r="M483" s="11">
        <f t="shared" si="31"/>
        <v>0.91126163036529617</v>
      </c>
      <c r="N483" t="str">
        <f t="shared" si="30"/>
        <v>B</v>
      </c>
    </row>
    <row r="484" spans="1:14" x14ac:dyDescent="0.25">
      <c r="A484" s="1" t="s">
        <v>583</v>
      </c>
      <c r="B484" s="3">
        <v>14</v>
      </c>
      <c r="C484" s="1">
        <v>20</v>
      </c>
      <c r="D484" s="1">
        <v>28</v>
      </c>
      <c r="E484">
        <f t="shared" si="28"/>
        <v>252</v>
      </c>
      <c r="G484" s="9" t="s">
        <v>413</v>
      </c>
      <c r="H484" s="10">
        <v>1539.1000000000001</v>
      </c>
      <c r="J484" t="s">
        <v>1012</v>
      </c>
      <c r="K484">
        <v>200</v>
      </c>
      <c r="L484" s="11">
        <f t="shared" si="29"/>
        <v>5.4334222216254936E-4</v>
      </c>
      <c r="M484" s="11">
        <f t="shared" si="31"/>
        <v>0.91180497258745874</v>
      </c>
      <c r="N484" t="str">
        <f t="shared" si="30"/>
        <v>B</v>
      </c>
    </row>
    <row r="485" spans="1:14" x14ac:dyDescent="0.25">
      <c r="A485" s="1" t="s">
        <v>585</v>
      </c>
      <c r="B485" s="3">
        <v>731</v>
      </c>
      <c r="C485" s="1">
        <v>1</v>
      </c>
      <c r="D485" s="1">
        <v>51</v>
      </c>
      <c r="E485">
        <f t="shared" si="28"/>
        <v>680</v>
      </c>
      <c r="G485" s="9" t="s">
        <v>907</v>
      </c>
      <c r="H485" s="10">
        <v>83</v>
      </c>
      <c r="J485" t="s">
        <v>1046</v>
      </c>
      <c r="K485">
        <v>200</v>
      </c>
      <c r="L485" s="11">
        <f t="shared" si="29"/>
        <v>5.4334222216254936E-4</v>
      </c>
      <c r="M485" s="11">
        <f t="shared" si="31"/>
        <v>0.91234831480962131</v>
      </c>
      <c r="N485" t="str">
        <f t="shared" si="30"/>
        <v>B</v>
      </c>
    </row>
    <row r="486" spans="1:14" x14ac:dyDescent="0.25">
      <c r="A486" s="1" t="s">
        <v>587</v>
      </c>
      <c r="B486" s="3">
        <v>31</v>
      </c>
      <c r="C486" s="1">
        <v>1</v>
      </c>
      <c r="D486" s="1">
        <v>0</v>
      </c>
      <c r="E486">
        <f t="shared" si="28"/>
        <v>31</v>
      </c>
      <c r="G486" s="9" t="s">
        <v>922</v>
      </c>
      <c r="H486" s="10">
        <v>489</v>
      </c>
      <c r="J486" t="s">
        <v>210</v>
      </c>
      <c r="K486">
        <v>199</v>
      </c>
      <c r="L486" s="11">
        <f t="shared" si="29"/>
        <v>5.4062551105173661E-4</v>
      </c>
      <c r="M486" s="11">
        <f t="shared" si="31"/>
        <v>0.91288894032067303</v>
      </c>
      <c r="N486" t="str">
        <f t="shared" si="30"/>
        <v>B</v>
      </c>
    </row>
    <row r="487" spans="1:14" x14ac:dyDescent="0.25">
      <c r="A487" s="1" t="s">
        <v>587</v>
      </c>
      <c r="B487" s="3">
        <v>31</v>
      </c>
      <c r="C487" s="1">
        <v>1</v>
      </c>
      <c r="D487" s="1">
        <v>0</v>
      </c>
      <c r="E487">
        <f t="shared" si="28"/>
        <v>31</v>
      </c>
      <c r="G487" s="9" t="s">
        <v>288</v>
      </c>
      <c r="H487" s="10">
        <v>125</v>
      </c>
      <c r="J487" t="s">
        <v>468</v>
      </c>
      <c r="K487">
        <v>199</v>
      </c>
      <c r="L487" s="11">
        <f t="shared" si="29"/>
        <v>5.4062551105173661E-4</v>
      </c>
      <c r="M487" s="11">
        <f t="shared" si="31"/>
        <v>0.91342956583172474</v>
      </c>
      <c r="N487" t="str">
        <f t="shared" si="30"/>
        <v>B</v>
      </c>
    </row>
    <row r="488" spans="1:14" x14ac:dyDescent="0.25">
      <c r="A488" s="1" t="s">
        <v>587</v>
      </c>
      <c r="B488" s="3">
        <v>31</v>
      </c>
      <c r="C488" s="1">
        <v>1</v>
      </c>
      <c r="D488" s="1">
        <v>0</v>
      </c>
      <c r="E488">
        <f t="shared" si="28"/>
        <v>31</v>
      </c>
      <c r="G488" s="9" t="s">
        <v>891</v>
      </c>
      <c r="H488" s="10">
        <v>510.33332822999995</v>
      </c>
      <c r="J488" t="s">
        <v>1196</v>
      </c>
      <c r="K488">
        <v>195</v>
      </c>
      <c r="L488" s="11">
        <f t="shared" si="29"/>
        <v>5.2975866660848561E-4</v>
      </c>
      <c r="M488" s="11">
        <f t="shared" si="31"/>
        <v>0.91395932449833328</v>
      </c>
      <c r="N488" t="str">
        <f t="shared" si="30"/>
        <v>B</v>
      </c>
    </row>
    <row r="489" spans="1:14" x14ac:dyDescent="0.25">
      <c r="A489" s="1" t="s">
        <v>63</v>
      </c>
      <c r="B489" s="3">
        <v>791</v>
      </c>
      <c r="C489" s="1">
        <v>1</v>
      </c>
      <c r="D489" s="1">
        <v>55</v>
      </c>
      <c r="E489">
        <f t="shared" si="28"/>
        <v>736</v>
      </c>
      <c r="G489" s="9" t="s">
        <v>272</v>
      </c>
      <c r="H489" s="10">
        <v>788</v>
      </c>
      <c r="J489" t="s">
        <v>423</v>
      </c>
      <c r="K489">
        <v>195</v>
      </c>
      <c r="L489" s="11">
        <f t="shared" si="29"/>
        <v>5.2975866660848561E-4</v>
      </c>
      <c r="M489" s="11">
        <f t="shared" si="31"/>
        <v>0.91448908316494182</v>
      </c>
      <c r="N489" t="str">
        <f t="shared" si="30"/>
        <v>B</v>
      </c>
    </row>
    <row r="490" spans="1:14" x14ac:dyDescent="0.25">
      <c r="A490" s="1" t="s">
        <v>476</v>
      </c>
      <c r="B490" s="3">
        <v>920</v>
      </c>
      <c r="C490" s="1">
        <v>1</v>
      </c>
      <c r="D490" s="1">
        <v>64</v>
      </c>
      <c r="E490">
        <f t="shared" si="28"/>
        <v>856</v>
      </c>
      <c r="G490" s="9" t="s">
        <v>432</v>
      </c>
      <c r="H490" s="10">
        <v>1787</v>
      </c>
      <c r="J490" t="s">
        <v>191</v>
      </c>
      <c r="K490">
        <v>192</v>
      </c>
      <c r="L490" s="11">
        <f t="shared" si="29"/>
        <v>5.2160853327604736E-4</v>
      </c>
      <c r="M490" s="11">
        <f t="shared" si="31"/>
        <v>0.91501069169821792</v>
      </c>
      <c r="N490" t="str">
        <f t="shared" si="30"/>
        <v>B</v>
      </c>
    </row>
    <row r="491" spans="1:14" x14ac:dyDescent="0.25">
      <c r="A491" s="1" t="s">
        <v>589</v>
      </c>
      <c r="B491" s="3">
        <v>139</v>
      </c>
      <c r="C491" s="1">
        <v>1</v>
      </c>
      <c r="D491" s="1">
        <v>9</v>
      </c>
      <c r="E491">
        <f t="shared" si="28"/>
        <v>130</v>
      </c>
      <c r="G491" s="9" t="s">
        <v>482</v>
      </c>
      <c r="H491" s="10">
        <v>307</v>
      </c>
      <c r="J491" t="s">
        <v>265</v>
      </c>
      <c r="K491">
        <v>192</v>
      </c>
      <c r="L491" s="11">
        <f t="shared" si="29"/>
        <v>5.2160853327604736E-4</v>
      </c>
      <c r="M491" s="11">
        <f t="shared" si="31"/>
        <v>0.91553230023149401</v>
      </c>
      <c r="N491" t="str">
        <f t="shared" si="30"/>
        <v>B</v>
      </c>
    </row>
    <row r="492" spans="1:14" x14ac:dyDescent="0.25">
      <c r="A492" s="1" t="s">
        <v>590</v>
      </c>
      <c r="B492" s="3">
        <v>14</v>
      </c>
      <c r="C492" s="1">
        <v>1</v>
      </c>
      <c r="D492" s="1">
        <v>0</v>
      </c>
      <c r="E492">
        <f t="shared" si="28"/>
        <v>14</v>
      </c>
      <c r="G492" s="9" t="s">
        <v>872</v>
      </c>
      <c r="H492" s="10">
        <v>730</v>
      </c>
      <c r="J492" t="s">
        <v>1017</v>
      </c>
      <c r="K492">
        <v>192</v>
      </c>
      <c r="L492" s="11">
        <f t="shared" si="29"/>
        <v>5.2160853327604736E-4</v>
      </c>
      <c r="M492" s="11">
        <f t="shared" si="31"/>
        <v>0.91605390876477011</v>
      </c>
      <c r="N492" t="str">
        <f t="shared" si="30"/>
        <v>B</v>
      </c>
    </row>
    <row r="493" spans="1:14" x14ac:dyDescent="0.25">
      <c r="A493" s="1" t="s">
        <v>386</v>
      </c>
      <c r="B493" s="3">
        <v>37</v>
      </c>
      <c r="C493" s="1">
        <v>1</v>
      </c>
      <c r="D493" s="1">
        <v>1</v>
      </c>
      <c r="E493">
        <f t="shared" si="28"/>
        <v>36</v>
      </c>
      <c r="G493" s="9" t="s">
        <v>600</v>
      </c>
      <c r="H493" s="10">
        <v>719</v>
      </c>
      <c r="J493" t="s">
        <v>493</v>
      </c>
      <c r="K493">
        <v>192</v>
      </c>
      <c r="L493" s="11">
        <f t="shared" si="29"/>
        <v>5.2160853327604736E-4</v>
      </c>
      <c r="M493" s="11">
        <f t="shared" si="31"/>
        <v>0.91657551729804621</v>
      </c>
      <c r="N493" t="str">
        <f t="shared" si="30"/>
        <v>B</v>
      </c>
    </row>
    <row r="494" spans="1:14" x14ac:dyDescent="0.25">
      <c r="A494" s="1" t="s">
        <v>261</v>
      </c>
      <c r="B494" s="3">
        <v>234</v>
      </c>
      <c r="C494" s="1">
        <v>1</v>
      </c>
      <c r="D494" s="1">
        <v>11</v>
      </c>
      <c r="E494">
        <f t="shared" si="28"/>
        <v>223</v>
      </c>
      <c r="G494" s="9" t="s">
        <v>1046</v>
      </c>
      <c r="H494" s="10">
        <v>200</v>
      </c>
      <c r="J494" t="s">
        <v>643</v>
      </c>
      <c r="K494">
        <v>190</v>
      </c>
      <c r="L494" s="11">
        <f t="shared" si="29"/>
        <v>5.1617511105442185E-4</v>
      </c>
      <c r="M494" s="11">
        <f t="shared" si="31"/>
        <v>0.9170916924091006</v>
      </c>
      <c r="N494" t="str">
        <f t="shared" si="30"/>
        <v>B</v>
      </c>
    </row>
    <row r="495" spans="1:14" x14ac:dyDescent="0.25">
      <c r="A495" s="1" t="s">
        <v>591</v>
      </c>
      <c r="B495" s="3">
        <v>17</v>
      </c>
      <c r="C495" s="1">
        <v>5</v>
      </c>
      <c r="D495" s="1">
        <v>8</v>
      </c>
      <c r="E495">
        <f t="shared" si="28"/>
        <v>77</v>
      </c>
      <c r="G495" s="9" t="s">
        <v>1078</v>
      </c>
      <c r="H495" s="10">
        <v>107.80000000000001</v>
      </c>
      <c r="J495" t="s">
        <v>1023</v>
      </c>
      <c r="K495">
        <v>189</v>
      </c>
      <c r="L495" s="11">
        <f t="shared" si="29"/>
        <v>5.134583999436091E-4</v>
      </c>
      <c r="M495" s="11">
        <f t="shared" si="31"/>
        <v>0.91760515080904426</v>
      </c>
      <c r="N495" t="str">
        <f t="shared" si="30"/>
        <v>B</v>
      </c>
    </row>
    <row r="496" spans="1:14" x14ac:dyDescent="0.25">
      <c r="A496" s="1" t="s">
        <v>592</v>
      </c>
      <c r="B496" s="3">
        <v>24</v>
      </c>
      <c r="C496" s="1">
        <v>1</v>
      </c>
      <c r="D496" s="1">
        <v>1</v>
      </c>
      <c r="E496">
        <f t="shared" si="28"/>
        <v>23</v>
      </c>
      <c r="G496" s="9" t="s">
        <v>519</v>
      </c>
      <c r="H496" s="10">
        <v>363</v>
      </c>
      <c r="J496" t="s">
        <v>1213</v>
      </c>
      <c r="K496">
        <v>188</v>
      </c>
      <c r="L496" s="11">
        <f t="shared" si="29"/>
        <v>5.1074168883279635E-4</v>
      </c>
      <c r="M496" s="11">
        <f t="shared" si="31"/>
        <v>0.91811589249787706</v>
      </c>
      <c r="N496" t="str">
        <f t="shared" si="30"/>
        <v>B</v>
      </c>
    </row>
    <row r="497" spans="1:14" x14ac:dyDescent="0.25">
      <c r="A497" s="1" t="s">
        <v>592</v>
      </c>
      <c r="B497" s="3">
        <v>24</v>
      </c>
      <c r="C497" s="1">
        <v>1</v>
      </c>
      <c r="D497" s="1">
        <v>1</v>
      </c>
      <c r="E497">
        <f t="shared" si="28"/>
        <v>23</v>
      </c>
      <c r="G497" s="9" t="s">
        <v>445</v>
      </c>
      <c r="H497" s="10">
        <v>252</v>
      </c>
      <c r="J497" t="s">
        <v>664</v>
      </c>
      <c r="K497">
        <v>188</v>
      </c>
      <c r="L497" s="11">
        <f t="shared" si="29"/>
        <v>5.1074168883279635E-4</v>
      </c>
      <c r="M497" s="11">
        <f t="shared" si="31"/>
        <v>0.91862663418670987</v>
      </c>
      <c r="N497" t="str">
        <f t="shared" si="30"/>
        <v>B</v>
      </c>
    </row>
    <row r="498" spans="1:14" x14ac:dyDescent="0.25">
      <c r="A498" s="1" t="s">
        <v>592</v>
      </c>
      <c r="B498" s="3">
        <v>24</v>
      </c>
      <c r="C498" s="1">
        <v>1</v>
      </c>
      <c r="D498" s="1">
        <v>1</v>
      </c>
      <c r="E498">
        <f t="shared" si="28"/>
        <v>23</v>
      </c>
      <c r="G498" s="9" t="s">
        <v>147</v>
      </c>
      <c r="H498" s="10">
        <v>365.15999999999997</v>
      </c>
      <c r="J498" t="s">
        <v>321</v>
      </c>
      <c r="K498">
        <v>186</v>
      </c>
      <c r="L498" s="11">
        <f t="shared" si="29"/>
        <v>5.0530826661117085E-4</v>
      </c>
      <c r="M498" s="11">
        <f t="shared" si="31"/>
        <v>0.91913194245332108</v>
      </c>
      <c r="N498" t="str">
        <f t="shared" si="30"/>
        <v>B</v>
      </c>
    </row>
    <row r="499" spans="1:14" x14ac:dyDescent="0.25">
      <c r="A499" s="1" t="s">
        <v>592</v>
      </c>
      <c r="B499" s="3">
        <v>24</v>
      </c>
      <c r="C499" s="1">
        <v>1</v>
      </c>
      <c r="D499" s="1">
        <v>1</v>
      </c>
      <c r="E499">
        <f t="shared" si="28"/>
        <v>23</v>
      </c>
      <c r="G499" s="9" t="s">
        <v>535</v>
      </c>
      <c r="H499" s="10">
        <v>153</v>
      </c>
      <c r="J499" t="s">
        <v>451</v>
      </c>
      <c r="K499">
        <v>186</v>
      </c>
      <c r="L499" s="11">
        <f t="shared" si="29"/>
        <v>5.0530826661117085E-4</v>
      </c>
      <c r="M499" s="11">
        <f t="shared" si="31"/>
        <v>0.9196372507199323</v>
      </c>
      <c r="N499" t="str">
        <f t="shared" si="30"/>
        <v>B</v>
      </c>
    </row>
    <row r="500" spans="1:14" x14ac:dyDescent="0.25">
      <c r="A500" s="1" t="s">
        <v>592</v>
      </c>
      <c r="B500" s="3">
        <v>24</v>
      </c>
      <c r="C500" s="1">
        <v>1</v>
      </c>
      <c r="D500" s="1">
        <v>1</v>
      </c>
      <c r="E500">
        <f t="shared" si="28"/>
        <v>23</v>
      </c>
      <c r="G500" s="9" t="s">
        <v>1191</v>
      </c>
      <c r="H500" s="10">
        <v>168</v>
      </c>
      <c r="J500" t="s">
        <v>654</v>
      </c>
      <c r="K500">
        <v>185.00000369999998</v>
      </c>
      <c r="L500" s="11">
        <f t="shared" si="29"/>
        <v>5.0259156555218921E-4</v>
      </c>
      <c r="M500" s="11">
        <f t="shared" si="31"/>
        <v>0.92013984228548451</v>
      </c>
      <c r="N500" t="str">
        <f t="shared" si="30"/>
        <v>B</v>
      </c>
    </row>
    <row r="501" spans="1:14" x14ac:dyDescent="0.25">
      <c r="A501" s="1" t="s">
        <v>593</v>
      </c>
      <c r="B501" s="3">
        <v>636</v>
      </c>
      <c r="C501" s="1">
        <v>1</v>
      </c>
      <c r="D501" s="1">
        <v>63</v>
      </c>
      <c r="E501">
        <f t="shared" si="28"/>
        <v>573</v>
      </c>
      <c r="G501" s="9" t="s">
        <v>188</v>
      </c>
      <c r="H501" s="10">
        <v>111</v>
      </c>
      <c r="J501" t="s">
        <v>371</v>
      </c>
      <c r="K501">
        <v>185</v>
      </c>
      <c r="L501" s="11">
        <f t="shared" si="29"/>
        <v>5.025915555003581E-4</v>
      </c>
      <c r="M501" s="11">
        <f t="shared" si="31"/>
        <v>0.92064243384098488</v>
      </c>
      <c r="N501" t="str">
        <f t="shared" si="30"/>
        <v>B</v>
      </c>
    </row>
    <row r="502" spans="1:14" x14ac:dyDescent="0.25">
      <c r="A502" s="1" t="s">
        <v>595</v>
      </c>
      <c r="B502" s="3">
        <v>306</v>
      </c>
      <c r="C502" s="1">
        <v>1</v>
      </c>
      <c r="D502" s="1">
        <v>30</v>
      </c>
      <c r="E502">
        <f t="shared" si="28"/>
        <v>276</v>
      </c>
      <c r="G502" s="9" t="s">
        <v>570</v>
      </c>
      <c r="H502" s="10">
        <v>286</v>
      </c>
      <c r="J502" t="s">
        <v>795</v>
      </c>
      <c r="K502">
        <v>183</v>
      </c>
      <c r="L502" s="11">
        <f t="shared" si="29"/>
        <v>4.971581332787326E-4</v>
      </c>
      <c r="M502" s="11">
        <f t="shared" si="31"/>
        <v>0.92113959197426365</v>
      </c>
      <c r="N502" t="str">
        <f t="shared" si="30"/>
        <v>B</v>
      </c>
    </row>
    <row r="503" spans="1:14" x14ac:dyDescent="0.25">
      <c r="A503" s="1" t="s">
        <v>91</v>
      </c>
      <c r="B503" s="3">
        <v>2</v>
      </c>
      <c r="C503" s="1">
        <v>1</v>
      </c>
      <c r="D503" s="1">
        <v>0</v>
      </c>
      <c r="E503">
        <f t="shared" si="28"/>
        <v>2</v>
      </c>
      <c r="G503" s="9" t="s">
        <v>228</v>
      </c>
      <c r="H503" s="10">
        <v>1507</v>
      </c>
      <c r="J503" t="s">
        <v>869</v>
      </c>
      <c r="K503">
        <v>178</v>
      </c>
      <c r="L503" s="11">
        <f t="shared" si="29"/>
        <v>4.835745777246689E-4</v>
      </c>
      <c r="M503" s="11">
        <f t="shared" si="31"/>
        <v>0.92162316655198828</v>
      </c>
      <c r="N503" t="str">
        <f t="shared" si="30"/>
        <v>B</v>
      </c>
    </row>
    <row r="504" spans="1:14" x14ac:dyDescent="0.25">
      <c r="A504" s="1" t="s">
        <v>91</v>
      </c>
      <c r="B504" s="3">
        <v>2</v>
      </c>
      <c r="C504" s="1">
        <v>1</v>
      </c>
      <c r="D504" s="1">
        <v>0</v>
      </c>
      <c r="E504">
        <f t="shared" si="28"/>
        <v>2</v>
      </c>
      <c r="G504" s="9" t="s">
        <v>1064</v>
      </c>
      <c r="H504" s="10">
        <v>403</v>
      </c>
      <c r="J504" t="s">
        <v>376</v>
      </c>
      <c r="K504">
        <v>178</v>
      </c>
      <c r="L504" s="11">
        <f t="shared" si="29"/>
        <v>4.835745777246689E-4</v>
      </c>
      <c r="M504" s="11">
        <f t="shared" si="31"/>
        <v>0.92210674112971291</v>
      </c>
      <c r="N504" t="str">
        <f t="shared" si="30"/>
        <v>B</v>
      </c>
    </row>
    <row r="505" spans="1:14" x14ac:dyDescent="0.25">
      <c r="A505" s="1" t="s">
        <v>91</v>
      </c>
      <c r="B505" s="3">
        <v>2</v>
      </c>
      <c r="C505" s="1">
        <v>1</v>
      </c>
      <c r="D505" s="1">
        <v>0</v>
      </c>
      <c r="E505">
        <f t="shared" si="28"/>
        <v>2</v>
      </c>
      <c r="G505" s="9" t="s">
        <v>948</v>
      </c>
      <c r="H505" s="10">
        <v>279</v>
      </c>
      <c r="J505" t="s">
        <v>1209</v>
      </c>
      <c r="K505">
        <v>177</v>
      </c>
      <c r="L505" s="11">
        <f t="shared" si="29"/>
        <v>4.8085786661385615E-4</v>
      </c>
      <c r="M505" s="11">
        <f t="shared" si="31"/>
        <v>0.92258759899632681</v>
      </c>
      <c r="N505" t="str">
        <f t="shared" si="30"/>
        <v>B</v>
      </c>
    </row>
    <row r="506" spans="1:14" x14ac:dyDescent="0.25">
      <c r="A506" s="1" t="s">
        <v>596</v>
      </c>
      <c r="B506" s="3">
        <v>273</v>
      </c>
      <c r="C506" s="1">
        <v>1</v>
      </c>
      <c r="D506" s="1">
        <v>0</v>
      </c>
      <c r="E506">
        <f t="shared" si="28"/>
        <v>273</v>
      </c>
      <c r="G506" s="9" t="s">
        <v>622</v>
      </c>
      <c r="H506" s="10">
        <v>654</v>
      </c>
      <c r="J506" t="s">
        <v>1001</v>
      </c>
      <c r="K506">
        <v>177</v>
      </c>
      <c r="L506" s="11">
        <f t="shared" si="29"/>
        <v>4.8085786661385615E-4</v>
      </c>
      <c r="M506" s="11">
        <f t="shared" si="31"/>
        <v>0.9230684568629407</v>
      </c>
      <c r="N506" t="str">
        <f t="shared" si="30"/>
        <v>B</v>
      </c>
    </row>
    <row r="507" spans="1:14" x14ac:dyDescent="0.25">
      <c r="A507" s="1" t="s">
        <v>598</v>
      </c>
      <c r="B507" s="3">
        <v>436</v>
      </c>
      <c r="C507" s="1">
        <v>1</v>
      </c>
      <c r="D507" s="1">
        <v>0</v>
      </c>
      <c r="E507">
        <f t="shared" si="28"/>
        <v>436</v>
      </c>
      <c r="G507" s="9" t="s">
        <v>1080</v>
      </c>
      <c r="H507" s="10">
        <v>66</v>
      </c>
      <c r="J507" t="s">
        <v>401</v>
      </c>
      <c r="K507">
        <v>176</v>
      </c>
      <c r="L507" s="11">
        <f t="shared" si="29"/>
        <v>4.781411555030434E-4</v>
      </c>
      <c r="M507" s="11">
        <f t="shared" si="31"/>
        <v>0.92354659801844374</v>
      </c>
      <c r="N507" t="str">
        <f t="shared" si="30"/>
        <v>B</v>
      </c>
    </row>
    <row r="508" spans="1:14" x14ac:dyDescent="0.25">
      <c r="A508" s="1" t="s">
        <v>599</v>
      </c>
      <c r="B508" s="3">
        <v>255</v>
      </c>
      <c r="C508" s="1">
        <v>1</v>
      </c>
      <c r="D508" s="1">
        <v>0</v>
      </c>
      <c r="E508">
        <f t="shared" si="28"/>
        <v>255</v>
      </c>
      <c r="G508" s="9" t="s">
        <v>363</v>
      </c>
      <c r="H508" s="10">
        <v>678</v>
      </c>
      <c r="J508" t="s">
        <v>1003</v>
      </c>
      <c r="K508">
        <v>175.5</v>
      </c>
      <c r="L508" s="11">
        <f t="shared" si="29"/>
        <v>4.7678279994763702E-4</v>
      </c>
      <c r="M508" s="11">
        <f t="shared" si="31"/>
        <v>0.92402338081839142</v>
      </c>
      <c r="N508" t="str">
        <f t="shared" si="30"/>
        <v>B</v>
      </c>
    </row>
    <row r="509" spans="1:14" x14ac:dyDescent="0.25">
      <c r="A509" s="1" t="s">
        <v>600</v>
      </c>
      <c r="B509" s="3">
        <v>719</v>
      </c>
      <c r="C509" s="1">
        <v>1</v>
      </c>
      <c r="D509" s="1">
        <v>0</v>
      </c>
      <c r="E509">
        <f t="shared" si="28"/>
        <v>719</v>
      </c>
      <c r="G509" s="9" t="s">
        <v>738</v>
      </c>
      <c r="H509" s="10">
        <v>45</v>
      </c>
      <c r="J509" t="s">
        <v>247</v>
      </c>
      <c r="K509">
        <v>175</v>
      </c>
      <c r="L509" s="11">
        <f t="shared" si="29"/>
        <v>4.7542444439223065E-4</v>
      </c>
      <c r="M509" s="11">
        <f t="shared" si="31"/>
        <v>0.92449880526278361</v>
      </c>
      <c r="N509" t="str">
        <f t="shared" si="30"/>
        <v>B</v>
      </c>
    </row>
    <row r="510" spans="1:14" x14ac:dyDescent="0.25">
      <c r="A510" s="1" t="s">
        <v>602</v>
      </c>
      <c r="B510" s="3">
        <v>656</v>
      </c>
      <c r="C510" s="1">
        <v>0.25</v>
      </c>
      <c r="D510" s="1">
        <v>0</v>
      </c>
      <c r="E510">
        <f t="shared" si="28"/>
        <v>164</v>
      </c>
      <c r="G510" s="9" t="s">
        <v>186</v>
      </c>
      <c r="H510" s="10">
        <v>227</v>
      </c>
      <c r="J510" t="s">
        <v>1188</v>
      </c>
      <c r="K510">
        <v>175</v>
      </c>
      <c r="L510" s="11">
        <f t="shared" si="29"/>
        <v>4.7542444439223065E-4</v>
      </c>
      <c r="M510" s="11">
        <f t="shared" si="31"/>
        <v>0.9249742297071758</v>
      </c>
      <c r="N510" t="str">
        <f t="shared" si="30"/>
        <v>B</v>
      </c>
    </row>
    <row r="511" spans="1:14" x14ac:dyDescent="0.25">
      <c r="A511" s="1" t="s">
        <v>98</v>
      </c>
      <c r="B511" s="3">
        <v>220</v>
      </c>
      <c r="C511" s="1">
        <v>1</v>
      </c>
      <c r="D511" s="1">
        <v>0</v>
      </c>
      <c r="E511">
        <f t="shared" si="28"/>
        <v>220</v>
      </c>
      <c r="G511" s="9" t="s">
        <v>78</v>
      </c>
      <c r="H511" s="10">
        <v>1579</v>
      </c>
      <c r="J511" t="s">
        <v>571</v>
      </c>
      <c r="K511">
        <v>174</v>
      </c>
      <c r="L511" s="11">
        <f t="shared" si="29"/>
        <v>4.7270773328141795E-4</v>
      </c>
      <c r="M511" s="11">
        <f t="shared" si="31"/>
        <v>0.92544693744045725</v>
      </c>
      <c r="N511" t="str">
        <f t="shared" si="30"/>
        <v>B</v>
      </c>
    </row>
    <row r="512" spans="1:14" x14ac:dyDescent="0.25">
      <c r="A512" s="1" t="s">
        <v>603</v>
      </c>
      <c r="B512" s="3">
        <v>835</v>
      </c>
      <c r="C512" s="1">
        <v>1</v>
      </c>
      <c r="D512" s="1">
        <v>0</v>
      </c>
      <c r="E512">
        <f t="shared" si="28"/>
        <v>835</v>
      </c>
      <c r="G512" s="9" t="s">
        <v>89</v>
      </c>
      <c r="H512" s="10">
        <v>338</v>
      </c>
      <c r="J512" t="s">
        <v>254</v>
      </c>
      <c r="K512">
        <v>173</v>
      </c>
      <c r="L512" s="11">
        <f t="shared" si="29"/>
        <v>4.699910221706052E-4</v>
      </c>
      <c r="M512" s="11">
        <f t="shared" si="31"/>
        <v>0.92591692846262785</v>
      </c>
      <c r="N512" t="str">
        <f t="shared" si="30"/>
        <v>B</v>
      </c>
    </row>
    <row r="513" spans="1:14" x14ac:dyDescent="0.25">
      <c r="A513" s="1" t="s">
        <v>604</v>
      </c>
      <c r="B513" s="3">
        <v>611</v>
      </c>
      <c r="C513" s="1">
        <v>1</v>
      </c>
      <c r="D513" s="1">
        <v>18</v>
      </c>
      <c r="E513">
        <f t="shared" si="28"/>
        <v>593</v>
      </c>
      <c r="G513" s="9" t="s">
        <v>202</v>
      </c>
      <c r="H513" s="10">
        <v>81</v>
      </c>
      <c r="J513" t="s">
        <v>638</v>
      </c>
      <c r="K513">
        <v>173</v>
      </c>
      <c r="L513" s="11">
        <f t="shared" si="29"/>
        <v>4.699910221706052E-4</v>
      </c>
      <c r="M513" s="11">
        <f t="shared" si="31"/>
        <v>0.92638691948479845</v>
      </c>
      <c r="N513" t="str">
        <f t="shared" si="30"/>
        <v>B</v>
      </c>
    </row>
    <row r="514" spans="1:14" x14ac:dyDescent="0.25">
      <c r="A514" s="1" t="s">
        <v>605</v>
      </c>
      <c r="B514" s="3">
        <v>408</v>
      </c>
      <c r="C514" s="1">
        <v>1</v>
      </c>
      <c r="D514" s="1">
        <v>28</v>
      </c>
      <c r="E514">
        <f t="shared" si="28"/>
        <v>380</v>
      </c>
      <c r="G514" s="9" t="s">
        <v>1067</v>
      </c>
      <c r="H514" s="10">
        <v>87</v>
      </c>
      <c r="J514" t="s">
        <v>341</v>
      </c>
      <c r="K514">
        <v>172</v>
      </c>
      <c r="L514" s="11">
        <f t="shared" si="29"/>
        <v>4.6727431105979245E-4</v>
      </c>
      <c r="M514" s="11">
        <f t="shared" si="31"/>
        <v>0.92685419379585821</v>
      </c>
      <c r="N514" t="str">
        <f t="shared" si="30"/>
        <v>B</v>
      </c>
    </row>
    <row r="515" spans="1:14" x14ac:dyDescent="0.25">
      <c r="A515" s="1" t="s">
        <v>607</v>
      </c>
      <c r="B515" s="3">
        <v>101</v>
      </c>
      <c r="C515" s="1">
        <v>1</v>
      </c>
      <c r="D515" s="1">
        <v>5</v>
      </c>
      <c r="E515">
        <f t="shared" ref="E515:E578" si="32">C515*B515-D515</f>
        <v>96</v>
      </c>
      <c r="G515" s="9" t="s">
        <v>645</v>
      </c>
      <c r="H515" s="10">
        <v>404</v>
      </c>
      <c r="J515" t="s">
        <v>935</v>
      </c>
      <c r="K515">
        <v>170</v>
      </c>
      <c r="L515" s="11">
        <f t="shared" ref="L515:L578" si="33">K515/SUM($K$2:$K$804)</f>
        <v>4.6184088883816695E-4</v>
      </c>
      <c r="M515" s="11">
        <f t="shared" si="31"/>
        <v>0.92731603468469637</v>
      </c>
      <c r="N515" t="str">
        <f t="shared" ref="N515:N578" si="34">IF(M515&lt;0.8, "A", IF(M515&lt;0.95,"B","C"))</f>
        <v>B</v>
      </c>
    </row>
    <row r="516" spans="1:14" x14ac:dyDescent="0.25">
      <c r="A516" s="1" t="s">
        <v>608</v>
      </c>
      <c r="B516" s="3">
        <v>269</v>
      </c>
      <c r="C516" s="1">
        <v>1</v>
      </c>
      <c r="D516" s="1">
        <v>0</v>
      </c>
      <c r="E516">
        <f t="shared" si="32"/>
        <v>269</v>
      </c>
      <c r="G516" s="9" t="s">
        <v>204</v>
      </c>
      <c r="H516" s="10">
        <v>3832</v>
      </c>
      <c r="J516" t="s">
        <v>944</v>
      </c>
      <c r="K516">
        <v>170</v>
      </c>
      <c r="L516" s="11">
        <f t="shared" si="33"/>
        <v>4.6184088883816695E-4</v>
      </c>
      <c r="M516" s="11">
        <f t="shared" ref="M516:M579" si="35">L516+M515</f>
        <v>0.92777787557353453</v>
      </c>
      <c r="N516" t="str">
        <f t="shared" si="34"/>
        <v>B</v>
      </c>
    </row>
    <row r="517" spans="1:14" x14ac:dyDescent="0.25">
      <c r="A517" s="1" t="s">
        <v>610</v>
      </c>
      <c r="B517" s="3">
        <v>141</v>
      </c>
      <c r="C517" s="1">
        <v>1</v>
      </c>
      <c r="D517" s="1">
        <v>0</v>
      </c>
      <c r="E517">
        <f t="shared" si="32"/>
        <v>141</v>
      </c>
      <c r="G517" s="9" t="s">
        <v>1208</v>
      </c>
      <c r="H517" s="10">
        <v>298</v>
      </c>
      <c r="J517" t="s">
        <v>441</v>
      </c>
      <c r="K517">
        <v>169</v>
      </c>
      <c r="L517" s="11">
        <f t="shared" si="33"/>
        <v>4.591241777273542E-4</v>
      </c>
      <c r="M517" s="11">
        <f t="shared" si="35"/>
        <v>0.92823699975126184</v>
      </c>
      <c r="N517" t="str">
        <f t="shared" si="34"/>
        <v>B</v>
      </c>
    </row>
    <row r="518" spans="1:14" x14ac:dyDescent="0.25">
      <c r="A518" s="1" t="s">
        <v>366</v>
      </c>
      <c r="B518" s="3">
        <v>60</v>
      </c>
      <c r="C518" s="1">
        <v>1</v>
      </c>
      <c r="D518" s="1">
        <v>0</v>
      </c>
      <c r="E518">
        <f t="shared" si="32"/>
        <v>60</v>
      </c>
      <c r="G518" s="9" t="s">
        <v>350</v>
      </c>
      <c r="H518" s="10">
        <v>393</v>
      </c>
      <c r="J518" t="s">
        <v>844</v>
      </c>
      <c r="K518">
        <v>168</v>
      </c>
      <c r="L518" s="11">
        <f t="shared" si="33"/>
        <v>4.5640746661654145E-4</v>
      </c>
      <c r="M518" s="11">
        <f t="shared" si="35"/>
        <v>0.92869340721787841</v>
      </c>
      <c r="N518" t="str">
        <f t="shared" si="34"/>
        <v>B</v>
      </c>
    </row>
    <row r="519" spans="1:14" x14ac:dyDescent="0.25">
      <c r="A519" s="1" t="s">
        <v>465</v>
      </c>
      <c r="B519" s="3">
        <v>30</v>
      </c>
      <c r="C519" s="1">
        <v>1</v>
      </c>
      <c r="D519" s="1">
        <v>0</v>
      </c>
      <c r="E519">
        <f t="shared" si="32"/>
        <v>30</v>
      </c>
      <c r="G519" s="9" t="s">
        <v>1122</v>
      </c>
      <c r="H519" s="10">
        <v>782</v>
      </c>
      <c r="J519" t="s">
        <v>1191</v>
      </c>
      <c r="K519">
        <v>168</v>
      </c>
      <c r="L519" s="11">
        <f t="shared" si="33"/>
        <v>4.5640746661654145E-4</v>
      </c>
      <c r="M519" s="11">
        <f t="shared" si="35"/>
        <v>0.92914981468449498</v>
      </c>
      <c r="N519" t="str">
        <f t="shared" si="34"/>
        <v>B</v>
      </c>
    </row>
    <row r="520" spans="1:14" x14ac:dyDescent="0.25">
      <c r="A520" s="1" t="s">
        <v>612</v>
      </c>
      <c r="B520" s="3">
        <v>32</v>
      </c>
      <c r="C520" s="1">
        <v>1</v>
      </c>
      <c r="D520" s="1">
        <v>0</v>
      </c>
      <c r="E520">
        <f t="shared" si="32"/>
        <v>32</v>
      </c>
      <c r="G520" s="9" t="s">
        <v>1144</v>
      </c>
      <c r="H520" s="10">
        <v>445</v>
      </c>
      <c r="J520" t="s">
        <v>545</v>
      </c>
      <c r="K520">
        <v>167</v>
      </c>
      <c r="L520" s="11">
        <f t="shared" si="33"/>
        <v>4.536907555057287E-4</v>
      </c>
      <c r="M520" s="11">
        <f t="shared" si="35"/>
        <v>0.9296035054400007</v>
      </c>
      <c r="N520" t="str">
        <f t="shared" si="34"/>
        <v>B</v>
      </c>
    </row>
    <row r="521" spans="1:14" x14ac:dyDescent="0.25">
      <c r="A521" s="1" t="s">
        <v>612</v>
      </c>
      <c r="B521" s="3">
        <v>32</v>
      </c>
      <c r="C521" s="1">
        <v>1</v>
      </c>
      <c r="D521" s="1">
        <v>0</v>
      </c>
      <c r="E521">
        <f t="shared" si="32"/>
        <v>32</v>
      </c>
      <c r="G521" s="9" t="s">
        <v>995</v>
      </c>
      <c r="H521" s="10">
        <v>1451</v>
      </c>
      <c r="J521" t="s">
        <v>537</v>
      </c>
      <c r="K521">
        <v>166.20000000000002</v>
      </c>
      <c r="L521" s="11">
        <f t="shared" si="33"/>
        <v>4.5151738661707854E-4</v>
      </c>
      <c r="M521" s="11">
        <f t="shared" si="35"/>
        <v>0.93005502282661778</v>
      </c>
      <c r="N521" t="str">
        <f t="shared" si="34"/>
        <v>B</v>
      </c>
    </row>
    <row r="522" spans="1:14" x14ac:dyDescent="0.25">
      <c r="A522" s="1" t="s">
        <v>236</v>
      </c>
      <c r="B522" s="3">
        <v>36</v>
      </c>
      <c r="C522" s="1">
        <v>1</v>
      </c>
      <c r="D522" s="1">
        <v>0</v>
      </c>
      <c r="E522">
        <f t="shared" si="32"/>
        <v>36</v>
      </c>
      <c r="G522" s="9" t="s">
        <v>91</v>
      </c>
      <c r="H522" s="10">
        <v>52</v>
      </c>
      <c r="J522" t="s">
        <v>957</v>
      </c>
      <c r="K522">
        <v>166.04</v>
      </c>
      <c r="L522" s="11">
        <f t="shared" si="33"/>
        <v>4.5108271283934842E-4</v>
      </c>
      <c r="M522" s="11">
        <f t="shared" si="35"/>
        <v>0.93050610553945712</v>
      </c>
      <c r="N522" t="str">
        <f t="shared" si="34"/>
        <v>B</v>
      </c>
    </row>
    <row r="523" spans="1:14" x14ac:dyDescent="0.25">
      <c r="A523" s="1" t="s">
        <v>236</v>
      </c>
      <c r="B523" s="3">
        <v>36</v>
      </c>
      <c r="C523" s="1">
        <v>1</v>
      </c>
      <c r="D523" s="1">
        <v>0</v>
      </c>
      <c r="E523">
        <f t="shared" si="32"/>
        <v>36</v>
      </c>
      <c r="G523" s="9" t="s">
        <v>1009</v>
      </c>
      <c r="H523" s="10">
        <v>336</v>
      </c>
      <c r="J523" t="s">
        <v>182</v>
      </c>
      <c r="K523">
        <v>166</v>
      </c>
      <c r="L523" s="11">
        <f t="shared" si="33"/>
        <v>4.5097404439491595E-4</v>
      </c>
      <c r="M523" s="11">
        <f t="shared" si="35"/>
        <v>0.93095707958385199</v>
      </c>
      <c r="N523" t="str">
        <f t="shared" si="34"/>
        <v>B</v>
      </c>
    </row>
    <row r="524" spans="1:14" x14ac:dyDescent="0.25">
      <c r="A524" s="1" t="s">
        <v>236</v>
      </c>
      <c r="B524" s="3">
        <v>36</v>
      </c>
      <c r="C524" s="1">
        <v>1</v>
      </c>
      <c r="D524" s="1">
        <v>0</v>
      </c>
      <c r="E524">
        <f t="shared" si="32"/>
        <v>36</v>
      </c>
      <c r="G524" s="9" t="s">
        <v>987</v>
      </c>
      <c r="H524" s="10">
        <v>591</v>
      </c>
      <c r="J524" t="s">
        <v>364</v>
      </c>
      <c r="K524">
        <v>164</v>
      </c>
      <c r="L524" s="11">
        <f t="shared" si="33"/>
        <v>4.4554062217329045E-4</v>
      </c>
      <c r="M524" s="11">
        <f t="shared" si="35"/>
        <v>0.93140262020602527</v>
      </c>
      <c r="N524" t="str">
        <f t="shared" si="34"/>
        <v>B</v>
      </c>
    </row>
    <row r="525" spans="1:14" x14ac:dyDescent="0.25">
      <c r="A525" s="1" t="s">
        <v>236</v>
      </c>
      <c r="B525" s="3">
        <v>36</v>
      </c>
      <c r="C525" s="1">
        <v>1</v>
      </c>
      <c r="D525" s="1">
        <v>0</v>
      </c>
      <c r="E525">
        <f t="shared" si="32"/>
        <v>36</v>
      </c>
      <c r="G525" s="9" t="s">
        <v>1220</v>
      </c>
      <c r="H525" s="10">
        <v>76</v>
      </c>
      <c r="J525" t="s">
        <v>1068</v>
      </c>
      <c r="K525">
        <v>162</v>
      </c>
      <c r="L525" s="11">
        <f t="shared" si="33"/>
        <v>4.4010719995166495E-4</v>
      </c>
      <c r="M525" s="11">
        <f t="shared" si="35"/>
        <v>0.93184272740597696</v>
      </c>
      <c r="N525" t="str">
        <f t="shared" si="34"/>
        <v>B</v>
      </c>
    </row>
    <row r="526" spans="1:14" x14ac:dyDescent="0.25">
      <c r="A526" s="1" t="s">
        <v>236</v>
      </c>
      <c r="B526" s="3">
        <v>36</v>
      </c>
      <c r="C526" s="1">
        <v>1</v>
      </c>
      <c r="D526" s="1">
        <v>0</v>
      </c>
      <c r="E526">
        <f t="shared" si="32"/>
        <v>36</v>
      </c>
      <c r="G526" s="9" t="s">
        <v>214</v>
      </c>
      <c r="H526" s="10">
        <v>350</v>
      </c>
      <c r="J526" t="s">
        <v>718</v>
      </c>
      <c r="K526">
        <v>161</v>
      </c>
      <c r="L526" s="11">
        <f t="shared" si="33"/>
        <v>4.373904888408522E-4</v>
      </c>
      <c r="M526" s="11">
        <f t="shared" si="35"/>
        <v>0.93228011789481779</v>
      </c>
      <c r="N526" t="str">
        <f t="shared" si="34"/>
        <v>B</v>
      </c>
    </row>
    <row r="527" spans="1:14" x14ac:dyDescent="0.25">
      <c r="A527" s="1" t="s">
        <v>236</v>
      </c>
      <c r="B527" s="3">
        <v>36</v>
      </c>
      <c r="C527" s="1">
        <v>1</v>
      </c>
      <c r="D527" s="1">
        <v>0</v>
      </c>
      <c r="E527">
        <f t="shared" si="32"/>
        <v>36</v>
      </c>
      <c r="G527" s="9" t="s">
        <v>443</v>
      </c>
      <c r="H527" s="10">
        <v>100</v>
      </c>
      <c r="J527" t="s">
        <v>142</v>
      </c>
      <c r="K527">
        <v>160</v>
      </c>
      <c r="L527" s="11">
        <f t="shared" si="33"/>
        <v>4.346737777300395E-4</v>
      </c>
      <c r="M527" s="11">
        <f t="shared" si="35"/>
        <v>0.93271479167254778</v>
      </c>
      <c r="N527" t="str">
        <f t="shared" si="34"/>
        <v>B</v>
      </c>
    </row>
    <row r="528" spans="1:14" x14ac:dyDescent="0.25">
      <c r="A528" s="1" t="s">
        <v>613</v>
      </c>
      <c r="B528" s="3">
        <v>37</v>
      </c>
      <c r="C528" s="1">
        <v>1</v>
      </c>
      <c r="D528" s="1">
        <v>0</v>
      </c>
      <c r="E528">
        <f t="shared" si="32"/>
        <v>37</v>
      </c>
      <c r="G528" s="9" t="s">
        <v>798</v>
      </c>
      <c r="H528" s="10">
        <v>378</v>
      </c>
      <c r="J528" t="s">
        <v>336</v>
      </c>
      <c r="K528">
        <v>159</v>
      </c>
      <c r="L528" s="11">
        <f t="shared" si="33"/>
        <v>4.3195706661922675E-4</v>
      </c>
      <c r="M528" s="11">
        <f t="shared" si="35"/>
        <v>0.93314674873916703</v>
      </c>
      <c r="N528" t="str">
        <f t="shared" si="34"/>
        <v>B</v>
      </c>
    </row>
    <row r="529" spans="1:14" x14ac:dyDescent="0.25">
      <c r="A529" s="1" t="s">
        <v>614</v>
      </c>
      <c r="B529" s="3">
        <v>25</v>
      </c>
      <c r="C529" s="1">
        <v>1</v>
      </c>
      <c r="D529" s="1">
        <v>0</v>
      </c>
      <c r="E529">
        <f t="shared" si="32"/>
        <v>25</v>
      </c>
      <c r="G529" s="9" t="s">
        <v>118</v>
      </c>
      <c r="H529" s="10">
        <v>100</v>
      </c>
      <c r="J529" t="s">
        <v>439</v>
      </c>
      <c r="K529">
        <v>157</v>
      </c>
      <c r="L529" s="11">
        <f t="shared" si="33"/>
        <v>4.2652364439760125E-4</v>
      </c>
      <c r="M529" s="11">
        <f t="shared" si="35"/>
        <v>0.93357327238356458</v>
      </c>
      <c r="N529" t="str">
        <f t="shared" si="34"/>
        <v>B</v>
      </c>
    </row>
    <row r="530" spans="1:14" x14ac:dyDescent="0.25">
      <c r="A530" s="1" t="s">
        <v>614</v>
      </c>
      <c r="B530" s="3">
        <v>25</v>
      </c>
      <c r="C530" s="1">
        <v>1</v>
      </c>
      <c r="D530" s="1">
        <v>0</v>
      </c>
      <c r="E530">
        <f t="shared" si="32"/>
        <v>25</v>
      </c>
      <c r="G530" s="9" t="s">
        <v>917</v>
      </c>
      <c r="H530" s="10">
        <v>154</v>
      </c>
      <c r="J530" t="s">
        <v>495</v>
      </c>
      <c r="K530">
        <v>156</v>
      </c>
      <c r="L530" s="11">
        <f t="shared" si="33"/>
        <v>4.238069332867885E-4</v>
      </c>
      <c r="M530" s="11">
        <f t="shared" si="35"/>
        <v>0.93399707931685139</v>
      </c>
      <c r="N530" t="str">
        <f t="shared" si="34"/>
        <v>B</v>
      </c>
    </row>
    <row r="531" spans="1:14" x14ac:dyDescent="0.25">
      <c r="A531" s="1" t="s">
        <v>615</v>
      </c>
      <c r="B531" s="3">
        <v>44</v>
      </c>
      <c r="C531" s="1">
        <v>1</v>
      </c>
      <c r="D531" s="1">
        <v>2</v>
      </c>
      <c r="E531">
        <f t="shared" si="32"/>
        <v>42</v>
      </c>
      <c r="G531" s="9" t="s">
        <v>47</v>
      </c>
      <c r="H531" s="10">
        <v>206</v>
      </c>
      <c r="J531" t="s">
        <v>264</v>
      </c>
      <c r="K531">
        <v>156</v>
      </c>
      <c r="L531" s="11">
        <f t="shared" si="33"/>
        <v>4.238069332867885E-4</v>
      </c>
      <c r="M531" s="11">
        <f t="shared" si="35"/>
        <v>0.93442088625013819</v>
      </c>
      <c r="N531" t="str">
        <f t="shared" si="34"/>
        <v>B</v>
      </c>
    </row>
    <row r="532" spans="1:14" x14ac:dyDescent="0.25">
      <c r="A532" s="1" t="s">
        <v>615</v>
      </c>
      <c r="B532" s="3">
        <v>44</v>
      </c>
      <c r="C532" s="1">
        <v>1</v>
      </c>
      <c r="D532" s="1">
        <v>2</v>
      </c>
      <c r="E532">
        <f t="shared" si="32"/>
        <v>42</v>
      </c>
      <c r="G532" s="9" t="s">
        <v>112</v>
      </c>
      <c r="H532" s="10">
        <v>537</v>
      </c>
      <c r="J532" t="s">
        <v>279</v>
      </c>
      <c r="K532">
        <v>156</v>
      </c>
      <c r="L532" s="11">
        <f t="shared" si="33"/>
        <v>4.238069332867885E-4</v>
      </c>
      <c r="M532" s="11">
        <f t="shared" si="35"/>
        <v>0.934844693183425</v>
      </c>
      <c r="N532" t="str">
        <f t="shared" si="34"/>
        <v>B</v>
      </c>
    </row>
    <row r="533" spans="1:14" x14ac:dyDescent="0.25">
      <c r="A533" s="1" t="s">
        <v>615</v>
      </c>
      <c r="B533" s="3">
        <v>44</v>
      </c>
      <c r="C533" s="1">
        <v>1</v>
      </c>
      <c r="D533" s="1">
        <v>2</v>
      </c>
      <c r="E533">
        <f t="shared" si="32"/>
        <v>42</v>
      </c>
      <c r="G533" s="9" t="s">
        <v>492</v>
      </c>
      <c r="H533" s="10">
        <v>537</v>
      </c>
      <c r="J533" t="s">
        <v>216</v>
      </c>
      <c r="K533">
        <v>155</v>
      </c>
      <c r="L533" s="11">
        <f t="shared" si="33"/>
        <v>4.2109022217597575E-4</v>
      </c>
      <c r="M533" s="11">
        <f t="shared" si="35"/>
        <v>0.93526578340560096</v>
      </c>
      <c r="N533" t="str">
        <f t="shared" si="34"/>
        <v>B</v>
      </c>
    </row>
    <row r="534" spans="1:14" x14ac:dyDescent="0.25">
      <c r="A534" s="1" t="s">
        <v>548</v>
      </c>
      <c r="B534" s="3">
        <v>908</v>
      </c>
      <c r="C534" s="1">
        <v>1</v>
      </c>
      <c r="D534" s="1">
        <v>27</v>
      </c>
      <c r="E534">
        <f t="shared" si="32"/>
        <v>881</v>
      </c>
      <c r="G534" s="9" t="s">
        <v>1158</v>
      </c>
      <c r="H534" s="10">
        <v>40</v>
      </c>
      <c r="J534" t="s">
        <v>1137</v>
      </c>
      <c r="K534">
        <v>155</v>
      </c>
      <c r="L534" s="11">
        <f t="shared" si="33"/>
        <v>4.2109022217597575E-4</v>
      </c>
      <c r="M534" s="11">
        <f t="shared" si="35"/>
        <v>0.93568687362777692</v>
      </c>
      <c r="N534" t="str">
        <f t="shared" si="34"/>
        <v>B</v>
      </c>
    </row>
    <row r="535" spans="1:14" x14ac:dyDescent="0.25">
      <c r="A535" s="1" t="s">
        <v>616</v>
      </c>
      <c r="B535" s="3">
        <v>1316</v>
      </c>
      <c r="C535" s="1">
        <v>1</v>
      </c>
      <c r="D535" s="1">
        <v>0</v>
      </c>
      <c r="E535">
        <f t="shared" si="32"/>
        <v>1316</v>
      </c>
      <c r="G535" s="9" t="s">
        <v>98</v>
      </c>
      <c r="H535" s="10">
        <v>2200</v>
      </c>
      <c r="J535" t="s">
        <v>513</v>
      </c>
      <c r="K535">
        <v>154</v>
      </c>
      <c r="L535" s="11">
        <f t="shared" si="33"/>
        <v>4.18373511065163E-4</v>
      </c>
      <c r="M535" s="11">
        <f t="shared" si="35"/>
        <v>0.93610524713884213</v>
      </c>
      <c r="N535" t="str">
        <f t="shared" si="34"/>
        <v>B</v>
      </c>
    </row>
    <row r="536" spans="1:14" x14ac:dyDescent="0.25">
      <c r="A536" s="1" t="s">
        <v>83</v>
      </c>
      <c r="B536" s="3">
        <v>1314</v>
      </c>
      <c r="C536" s="1">
        <v>1</v>
      </c>
      <c r="D536" s="1">
        <v>91</v>
      </c>
      <c r="E536">
        <f t="shared" si="32"/>
        <v>1223</v>
      </c>
      <c r="G536" s="9" t="s">
        <v>449</v>
      </c>
      <c r="H536" s="10">
        <v>402</v>
      </c>
      <c r="J536" t="s">
        <v>320</v>
      </c>
      <c r="K536">
        <v>154</v>
      </c>
      <c r="L536" s="11">
        <f t="shared" si="33"/>
        <v>4.18373511065163E-4</v>
      </c>
      <c r="M536" s="11">
        <f t="shared" si="35"/>
        <v>0.93652362064990735</v>
      </c>
      <c r="N536" t="str">
        <f t="shared" si="34"/>
        <v>B</v>
      </c>
    </row>
    <row r="537" spans="1:14" x14ac:dyDescent="0.25">
      <c r="A537" s="1" t="s">
        <v>618</v>
      </c>
      <c r="B537" s="3">
        <v>935</v>
      </c>
      <c r="C537" s="1">
        <v>1</v>
      </c>
      <c r="D537" s="1">
        <v>65</v>
      </c>
      <c r="E537">
        <f t="shared" si="32"/>
        <v>870</v>
      </c>
      <c r="G537" s="9" t="s">
        <v>1013</v>
      </c>
      <c r="H537" s="10">
        <v>449</v>
      </c>
      <c r="J537" t="s">
        <v>917</v>
      </c>
      <c r="K537">
        <v>154</v>
      </c>
      <c r="L537" s="11">
        <f t="shared" si="33"/>
        <v>4.18373511065163E-4</v>
      </c>
      <c r="M537" s="11">
        <f t="shared" si="35"/>
        <v>0.93694199416097257</v>
      </c>
      <c r="N537" t="str">
        <f t="shared" si="34"/>
        <v>B</v>
      </c>
    </row>
    <row r="538" spans="1:14" x14ac:dyDescent="0.25">
      <c r="A538" s="1" t="s">
        <v>620</v>
      </c>
      <c r="B538" s="3">
        <v>50</v>
      </c>
      <c r="C538" s="1">
        <v>1</v>
      </c>
      <c r="D538" s="1">
        <v>0</v>
      </c>
      <c r="E538">
        <f t="shared" si="32"/>
        <v>50</v>
      </c>
      <c r="G538" s="9" t="s">
        <v>591</v>
      </c>
      <c r="H538" s="10">
        <v>221</v>
      </c>
      <c r="J538" t="s">
        <v>106</v>
      </c>
      <c r="K538">
        <v>153</v>
      </c>
      <c r="L538" s="11">
        <f t="shared" si="33"/>
        <v>4.1565679995435024E-4</v>
      </c>
      <c r="M538" s="11">
        <f t="shared" si="35"/>
        <v>0.93735765096092694</v>
      </c>
      <c r="N538" t="str">
        <f t="shared" si="34"/>
        <v>B</v>
      </c>
    </row>
    <row r="539" spans="1:14" x14ac:dyDescent="0.25">
      <c r="A539" s="1" t="s">
        <v>621</v>
      </c>
      <c r="B539" s="3">
        <v>83</v>
      </c>
      <c r="C539" s="1">
        <v>1</v>
      </c>
      <c r="D539" s="1">
        <v>0</v>
      </c>
      <c r="E539">
        <f t="shared" si="32"/>
        <v>83</v>
      </c>
      <c r="G539" s="9" t="s">
        <v>93</v>
      </c>
      <c r="H539" s="10">
        <v>32</v>
      </c>
      <c r="J539" t="s">
        <v>1156</v>
      </c>
      <c r="K539">
        <v>153</v>
      </c>
      <c r="L539" s="11">
        <f t="shared" si="33"/>
        <v>4.1565679995435024E-4</v>
      </c>
      <c r="M539" s="11">
        <f t="shared" si="35"/>
        <v>0.9377733077608813</v>
      </c>
      <c r="N539" t="str">
        <f t="shared" si="34"/>
        <v>B</v>
      </c>
    </row>
    <row r="540" spans="1:14" x14ac:dyDescent="0.25">
      <c r="A540" s="1" t="s">
        <v>622</v>
      </c>
      <c r="B540" s="3">
        <v>327</v>
      </c>
      <c r="C540" s="1">
        <v>2</v>
      </c>
      <c r="D540" s="1">
        <v>0</v>
      </c>
      <c r="E540">
        <f t="shared" si="32"/>
        <v>654</v>
      </c>
      <c r="G540" s="9" t="s">
        <v>1005</v>
      </c>
      <c r="H540" s="10">
        <v>358</v>
      </c>
      <c r="J540" t="s">
        <v>535</v>
      </c>
      <c r="K540">
        <v>153</v>
      </c>
      <c r="L540" s="11">
        <f t="shared" si="33"/>
        <v>4.1565679995435024E-4</v>
      </c>
      <c r="M540" s="11">
        <f t="shared" si="35"/>
        <v>0.93818896456083567</v>
      </c>
      <c r="N540" t="str">
        <f t="shared" si="34"/>
        <v>B</v>
      </c>
    </row>
    <row r="541" spans="1:14" x14ac:dyDescent="0.25">
      <c r="A541" s="1" t="s">
        <v>624</v>
      </c>
      <c r="B541" s="3">
        <v>36</v>
      </c>
      <c r="C541" s="1">
        <v>1</v>
      </c>
      <c r="D541" s="1">
        <v>2</v>
      </c>
      <c r="E541">
        <f t="shared" si="32"/>
        <v>34</v>
      </c>
      <c r="G541" s="9" t="s">
        <v>592</v>
      </c>
      <c r="H541" s="10">
        <v>120</v>
      </c>
      <c r="J541" t="s">
        <v>1070</v>
      </c>
      <c r="K541">
        <v>152.96</v>
      </c>
      <c r="L541" s="11">
        <f t="shared" si="33"/>
        <v>4.1554813150991777E-4</v>
      </c>
      <c r="M541" s="11">
        <f t="shared" si="35"/>
        <v>0.93860451269234557</v>
      </c>
      <c r="N541" t="str">
        <f t="shared" si="34"/>
        <v>B</v>
      </c>
    </row>
    <row r="542" spans="1:14" x14ac:dyDescent="0.25">
      <c r="A542" s="1" t="s">
        <v>624</v>
      </c>
      <c r="B542" s="3">
        <v>36</v>
      </c>
      <c r="C542" s="1">
        <v>1</v>
      </c>
      <c r="D542" s="1">
        <v>2</v>
      </c>
      <c r="E542">
        <f t="shared" si="32"/>
        <v>34</v>
      </c>
      <c r="G542" s="9" t="s">
        <v>1014</v>
      </c>
      <c r="H542" s="10">
        <v>271</v>
      </c>
      <c r="J542" t="s">
        <v>322</v>
      </c>
      <c r="K542">
        <v>152</v>
      </c>
      <c r="L542" s="11">
        <f t="shared" si="33"/>
        <v>4.1294008884353749E-4</v>
      </c>
      <c r="M542" s="11">
        <f t="shared" si="35"/>
        <v>0.93901745278118909</v>
      </c>
      <c r="N542" t="str">
        <f t="shared" si="34"/>
        <v>B</v>
      </c>
    </row>
    <row r="543" spans="1:14" x14ac:dyDescent="0.25">
      <c r="A543" s="1" t="s">
        <v>625</v>
      </c>
      <c r="B543" s="3">
        <v>705</v>
      </c>
      <c r="C543" s="1">
        <v>0.2</v>
      </c>
      <c r="D543" s="1">
        <v>0</v>
      </c>
      <c r="E543">
        <f t="shared" si="32"/>
        <v>141</v>
      </c>
      <c r="G543" s="9" t="s">
        <v>702</v>
      </c>
      <c r="H543" s="10">
        <v>500</v>
      </c>
      <c r="J543" t="s">
        <v>379</v>
      </c>
      <c r="K543">
        <v>152</v>
      </c>
      <c r="L543" s="11">
        <f t="shared" si="33"/>
        <v>4.1294008884353749E-4</v>
      </c>
      <c r="M543" s="11">
        <f t="shared" si="35"/>
        <v>0.9394303928700326</v>
      </c>
      <c r="N543" t="str">
        <f t="shared" si="34"/>
        <v>B</v>
      </c>
    </row>
    <row r="544" spans="1:14" x14ac:dyDescent="0.25">
      <c r="A544" s="1" t="s">
        <v>416</v>
      </c>
      <c r="B544" s="3">
        <v>8</v>
      </c>
      <c r="C544" s="1">
        <v>10</v>
      </c>
      <c r="D544" s="1">
        <v>0</v>
      </c>
      <c r="E544">
        <f t="shared" si="32"/>
        <v>80</v>
      </c>
      <c r="G544" s="9" t="s">
        <v>434</v>
      </c>
      <c r="H544" s="10">
        <v>114</v>
      </c>
      <c r="J544" t="s">
        <v>1041</v>
      </c>
      <c r="K544">
        <v>150</v>
      </c>
      <c r="L544" s="11">
        <f t="shared" si="33"/>
        <v>4.0750666662191199E-4</v>
      </c>
      <c r="M544" s="11">
        <f t="shared" si="35"/>
        <v>0.93983789953665453</v>
      </c>
      <c r="N544" t="str">
        <f t="shared" si="34"/>
        <v>B</v>
      </c>
    </row>
    <row r="545" spans="1:14" x14ac:dyDescent="0.25">
      <c r="A545" s="1" t="s">
        <v>627</v>
      </c>
      <c r="B545" s="3">
        <v>446</v>
      </c>
      <c r="C545" s="1">
        <v>1</v>
      </c>
      <c r="D545" s="1">
        <v>25</v>
      </c>
      <c r="E545">
        <f t="shared" si="32"/>
        <v>421</v>
      </c>
      <c r="G545" s="9" t="s">
        <v>285</v>
      </c>
      <c r="H545" s="10">
        <v>378</v>
      </c>
      <c r="J545" t="s">
        <v>400</v>
      </c>
      <c r="K545">
        <v>149</v>
      </c>
      <c r="L545" s="11">
        <f t="shared" si="33"/>
        <v>4.0478995551109924E-4</v>
      </c>
      <c r="M545" s="11">
        <f t="shared" si="35"/>
        <v>0.94024268949216561</v>
      </c>
      <c r="N545" t="str">
        <f t="shared" si="34"/>
        <v>B</v>
      </c>
    </row>
    <row r="546" spans="1:14" x14ac:dyDescent="0.25">
      <c r="A546" s="1" t="s">
        <v>629</v>
      </c>
      <c r="B546" s="3">
        <v>506</v>
      </c>
      <c r="C546" s="1">
        <v>1</v>
      </c>
      <c r="D546" s="1">
        <v>35</v>
      </c>
      <c r="E546">
        <f t="shared" si="32"/>
        <v>471</v>
      </c>
      <c r="G546" s="9" t="s">
        <v>129</v>
      </c>
      <c r="H546" s="10">
        <v>280</v>
      </c>
      <c r="J546" t="s">
        <v>521</v>
      </c>
      <c r="K546">
        <v>149</v>
      </c>
      <c r="L546" s="11">
        <f t="shared" si="33"/>
        <v>4.0478995551109924E-4</v>
      </c>
      <c r="M546" s="11">
        <f t="shared" si="35"/>
        <v>0.94064747944767668</v>
      </c>
      <c r="N546" t="str">
        <f t="shared" si="34"/>
        <v>B</v>
      </c>
    </row>
    <row r="547" spans="1:14" x14ac:dyDescent="0.25">
      <c r="A547" s="1" t="s">
        <v>631</v>
      </c>
      <c r="B547" s="3">
        <v>203</v>
      </c>
      <c r="C547" s="1">
        <v>1</v>
      </c>
      <c r="D547" s="1">
        <v>14</v>
      </c>
      <c r="E547">
        <f t="shared" si="32"/>
        <v>189</v>
      </c>
      <c r="G547" s="9" t="s">
        <v>964</v>
      </c>
      <c r="H547" s="10">
        <v>50</v>
      </c>
      <c r="J547" t="s">
        <v>727</v>
      </c>
      <c r="K547">
        <v>148</v>
      </c>
      <c r="L547" s="11">
        <f t="shared" si="33"/>
        <v>4.0207324440028649E-4</v>
      </c>
      <c r="M547" s="11">
        <f t="shared" si="35"/>
        <v>0.94104955269207702</v>
      </c>
      <c r="N547" t="str">
        <f t="shared" si="34"/>
        <v>B</v>
      </c>
    </row>
    <row r="548" spans="1:14" x14ac:dyDescent="0.25">
      <c r="A548" s="1" t="s">
        <v>632</v>
      </c>
      <c r="B548" s="3">
        <v>100</v>
      </c>
      <c r="C548" s="1">
        <v>1</v>
      </c>
      <c r="D548" s="1">
        <v>7</v>
      </c>
      <c r="E548">
        <f t="shared" si="32"/>
        <v>93</v>
      </c>
      <c r="G548" s="9" t="s">
        <v>896</v>
      </c>
      <c r="H548" s="10">
        <v>34</v>
      </c>
      <c r="J548" t="s">
        <v>76</v>
      </c>
      <c r="K548">
        <v>147</v>
      </c>
      <c r="L548" s="11">
        <f t="shared" si="33"/>
        <v>3.9935653328947374E-4</v>
      </c>
      <c r="M548" s="11">
        <f t="shared" si="35"/>
        <v>0.9414489092253665</v>
      </c>
      <c r="N548" t="str">
        <f t="shared" si="34"/>
        <v>B</v>
      </c>
    </row>
    <row r="549" spans="1:14" x14ac:dyDescent="0.25">
      <c r="A549" s="1" t="s">
        <v>633</v>
      </c>
      <c r="B549" s="3">
        <v>28</v>
      </c>
      <c r="C549" s="1">
        <v>1</v>
      </c>
      <c r="D549" s="1">
        <v>1</v>
      </c>
      <c r="E549">
        <f t="shared" si="32"/>
        <v>27</v>
      </c>
      <c r="G549" s="9" t="s">
        <v>60</v>
      </c>
      <c r="H549" s="10">
        <v>73</v>
      </c>
      <c r="J549" t="s">
        <v>984</v>
      </c>
      <c r="K549">
        <v>146</v>
      </c>
      <c r="L549" s="11">
        <f t="shared" si="33"/>
        <v>3.9663982217866104E-4</v>
      </c>
      <c r="M549" s="11">
        <f t="shared" si="35"/>
        <v>0.94184554904754514</v>
      </c>
      <c r="N549" t="str">
        <f t="shared" si="34"/>
        <v>B</v>
      </c>
    </row>
    <row r="550" spans="1:14" x14ac:dyDescent="0.25">
      <c r="A550" s="1" t="s">
        <v>634</v>
      </c>
      <c r="B550" s="3">
        <v>10</v>
      </c>
      <c r="C550" s="1">
        <v>1</v>
      </c>
      <c r="D550" s="1">
        <v>0</v>
      </c>
      <c r="E550">
        <f t="shared" si="32"/>
        <v>10</v>
      </c>
      <c r="G550" s="9" t="s">
        <v>698</v>
      </c>
      <c r="H550" s="10">
        <v>79</v>
      </c>
      <c r="J550" t="s">
        <v>861</v>
      </c>
      <c r="K550">
        <v>145</v>
      </c>
      <c r="L550" s="11">
        <f t="shared" si="33"/>
        <v>3.9392311106784829E-4</v>
      </c>
      <c r="M550" s="11">
        <f t="shared" si="35"/>
        <v>0.94223947215861303</v>
      </c>
      <c r="N550" t="str">
        <f t="shared" si="34"/>
        <v>B</v>
      </c>
    </row>
    <row r="551" spans="1:14" x14ac:dyDescent="0.25">
      <c r="A551" s="1" t="s">
        <v>636</v>
      </c>
      <c r="B551" s="3">
        <v>308</v>
      </c>
      <c r="C551" s="1">
        <v>1</v>
      </c>
      <c r="D551" s="1">
        <v>21</v>
      </c>
      <c r="E551">
        <f t="shared" si="32"/>
        <v>287</v>
      </c>
      <c r="G551" s="9" t="s">
        <v>159</v>
      </c>
      <c r="H551" s="10">
        <v>1356</v>
      </c>
      <c r="J551" t="s">
        <v>222</v>
      </c>
      <c r="K551">
        <v>144</v>
      </c>
      <c r="L551" s="11">
        <f t="shared" si="33"/>
        <v>3.9120639995703554E-4</v>
      </c>
      <c r="M551" s="11">
        <f t="shared" si="35"/>
        <v>0.94263067855857008</v>
      </c>
      <c r="N551" t="str">
        <f t="shared" si="34"/>
        <v>B</v>
      </c>
    </row>
    <row r="552" spans="1:14" x14ac:dyDescent="0.25">
      <c r="A552" s="1" t="s">
        <v>413</v>
      </c>
      <c r="B552" s="3">
        <v>1197</v>
      </c>
      <c r="C552" s="1">
        <v>0.1</v>
      </c>
      <c r="D552" s="1">
        <v>7.7</v>
      </c>
      <c r="E552">
        <f t="shared" si="32"/>
        <v>112</v>
      </c>
      <c r="G552" s="9" t="s">
        <v>580</v>
      </c>
      <c r="H552" s="10">
        <v>57</v>
      </c>
      <c r="J552" t="s">
        <v>940</v>
      </c>
      <c r="K552">
        <v>144</v>
      </c>
      <c r="L552" s="11">
        <f t="shared" si="33"/>
        <v>3.9120639995703554E-4</v>
      </c>
      <c r="M552" s="11">
        <f t="shared" si="35"/>
        <v>0.94302188495852712</v>
      </c>
      <c r="N552" t="str">
        <f t="shared" si="34"/>
        <v>B</v>
      </c>
    </row>
    <row r="553" spans="1:14" x14ac:dyDescent="0.25">
      <c r="A553" s="1" t="s">
        <v>638</v>
      </c>
      <c r="B553" s="3">
        <v>61</v>
      </c>
      <c r="C553" s="1">
        <v>1</v>
      </c>
      <c r="D553" s="1">
        <v>0</v>
      </c>
      <c r="E553">
        <f t="shared" si="32"/>
        <v>61</v>
      </c>
      <c r="G553" s="9" t="s">
        <v>1058</v>
      </c>
      <c r="H553" s="10">
        <v>869</v>
      </c>
      <c r="J553" t="s">
        <v>1022</v>
      </c>
      <c r="K553">
        <v>142</v>
      </c>
      <c r="L553" s="11">
        <f t="shared" si="33"/>
        <v>3.8577297773541004E-4</v>
      </c>
      <c r="M553" s="11">
        <f t="shared" si="35"/>
        <v>0.94340765793626258</v>
      </c>
      <c r="N553" t="str">
        <f t="shared" si="34"/>
        <v>B</v>
      </c>
    </row>
    <row r="554" spans="1:14" x14ac:dyDescent="0.25">
      <c r="A554" s="1" t="s">
        <v>638</v>
      </c>
      <c r="B554" s="3">
        <v>56</v>
      </c>
      <c r="C554" s="1">
        <v>2</v>
      </c>
      <c r="D554" s="1">
        <v>0</v>
      </c>
      <c r="E554">
        <f t="shared" si="32"/>
        <v>112</v>
      </c>
      <c r="G554" s="9" t="s">
        <v>351</v>
      </c>
      <c r="H554" s="10">
        <v>996.23</v>
      </c>
      <c r="J554" t="s">
        <v>997</v>
      </c>
      <c r="K554">
        <v>142</v>
      </c>
      <c r="L554" s="11">
        <f t="shared" si="33"/>
        <v>3.8577297773541004E-4</v>
      </c>
      <c r="M554" s="11">
        <f t="shared" si="35"/>
        <v>0.94379343091399803</v>
      </c>
      <c r="N554" t="str">
        <f t="shared" si="34"/>
        <v>B</v>
      </c>
    </row>
    <row r="555" spans="1:14" x14ac:dyDescent="0.25">
      <c r="A555" s="1" t="s">
        <v>405</v>
      </c>
      <c r="B555" s="3">
        <v>24</v>
      </c>
      <c r="C555" s="1">
        <v>1</v>
      </c>
      <c r="D555" s="1">
        <v>0</v>
      </c>
      <c r="E555">
        <f t="shared" si="32"/>
        <v>24</v>
      </c>
      <c r="G555" s="9" t="s">
        <v>1027</v>
      </c>
      <c r="H555" s="10">
        <v>486</v>
      </c>
      <c r="J555" t="s">
        <v>1037</v>
      </c>
      <c r="K555">
        <v>142</v>
      </c>
      <c r="L555" s="11">
        <f t="shared" si="33"/>
        <v>3.8577297773541004E-4</v>
      </c>
      <c r="M555" s="11">
        <f t="shared" si="35"/>
        <v>0.94417920389173349</v>
      </c>
      <c r="N555" t="str">
        <f t="shared" si="34"/>
        <v>B</v>
      </c>
    </row>
    <row r="556" spans="1:14" x14ac:dyDescent="0.25">
      <c r="A556" s="1" t="s">
        <v>639</v>
      </c>
      <c r="B556" s="3">
        <v>383</v>
      </c>
      <c r="C556" s="1">
        <v>1</v>
      </c>
      <c r="D556" s="1">
        <v>38</v>
      </c>
      <c r="E556">
        <f t="shared" si="32"/>
        <v>345</v>
      </c>
      <c r="G556" s="9" t="s">
        <v>576</v>
      </c>
      <c r="H556" s="10">
        <v>571</v>
      </c>
      <c r="J556" t="s">
        <v>655</v>
      </c>
      <c r="K556">
        <v>141</v>
      </c>
      <c r="L556" s="11">
        <f t="shared" si="33"/>
        <v>3.8305626662459729E-4</v>
      </c>
      <c r="M556" s="11">
        <f t="shared" si="35"/>
        <v>0.94456226015835809</v>
      </c>
      <c r="N556" t="str">
        <f t="shared" si="34"/>
        <v>B</v>
      </c>
    </row>
    <row r="557" spans="1:14" x14ac:dyDescent="0.25">
      <c r="A557" s="1" t="s">
        <v>78</v>
      </c>
      <c r="B557" s="3">
        <v>174</v>
      </c>
      <c r="C557" s="1">
        <v>1</v>
      </c>
      <c r="D557" s="1">
        <v>8</v>
      </c>
      <c r="E557">
        <f t="shared" si="32"/>
        <v>166</v>
      </c>
      <c r="G557" s="9" t="s">
        <v>997</v>
      </c>
      <c r="H557" s="10">
        <v>142</v>
      </c>
      <c r="J557" t="s">
        <v>610</v>
      </c>
      <c r="K557">
        <v>141</v>
      </c>
      <c r="L557" s="11">
        <f t="shared" si="33"/>
        <v>3.8305626662459729E-4</v>
      </c>
      <c r="M557" s="11">
        <f t="shared" si="35"/>
        <v>0.9449453164249827</v>
      </c>
      <c r="N557" t="str">
        <f t="shared" si="34"/>
        <v>B</v>
      </c>
    </row>
    <row r="558" spans="1:14" x14ac:dyDescent="0.25">
      <c r="A558" s="1" t="s">
        <v>640</v>
      </c>
      <c r="B558" s="3">
        <v>87</v>
      </c>
      <c r="C558" s="1">
        <v>1</v>
      </c>
      <c r="D558" s="1">
        <v>8</v>
      </c>
      <c r="E558">
        <f t="shared" si="32"/>
        <v>79</v>
      </c>
      <c r="G558" s="9" t="s">
        <v>1018</v>
      </c>
      <c r="H558" s="10">
        <v>3458.3332987499998</v>
      </c>
      <c r="J558" t="s">
        <v>196</v>
      </c>
      <c r="K558">
        <v>140</v>
      </c>
      <c r="L558" s="11">
        <f t="shared" si="33"/>
        <v>3.8033955551378454E-4</v>
      </c>
      <c r="M558" s="11">
        <f t="shared" si="35"/>
        <v>0.94532565598049645</v>
      </c>
      <c r="N558" t="str">
        <f t="shared" si="34"/>
        <v>B</v>
      </c>
    </row>
    <row r="559" spans="1:14" x14ac:dyDescent="0.25">
      <c r="A559" s="1" t="s">
        <v>641</v>
      </c>
      <c r="B559" s="3">
        <v>899</v>
      </c>
      <c r="C559" s="1">
        <v>1</v>
      </c>
      <c r="D559" s="1">
        <v>62</v>
      </c>
      <c r="E559">
        <f t="shared" si="32"/>
        <v>837</v>
      </c>
      <c r="G559" s="9" t="s">
        <v>175</v>
      </c>
      <c r="H559" s="10">
        <v>419</v>
      </c>
      <c r="J559" t="s">
        <v>286</v>
      </c>
      <c r="K559">
        <v>140</v>
      </c>
      <c r="L559" s="11">
        <f t="shared" si="33"/>
        <v>3.8033955551378454E-4</v>
      </c>
      <c r="M559" s="11">
        <f t="shared" si="35"/>
        <v>0.9457059955360102</v>
      </c>
      <c r="N559" t="str">
        <f t="shared" si="34"/>
        <v>B</v>
      </c>
    </row>
    <row r="560" spans="1:14" x14ac:dyDescent="0.25">
      <c r="A560" s="1" t="s">
        <v>642</v>
      </c>
      <c r="B560" s="3">
        <v>25</v>
      </c>
      <c r="C560" s="1">
        <v>1</v>
      </c>
      <c r="D560" s="1">
        <v>1</v>
      </c>
      <c r="E560">
        <f t="shared" si="32"/>
        <v>24</v>
      </c>
      <c r="G560" s="9" t="s">
        <v>906</v>
      </c>
      <c r="H560" s="10">
        <v>742</v>
      </c>
      <c r="J560" t="s">
        <v>668</v>
      </c>
      <c r="K560">
        <v>139</v>
      </c>
      <c r="L560" s="11">
        <f t="shared" si="33"/>
        <v>3.7762284440297179E-4</v>
      </c>
      <c r="M560" s="11">
        <f t="shared" si="35"/>
        <v>0.94608361838041322</v>
      </c>
      <c r="N560" t="str">
        <f t="shared" si="34"/>
        <v>B</v>
      </c>
    </row>
    <row r="561" spans="1:14" x14ac:dyDescent="0.25">
      <c r="A561" s="1" t="s">
        <v>52</v>
      </c>
      <c r="B561" s="3">
        <v>96</v>
      </c>
      <c r="C561" s="1">
        <v>1</v>
      </c>
      <c r="D561" s="1">
        <v>24.63</v>
      </c>
      <c r="E561">
        <f t="shared" si="32"/>
        <v>71.37</v>
      </c>
      <c r="G561" s="9" t="s">
        <v>612</v>
      </c>
      <c r="H561" s="10">
        <v>64</v>
      </c>
      <c r="J561" t="s">
        <v>880</v>
      </c>
      <c r="K561">
        <v>138</v>
      </c>
      <c r="L561" s="11">
        <f t="shared" si="33"/>
        <v>3.7490613329215904E-4</v>
      </c>
      <c r="M561" s="11">
        <f t="shared" si="35"/>
        <v>0.94645852451370538</v>
      </c>
      <c r="N561" t="str">
        <f t="shared" si="34"/>
        <v>B</v>
      </c>
    </row>
    <row r="562" spans="1:14" x14ac:dyDescent="0.25">
      <c r="A562" s="1" t="s">
        <v>643</v>
      </c>
      <c r="B562" s="3">
        <v>95</v>
      </c>
      <c r="C562" s="1">
        <v>1</v>
      </c>
      <c r="D562" s="1">
        <v>24.37</v>
      </c>
      <c r="E562">
        <f t="shared" si="32"/>
        <v>70.63</v>
      </c>
      <c r="G562" s="9" t="s">
        <v>782</v>
      </c>
      <c r="H562" s="10">
        <v>928</v>
      </c>
      <c r="J562" t="s">
        <v>962</v>
      </c>
      <c r="K562">
        <v>137</v>
      </c>
      <c r="L562" s="11">
        <f t="shared" si="33"/>
        <v>3.7218942218134629E-4</v>
      </c>
      <c r="M562" s="11">
        <f t="shared" si="35"/>
        <v>0.94683071393588669</v>
      </c>
      <c r="N562" t="str">
        <f t="shared" si="34"/>
        <v>B</v>
      </c>
    </row>
    <row r="563" spans="1:14" x14ac:dyDescent="0.25">
      <c r="A563" s="1" t="s">
        <v>645</v>
      </c>
      <c r="B563" s="3">
        <v>404</v>
      </c>
      <c r="C563" s="1">
        <v>1</v>
      </c>
      <c r="D563" s="1">
        <v>28</v>
      </c>
      <c r="E563">
        <f t="shared" si="32"/>
        <v>376</v>
      </c>
      <c r="G563" s="9" t="s">
        <v>781</v>
      </c>
      <c r="H563" s="10">
        <v>1463</v>
      </c>
      <c r="J563" t="s">
        <v>1190</v>
      </c>
      <c r="K563">
        <v>137</v>
      </c>
      <c r="L563" s="11">
        <f t="shared" si="33"/>
        <v>3.7218942218134629E-4</v>
      </c>
      <c r="M563" s="11">
        <f t="shared" si="35"/>
        <v>0.947202903358068</v>
      </c>
      <c r="N563" t="str">
        <f t="shared" si="34"/>
        <v>B</v>
      </c>
    </row>
    <row r="564" spans="1:14" x14ac:dyDescent="0.25">
      <c r="A564" s="1" t="s">
        <v>646</v>
      </c>
      <c r="B564" s="3">
        <v>1937</v>
      </c>
      <c r="C564" s="1">
        <v>1</v>
      </c>
      <c r="D564" s="1">
        <v>135</v>
      </c>
      <c r="E564">
        <f t="shared" si="32"/>
        <v>1802</v>
      </c>
      <c r="G564" s="9" t="s">
        <v>1138</v>
      </c>
      <c r="H564" s="10">
        <v>52</v>
      </c>
      <c r="J564" t="s">
        <v>436</v>
      </c>
      <c r="K564">
        <v>137</v>
      </c>
      <c r="L564" s="11">
        <f t="shared" si="33"/>
        <v>3.7218942218134629E-4</v>
      </c>
      <c r="M564" s="11">
        <f t="shared" si="35"/>
        <v>0.94757509278024932</v>
      </c>
      <c r="N564" t="str">
        <f t="shared" si="34"/>
        <v>B</v>
      </c>
    </row>
    <row r="565" spans="1:14" x14ac:dyDescent="0.25">
      <c r="A565" s="1" t="s">
        <v>647</v>
      </c>
      <c r="B565" s="3">
        <v>104</v>
      </c>
      <c r="C565" s="1">
        <v>1</v>
      </c>
      <c r="D565" s="1">
        <v>10</v>
      </c>
      <c r="E565">
        <f t="shared" si="32"/>
        <v>94</v>
      </c>
      <c r="G565" s="9" t="s">
        <v>180</v>
      </c>
      <c r="H565" s="10">
        <v>651</v>
      </c>
      <c r="J565" t="s">
        <v>1143</v>
      </c>
      <c r="K565">
        <v>136</v>
      </c>
      <c r="L565" s="11">
        <f t="shared" si="33"/>
        <v>3.6947271107053354E-4</v>
      </c>
      <c r="M565" s="11">
        <f t="shared" si="35"/>
        <v>0.94794456549131989</v>
      </c>
      <c r="N565" t="str">
        <f t="shared" si="34"/>
        <v>B</v>
      </c>
    </row>
    <row r="566" spans="1:14" x14ac:dyDescent="0.25">
      <c r="A566" s="1" t="s">
        <v>649</v>
      </c>
      <c r="B566" s="3">
        <v>649</v>
      </c>
      <c r="C566" s="1">
        <v>0.1</v>
      </c>
      <c r="D566" s="1">
        <v>3.9</v>
      </c>
      <c r="E566">
        <f t="shared" si="32"/>
        <v>61.000000000000007</v>
      </c>
      <c r="G566" s="9" t="s">
        <v>1021</v>
      </c>
      <c r="H566" s="10">
        <v>68</v>
      </c>
      <c r="J566" t="s">
        <v>509</v>
      </c>
      <c r="K566">
        <v>136</v>
      </c>
      <c r="L566" s="11">
        <f t="shared" si="33"/>
        <v>3.6947271107053354E-4</v>
      </c>
      <c r="M566" s="11">
        <f t="shared" si="35"/>
        <v>0.94831403820239046</v>
      </c>
      <c r="N566" t="str">
        <f t="shared" si="34"/>
        <v>B</v>
      </c>
    </row>
    <row r="567" spans="1:14" x14ac:dyDescent="0.25">
      <c r="A567" s="1" t="s">
        <v>650</v>
      </c>
      <c r="B567" s="3">
        <v>65</v>
      </c>
      <c r="C567" s="1">
        <v>1</v>
      </c>
      <c r="D567" s="1">
        <v>6</v>
      </c>
      <c r="E567">
        <f t="shared" si="32"/>
        <v>59</v>
      </c>
      <c r="G567" s="9" t="s">
        <v>123</v>
      </c>
      <c r="H567" s="10">
        <v>133</v>
      </c>
      <c r="J567" t="s">
        <v>959</v>
      </c>
      <c r="K567">
        <v>135</v>
      </c>
      <c r="L567" s="11">
        <f t="shared" si="33"/>
        <v>3.6675599995972079E-4</v>
      </c>
      <c r="M567" s="11">
        <f t="shared" si="35"/>
        <v>0.94868079420235019</v>
      </c>
      <c r="N567" t="str">
        <f t="shared" si="34"/>
        <v>B</v>
      </c>
    </row>
    <row r="568" spans="1:14" x14ac:dyDescent="0.25">
      <c r="A568" s="1" t="s">
        <v>519</v>
      </c>
      <c r="B568" s="3">
        <v>121</v>
      </c>
      <c r="C568" s="1">
        <v>1</v>
      </c>
      <c r="D568" s="1">
        <v>6</v>
      </c>
      <c r="E568">
        <f t="shared" si="32"/>
        <v>115</v>
      </c>
      <c r="G568" s="9" t="s">
        <v>507</v>
      </c>
      <c r="H568" s="10">
        <v>726</v>
      </c>
      <c r="J568" t="s">
        <v>804</v>
      </c>
      <c r="K568">
        <v>133</v>
      </c>
      <c r="L568" s="11">
        <f t="shared" si="33"/>
        <v>3.6132257773809529E-4</v>
      </c>
      <c r="M568" s="11">
        <f t="shared" si="35"/>
        <v>0.94904211678008832</v>
      </c>
      <c r="N568" t="str">
        <f t="shared" si="34"/>
        <v>B</v>
      </c>
    </row>
    <row r="569" spans="1:14" x14ac:dyDescent="0.25">
      <c r="A569" s="1" t="s">
        <v>652</v>
      </c>
      <c r="B569" s="3">
        <v>425</v>
      </c>
      <c r="C569" s="1">
        <v>1</v>
      </c>
      <c r="D569" s="1">
        <v>42</v>
      </c>
      <c r="E569">
        <f t="shared" si="32"/>
        <v>383</v>
      </c>
      <c r="G569" s="9" t="s">
        <v>599</v>
      </c>
      <c r="H569" s="10">
        <v>255</v>
      </c>
      <c r="J569" t="s">
        <v>313</v>
      </c>
      <c r="K569">
        <v>133</v>
      </c>
      <c r="L569" s="11">
        <f t="shared" si="33"/>
        <v>3.6132257773809529E-4</v>
      </c>
      <c r="M569" s="11">
        <f t="shared" si="35"/>
        <v>0.94940343935782645</v>
      </c>
      <c r="N569" t="str">
        <f t="shared" si="34"/>
        <v>B</v>
      </c>
    </row>
    <row r="570" spans="1:14" x14ac:dyDescent="0.25">
      <c r="A570" s="1" t="s">
        <v>654</v>
      </c>
      <c r="B570" s="3">
        <v>1110</v>
      </c>
      <c r="C570" s="1">
        <v>0.16666666999999999</v>
      </c>
      <c r="D570" s="1">
        <v>12</v>
      </c>
      <c r="E570">
        <f t="shared" si="32"/>
        <v>173.00000369999998</v>
      </c>
      <c r="G570" s="9" t="s">
        <v>895</v>
      </c>
      <c r="H570" s="10">
        <v>625</v>
      </c>
      <c r="J570" t="s">
        <v>123</v>
      </c>
      <c r="K570">
        <v>133</v>
      </c>
      <c r="L570" s="11">
        <f t="shared" si="33"/>
        <v>3.6132257773809529E-4</v>
      </c>
      <c r="M570" s="11">
        <f t="shared" si="35"/>
        <v>0.94976476193556458</v>
      </c>
      <c r="N570" t="str">
        <f t="shared" si="34"/>
        <v>B</v>
      </c>
    </row>
    <row r="571" spans="1:14" x14ac:dyDescent="0.25">
      <c r="A571" s="1" t="s">
        <v>655</v>
      </c>
      <c r="B571" s="3">
        <v>141</v>
      </c>
      <c r="C571" s="1">
        <v>1</v>
      </c>
      <c r="D571" s="1">
        <v>14</v>
      </c>
      <c r="E571">
        <f t="shared" si="32"/>
        <v>127</v>
      </c>
      <c r="G571" s="9" t="s">
        <v>464</v>
      </c>
      <c r="H571" s="10">
        <v>418</v>
      </c>
      <c r="J571" t="s">
        <v>824</v>
      </c>
      <c r="K571">
        <v>133</v>
      </c>
      <c r="L571" s="11">
        <f t="shared" si="33"/>
        <v>3.6132257773809529E-4</v>
      </c>
      <c r="M571" s="11">
        <f t="shared" si="35"/>
        <v>0.95012608451330272</v>
      </c>
      <c r="N571" t="str">
        <f t="shared" si="34"/>
        <v>C</v>
      </c>
    </row>
    <row r="572" spans="1:14" x14ac:dyDescent="0.25">
      <c r="A572" s="1" t="s">
        <v>656</v>
      </c>
      <c r="B572" s="3">
        <v>62</v>
      </c>
      <c r="C572" s="1">
        <v>1</v>
      </c>
      <c r="D572" s="1">
        <v>0</v>
      </c>
      <c r="E572">
        <f t="shared" si="32"/>
        <v>62</v>
      </c>
      <c r="G572" s="9" t="s">
        <v>602</v>
      </c>
      <c r="H572" s="10">
        <v>328</v>
      </c>
      <c r="J572" t="s">
        <v>615</v>
      </c>
      <c r="K572">
        <v>132</v>
      </c>
      <c r="L572" s="11">
        <f t="shared" si="33"/>
        <v>3.5860586662728259E-4</v>
      </c>
      <c r="M572" s="11">
        <f t="shared" si="35"/>
        <v>0.95048469037993</v>
      </c>
      <c r="N572" t="str">
        <f t="shared" si="34"/>
        <v>C</v>
      </c>
    </row>
    <row r="573" spans="1:14" x14ac:dyDescent="0.25">
      <c r="A573" s="1" t="s">
        <v>656</v>
      </c>
      <c r="B573" s="3">
        <v>62</v>
      </c>
      <c r="C573" s="1">
        <v>1</v>
      </c>
      <c r="D573" s="1">
        <v>0</v>
      </c>
      <c r="E573">
        <f t="shared" si="32"/>
        <v>62</v>
      </c>
      <c r="G573" s="9" t="s">
        <v>247</v>
      </c>
      <c r="H573" s="10">
        <v>175</v>
      </c>
      <c r="J573" t="s">
        <v>764</v>
      </c>
      <c r="K573">
        <v>132</v>
      </c>
      <c r="L573" s="11">
        <f t="shared" si="33"/>
        <v>3.5860586662728259E-4</v>
      </c>
      <c r="M573" s="11">
        <f t="shared" si="35"/>
        <v>0.95084329624655728</v>
      </c>
      <c r="N573" t="str">
        <f t="shared" si="34"/>
        <v>C</v>
      </c>
    </row>
    <row r="574" spans="1:14" x14ac:dyDescent="0.25">
      <c r="A574" s="1" t="s">
        <v>355</v>
      </c>
      <c r="B574" s="3">
        <v>16</v>
      </c>
      <c r="C574" s="1">
        <v>1</v>
      </c>
      <c r="D574" s="1">
        <v>0</v>
      </c>
      <c r="E574">
        <f t="shared" si="32"/>
        <v>16</v>
      </c>
      <c r="G574" s="9" t="s">
        <v>825</v>
      </c>
      <c r="H574" s="10">
        <v>740</v>
      </c>
      <c r="J574" t="s">
        <v>566</v>
      </c>
      <c r="K574">
        <v>130</v>
      </c>
      <c r="L574" s="11">
        <f t="shared" si="33"/>
        <v>3.5317244440565709E-4</v>
      </c>
      <c r="M574" s="11">
        <f t="shared" si="35"/>
        <v>0.95119646869096297</v>
      </c>
      <c r="N574" t="str">
        <f t="shared" si="34"/>
        <v>C</v>
      </c>
    </row>
    <row r="575" spans="1:14" x14ac:dyDescent="0.25">
      <c r="A575" s="1" t="s">
        <v>657</v>
      </c>
      <c r="B575" s="3">
        <v>1219</v>
      </c>
      <c r="C575" s="1">
        <v>1</v>
      </c>
      <c r="D575" s="1">
        <v>134.63999999999999</v>
      </c>
      <c r="E575">
        <f t="shared" si="32"/>
        <v>1084.3600000000001</v>
      </c>
      <c r="G575" s="9" t="s">
        <v>898</v>
      </c>
      <c r="H575" s="10">
        <v>572</v>
      </c>
      <c r="J575" t="s">
        <v>704</v>
      </c>
      <c r="K575">
        <v>129</v>
      </c>
      <c r="L575" s="11">
        <f t="shared" si="33"/>
        <v>3.5045573329484434E-4</v>
      </c>
      <c r="M575" s="11">
        <f t="shared" si="35"/>
        <v>0.95154692442425781</v>
      </c>
      <c r="N575" t="str">
        <f t="shared" si="34"/>
        <v>C</v>
      </c>
    </row>
    <row r="576" spans="1:14" x14ac:dyDescent="0.25">
      <c r="A576" s="1" t="s">
        <v>65</v>
      </c>
      <c r="B576" s="3">
        <v>302</v>
      </c>
      <c r="C576" s="1">
        <v>1</v>
      </c>
      <c r="D576" s="1">
        <v>33.36</v>
      </c>
      <c r="E576">
        <f t="shared" si="32"/>
        <v>268.64</v>
      </c>
      <c r="G576" s="9" t="s">
        <v>149</v>
      </c>
      <c r="H576" s="10">
        <v>211</v>
      </c>
      <c r="J576" t="s">
        <v>671</v>
      </c>
      <c r="K576">
        <v>129</v>
      </c>
      <c r="L576" s="11">
        <f t="shared" si="33"/>
        <v>3.5045573329484434E-4</v>
      </c>
      <c r="M576" s="11">
        <f t="shared" si="35"/>
        <v>0.95189738015755265</v>
      </c>
      <c r="N576" t="str">
        <f t="shared" si="34"/>
        <v>C</v>
      </c>
    </row>
    <row r="577" spans="1:14" x14ac:dyDescent="0.25">
      <c r="A577" s="1" t="s">
        <v>339</v>
      </c>
      <c r="B577" s="3">
        <v>867</v>
      </c>
      <c r="C577" s="1">
        <v>1</v>
      </c>
      <c r="D577" s="1">
        <v>60</v>
      </c>
      <c r="E577">
        <f t="shared" si="32"/>
        <v>807</v>
      </c>
      <c r="G577" s="9" t="s">
        <v>511</v>
      </c>
      <c r="H577" s="10">
        <v>54</v>
      </c>
      <c r="J577" t="s">
        <v>1100</v>
      </c>
      <c r="K577">
        <v>129</v>
      </c>
      <c r="L577" s="11">
        <f t="shared" si="33"/>
        <v>3.5045573329484434E-4</v>
      </c>
      <c r="M577" s="11">
        <f t="shared" si="35"/>
        <v>0.95224783589084749</v>
      </c>
      <c r="N577" t="str">
        <f t="shared" si="34"/>
        <v>C</v>
      </c>
    </row>
    <row r="578" spans="1:14" x14ac:dyDescent="0.25">
      <c r="A578" s="1" t="s">
        <v>658</v>
      </c>
      <c r="B578" s="3">
        <v>1018</v>
      </c>
      <c r="C578" s="1">
        <v>1</v>
      </c>
      <c r="D578" s="1">
        <v>0</v>
      </c>
      <c r="E578">
        <f t="shared" si="32"/>
        <v>1018</v>
      </c>
      <c r="G578" s="9" t="s">
        <v>1140</v>
      </c>
      <c r="H578" s="10">
        <v>1673</v>
      </c>
      <c r="J578" t="s">
        <v>800</v>
      </c>
      <c r="K578">
        <v>128.52000000000001</v>
      </c>
      <c r="L578" s="11">
        <f t="shared" si="33"/>
        <v>3.4915171196165426E-4</v>
      </c>
      <c r="M578" s="11">
        <f t="shared" si="35"/>
        <v>0.9525969876028092</v>
      </c>
      <c r="N578" t="str">
        <f t="shared" si="34"/>
        <v>C</v>
      </c>
    </row>
    <row r="579" spans="1:14" x14ac:dyDescent="0.25">
      <c r="A579" s="1" t="s">
        <v>135</v>
      </c>
      <c r="B579" s="3">
        <v>158</v>
      </c>
      <c r="C579" s="1">
        <v>1</v>
      </c>
      <c r="D579" s="1">
        <v>8</v>
      </c>
      <c r="E579">
        <f t="shared" ref="E579:E642" si="36">C579*B579-D579</f>
        <v>150</v>
      </c>
      <c r="G579" s="9" t="s">
        <v>1098</v>
      </c>
      <c r="H579" s="10">
        <v>336</v>
      </c>
      <c r="J579" t="s">
        <v>864</v>
      </c>
      <c r="K579">
        <v>128</v>
      </c>
      <c r="L579" s="11">
        <f t="shared" ref="L579:L642" si="37">K579/SUM($K$2:$K$804)</f>
        <v>3.4773902218403159E-4</v>
      </c>
      <c r="M579" s="11">
        <f t="shared" si="35"/>
        <v>0.95294472662499319</v>
      </c>
      <c r="N579" t="str">
        <f t="shared" ref="N579:N642" si="38">IF(M579&lt;0.8, "A", IF(M579&lt;0.95,"B","C"))</f>
        <v>C</v>
      </c>
    </row>
    <row r="580" spans="1:14" x14ac:dyDescent="0.25">
      <c r="A580" s="1" t="s">
        <v>660</v>
      </c>
      <c r="B580" s="3">
        <v>614</v>
      </c>
      <c r="C580" s="1">
        <v>1</v>
      </c>
      <c r="D580" s="1">
        <v>0</v>
      </c>
      <c r="E580">
        <f t="shared" si="36"/>
        <v>614</v>
      </c>
      <c r="G580" s="9" t="s">
        <v>161</v>
      </c>
      <c r="H580" s="10">
        <v>295</v>
      </c>
      <c r="J580" t="s">
        <v>942</v>
      </c>
      <c r="K580">
        <v>127</v>
      </c>
      <c r="L580" s="11">
        <f t="shared" si="37"/>
        <v>3.4502231107321884E-4</v>
      </c>
      <c r="M580" s="11">
        <f t="shared" ref="M580:M643" si="39">L580+M579</f>
        <v>0.95328974893606644</v>
      </c>
      <c r="N580" t="str">
        <f t="shared" si="38"/>
        <v>C</v>
      </c>
    </row>
    <row r="581" spans="1:14" x14ac:dyDescent="0.25">
      <c r="A581" s="1" t="s">
        <v>662</v>
      </c>
      <c r="B581" s="3">
        <v>724</v>
      </c>
      <c r="C581" s="1">
        <v>7.1428400000000003E-2</v>
      </c>
      <c r="D581" s="1">
        <v>0</v>
      </c>
      <c r="E581">
        <f t="shared" si="36"/>
        <v>51.714161600000004</v>
      </c>
      <c r="G581" s="9" t="s">
        <v>876</v>
      </c>
      <c r="H581" s="10">
        <v>75.900000000000006</v>
      </c>
      <c r="J581" t="s">
        <v>23</v>
      </c>
      <c r="K581">
        <v>127</v>
      </c>
      <c r="L581" s="11">
        <f t="shared" si="37"/>
        <v>3.4502231107321884E-4</v>
      </c>
      <c r="M581" s="11">
        <f t="shared" si="39"/>
        <v>0.95363477124713969</v>
      </c>
      <c r="N581" t="str">
        <f t="shared" si="38"/>
        <v>C</v>
      </c>
    </row>
    <row r="582" spans="1:14" x14ac:dyDescent="0.25">
      <c r="A582" s="1" t="s">
        <v>664</v>
      </c>
      <c r="B582" s="3">
        <v>47</v>
      </c>
      <c r="C582" s="1">
        <v>1</v>
      </c>
      <c r="D582" s="1">
        <v>0</v>
      </c>
      <c r="E582">
        <f t="shared" si="36"/>
        <v>47</v>
      </c>
      <c r="G582" s="9" t="s">
        <v>1082</v>
      </c>
      <c r="H582" s="10">
        <v>676.33332656999994</v>
      </c>
      <c r="J582" t="s">
        <v>113</v>
      </c>
      <c r="K582">
        <v>127</v>
      </c>
      <c r="L582" s="11">
        <f t="shared" si="37"/>
        <v>3.4502231107321884E-4</v>
      </c>
      <c r="M582" s="11">
        <f t="shared" si="39"/>
        <v>0.95397979355821294</v>
      </c>
      <c r="N582" t="str">
        <f t="shared" si="38"/>
        <v>C</v>
      </c>
    </row>
    <row r="583" spans="1:14" x14ac:dyDescent="0.25">
      <c r="A583" s="1" t="s">
        <v>251</v>
      </c>
      <c r="B583" s="3">
        <v>53</v>
      </c>
      <c r="C583" s="1">
        <v>1</v>
      </c>
      <c r="D583" s="1">
        <v>0</v>
      </c>
      <c r="E583">
        <f t="shared" si="36"/>
        <v>53</v>
      </c>
      <c r="G583" s="9" t="s">
        <v>889</v>
      </c>
      <c r="H583" s="10">
        <v>658</v>
      </c>
      <c r="J583" t="s">
        <v>1060</v>
      </c>
      <c r="K583">
        <v>126</v>
      </c>
      <c r="L583" s="11">
        <f t="shared" si="37"/>
        <v>3.4230559996240609E-4</v>
      </c>
      <c r="M583" s="11">
        <f t="shared" si="39"/>
        <v>0.95432209915817534</v>
      </c>
      <c r="N583" t="str">
        <f t="shared" si="38"/>
        <v>C</v>
      </c>
    </row>
    <row r="584" spans="1:14" x14ac:dyDescent="0.25">
      <c r="A584" s="1" t="s">
        <v>248</v>
      </c>
      <c r="B584" s="3">
        <v>221</v>
      </c>
      <c r="C584" s="1">
        <v>1</v>
      </c>
      <c r="D584" s="1">
        <v>22</v>
      </c>
      <c r="E584">
        <f t="shared" si="36"/>
        <v>199</v>
      </c>
      <c r="G584" s="9" t="s">
        <v>1172</v>
      </c>
      <c r="H584" s="10">
        <v>1764</v>
      </c>
      <c r="J584" t="s">
        <v>1043</v>
      </c>
      <c r="K584">
        <v>126</v>
      </c>
      <c r="L584" s="11">
        <f t="shared" si="37"/>
        <v>3.4230559996240609E-4</v>
      </c>
      <c r="M584" s="11">
        <f t="shared" si="39"/>
        <v>0.95466440475813774</v>
      </c>
      <c r="N584" t="str">
        <f t="shared" si="38"/>
        <v>C</v>
      </c>
    </row>
    <row r="585" spans="1:14" x14ac:dyDescent="0.25">
      <c r="A585" s="1" t="s">
        <v>248</v>
      </c>
      <c r="B585" s="3">
        <v>221</v>
      </c>
      <c r="C585" s="1">
        <v>1</v>
      </c>
      <c r="D585" s="1">
        <v>22</v>
      </c>
      <c r="E585">
        <f t="shared" si="36"/>
        <v>199</v>
      </c>
      <c r="G585" s="9" t="s">
        <v>409</v>
      </c>
      <c r="H585" s="10">
        <v>759</v>
      </c>
      <c r="J585" t="s">
        <v>816</v>
      </c>
      <c r="K585">
        <v>126</v>
      </c>
      <c r="L585" s="11">
        <f t="shared" si="37"/>
        <v>3.4230559996240609E-4</v>
      </c>
      <c r="M585" s="11">
        <f t="shared" si="39"/>
        <v>0.95500671035810014</v>
      </c>
      <c r="N585" t="str">
        <f t="shared" si="38"/>
        <v>C</v>
      </c>
    </row>
    <row r="586" spans="1:14" x14ac:dyDescent="0.25">
      <c r="A586" s="1" t="s">
        <v>514</v>
      </c>
      <c r="B586" s="3">
        <v>123</v>
      </c>
      <c r="C586" s="1">
        <v>1</v>
      </c>
      <c r="D586" s="1">
        <v>8</v>
      </c>
      <c r="E586">
        <f t="shared" si="36"/>
        <v>115</v>
      </c>
      <c r="G586" s="9" t="s">
        <v>1129</v>
      </c>
      <c r="H586" s="10">
        <v>276</v>
      </c>
      <c r="J586" t="s">
        <v>976</v>
      </c>
      <c r="K586">
        <v>125</v>
      </c>
      <c r="L586" s="11">
        <f t="shared" si="37"/>
        <v>3.3958888885159334E-4</v>
      </c>
      <c r="M586" s="11">
        <f t="shared" si="39"/>
        <v>0.95534629924695169</v>
      </c>
      <c r="N586" t="str">
        <f t="shared" si="38"/>
        <v>C</v>
      </c>
    </row>
    <row r="587" spans="1:14" x14ac:dyDescent="0.25">
      <c r="A587" s="1" t="s">
        <v>328</v>
      </c>
      <c r="B587" s="3">
        <v>685</v>
      </c>
      <c r="C587" s="1">
        <v>0.1071429</v>
      </c>
      <c r="D587" s="1">
        <v>1.39</v>
      </c>
      <c r="E587">
        <f t="shared" si="36"/>
        <v>72.002886500000002</v>
      </c>
      <c r="G587" s="9" t="s">
        <v>627</v>
      </c>
      <c r="H587" s="10">
        <v>446</v>
      </c>
      <c r="J587" t="s">
        <v>288</v>
      </c>
      <c r="K587">
        <v>125</v>
      </c>
      <c r="L587" s="11">
        <f t="shared" si="37"/>
        <v>3.3958888885159334E-4</v>
      </c>
      <c r="M587" s="11">
        <f t="shared" si="39"/>
        <v>0.95568588813580324</v>
      </c>
      <c r="N587" t="str">
        <f t="shared" si="38"/>
        <v>C</v>
      </c>
    </row>
    <row r="588" spans="1:14" x14ac:dyDescent="0.25">
      <c r="A588" s="1" t="s">
        <v>382</v>
      </c>
      <c r="B588" s="3">
        <v>302</v>
      </c>
      <c r="C588" s="1">
        <v>1</v>
      </c>
      <c r="D588" s="1">
        <v>0</v>
      </c>
      <c r="E588">
        <f t="shared" si="36"/>
        <v>302</v>
      </c>
      <c r="G588" s="9" t="s">
        <v>1206</v>
      </c>
      <c r="H588" s="10">
        <v>472</v>
      </c>
      <c r="J588" t="s">
        <v>656</v>
      </c>
      <c r="K588">
        <v>124</v>
      </c>
      <c r="L588" s="11">
        <f t="shared" si="37"/>
        <v>3.3687217774078059E-4</v>
      </c>
      <c r="M588" s="11">
        <f t="shared" si="39"/>
        <v>0.95602276031354405</v>
      </c>
      <c r="N588" t="str">
        <f t="shared" si="38"/>
        <v>C</v>
      </c>
    </row>
    <row r="589" spans="1:14" x14ac:dyDescent="0.25">
      <c r="A589" s="1" t="s">
        <v>666</v>
      </c>
      <c r="B589" s="3">
        <v>122</v>
      </c>
      <c r="C589" s="1">
        <v>1</v>
      </c>
      <c r="D589" s="1">
        <v>0</v>
      </c>
      <c r="E589">
        <f t="shared" si="36"/>
        <v>122</v>
      </c>
      <c r="G589" s="9" t="s">
        <v>587</v>
      </c>
      <c r="H589" s="10">
        <v>93</v>
      </c>
      <c r="J589" t="s">
        <v>50</v>
      </c>
      <c r="K589">
        <v>123</v>
      </c>
      <c r="L589" s="11">
        <f t="shared" si="37"/>
        <v>3.3415546662996784E-4</v>
      </c>
      <c r="M589" s="11">
        <f t="shared" si="39"/>
        <v>0.95635691578017401</v>
      </c>
      <c r="N589" t="str">
        <f t="shared" si="38"/>
        <v>C</v>
      </c>
    </row>
    <row r="590" spans="1:14" x14ac:dyDescent="0.25">
      <c r="A590" s="1" t="s">
        <v>667</v>
      </c>
      <c r="B590" s="3">
        <v>46</v>
      </c>
      <c r="C590" s="1">
        <v>1</v>
      </c>
      <c r="D590" s="1">
        <v>0</v>
      </c>
      <c r="E590">
        <f t="shared" si="36"/>
        <v>46</v>
      </c>
      <c r="G590" s="9" t="s">
        <v>1017</v>
      </c>
      <c r="H590" s="10">
        <v>192</v>
      </c>
      <c r="J590" t="s">
        <v>867</v>
      </c>
      <c r="K590">
        <v>122</v>
      </c>
      <c r="L590" s="11">
        <f t="shared" si="37"/>
        <v>3.3143875551915508E-4</v>
      </c>
      <c r="M590" s="11">
        <f t="shared" si="39"/>
        <v>0.95668835453569312</v>
      </c>
      <c r="N590" t="str">
        <f t="shared" si="38"/>
        <v>C</v>
      </c>
    </row>
    <row r="591" spans="1:14" x14ac:dyDescent="0.25">
      <c r="A591" s="1" t="s">
        <v>667</v>
      </c>
      <c r="B591" s="3">
        <v>46</v>
      </c>
      <c r="C591" s="1">
        <v>1</v>
      </c>
      <c r="D591" s="1">
        <v>0</v>
      </c>
      <c r="E591">
        <f t="shared" si="36"/>
        <v>46</v>
      </c>
      <c r="G591" s="9" t="s">
        <v>760</v>
      </c>
      <c r="H591" s="10">
        <v>1111.0000002199999</v>
      </c>
      <c r="J591" t="s">
        <v>1105</v>
      </c>
      <c r="K591">
        <v>122</v>
      </c>
      <c r="L591" s="11">
        <f t="shared" si="37"/>
        <v>3.3143875551915508E-4</v>
      </c>
      <c r="M591" s="11">
        <f t="shared" si="39"/>
        <v>0.95701979329121223</v>
      </c>
      <c r="N591" t="str">
        <f t="shared" si="38"/>
        <v>C</v>
      </c>
    </row>
    <row r="592" spans="1:14" x14ac:dyDescent="0.25">
      <c r="A592" s="1" t="s">
        <v>667</v>
      </c>
      <c r="B592" s="3">
        <v>46</v>
      </c>
      <c r="C592" s="1">
        <v>1</v>
      </c>
      <c r="D592" s="1">
        <v>0</v>
      </c>
      <c r="E592">
        <f t="shared" si="36"/>
        <v>46</v>
      </c>
      <c r="G592" s="9" t="s">
        <v>1091</v>
      </c>
      <c r="H592" s="10">
        <v>101</v>
      </c>
      <c r="J592" t="s">
        <v>666</v>
      </c>
      <c r="K592">
        <v>122</v>
      </c>
      <c r="L592" s="11">
        <f t="shared" si="37"/>
        <v>3.3143875551915508E-4</v>
      </c>
      <c r="M592" s="11">
        <f t="shared" si="39"/>
        <v>0.95735123204673134</v>
      </c>
      <c r="N592" t="str">
        <f t="shared" si="38"/>
        <v>C</v>
      </c>
    </row>
    <row r="593" spans="1:14" x14ac:dyDescent="0.25">
      <c r="A593" s="1" t="s">
        <v>667</v>
      </c>
      <c r="B593" s="3">
        <v>46</v>
      </c>
      <c r="C593" s="1">
        <v>1</v>
      </c>
      <c r="D593" s="1">
        <v>0</v>
      </c>
      <c r="E593">
        <f t="shared" si="36"/>
        <v>46</v>
      </c>
      <c r="G593" s="9" t="s">
        <v>692</v>
      </c>
      <c r="H593" s="10">
        <v>385</v>
      </c>
      <c r="J593" t="s">
        <v>102</v>
      </c>
      <c r="K593">
        <v>122</v>
      </c>
      <c r="L593" s="11">
        <f t="shared" si="37"/>
        <v>3.3143875551915508E-4</v>
      </c>
      <c r="M593" s="11">
        <f t="shared" si="39"/>
        <v>0.95768267080225045</v>
      </c>
      <c r="N593" t="str">
        <f t="shared" si="38"/>
        <v>C</v>
      </c>
    </row>
    <row r="594" spans="1:14" x14ac:dyDescent="0.25">
      <c r="A594" s="1" t="s">
        <v>667</v>
      </c>
      <c r="B594" s="3">
        <v>46</v>
      </c>
      <c r="C594" s="1">
        <v>1</v>
      </c>
      <c r="D594" s="1">
        <v>0</v>
      </c>
      <c r="E594">
        <f t="shared" si="36"/>
        <v>46</v>
      </c>
      <c r="G594" s="9" t="s">
        <v>52</v>
      </c>
      <c r="H594" s="10">
        <v>288</v>
      </c>
      <c r="J594" t="s">
        <v>539</v>
      </c>
      <c r="K594">
        <v>122</v>
      </c>
      <c r="L594" s="11">
        <f t="shared" si="37"/>
        <v>3.3143875551915508E-4</v>
      </c>
      <c r="M594" s="11">
        <f t="shared" si="39"/>
        <v>0.95801410955776956</v>
      </c>
      <c r="N594" t="str">
        <f t="shared" si="38"/>
        <v>C</v>
      </c>
    </row>
    <row r="595" spans="1:14" x14ac:dyDescent="0.25">
      <c r="A595" s="1" t="s">
        <v>668</v>
      </c>
      <c r="B595" s="3">
        <v>139</v>
      </c>
      <c r="C595" s="1">
        <v>1</v>
      </c>
      <c r="D595" s="1">
        <v>0</v>
      </c>
      <c r="E595">
        <f t="shared" si="36"/>
        <v>139</v>
      </c>
      <c r="G595" s="9" t="s">
        <v>614</v>
      </c>
      <c r="H595" s="10">
        <v>75</v>
      </c>
      <c r="J595" t="s">
        <v>913</v>
      </c>
      <c r="K595">
        <v>122</v>
      </c>
      <c r="L595" s="11">
        <f t="shared" si="37"/>
        <v>3.3143875551915508E-4</v>
      </c>
      <c r="M595" s="11">
        <f t="shared" si="39"/>
        <v>0.95834554831328866</v>
      </c>
      <c r="N595" t="str">
        <f t="shared" si="38"/>
        <v>C</v>
      </c>
    </row>
    <row r="596" spans="1:14" x14ac:dyDescent="0.25">
      <c r="A596" s="1" t="s">
        <v>548</v>
      </c>
      <c r="B596" s="3">
        <v>893.89</v>
      </c>
      <c r="C596" s="1">
        <v>1</v>
      </c>
      <c r="D596" s="1">
        <v>0</v>
      </c>
      <c r="E596">
        <f t="shared" si="36"/>
        <v>893.89</v>
      </c>
      <c r="G596" s="9" t="s">
        <v>875</v>
      </c>
      <c r="H596" s="10">
        <v>101</v>
      </c>
      <c r="J596" t="s">
        <v>440</v>
      </c>
      <c r="K596">
        <v>121</v>
      </c>
      <c r="L596" s="11">
        <f t="shared" si="37"/>
        <v>3.2872204440834233E-4</v>
      </c>
      <c r="M596" s="11">
        <f t="shared" si="39"/>
        <v>0.95867427035769703</v>
      </c>
      <c r="N596" t="str">
        <f t="shared" si="38"/>
        <v>C</v>
      </c>
    </row>
    <row r="597" spans="1:14" x14ac:dyDescent="0.25">
      <c r="A597" s="1" t="s">
        <v>195</v>
      </c>
      <c r="B597" s="3">
        <v>421.31</v>
      </c>
      <c r="C597" s="1">
        <v>1</v>
      </c>
      <c r="D597" s="1">
        <v>0</v>
      </c>
      <c r="E597">
        <f t="shared" si="36"/>
        <v>421.31</v>
      </c>
      <c r="G597" s="9" t="s">
        <v>673</v>
      </c>
      <c r="H597" s="10">
        <v>96</v>
      </c>
      <c r="J597" t="s">
        <v>151</v>
      </c>
      <c r="K597">
        <v>120</v>
      </c>
      <c r="L597" s="11">
        <f t="shared" si="37"/>
        <v>3.2600533329752958E-4</v>
      </c>
      <c r="M597" s="11">
        <f t="shared" si="39"/>
        <v>0.95900027569099455</v>
      </c>
      <c r="N597" t="str">
        <f t="shared" si="38"/>
        <v>C</v>
      </c>
    </row>
    <row r="598" spans="1:14" x14ac:dyDescent="0.25">
      <c r="A598" s="1" t="s">
        <v>670</v>
      </c>
      <c r="B598" s="3">
        <v>41</v>
      </c>
      <c r="C598" s="1">
        <v>1</v>
      </c>
      <c r="D598" s="1">
        <v>0</v>
      </c>
      <c r="E598">
        <f t="shared" si="36"/>
        <v>41</v>
      </c>
      <c r="G598" s="9" t="s">
        <v>278</v>
      </c>
      <c r="H598" s="10">
        <v>300</v>
      </c>
      <c r="J598" t="s">
        <v>777</v>
      </c>
      <c r="K598">
        <v>120</v>
      </c>
      <c r="L598" s="11">
        <f t="shared" si="37"/>
        <v>3.2600533329752958E-4</v>
      </c>
      <c r="M598" s="11">
        <f t="shared" si="39"/>
        <v>0.95932628102429207</v>
      </c>
      <c r="N598" t="str">
        <f t="shared" si="38"/>
        <v>C</v>
      </c>
    </row>
    <row r="599" spans="1:14" x14ac:dyDescent="0.25">
      <c r="A599" s="1" t="s">
        <v>671</v>
      </c>
      <c r="B599" s="3">
        <v>25</v>
      </c>
      <c r="C599" s="1">
        <v>1</v>
      </c>
      <c r="D599" s="1">
        <v>0</v>
      </c>
      <c r="E599">
        <f t="shared" si="36"/>
        <v>25</v>
      </c>
      <c r="G599" s="9" t="s">
        <v>131</v>
      </c>
      <c r="H599" s="10">
        <v>405</v>
      </c>
      <c r="J599" t="s">
        <v>592</v>
      </c>
      <c r="K599">
        <v>120</v>
      </c>
      <c r="L599" s="11">
        <f t="shared" si="37"/>
        <v>3.2600533329752958E-4</v>
      </c>
      <c r="M599" s="11">
        <f t="shared" si="39"/>
        <v>0.95965228635758959</v>
      </c>
      <c r="N599" t="str">
        <f t="shared" si="38"/>
        <v>C</v>
      </c>
    </row>
    <row r="600" spans="1:14" x14ac:dyDescent="0.25">
      <c r="A600" s="1" t="s">
        <v>672</v>
      </c>
      <c r="B600" s="3">
        <v>28</v>
      </c>
      <c r="C600" s="1">
        <v>1</v>
      </c>
      <c r="D600" s="1">
        <v>0</v>
      </c>
      <c r="E600">
        <f t="shared" si="36"/>
        <v>28</v>
      </c>
      <c r="G600" s="9" t="s">
        <v>1217</v>
      </c>
      <c r="H600" s="10">
        <v>680.33334693999996</v>
      </c>
      <c r="J600" t="s">
        <v>500</v>
      </c>
      <c r="K600">
        <v>120</v>
      </c>
      <c r="L600" s="11">
        <f t="shared" si="37"/>
        <v>3.2600533329752958E-4</v>
      </c>
      <c r="M600" s="11">
        <f t="shared" si="39"/>
        <v>0.95997829169088711</v>
      </c>
      <c r="N600" t="str">
        <f t="shared" si="38"/>
        <v>C</v>
      </c>
    </row>
    <row r="601" spans="1:14" x14ac:dyDescent="0.25">
      <c r="A601" s="1" t="s">
        <v>673</v>
      </c>
      <c r="B601" s="3">
        <v>32</v>
      </c>
      <c r="C601" s="1">
        <v>1</v>
      </c>
      <c r="D601" s="1">
        <v>0</v>
      </c>
      <c r="E601">
        <f t="shared" si="36"/>
        <v>32</v>
      </c>
      <c r="G601" s="9" t="s">
        <v>813</v>
      </c>
      <c r="H601" s="10">
        <v>409</v>
      </c>
      <c r="J601" t="s">
        <v>711</v>
      </c>
      <c r="K601">
        <v>119.79</v>
      </c>
      <c r="L601" s="11">
        <f t="shared" si="37"/>
        <v>3.2543482396425895E-4</v>
      </c>
      <c r="M601" s="11">
        <f t="shared" si="39"/>
        <v>0.96030372651485141</v>
      </c>
      <c r="N601" t="str">
        <f t="shared" si="38"/>
        <v>C</v>
      </c>
    </row>
    <row r="602" spans="1:14" x14ac:dyDescent="0.25">
      <c r="A602" s="1" t="s">
        <v>674</v>
      </c>
      <c r="B602" s="3">
        <v>102</v>
      </c>
      <c r="C602" s="1">
        <v>1</v>
      </c>
      <c r="D602" s="1">
        <v>0</v>
      </c>
      <c r="E602">
        <f t="shared" si="36"/>
        <v>102</v>
      </c>
      <c r="G602" s="9" t="s">
        <v>1089</v>
      </c>
      <c r="H602" s="10">
        <v>274</v>
      </c>
      <c r="J602" t="s">
        <v>1167</v>
      </c>
      <c r="K602">
        <v>119</v>
      </c>
      <c r="L602" s="11">
        <f t="shared" si="37"/>
        <v>3.2328862218671683E-4</v>
      </c>
      <c r="M602" s="11">
        <f t="shared" si="39"/>
        <v>0.96062701513703808</v>
      </c>
      <c r="N602" t="str">
        <f t="shared" si="38"/>
        <v>C</v>
      </c>
    </row>
    <row r="603" spans="1:14" x14ac:dyDescent="0.25">
      <c r="A603" s="1" t="s">
        <v>675</v>
      </c>
      <c r="B603" s="3">
        <v>1706</v>
      </c>
      <c r="C603" s="1">
        <v>1</v>
      </c>
      <c r="D603" s="1">
        <v>0</v>
      </c>
      <c r="E603">
        <f t="shared" si="36"/>
        <v>1706</v>
      </c>
      <c r="G603" s="9" t="s">
        <v>146</v>
      </c>
      <c r="H603" s="10">
        <v>309</v>
      </c>
      <c r="J603" t="s">
        <v>832</v>
      </c>
      <c r="K603">
        <v>118</v>
      </c>
      <c r="L603" s="11">
        <f t="shared" si="37"/>
        <v>3.2057191107590414E-4</v>
      </c>
      <c r="M603" s="11">
        <f t="shared" si="39"/>
        <v>0.960947587048114</v>
      </c>
      <c r="N603" t="str">
        <f t="shared" si="38"/>
        <v>C</v>
      </c>
    </row>
    <row r="604" spans="1:14" x14ac:dyDescent="0.25">
      <c r="A604" s="1" t="s">
        <v>677</v>
      </c>
      <c r="B604" s="3">
        <v>339</v>
      </c>
      <c r="C604" s="1">
        <v>1</v>
      </c>
      <c r="D604" s="1">
        <v>0</v>
      </c>
      <c r="E604">
        <f t="shared" si="36"/>
        <v>339</v>
      </c>
      <c r="G604" s="9" t="s">
        <v>1007</v>
      </c>
      <c r="H604" s="10">
        <v>81</v>
      </c>
      <c r="J604" t="s">
        <v>801</v>
      </c>
      <c r="K604">
        <v>117.60000000000001</v>
      </c>
      <c r="L604" s="11">
        <f t="shared" si="37"/>
        <v>3.1948522663157906E-4</v>
      </c>
      <c r="M604" s="11">
        <f t="shared" si="39"/>
        <v>0.96126707227474562</v>
      </c>
      <c r="N604" t="str">
        <f t="shared" si="38"/>
        <v>C</v>
      </c>
    </row>
    <row r="605" spans="1:14" x14ac:dyDescent="0.25">
      <c r="A605" s="1" t="s">
        <v>678</v>
      </c>
      <c r="B605" s="3">
        <v>279</v>
      </c>
      <c r="C605" s="1">
        <v>1</v>
      </c>
      <c r="D605" s="1">
        <v>0</v>
      </c>
      <c r="E605">
        <f t="shared" si="36"/>
        <v>279</v>
      </c>
      <c r="G605" s="9" t="s">
        <v>268</v>
      </c>
      <c r="H605" s="10">
        <v>286</v>
      </c>
      <c r="J605" t="s">
        <v>1081</v>
      </c>
      <c r="K605">
        <v>117</v>
      </c>
      <c r="L605" s="11">
        <f t="shared" si="37"/>
        <v>3.1785519996509139E-4</v>
      </c>
      <c r="M605" s="11">
        <f t="shared" si="39"/>
        <v>0.96158492747471069</v>
      </c>
      <c r="N605" t="str">
        <f t="shared" si="38"/>
        <v>C</v>
      </c>
    </row>
    <row r="606" spans="1:14" x14ac:dyDescent="0.25">
      <c r="A606" s="1" t="s">
        <v>44</v>
      </c>
      <c r="B606" s="3">
        <v>58</v>
      </c>
      <c r="C606" s="1">
        <v>2</v>
      </c>
      <c r="D606" s="1">
        <v>0</v>
      </c>
      <c r="E606">
        <f t="shared" si="36"/>
        <v>116</v>
      </c>
      <c r="G606" s="9" t="s">
        <v>301</v>
      </c>
      <c r="H606" s="10">
        <v>210</v>
      </c>
      <c r="J606" t="s">
        <v>712</v>
      </c>
      <c r="K606">
        <v>117</v>
      </c>
      <c r="L606" s="11">
        <f t="shared" si="37"/>
        <v>3.1785519996509139E-4</v>
      </c>
      <c r="M606" s="11">
        <f t="shared" si="39"/>
        <v>0.96190278267467577</v>
      </c>
      <c r="N606" t="str">
        <f t="shared" si="38"/>
        <v>C</v>
      </c>
    </row>
    <row r="607" spans="1:14" x14ac:dyDescent="0.25">
      <c r="A607" s="1" t="s">
        <v>679</v>
      </c>
      <c r="B607" s="3">
        <v>1512</v>
      </c>
      <c r="C607" s="1">
        <v>0.33333332999999998</v>
      </c>
      <c r="D607" s="1">
        <v>0</v>
      </c>
      <c r="E607">
        <f t="shared" si="36"/>
        <v>503.99999495999998</v>
      </c>
      <c r="G607" s="9" t="s">
        <v>965</v>
      </c>
      <c r="H607" s="10">
        <v>25</v>
      </c>
      <c r="J607" t="s">
        <v>255</v>
      </c>
      <c r="K607">
        <v>115</v>
      </c>
      <c r="L607" s="11">
        <f t="shared" si="37"/>
        <v>3.1242177774346588E-4</v>
      </c>
      <c r="M607" s="11">
        <f t="shared" si="39"/>
        <v>0.96221520445241926</v>
      </c>
      <c r="N607" t="str">
        <f t="shared" si="38"/>
        <v>C</v>
      </c>
    </row>
    <row r="608" spans="1:14" x14ac:dyDescent="0.25">
      <c r="A608" s="1" t="s">
        <v>140</v>
      </c>
      <c r="B608" s="3">
        <v>0.01</v>
      </c>
      <c r="C608" s="1">
        <v>1</v>
      </c>
      <c r="D608" s="1">
        <v>0</v>
      </c>
      <c r="E608">
        <f t="shared" si="36"/>
        <v>0.01</v>
      </c>
      <c r="G608" s="9" t="s">
        <v>234</v>
      </c>
      <c r="H608" s="10">
        <v>66</v>
      </c>
      <c r="J608" t="s">
        <v>184</v>
      </c>
      <c r="K608">
        <v>115</v>
      </c>
      <c r="L608" s="11">
        <f t="shared" si="37"/>
        <v>3.1242177774346588E-4</v>
      </c>
      <c r="M608" s="11">
        <f t="shared" si="39"/>
        <v>0.96252762623016275</v>
      </c>
      <c r="N608" t="str">
        <f t="shared" si="38"/>
        <v>C</v>
      </c>
    </row>
    <row r="609" spans="1:14" x14ac:dyDescent="0.25">
      <c r="A609" s="1" t="s">
        <v>265</v>
      </c>
      <c r="B609" s="3">
        <v>48</v>
      </c>
      <c r="C609" s="1">
        <v>1</v>
      </c>
      <c r="D609" s="1">
        <v>4</v>
      </c>
      <c r="E609">
        <f t="shared" si="36"/>
        <v>44</v>
      </c>
      <c r="G609" s="9" t="s">
        <v>264</v>
      </c>
      <c r="H609" s="10">
        <v>156</v>
      </c>
      <c r="J609" t="s">
        <v>434</v>
      </c>
      <c r="K609">
        <v>114</v>
      </c>
      <c r="L609" s="11">
        <f t="shared" si="37"/>
        <v>3.0970506663265313E-4</v>
      </c>
      <c r="M609" s="11">
        <f t="shared" si="39"/>
        <v>0.96283733129679538</v>
      </c>
      <c r="N609" t="str">
        <f t="shared" si="38"/>
        <v>C</v>
      </c>
    </row>
    <row r="610" spans="1:14" x14ac:dyDescent="0.25">
      <c r="A610" s="1" t="s">
        <v>680</v>
      </c>
      <c r="B610" s="3">
        <v>224</v>
      </c>
      <c r="C610" s="1">
        <v>1</v>
      </c>
      <c r="D610" s="1">
        <v>11</v>
      </c>
      <c r="E610">
        <f t="shared" si="36"/>
        <v>213</v>
      </c>
      <c r="G610" s="9" t="s">
        <v>994</v>
      </c>
      <c r="H610" s="10">
        <v>86</v>
      </c>
      <c r="J610" t="s">
        <v>386</v>
      </c>
      <c r="K610">
        <v>111</v>
      </c>
      <c r="L610" s="11">
        <f t="shared" si="37"/>
        <v>3.0155493330021488E-4</v>
      </c>
      <c r="M610" s="11">
        <f t="shared" si="39"/>
        <v>0.96313888623009558</v>
      </c>
      <c r="N610" t="str">
        <f t="shared" si="38"/>
        <v>C</v>
      </c>
    </row>
    <row r="611" spans="1:14" x14ac:dyDescent="0.25">
      <c r="A611" s="1" t="s">
        <v>681</v>
      </c>
      <c r="B611" s="3">
        <v>226</v>
      </c>
      <c r="C611" s="1">
        <v>1</v>
      </c>
      <c r="D611" s="1">
        <v>22</v>
      </c>
      <c r="E611">
        <f t="shared" si="36"/>
        <v>204</v>
      </c>
      <c r="G611" s="9" t="s">
        <v>403</v>
      </c>
      <c r="H611" s="10">
        <v>17</v>
      </c>
      <c r="J611" t="s">
        <v>188</v>
      </c>
      <c r="K611">
        <v>111</v>
      </c>
      <c r="L611" s="11">
        <f t="shared" si="37"/>
        <v>3.0155493330021488E-4</v>
      </c>
      <c r="M611" s="11">
        <f t="shared" si="39"/>
        <v>0.96344044116339578</v>
      </c>
      <c r="N611" t="str">
        <f t="shared" si="38"/>
        <v>C</v>
      </c>
    </row>
    <row r="612" spans="1:14" x14ac:dyDescent="0.25">
      <c r="A612" s="1" t="s">
        <v>683</v>
      </c>
      <c r="B612" s="3">
        <v>935</v>
      </c>
      <c r="C612" s="1">
        <v>1</v>
      </c>
      <c r="D612" s="1">
        <v>93</v>
      </c>
      <c r="E612">
        <f t="shared" si="36"/>
        <v>842</v>
      </c>
      <c r="G612" s="9" t="s">
        <v>638</v>
      </c>
      <c r="H612" s="10">
        <v>173</v>
      </c>
      <c r="J612" t="s">
        <v>949</v>
      </c>
      <c r="K612">
        <v>110</v>
      </c>
      <c r="L612" s="11">
        <f t="shared" si="37"/>
        <v>2.9883822218940213E-4</v>
      </c>
      <c r="M612" s="11">
        <f t="shared" si="39"/>
        <v>0.96373927938558523</v>
      </c>
      <c r="N612" t="str">
        <f t="shared" si="38"/>
        <v>C</v>
      </c>
    </row>
    <row r="613" spans="1:14" x14ac:dyDescent="0.25">
      <c r="A613" s="1" t="s">
        <v>684</v>
      </c>
      <c r="B613" s="3">
        <v>818</v>
      </c>
      <c r="C613" s="1">
        <v>1</v>
      </c>
      <c r="D613" s="1">
        <v>57</v>
      </c>
      <c r="E613">
        <f t="shared" si="36"/>
        <v>761</v>
      </c>
      <c r="G613" s="9" t="s">
        <v>262</v>
      </c>
      <c r="H613" s="10">
        <v>68</v>
      </c>
      <c r="J613" t="s">
        <v>419</v>
      </c>
      <c r="K613">
        <v>109</v>
      </c>
      <c r="L613" s="11">
        <f t="shared" si="37"/>
        <v>2.9612151107858938E-4</v>
      </c>
      <c r="M613" s="11">
        <f t="shared" si="39"/>
        <v>0.96403540089666384</v>
      </c>
      <c r="N613" t="str">
        <f t="shared" si="38"/>
        <v>C</v>
      </c>
    </row>
    <row r="614" spans="1:14" x14ac:dyDescent="0.25">
      <c r="A614" s="1" t="s">
        <v>78</v>
      </c>
      <c r="B614" s="3">
        <v>174</v>
      </c>
      <c r="C614" s="1">
        <v>1</v>
      </c>
      <c r="D614" s="1">
        <v>8</v>
      </c>
      <c r="E614">
        <f t="shared" si="36"/>
        <v>166</v>
      </c>
      <c r="G614" s="9" t="s">
        <v>500</v>
      </c>
      <c r="H614" s="10">
        <v>120</v>
      </c>
      <c r="J614" t="s">
        <v>874</v>
      </c>
      <c r="K614">
        <v>109</v>
      </c>
      <c r="L614" s="11">
        <f t="shared" si="37"/>
        <v>2.9612151107858938E-4</v>
      </c>
      <c r="M614" s="11">
        <f t="shared" si="39"/>
        <v>0.96433152240774245</v>
      </c>
      <c r="N614" t="str">
        <f t="shared" si="38"/>
        <v>C</v>
      </c>
    </row>
    <row r="615" spans="1:14" x14ac:dyDescent="0.25">
      <c r="A615" s="1" t="s">
        <v>304</v>
      </c>
      <c r="B615" s="3">
        <v>443</v>
      </c>
      <c r="C615" s="1">
        <v>1</v>
      </c>
      <c r="D615" s="1">
        <v>22</v>
      </c>
      <c r="E615">
        <f t="shared" si="36"/>
        <v>421</v>
      </c>
      <c r="G615" s="9" t="s">
        <v>400</v>
      </c>
      <c r="H615" s="10">
        <v>149</v>
      </c>
      <c r="J615" t="s">
        <v>970</v>
      </c>
      <c r="K615">
        <v>108.80000000000001</v>
      </c>
      <c r="L615" s="11">
        <f t="shared" si="37"/>
        <v>2.955781688564269E-4</v>
      </c>
      <c r="M615" s="11">
        <f t="shared" si="39"/>
        <v>0.96462710057659884</v>
      </c>
      <c r="N615" t="str">
        <f t="shared" si="38"/>
        <v>C</v>
      </c>
    </row>
    <row r="616" spans="1:14" x14ac:dyDescent="0.25">
      <c r="A616" s="1" t="s">
        <v>304</v>
      </c>
      <c r="B616" s="3">
        <v>443</v>
      </c>
      <c r="C616" s="1">
        <v>1</v>
      </c>
      <c r="D616" s="1">
        <v>22</v>
      </c>
      <c r="E616">
        <f t="shared" si="36"/>
        <v>421</v>
      </c>
      <c r="G616" s="9" t="s">
        <v>427</v>
      </c>
      <c r="H616" s="10">
        <v>585</v>
      </c>
      <c r="J616" t="s">
        <v>916</v>
      </c>
      <c r="K616">
        <v>108.66</v>
      </c>
      <c r="L616" s="11">
        <f t="shared" si="37"/>
        <v>2.9519782930091307E-4</v>
      </c>
      <c r="M616" s="11">
        <f t="shared" si="39"/>
        <v>0.96492229840589971</v>
      </c>
      <c r="N616" t="str">
        <f t="shared" si="38"/>
        <v>C</v>
      </c>
    </row>
    <row r="617" spans="1:14" x14ac:dyDescent="0.25">
      <c r="A617" s="1" t="s">
        <v>686</v>
      </c>
      <c r="B617" s="3">
        <v>172.5</v>
      </c>
      <c r="C617" s="1">
        <v>1</v>
      </c>
      <c r="D617" s="1">
        <v>8.5</v>
      </c>
      <c r="E617">
        <f t="shared" si="36"/>
        <v>164</v>
      </c>
      <c r="G617" s="9" t="s">
        <v>431</v>
      </c>
      <c r="H617" s="10">
        <v>498</v>
      </c>
      <c r="J617" t="s">
        <v>326</v>
      </c>
      <c r="K617">
        <v>108</v>
      </c>
      <c r="L617" s="11">
        <f t="shared" si="37"/>
        <v>2.9340479996777663E-4</v>
      </c>
      <c r="M617" s="11">
        <f t="shared" si="39"/>
        <v>0.96521570320586747</v>
      </c>
      <c r="N617" t="str">
        <f t="shared" si="38"/>
        <v>C</v>
      </c>
    </row>
    <row r="618" spans="1:14" x14ac:dyDescent="0.25">
      <c r="A618" s="1" t="s">
        <v>686</v>
      </c>
      <c r="B618" s="3">
        <v>167.08</v>
      </c>
      <c r="C618" s="1">
        <v>1</v>
      </c>
      <c r="D618" s="1">
        <v>8.08</v>
      </c>
      <c r="E618">
        <f t="shared" si="36"/>
        <v>159</v>
      </c>
      <c r="G618" s="9" t="s">
        <v>173</v>
      </c>
      <c r="H618" s="10">
        <v>222</v>
      </c>
      <c r="J618" t="s">
        <v>1078</v>
      </c>
      <c r="K618">
        <v>107.80000000000001</v>
      </c>
      <c r="L618" s="11">
        <f t="shared" si="37"/>
        <v>2.9286145774561415E-4</v>
      </c>
      <c r="M618" s="11">
        <f t="shared" si="39"/>
        <v>0.96550856466361312</v>
      </c>
      <c r="N618" t="str">
        <f t="shared" si="38"/>
        <v>C</v>
      </c>
    </row>
    <row r="619" spans="1:14" x14ac:dyDescent="0.25">
      <c r="A619" s="1" t="s">
        <v>689</v>
      </c>
      <c r="B619" s="3">
        <v>499</v>
      </c>
      <c r="C619" s="1">
        <v>1</v>
      </c>
      <c r="D619" s="1">
        <v>24</v>
      </c>
      <c r="E619">
        <f t="shared" si="36"/>
        <v>475</v>
      </c>
      <c r="G619" s="9" t="s">
        <v>856</v>
      </c>
      <c r="H619" s="10">
        <v>44</v>
      </c>
      <c r="J619" t="s">
        <v>1112</v>
      </c>
      <c r="K619">
        <v>107</v>
      </c>
      <c r="L619" s="11">
        <f t="shared" si="37"/>
        <v>2.9068808885696388E-4</v>
      </c>
      <c r="M619" s="11">
        <f t="shared" si="39"/>
        <v>0.96579925275247014</v>
      </c>
      <c r="N619" t="str">
        <f t="shared" si="38"/>
        <v>C</v>
      </c>
    </row>
    <row r="620" spans="1:14" x14ac:dyDescent="0.25">
      <c r="A620" s="1" t="s">
        <v>689</v>
      </c>
      <c r="B620" s="3">
        <v>499</v>
      </c>
      <c r="C620" s="1">
        <v>1</v>
      </c>
      <c r="D620" s="1">
        <v>24</v>
      </c>
      <c r="E620">
        <f t="shared" si="36"/>
        <v>475</v>
      </c>
      <c r="G620" s="9" t="s">
        <v>957</v>
      </c>
      <c r="H620" s="10">
        <v>166.04</v>
      </c>
      <c r="J620" t="s">
        <v>383</v>
      </c>
      <c r="K620">
        <v>107</v>
      </c>
      <c r="L620" s="11">
        <f t="shared" si="37"/>
        <v>2.9068808885696388E-4</v>
      </c>
      <c r="M620" s="11">
        <f t="shared" si="39"/>
        <v>0.96608994084132715</v>
      </c>
      <c r="N620" t="str">
        <f t="shared" si="38"/>
        <v>C</v>
      </c>
    </row>
    <row r="621" spans="1:14" x14ac:dyDescent="0.25">
      <c r="A621" s="1" t="s">
        <v>690</v>
      </c>
      <c r="B621" s="3">
        <v>698</v>
      </c>
      <c r="C621" s="1">
        <v>1</v>
      </c>
      <c r="D621" s="1">
        <v>69</v>
      </c>
      <c r="E621">
        <f t="shared" si="36"/>
        <v>629</v>
      </c>
      <c r="G621" s="9" t="s">
        <v>1215</v>
      </c>
      <c r="H621" s="10">
        <v>1021.99998978</v>
      </c>
      <c r="J621" t="s">
        <v>797</v>
      </c>
      <c r="K621">
        <v>106</v>
      </c>
      <c r="L621" s="11">
        <f t="shared" si="37"/>
        <v>2.8797137774615113E-4</v>
      </c>
      <c r="M621" s="11">
        <f t="shared" si="39"/>
        <v>0.96637791221907332</v>
      </c>
      <c r="N621" t="str">
        <f t="shared" si="38"/>
        <v>C</v>
      </c>
    </row>
    <row r="622" spans="1:14" x14ac:dyDescent="0.25">
      <c r="A622" s="1" t="s">
        <v>692</v>
      </c>
      <c r="B622" s="3">
        <v>385</v>
      </c>
      <c r="C622" s="1">
        <v>1</v>
      </c>
      <c r="D622" s="1">
        <v>26</v>
      </c>
      <c r="E622">
        <f t="shared" si="36"/>
        <v>359</v>
      </c>
      <c r="G622" s="9" t="s">
        <v>918</v>
      </c>
      <c r="H622" s="10">
        <v>1071.6666559499999</v>
      </c>
      <c r="J622" t="s">
        <v>87</v>
      </c>
      <c r="K622">
        <v>106</v>
      </c>
      <c r="L622" s="11">
        <f t="shared" si="37"/>
        <v>2.8797137774615113E-4</v>
      </c>
      <c r="M622" s="11">
        <f t="shared" si="39"/>
        <v>0.96666588359681949</v>
      </c>
      <c r="N622" t="str">
        <f t="shared" si="38"/>
        <v>C</v>
      </c>
    </row>
    <row r="623" spans="1:14" x14ac:dyDescent="0.25">
      <c r="A623" s="1" t="s">
        <v>693</v>
      </c>
      <c r="B623" s="3">
        <v>1111</v>
      </c>
      <c r="C623" s="1">
        <v>1</v>
      </c>
      <c r="D623" s="1">
        <v>77</v>
      </c>
      <c r="E623">
        <f t="shared" si="36"/>
        <v>1034</v>
      </c>
      <c r="G623" s="9" t="s">
        <v>1038</v>
      </c>
      <c r="H623" s="10">
        <v>1147</v>
      </c>
      <c r="J623" t="s">
        <v>561</v>
      </c>
      <c r="K623">
        <v>106</v>
      </c>
      <c r="L623" s="11">
        <f t="shared" si="37"/>
        <v>2.8797137774615113E-4</v>
      </c>
      <c r="M623" s="11">
        <f t="shared" si="39"/>
        <v>0.96695385497456565</v>
      </c>
      <c r="N623" t="str">
        <f t="shared" si="38"/>
        <v>C</v>
      </c>
    </row>
    <row r="624" spans="1:14" x14ac:dyDescent="0.25">
      <c r="A624" s="1" t="s">
        <v>72</v>
      </c>
      <c r="B624" s="3">
        <v>25</v>
      </c>
      <c r="C624" s="1">
        <v>1</v>
      </c>
      <c r="D624" s="1">
        <v>1</v>
      </c>
      <c r="E624">
        <f t="shared" si="36"/>
        <v>24</v>
      </c>
      <c r="G624" s="9" t="s">
        <v>1086</v>
      </c>
      <c r="H624" s="10">
        <v>72</v>
      </c>
      <c r="J624" t="s">
        <v>515</v>
      </c>
      <c r="K624">
        <v>105</v>
      </c>
      <c r="L624" s="11">
        <f t="shared" si="37"/>
        <v>2.8525466663533838E-4</v>
      </c>
      <c r="M624" s="11">
        <f t="shared" si="39"/>
        <v>0.96723910964120097</v>
      </c>
      <c r="N624" t="str">
        <f t="shared" si="38"/>
        <v>C</v>
      </c>
    </row>
    <row r="625" spans="1:14" x14ac:dyDescent="0.25">
      <c r="A625" s="1" t="s">
        <v>437</v>
      </c>
      <c r="B625" s="3">
        <v>14</v>
      </c>
      <c r="C625" s="1">
        <v>1</v>
      </c>
      <c r="D625" s="1">
        <v>1</v>
      </c>
      <c r="E625">
        <f t="shared" si="36"/>
        <v>13</v>
      </c>
      <c r="G625" s="9" t="s">
        <v>337</v>
      </c>
      <c r="H625" s="10">
        <v>439</v>
      </c>
      <c r="J625" t="s">
        <v>448</v>
      </c>
      <c r="K625">
        <v>104</v>
      </c>
      <c r="L625" s="11">
        <f t="shared" si="37"/>
        <v>2.8253795552452568E-4</v>
      </c>
      <c r="M625" s="11">
        <f t="shared" si="39"/>
        <v>0.96752164759672554</v>
      </c>
      <c r="N625" t="str">
        <f t="shared" si="38"/>
        <v>C</v>
      </c>
    </row>
    <row r="626" spans="1:14" x14ac:dyDescent="0.25">
      <c r="A626" s="1" t="s">
        <v>222</v>
      </c>
      <c r="B626" s="3">
        <v>14</v>
      </c>
      <c r="C626" s="1">
        <v>2</v>
      </c>
      <c r="D626" s="1">
        <v>2</v>
      </c>
      <c r="E626">
        <f t="shared" si="36"/>
        <v>26</v>
      </c>
      <c r="G626" s="9" t="s">
        <v>237</v>
      </c>
      <c r="H626" s="10">
        <v>450</v>
      </c>
      <c r="J626" t="s">
        <v>647</v>
      </c>
      <c r="K626">
        <v>104</v>
      </c>
      <c r="L626" s="11">
        <f t="shared" si="37"/>
        <v>2.8253795552452568E-4</v>
      </c>
      <c r="M626" s="11">
        <f t="shared" si="39"/>
        <v>0.96780418555225012</v>
      </c>
      <c r="N626" t="str">
        <f t="shared" si="38"/>
        <v>C</v>
      </c>
    </row>
    <row r="627" spans="1:14" x14ac:dyDescent="0.25">
      <c r="A627" s="1" t="s">
        <v>695</v>
      </c>
      <c r="B627" s="3">
        <v>781</v>
      </c>
      <c r="C627" s="1">
        <v>1</v>
      </c>
      <c r="D627" s="1">
        <v>78</v>
      </c>
      <c r="E627">
        <f t="shared" si="36"/>
        <v>703</v>
      </c>
      <c r="G627" s="9" t="s">
        <v>534</v>
      </c>
      <c r="H627" s="10">
        <v>722</v>
      </c>
      <c r="J627" t="s">
        <v>811</v>
      </c>
      <c r="K627">
        <v>104</v>
      </c>
      <c r="L627" s="11">
        <f t="shared" si="37"/>
        <v>2.8253795552452568E-4</v>
      </c>
      <c r="M627" s="11">
        <f t="shared" si="39"/>
        <v>0.96808672350777469</v>
      </c>
      <c r="N627" t="str">
        <f t="shared" si="38"/>
        <v>C</v>
      </c>
    </row>
    <row r="628" spans="1:14" x14ac:dyDescent="0.25">
      <c r="A628" s="1" t="s">
        <v>696</v>
      </c>
      <c r="B628" s="3">
        <v>98</v>
      </c>
      <c r="C628" s="1">
        <v>1</v>
      </c>
      <c r="D628" s="1">
        <v>4</v>
      </c>
      <c r="E628">
        <f t="shared" si="36"/>
        <v>94</v>
      </c>
      <c r="G628" s="9" t="s">
        <v>678</v>
      </c>
      <c r="H628" s="10">
        <v>279</v>
      </c>
      <c r="J628" t="s">
        <v>1044</v>
      </c>
      <c r="K628">
        <v>103</v>
      </c>
      <c r="L628" s="11">
        <f t="shared" si="37"/>
        <v>2.7982124441371293E-4</v>
      </c>
      <c r="M628" s="11">
        <f t="shared" si="39"/>
        <v>0.96836654475218842</v>
      </c>
      <c r="N628" t="str">
        <f t="shared" si="38"/>
        <v>C</v>
      </c>
    </row>
    <row r="629" spans="1:14" x14ac:dyDescent="0.25">
      <c r="A629" s="1" t="s">
        <v>698</v>
      </c>
      <c r="B629" s="3">
        <v>79</v>
      </c>
      <c r="C629" s="1">
        <v>1</v>
      </c>
      <c r="D629" s="1">
        <v>0</v>
      </c>
      <c r="E629">
        <f t="shared" si="36"/>
        <v>79</v>
      </c>
      <c r="G629" s="9" t="s">
        <v>468</v>
      </c>
      <c r="H629" s="10">
        <v>199</v>
      </c>
      <c r="J629" t="s">
        <v>1139</v>
      </c>
      <c r="K629">
        <v>103</v>
      </c>
      <c r="L629" s="11">
        <f t="shared" si="37"/>
        <v>2.7982124441371293E-4</v>
      </c>
      <c r="M629" s="11">
        <f t="shared" si="39"/>
        <v>0.96864636599660214</v>
      </c>
      <c r="N629" t="str">
        <f t="shared" si="38"/>
        <v>C</v>
      </c>
    </row>
    <row r="630" spans="1:14" x14ac:dyDescent="0.25">
      <c r="A630" s="1" t="s">
        <v>33</v>
      </c>
      <c r="B630" s="3">
        <v>475</v>
      </c>
      <c r="C630" s="1">
        <v>1</v>
      </c>
      <c r="D630" s="1">
        <v>23</v>
      </c>
      <c r="E630">
        <f t="shared" si="36"/>
        <v>452</v>
      </c>
      <c r="G630" s="9" t="s">
        <v>341</v>
      </c>
      <c r="H630" s="10">
        <v>172</v>
      </c>
      <c r="J630" t="s">
        <v>674</v>
      </c>
      <c r="K630">
        <v>102</v>
      </c>
      <c r="L630" s="11">
        <f t="shared" si="37"/>
        <v>2.7710453330290018E-4</v>
      </c>
      <c r="M630" s="11">
        <f t="shared" si="39"/>
        <v>0.96892347052990502</v>
      </c>
      <c r="N630" t="str">
        <f t="shared" si="38"/>
        <v>C</v>
      </c>
    </row>
    <row r="631" spans="1:14" x14ac:dyDescent="0.25">
      <c r="A631" s="1" t="s">
        <v>699</v>
      </c>
      <c r="B631" s="3">
        <v>353</v>
      </c>
      <c r="C631" s="1">
        <v>1</v>
      </c>
      <c r="D631" s="1">
        <v>24</v>
      </c>
      <c r="E631">
        <f t="shared" si="36"/>
        <v>329</v>
      </c>
      <c r="G631" s="9" t="s">
        <v>240</v>
      </c>
      <c r="H631" s="10">
        <v>948</v>
      </c>
      <c r="J631" t="s">
        <v>307</v>
      </c>
      <c r="K631">
        <v>102</v>
      </c>
      <c r="L631" s="11">
        <f t="shared" si="37"/>
        <v>2.7710453330290018E-4</v>
      </c>
      <c r="M631" s="11">
        <f t="shared" si="39"/>
        <v>0.96920057506320789</v>
      </c>
      <c r="N631" t="str">
        <f t="shared" si="38"/>
        <v>C</v>
      </c>
    </row>
    <row r="632" spans="1:14" x14ac:dyDescent="0.25">
      <c r="A632" s="1" t="s">
        <v>701</v>
      </c>
      <c r="B632" s="3">
        <v>270</v>
      </c>
      <c r="C632" s="1">
        <v>1</v>
      </c>
      <c r="D632" s="1">
        <v>13</v>
      </c>
      <c r="E632">
        <f t="shared" si="36"/>
        <v>257</v>
      </c>
      <c r="G632" s="9" t="s">
        <v>764</v>
      </c>
      <c r="H632" s="10">
        <v>132</v>
      </c>
      <c r="J632" t="s">
        <v>575</v>
      </c>
      <c r="K632">
        <v>102</v>
      </c>
      <c r="L632" s="11">
        <f t="shared" si="37"/>
        <v>2.7710453330290018E-4</v>
      </c>
      <c r="M632" s="11">
        <f t="shared" si="39"/>
        <v>0.96947767959651077</v>
      </c>
      <c r="N632" t="str">
        <f t="shared" si="38"/>
        <v>C</v>
      </c>
    </row>
    <row r="633" spans="1:14" x14ac:dyDescent="0.25">
      <c r="A633" s="1" t="s">
        <v>702</v>
      </c>
      <c r="B633" s="3">
        <v>250</v>
      </c>
      <c r="C633" s="1">
        <v>1</v>
      </c>
      <c r="D633" s="1">
        <v>12</v>
      </c>
      <c r="E633">
        <f t="shared" si="36"/>
        <v>238</v>
      </c>
      <c r="G633" s="9" t="s">
        <v>367</v>
      </c>
      <c r="H633" s="10">
        <v>40</v>
      </c>
      <c r="J633" t="s">
        <v>100</v>
      </c>
      <c r="K633">
        <v>102</v>
      </c>
      <c r="L633" s="11">
        <f t="shared" si="37"/>
        <v>2.7710453330290018E-4</v>
      </c>
      <c r="M633" s="11">
        <f t="shared" si="39"/>
        <v>0.96975478412981364</v>
      </c>
      <c r="N633" t="str">
        <f t="shared" si="38"/>
        <v>C</v>
      </c>
    </row>
    <row r="634" spans="1:14" x14ac:dyDescent="0.25">
      <c r="A634" s="1" t="s">
        <v>703</v>
      </c>
      <c r="B634" s="3">
        <v>1135</v>
      </c>
      <c r="C634" s="1">
        <v>1</v>
      </c>
      <c r="D634" s="1">
        <v>34</v>
      </c>
      <c r="E634">
        <f t="shared" si="36"/>
        <v>1101</v>
      </c>
      <c r="G634" s="9" t="s">
        <v>356</v>
      </c>
      <c r="H634" s="10">
        <v>77</v>
      </c>
      <c r="J634" t="s">
        <v>330</v>
      </c>
      <c r="K634">
        <v>102</v>
      </c>
      <c r="L634" s="11">
        <f t="shared" si="37"/>
        <v>2.7710453330290018E-4</v>
      </c>
      <c r="M634" s="11">
        <f t="shared" si="39"/>
        <v>0.97003188866311651</v>
      </c>
      <c r="N634" t="str">
        <f t="shared" si="38"/>
        <v>C</v>
      </c>
    </row>
    <row r="635" spans="1:14" x14ac:dyDescent="0.25">
      <c r="A635" s="1" t="s">
        <v>537</v>
      </c>
      <c r="B635" s="3">
        <v>554</v>
      </c>
      <c r="C635" s="1">
        <v>0.1</v>
      </c>
      <c r="D635" s="1">
        <v>3.4</v>
      </c>
      <c r="E635">
        <f t="shared" si="36"/>
        <v>52.000000000000007</v>
      </c>
      <c r="G635" s="9" t="s">
        <v>358</v>
      </c>
      <c r="H635" s="10">
        <v>41</v>
      </c>
      <c r="J635" t="s">
        <v>1178</v>
      </c>
      <c r="K635">
        <v>102</v>
      </c>
      <c r="L635" s="11">
        <f t="shared" si="37"/>
        <v>2.7710453330290018E-4</v>
      </c>
      <c r="M635" s="11">
        <f t="shared" si="39"/>
        <v>0.97030899319641939</v>
      </c>
      <c r="N635" t="str">
        <f t="shared" si="38"/>
        <v>C</v>
      </c>
    </row>
    <row r="636" spans="1:14" x14ac:dyDescent="0.25">
      <c r="A636" s="1" t="s">
        <v>704</v>
      </c>
      <c r="B636" s="3">
        <v>43</v>
      </c>
      <c r="C636" s="1">
        <v>1</v>
      </c>
      <c r="D636" s="1">
        <v>0</v>
      </c>
      <c r="E636">
        <f t="shared" si="36"/>
        <v>43</v>
      </c>
      <c r="G636" s="9" t="s">
        <v>863</v>
      </c>
      <c r="H636" s="10">
        <v>265</v>
      </c>
      <c r="J636" t="s">
        <v>1147</v>
      </c>
      <c r="K636">
        <v>101</v>
      </c>
      <c r="L636" s="11">
        <f t="shared" si="37"/>
        <v>2.7438782219208743E-4</v>
      </c>
      <c r="M636" s="11">
        <f t="shared" si="39"/>
        <v>0.97058338101861152</v>
      </c>
      <c r="N636" t="str">
        <f t="shared" si="38"/>
        <v>C</v>
      </c>
    </row>
    <row r="637" spans="1:14" x14ac:dyDescent="0.25">
      <c r="A637" s="1" t="s">
        <v>247</v>
      </c>
      <c r="B637" s="3">
        <v>25</v>
      </c>
      <c r="C637" s="1">
        <v>1</v>
      </c>
      <c r="D637" s="1">
        <v>0</v>
      </c>
      <c r="E637">
        <f t="shared" si="36"/>
        <v>25</v>
      </c>
      <c r="G637" s="9" t="s">
        <v>1071</v>
      </c>
      <c r="H637" s="10">
        <v>295.23</v>
      </c>
      <c r="J637" t="s">
        <v>973</v>
      </c>
      <c r="K637">
        <v>101</v>
      </c>
      <c r="L637" s="11">
        <f t="shared" si="37"/>
        <v>2.7438782219208743E-4</v>
      </c>
      <c r="M637" s="11">
        <f t="shared" si="39"/>
        <v>0.97085776884080366</v>
      </c>
      <c r="N637" t="str">
        <f t="shared" si="38"/>
        <v>C</v>
      </c>
    </row>
    <row r="638" spans="1:14" x14ac:dyDescent="0.25">
      <c r="A638" s="1" t="s">
        <v>624</v>
      </c>
      <c r="B638" s="3">
        <v>36</v>
      </c>
      <c r="C638" s="1">
        <v>1</v>
      </c>
      <c r="D638" s="1">
        <v>0</v>
      </c>
      <c r="E638">
        <f t="shared" si="36"/>
        <v>36</v>
      </c>
      <c r="G638" s="9" t="s">
        <v>1222</v>
      </c>
      <c r="H638" s="10">
        <v>322</v>
      </c>
      <c r="J638" t="s">
        <v>1091</v>
      </c>
      <c r="K638">
        <v>101</v>
      </c>
      <c r="L638" s="11">
        <f t="shared" si="37"/>
        <v>2.7438782219208743E-4</v>
      </c>
      <c r="M638" s="11">
        <f t="shared" si="39"/>
        <v>0.97113215666299579</v>
      </c>
      <c r="N638" t="str">
        <f t="shared" si="38"/>
        <v>C</v>
      </c>
    </row>
    <row r="639" spans="1:14" x14ac:dyDescent="0.25">
      <c r="A639" s="1" t="s">
        <v>707</v>
      </c>
      <c r="B639" s="3">
        <v>589</v>
      </c>
      <c r="C639" s="1">
        <v>1</v>
      </c>
      <c r="D639" s="1">
        <v>17</v>
      </c>
      <c r="E639">
        <f t="shared" si="36"/>
        <v>572</v>
      </c>
      <c r="G639" s="9" t="s">
        <v>977</v>
      </c>
      <c r="H639" s="10">
        <v>207</v>
      </c>
      <c r="J639" t="s">
        <v>875</v>
      </c>
      <c r="K639">
        <v>101</v>
      </c>
      <c r="L639" s="11">
        <f t="shared" si="37"/>
        <v>2.7438782219208743E-4</v>
      </c>
      <c r="M639" s="11">
        <f t="shared" si="39"/>
        <v>0.97140654448518793</v>
      </c>
      <c r="N639" t="str">
        <f t="shared" si="38"/>
        <v>C</v>
      </c>
    </row>
    <row r="640" spans="1:14" x14ac:dyDescent="0.25">
      <c r="A640" s="1" t="s">
        <v>65</v>
      </c>
      <c r="B640" s="3">
        <v>301</v>
      </c>
      <c r="C640" s="1">
        <v>1</v>
      </c>
      <c r="D640" s="1">
        <v>15</v>
      </c>
      <c r="E640">
        <f t="shared" si="36"/>
        <v>286</v>
      </c>
      <c r="G640" s="9" t="s">
        <v>1193</v>
      </c>
      <c r="H640" s="10">
        <v>285</v>
      </c>
      <c r="J640" t="s">
        <v>557</v>
      </c>
      <c r="K640">
        <v>100</v>
      </c>
      <c r="L640" s="11">
        <f t="shared" si="37"/>
        <v>2.7167111108127468E-4</v>
      </c>
      <c r="M640" s="11">
        <f t="shared" si="39"/>
        <v>0.97167821559626921</v>
      </c>
      <c r="N640" t="str">
        <f t="shared" si="38"/>
        <v>C</v>
      </c>
    </row>
    <row r="641" spans="1:14" x14ac:dyDescent="0.25">
      <c r="A641" s="1" t="s">
        <v>708</v>
      </c>
      <c r="B641" s="3">
        <v>1036</v>
      </c>
      <c r="C641" s="1">
        <v>1</v>
      </c>
      <c r="D641" s="1">
        <v>31</v>
      </c>
      <c r="E641">
        <f t="shared" si="36"/>
        <v>1005</v>
      </c>
      <c r="G641" s="9" t="s">
        <v>795</v>
      </c>
      <c r="H641" s="10">
        <v>183</v>
      </c>
      <c r="J641" t="s">
        <v>632</v>
      </c>
      <c r="K641">
        <v>100</v>
      </c>
      <c r="L641" s="11">
        <f t="shared" si="37"/>
        <v>2.7167111108127468E-4</v>
      </c>
      <c r="M641" s="11">
        <f t="shared" si="39"/>
        <v>0.9719498867073505</v>
      </c>
      <c r="N641" t="str">
        <f t="shared" si="38"/>
        <v>C</v>
      </c>
    </row>
    <row r="642" spans="1:14" x14ac:dyDescent="0.25">
      <c r="A642" s="1" t="s">
        <v>602</v>
      </c>
      <c r="B642" s="3">
        <v>656</v>
      </c>
      <c r="C642" s="1">
        <v>0.25</v>
      </c>
      <c r="D642" s="1">
        <v>4</v>
      </c>
      <c r="E642">
        <f t="shared" si="36"/>
        <v>160</v>
      </c>
      <c r="G642" s="9" t="s">
        <v>157</v>
      </c>
      <c r="H642" s="10">
        <v>488</v>
      </c>
      <c r="J642" t="s">
        <v>443</v>
      </c>
      <c r="K642">
        <v>100</v>
      </c>
      <c r="L642" s="11">
        <f t="shared" si="37"/>
        <v>2.7167111108127468E-4</v>
      </c>
      <c r="M642" s="11">
        <f t="shared" si="39"/>
        <v>0.97222155781843178</v>
      </c>
      <c r="N642" t="str">
        <f t="shared" si="38"/>
        <v>C</v>
      </c>
    </row>
    <row r="643" spans="1:14" x14ac:dyDescent="0.25">
      <c r="A643" s="1" t="s">
        <v>709</v>
      </c>
      <c r="B643" s="3">
        <v>43.5</v>
      </c>
      <c r="C643" s="1">
        <v>1</v>
      </c>
      <c r="D643" s="1">
        <v>0</v>
      </c>
      <c r="E643">
        <f t="shared" ref="E643:E706" si="40">C643*B643-D643</f>
        <v>43.5</v>
      </c>
      <c r="G643" s="9" t="s">
        <v>842</v>
      </c>
      <c r="H643" s="10">
        <v>1440</v>
      </c>
      <c r="J643" t="s">
        <v>118</v>
      </c>
      <c r="K643">
        <v>100</v>
      </c>
      <c r="L643" s="11">
        <f t="shared" ref="L643:L706" si="41">K643/SUM($K$2:$K$804)</f>
        <v>2.7167111108127468E-4</v>
      </c>
      <c r="M643" s="11">
        <f t="shared" si="39"/>
        <v>0.97249322892951306</v>
      </c>
      <c r="N643" t="str">
        <f t="shared" ref="N643:N706" si="42">IF(M643&lt;0.8, "A", IF(M643&lt;0.95,"B","C"))</f>
        <v>C</v>
      </c>
    </row>
    <row r="644" spans="1:14" x14ac:dyDescent="0.25">
      <c r="A644" s="1" t="s">
        <v>709</v>
      </c>
      <c r="B644" s="3">
        <v>43.5</v>
      </c>
      <c r="C644" s="1">
        <v>1</v>
      </c>
      <c r="D644" s="1">
        <v>1.5</v>
      </c>
      <c r="E644">
        <f t="shared" si="40"/>
        <v>42</v>
      </c>
      <c r="G644" s="9" t="s">
        <v>216</v>
      </c>
      <c r="H644" s="10">
        <v>155</v>
      </c>
      <c r="J644" t="s">
        <v>74</v>
      </c>
      <c r="K644">
        <v>100</v>
      </c>
      <c r="L644" s="11">
        <f t="shared" si="41"/>
        <v>2.7167111108127468E-4</v>
      </c>
      <c r="M644" s="11">
        <f t="shared" ref="M644:M707" si="43">L644+M643</f>
        <v>0.97276490004059435</v>
      </c>
      <c r="N644" t="str">
        <f t="shared" si="42"/>
        <v>C</v>
      </c>
    </row>
    <row r="645" spans="1:14" x14ac:dyDescent="0.25">
      <c r="A645" s="1" t="s">
        <v>710</v>
      </c>
      <c r="B645" s="3">
        <v>43</v>
      </c>
      <c r="C645" s="1">
        <v>1</v>
      </c>
      <c r="D645" s="1">
        <v>0</v>
      </c>
      <c r="E645">
        <f t="shared" si="40"/>
        <v>43</v>
      </c>
      <c r="G645" s="9" t="s">
        <v>290</v>
      </c>
      <c r="H645" s="10">
        <v>270</v>
      </c>
      <c r="J645" t="s">
        <v>72</v>
      </c>
      <c r="K645">
        <v>100</v>
      </c>
      <c r="L645" s="11">
        <f t="shared" si="41"/>
        <v>2.7167111108127468E-4</v>
      </c>
      <c r="M645" s="11">
        <f t="shared" si="43"/>
        <v>0.97303657115167563</v>
      </c>
      <c r="N645" t="str">
        <f t="shared" si="42"/>
        <v>C</v>
      </c>
    </row>
    <row r="646" spans="1:14" x14ac:dyDescent="0.25">
      <c r="A646" s="1" t="s">
        <v>711</v>
      </c>
      <c r="B646" s="3">
        <v>1089</v>
      </c>
      <c r="C646" s="1">
        <v>0.03</v>
      </c>
      <c r="D646" s="1">
        <v>0</v>
      </c>
      <c r="E646">
        <f t="shared" si="40"/>
        <v>32.67</v>
      </c>
      <c r="G646" s="9" t="s">
        <v>787</v>
      </c>
      <c r="H646" s="10">
        <v>468</v>
      </c>
      <c r="J646" t="s">
        <v>573</v>
      </c>
      <c r="K646">
        <v>99</v>
      </c>
      <c r="L646" s="11">
        <f t="shared" si="41"/>
        <v>2.6895439997046193E-4</v>
      </c>
      <c r="M646" s="11">
        <f t="shared" si="43"/>
        <v>0.97330552555164607</v>
      </c>
      <c r="N646" t="str">
        <f t="shared" si="42"/>
        <v>C</v>
      </c>
    </row>
    <row r="647" spans="1:14" x14ac:dyDescent="0.25">
      <c r="A647" s="1" t="s">
        <v>116</v>
      </c>
      <c r="B647" s="3">
        <v>58</v>
      </c>
      <c r="C647" s="1">
        <v>1</v>
      </c>
      <c r="D647" s="1">
        <v>0</v>
      </c>
      <c r="E647">
        <f t="shared" si="40"/>
        <v>58</v>
      </c>
      <c r="G647" s="9" t="s">
        <v>1023</v>
      </c>
      <c r="H647" s="10">
        <v>189</v>
      </c>
      <c r="J647" t="s">
        <v>910</v>
      </c>
      <c r="K647">
        <v>98</v>
      </c>
      <c r="L647" s="11">
        <f t="shared" si="41"/>
        <v>2.6623768885964918E-4</v>
      </c>
      <c r="M647" s="11">
        <f t="shared" si="43"/>
        <v>0.97357176324050576</v>
      </c>
      <c r="N647" t="str">
        <f t="shared" si="42"/>
        <v>C</v>
      </c>
    </row>
    <row r="648" spans="1:14" x14ac:dyDescent="0.25">
      <c r="A648" s="1" t="s">
        <v>116</v>
      </c>
      <c r="B648" s="3">
        <v>58</v>
      </c>
      <c r="C648" s="1">
        <v>1</v>
      </c>
      <c r="D648" s="1">
        <v>0</v>
      </c>
      <c r="E648">
        <f t="shared" si="40"/>
        <v>58</v>
      </c>
      <c r="G648" s="9" t="s">
        <v>970</v>
      </c>
      <c r="H648" s="10">
        <v>108.80000000000001</v>
      </c>
      <c r="J648" t="s">
        <v>696</v>
      </c>
      <c r="K648">
        <v>98</v>
      </c>
      <c r="L648" s="11">
        <f t="shared" si="41"/>
        <v>2.6623768885964918E-4</v>
      </c>
      <c r="M648" s="11">
        <f t="shared" si="43"/>
        <v>0.97383800092936545</v>
      </c>
      <c r="N648" t="str">
        <f t="shared" si="42"/>
        <v>C</v>
      </c>
    </row>
    <row r="649" spans="1:14" x14ac:dyDescent="0.25">
      <c r="A649" s="1" t="s">
        <v>116</v>
      </c>
      <c r="B649" s="3">
        <v>58</v>
      </c>
      <c r="C649" s="1">
        <v>1</v>
      </c>
      <c r="D649" s="1">
        <v>0</v>
      </c>
      <c r="E649">
        <f t="shared" si="40"/>
        <v>58</v>
      </c>
      <c r="G649" s="9" t="s">
        <v>559</v>
      </c>
      <c r="H649" s="10">
        <v>226</v>
      </c>
      <c r="J649" t="s">
        <v>812</v>
      </c>
      <c r="K649">
        <v>98</v>
      </c>
      <c r="L649" s="11">
        <f t="shared" si="41"/>
        <v>2.6623768885964918E-4</v>
      </c>
      <c r="M649" s="11">
        <f t="shared" si="43"/>
        <v>0.97410423861822515</v>
      </c>
      <c r="N649" t="str">
        <f t="shared" si="42"/>
        <v>C</v>
      </c>
    </row>
    <row r="650" spans="1:14" x14ac:dyDescent="0.25">
      <c r="A650" s="1" t="s">
        <v>116</v>
      </c>
      <c r="B650" s="3">
        <v>58</v>
      </c>
      <c r="C650" s="1">
        <v>1</v>
      </c>
      <c r="D650" s="1">
        <v>5</v>
      </c>
      <c r="E650">
        <f t="shared" si="40"/>
        <v>53</v>
      </c>
      <c r="G650" s="9" t="s">
        <v>567</v>
      </c>
      <c r="H650" s="10">
        <v>475</v>
      </c>
      <c r="J650" t="s">
        <v>1102</v>
      </c>
      <c r="K650">
        <v>98</v>
      </c>
      <c r="L650" s="11">
        <f t="shared" si="41"/>
        <v>2.6623768885964918E-4</v>
      </c>
      <c r="M650" s="11">
        <f t="shared" si="43"/>
        <v>0.97437047630708484</v>
      </c>
      <c r="N650" t="str">
        <f t="shared" si="42"/>
        <v>C</v>
      </c>
    </row>
    <row r="651" spans="1:14" x14ac:dyDescent="0.25">
      <c r="A651" s="1" t="s">
        <v>116</v>
      </c>
      <c r="B651" s="3">
        <v>58</v>
      </c>
      <c r="C651" s="1">
        <v>1</v>
      </c>
      <c r="D651" s="1">
        <v>0</v>
      </c>
      <c r="E651">
        <f t="shared" si="40"/>
        <v>58</v>
      </c>
      <c r="G651" s="9" t="s">
        <v>571</v>
      </c>
      <c r="H651" s="10">
        <v>174</v>
      </c>
      <c r="J651" t="s">
        <v>460</v>
      </c>
      <c r="K651">
        <v>97</v>
      </c>
      <c r="L651" s="11">
        <f t="shared" si="41"/>
        <v>2.6352097774883643E-4</v>
      </c>
      <c r="M651" s="11">
        <f t="shared" si="43"/>
        <v>0.97463399728483369</v>
      </c>
      <c r="N651" t="str">
        <f t="shared" si="42"/>
        <v>C</v>
      </c>
    </row>
    <row r="652" spans="1:14" x14ac:dyDescent="0.25">
      <c r="A652" s="1" t="s">
        <v>712</v>
      </c>
      <c r="B652" s="3">
        <v>39</v>
      </c>
      <c r="C652" s="1">
        <v>1</v>
      </c>
      <c r="D652" s="1">
        <v>0</v>
      </c>
      <c r="E652">
        <f t="shared" si="40"/>
        <v>39</v>
      </c>
      <c r="G652" s="9" t="s">
        <v>102</v>
      </c>
      <c r="H652" s="10">
        <v>122</v>
      </c>
      <c r="J652" t="s">
        <v>729</v>
      </c>
      <c r="K652">
        <v>97</v>
      </c>
      <c r="L652" s="11">
        <f t="shared" si="41"/>
        <v>2.6352097774883643E-4</v>
      </c>
      <c r="M652" s="11">
        <f t="shared" si="43"/>
        <v>0.97489751826258253</v>
      </c>
      <c r="N652" t="str">
        <f t="shared" si="42"/>
        <v>C</v>
      </c>
    </row>
    <row r="653" spans="1:14" x14ac:dyDescent="0.25">
      <c r="A653" s="1" t="s">
        <v>712</v>
      </c>
      <c r="B653" s="3">
        <v>39</v>
      </c>
      <c r="C653" s="1">
        <v>1</v>
      </c>
      <c r="D653" s="1">
        <v>0</v>
      </c>
      <c r="E653">
        <f t="shared" si="40"/>
        <v>39</v>
      </c>
      <c r="G653" s="9" t="s">
        <v>568</v>
      </c>
      <c r="H653" s="10">
        <v>1590</v>
      </c>
      <c r="J653" t="s">
        <v>355</v>
      </c>
      <c r="K653">
        <v>96</v>
      </c>
      <c r="L653" s="11">
        <f t="shared" si="41"/>
        <v>2.6080426663802368E-4</v>
      </c>
      <c r="M653" s="11">
        <f t="shared" si="43"/>
        <v>0.97515832252922052</v>
      </c>
      <c r="N653" t="str">
        <f t="shared" si="42"/>
        <v>C</v>
      </c>
    </row>
    <row r="654" spans="1:14" x14ac:dyDescent="0.25">
      <c r="A654" s="1" t="s">
        <v>712</v>
      </c>
      <c r="B654" s="3">
        <v>39</v>
      </c>
      <c r="C654" s="1">
        <v>1</v>
      </c>
      <c r="D654" s="1">
        <v>0</v>
      </c>
      <c r="E654">
        <f t="shared" si="40"/>
        <v>39</v>
      </c>
      <c r="G654" s="9" t="s">
        <v>1042</v>
      </c>
      <c r="H654" s="10">
        <v>632</v>
      </c>
      <c r="J654" t="s">
        <v>860</v>
      </c>
      <c r="K654">
        <v>96</v>
      </c>
      <c r="L654" s="11">
        <f t="shared" si="41"/>
        <v>2.6080426663802368E-4</v>
      </c>
      <c r="M654" s="11">
        <f t="shared" si="43"/>
        <v>0.97541912679585852</v>
      </c>
      <c r="N654" t="str">
        <f t="shared" si="42"/>
        <v>C</v>
      </c>
    </row>
    <row r="655" spans="1:14" x14ac:dyDescent="0.25">
      <c r="A655" s="1" t="s">
        <v>91</v>
      </c>
      <c r="B655" s="3">
        <v>2</v>
      </c>
      <c r="C655" s="1">
        <v>1</v>
      </c>
      <c r="D655" s="1">
        <v>0</v>
      </c>
      <c r="E655">
        <f t="shared" si="40"/>
        <v>2</v>
      </c>
      <c r="G655" s="9" t="s">
        <v>757</v>
      </c>
      <c r="H655" s="10">
        <v>447</v>
      </c>
      <c r="J655" t="s">
        <v>814</v>
      </c>
      <c r="K655">
        <v>96</v>
      </c>
      <c r="L655" s="11">
        <f t="shared" si="41"/>
        <v>2.6080426663802368E-4</v>
      </c>
      <c r="M655" s="11">
        <f t="shared" si="43"/>
        <v>0.97567993106249651</v>
      </c>
      <c r="N655" t="str">
        <f t="shared" si="42"/>
        <v>C</v>
      </c>
    </row>
    <row r="656" spans="1:14" x14ac:dyDescent="0.25">
      <c r="A656" s="1" t="s">
        <v>91</v>
      </c>
      <c r="B656" s="3">
        <v>2</v>
      </c>
      <c r="C656" s="1">
        <v>1</v>
      </c>
      <c r="D656" s="1">
        <v>0</v>
      </c>
      <c r="E656">
        <f t="shared" si="40"/>
        <v>2</v>
      </c>
      <c r="G656" s="9" t="s">
        <v>1164</v>
      </c>
      <c r="H656" s="10">
        <v>363</v>
      </c>
      <c r="J656" t="s">
        <v>673</v>
      </c>
      <c r="K656">
        <v>96</v>
      </c>
      <c r="L656" s="11">
        <f t="shared" si="41"/>
        <v>2.6080426663802368E-4</v>
      </c>
      <c r="M656" s="11">
        <f t="shared" si="43"/>
        <v>0.9759407353291345</v>
      </c>
      <c r="N656" t="str">
        <f t="shared" si="42"/>
        <v>C</v>
      </c>
    </row>
    <row r="657" spans="1:14" x14ac:dyDescent="0.25">
      <c r="A657" s="1" t="s">
        <v>91</v>
      </c>
      <c r="B657" s="3">
        <v>2</v>
      </c>
      <c r="C657" s="1">
        <v>1</v>
      </c>
      <c r="D657" s="1">
        <v>0</v>
      </c>
      <c r="E657">
        <f t="shared" si="40"/>
        <v>2</v>
      </c>
      <c r="G657" s="9" t="s">
        <v>44</v>
      </c>
      <c r="H657" s="10">
        <v>232</v>
      </c>
      <c r="J657" t="s">
        <v>499</v>
      </c>
      <c r="K657">
        <v>95</v>
      </c>
      <c r="L657" s="11">
        <f t="shared" si="41"/>
        <v>2.5808755552721093E-4</v>
      </c>
      <c r="M657" s="11">
        <f t="shared" si="43"/>
        <v>0.97619882288466175</v>
      </c>
      <c r="N657" t="str">
        <f t="shared" si="42"/>
        <v>C</v>
      </c>
    </row>
    <row r="658" spans="1:14" x14ac:dyDescent="0.25">
      <c r="A658" s="1" t="s">
        <v>713</v>
      </c>
      <c r="B658" s="3">
        <v>538</v>
      </c>
      <c r="C658" s="1">
        <v>1</v>
      </c>
      <c r="D658" s="1">
        <v>0</v>
      </c>
      <c r="E658">
        <f t="shared" si="40"/>
        <v>538</v>
      </c>
      <c r="G658" s="9" t="s">
        <v>616</v>
      </c>
      <c r="H658" s="10">
        <v>1316</v>
      </c>
      <c r="J658" t="s">
        <v>119</v>
      </c>
      <c r="K658">
        <v>94.09</v>
      </c>
      <c r="L658" s="11">
        <f t="shared" si="41"/>
        <v>2.5561534841637133E-4</v>
      </c>
      <c r="M658" s="11">
        <f t="shared" si="43"/>
        <v>0.97645443823307809</v>
      </c>
      <c r="N658" t="str">
        <f t="shared" si="42"/>
        <v>C</v>
      </c>
    </row>
    <row r="659" spans="1:14" x14ac:dyDescent="0.25">
      <c r="A659" s="1" t="s">
        <v>715</v>
      </c>
      <c r="B659" s="3">
        <v>1185</v>
      </c>
      <c r="C659" s="1">
        <v>0.16666666999999999</v>
      </c>
      <c r="D659" s="1">
        <v>0</v>
      </c>
      <c r="E659">
        <f t="shared" si="40"/>
        <v>197.50000394999998</v>
      </c>
      <c r="G659" s="9" t="s">
        <v>1133</v>
      </c>
      <c r="H659" s="10">
        <v>351</v>
      </c>
      <c r="J659" t="s">
        <v>893</v>
      </c>
      <c r="K659">
        <v>93</v>
      </c>
      <c r="L659" s="11">
        <f t="shared" si="41"/>
        <v>2.5265413330558543E-4</v>
      </c>
      <c r="M659" s="11">
        <f t="shared" si="43"/>
        <v>0.97670709236638364</v>
      </c>
      <c r="N659" t="str">
        <f t="shared" si="42"/>
        <v>C</v>
      </c>
    </row>
    <row r="660" spans="1:14" x14ac:dyDescent="0.25">
      <c r="A660" s="1" t="s">
        <v>716</v>
      </c>
      <c r="B660" s="3">
        <v>1773</v>
      </c>
      <c r="C660" s="1">
        <v>0.5</v>
      </c>
      <c r="D660" s="1">
        <v>0</v>
      </c>
      <c r="E660">
        <f t="shared" si="40"/>
        <v>886.5</v>
      </c>
      <c r="G660" s="9" t="s">
        <v>558</v>
      </c>
      <c r="H660" s="10">
        <v>282</v>
      </c>
      <c r="J660" t="s">
        <v>587</v>
      </c>
      <c r="K660">
        <v>93</v>
      </c>
      <c r="L660" s="11">
        <f t="shared" si="41"/>
        <v>2.5265413330558543E-4</v>
      </c>
      <c r="M660" s="11">
        <f t="shared" si="43"/>
        <v>0.9769597464996892</v>
      </c>
      <c r="N660" t="str">
        <f t="shared" si="42"/>
        <v>C</v>
      </c>
    </row>
    <row r="661" spans="1:14" x14ac:dyDescent="0.25">
      <c r="A661" s="1" t="s">
        <v>718</v>
      </c>
      <c r="B661" s="3">
        <v>161</v>
      </c>
      <c r="C661" s="1">
        <v>1</v>
      </c>
      <c r="D661" s="1">
        <v>8</v>
      </c>
      <c r="E661">
        <f t="shared" si="40"/>
        <v>153</v>
      </c>
      <c r="G661" s="9" t="s">
        <v>393</v>
      </c>
      <c r="H661" s="10">
        <v>212</v>
      </c>
      <c r="J661" t="s">
        <v>900</v>
      </c>
      <c r="K661">
        <v>92</v>
      </c>
      <c r="L661" s="11">
        <f t="shared" si="41"/>
        <v>2.4993742219477268E-4</v>
      </c>
      <c r="M661" s="11">
        <f t="shared" si="43"/>
        <v>0.97720968392188401</v>
      </c>
      <c r="N661" t="str">
        <f t="shared" si="42"/>
        <v>C</v>
      </c>
    </row>
    <row r="662" spans="1:14" x14ac:dyDescent="0.25">
      <c r="A662" s="1" t="s">
        <v>719</v>
      </c>
      <c r="B662" s="3">
        <v>74</v>
      </c>
      <c r="C662" s="1">
        <v>1</v>
      </c>
      <c r="D662" s="1">
        <v>3</v>
      </c>
      <c r="E662">
        <f t="shared" si="40"/>
        <v>71</v>
      </c>
      <c r="G662" s="9" t="s">
        <v>1136</v>
      </c>
      <c r="H662" s="10">
        <v>49</v>
      </c>
      <c r="J662" t="s">
        <v>190</v>
      </c>
      <c r="K662">
        <v>92</v>
      </c>
      <c r="L662" s="11">
        <f t="shared" si="41"/>
        <v>2.4993742219477268E-4</v>
      </c>
      <c r="M662" s="11">
        <f t="shared" si="43"/>
        <v>0.97745962134407882</v>
      </c>
      <c r="N662" t="str">
        <f t="shared" si="42"/>
        <v>C</v>
      </c>
    </row>
    <row r="663" spans="1:14" x14ac:dyDescent="0.25">
      <c r="A663" s="1" t="s">
        <v>719</v>
      </c>
      <c r="B663" s="3">
        <v>74</v>
      </c>
      <c r="C663" s="1">
        <v>1</v>
      </c>
      <c r="D663" s="1">
        <v>3</v>
      </c>
      <c r="E663">
        <f t="shared" si="40"/>
        <v>71</v>
      </c>
      <c r="G663" s="9" t="s">
        <v>1168</v>
      </c>
      <c r="H663" s="10">
        <v>714</v>
      </c>
      <c r="J663" t="s">
        <v>1074</v>
      </c>
      <c r="K663">
        <v>91</v>
      </c>
      <c r="L663" s="11">
        <f t="shared" si="41"/>
        <v>2.4722071108395992E-4</v>
      </c>
      <c r="M663" s="11">
        <f t="shared" si="43"/>
        <v>0.97770684205516278</v>
      </c>
      <c r="N663" t="str">
        <f t="shared" si="42"/>
        <v>C</v>
      </c>
    </row>
    <row r="664" spans="1:14" x14ac:dyDescent="0.25">
      <c r="A664" s="1" t="s">
        <v>721</v>
      </c>
      <c r="B664" s="3">
        <v>146</v>
      </c>
      <c r="C664" s="1">
        <v>1</v>
      </c>
      <c r="D664" s="1">
        <v>0</v>
      </c>
      <c r="E664">
        <f t="shared" si="40"/>
        <v>146</v>
      </c>
      <c r="G664" s="9" t="s">
        <v>693</v>
      </c>
      <c r="H664" s="10">
        <v>1111</v>
      </c>
      <c r="J664" t="s">
        <v>479</v>
      </c>
      <c r="K664">
        <v>91</v>
      </c>
      <c r="L664" s="11">
        <f t="shared" si="41"/>
        <v>2.4722071108395992E-4</v>
      </c>
      <c r="M664" s="11">
        <f t="shared" si="43"/>
        <v>0.97795406276624675</v>
      </c>
      <c r="N664" t="str">
        <f t="shared" si="42"/>
        <v>C</v>
      </c>
    </row>
    <row r="665" spans="1:14" x14ac:dyDescent="0.25">
      <c r="A665" s="1" t="s">
        <v>711</v>
      </c>
      <c r="B665" s="3">
        <v>1089</v>
      </c>
      <c r="C665" s="1">
        <v>0.02</v>
      </c>
      <c r="D665" s="1">
        <v>0</v>
      </c>
      <c r="E665">
        <f t="shared" si="40"/>
        <v>21.78</v>
      </c>
      <c r="G665" s="9" t="s">
        <v>1031</v>
      </c>
      <c r="H665" s="10">
        <v>316</v>
      </c>
      <c r="J665" t="s">
        <v>1124</v>
      </c>
      <c r="K665">
        <v>89</v>
      </c>
      <c r="L665" s="11">
        <f t="shared" si="41"/>
        <v>2.4178728886233445E-4</v>
      </c>
      <c r="M665" s="11">
        <f t="shared" si="43"/>
        <v>0.97819585005510912</v>
      </c>
      <c r="N665" t="str">
        <f t="shared" si="42"/>
        <v>C</v>
      </c>
    </row>
    <row r="666" spans="1:14" x14ac:dyDescent="0.25">
      <c r="A666" s="1" t="s">
        <v>723</v>
      </c>
      <c r="B666" s="3">
        <v>631</v>
      </c>
      <c r="C666" s="1">
        <v>1</v>
      </c>
      <c r="D666" s="1">
        <v>44</v>
      </c>
      <c r="E666">
        <f t="shared" si="40"/>
        <v>587</v>
      </c>
      <c r="G666" s="9" t="s">
        <v>752</v>
      </c>
      <c r="H666" s="10">
        <v>254</v>
      </c>
      <c r="J666" t="s">
        <v>912</v>
      </c>
      <c r="K666">
        <v>88.800000000000011</v>
      </c>
      <c r="L666" s="11">
        <f t="shared" si="41"/>
        <v>2.4124394664017194E-4</v>
      </c>
      <c r="M666" s="11">
        <f t="shared" si="43"/>
        <v>0.97843709400174927</v>
      </c>
      <c r="N666" t="str">
        <f t="shared" si="42"/>
        <v>C</v>
      </c>
    </row>
    <row r="667" spans="1:14" x14ac:dyDescent="0.25">
      <c r="A667" s="1" t="s">
        <v>725</v>
      </c>
      <c r="B667" s="3">
        <v>319</v>
      </c>
      <c r="C667" s="1">
        <v>1</v>
      </c>
      <c r="D667" s="1">
        <v>0</v>
      </c>
      <c r="E667">
        <f t="shared" si="40"/>
        <v>319</v>
      </c>
      <c r="G667" s="9" t="s">
        <v>888</v>
      </c>
      <c r="H667" s="10">
        <v>361</v>
      </c>
      <c r="J667" t="s">
        <v>1111</v>
      </c>
      <c r="K667">
        <v>88.300000000000011</v>
      </c>
      <c r="L667" s="11">
        <f t="shared" si="41"/>
        <v>2.3988559108476556E-4</v>
      </c>
      <c r="M667" s="11">
        <f t="shared" si="43"/>
        <v>0.97867697959283406</v>
      </c>
      <c r="N667" t="str">
        <f t="shared" si="42"/>
        <v>C</v>
      </c>
    </row>
    <row r="668" spans="1:14" x14ac:dyDescent="0.25">
      <c r="A668" s="1" t="s">
        <v>727</v>
      </c>
      <c r="B668" s="3">
        <v>148</v>
      </c>
      <c r="C668" s="1">
        <v>1</v>
      </c>
      <c r="D668" s="1">
        <v>7</v>
      </c>
      <c r="E668">
        <f t="shared" si="40"/>
        <v>141</v>
      </c>
      <c r="G668" s="9" t="s">
        <v>344</v>
      </c>
      <c r="H668" s="10">
        <v>87</v>
      </c>
      <c r="J668" t="s">
        <v>972</v>
      </c>
      <c r="K668">
        <v>88</v>
      </c>
      <c r="L668" s="11">
        <f t="shared" si="41"/>
        <v>2.390705777515217E-4</v>
      </c>
      <c r="M668" s="11">
        <f t="shared" si="43"/>
        <v>0.97891605017058558</v>
      </c>
      <c r="N668" t="str">
        <f t="shared" si="42"/>
        <v>C</v>
      </c>
    </row>
    <row r="669" spans="1:14" x14ac:dyDescent="0.25">
      <c r="A669" s="1" t="s">
        <v>505</v>
      </c>
      <c r="B669" s="3">
        <v>12</v>
      </c>
      <c r="C669" s="1">
        <v>1</v>
      </c>
      <c r="D669" s="1">
        <v>1</v>
      </c>
      <c r="E669">
        <f t="shared" si="40"/>
        <v>11</v>
      </c>
      <c r="G669" s="9" t="s">
        <v>1088</v>
      </c>
      <c r="H669" s="10">
        <v>74</v>
      </c>
      <c r="J669" t="s">
        <v>377</v>
      </c>
      <c r="K669">
        <v>88</v>
      </c>
      <c r="L669" s="11">
        <f t="shared" si="41"/>
        <v>2.390705777515217E-4</v>
      </c>
      <c r="M669" s="11">
        <f t="shared" si="43"/>
        <v>0.9791551207483371</v>
      </c>
      <c r="N669" t="str">
        <f t="shared" si="42"/>
        <v>C</v>
      </c>
    </row>
    <row r="670" spans="1:14" x14ac:dyDescent="0.25">
      <c r="A670" s="1" t="s">
        <v>729</v>
      </c>
      <c r="B670" s="3">
        <v>97</v>
      </c>
      <c r="C670" s="1">
        <v>1</v>
      </c>
      <c r="D670" s="1">
        <v>6</v>
      </c>
      <c r="E670">
        <f t="shared" si="40"/>
        <v>91</v>
      </c>
      <c r="G670" s="9" t="s">
        <v>664</v>
      </c>
      <c r="H670" s="10">
        <v>188</v>
      </c>
      <c r="J670" t="s">
        <v>218</v>
      </c>
      <c r="K670">
        <v>88</v>
      </c>
      <c r="L670" s="11">
        <f t="shared" si="41"/>
        <v>2.390705777515217E-4</v>
      </c>
      <c r="M670" s="11">
        <f t="shared" si="43"/>
        <v>0.97939419132608863</v>
      </c>
      <c r="N670" t="str">
        <f t="shared" si="42"/>
        <v>C</v>
      </c>
    </row>
    <row r="671" spans="1:14" x14ac:dyDescent="0.25">
      <c r="A671" s="1" t="s">
        <v>730</v>
      </c>
      <c r="B671" s="3">
        <v>322</v>
      </c>
      <c r="C671" s="1">
        <v>1</v>
      </c>
      <c r="D671" s="1">
        <v>16</v>
      </c>
      <c r="E671">
        <f t="shared" si="40"/>
        <v>306</v>
      </c>
      <c r="G671" s="9" t="s">
        <v>1111</v>
      </c>
      <c r="H671" s="10">
        <v>88.300000000000011</v>
      </c>
      <c r="J671" t="s">
        <v>709</v>
      </c>
      <c r="K671">
        <v>87</v>
      </c>
      <c r="L671" s="11">
        <f t="shared" si="41"/>
        <v>2.3635386664070898E-4</v>
      </c>
      <c r="M671" s="11">
        <f t="shared" si="43"/>
        <v>0.9796305451927293</v>
      </c>
      <c r="N671" t="str">
        <f t="shared" si="42"/>
        <v>C</v>
      </c>
    </row>
    <row r="672" spans="1:14" x14ac:dyDescent="0.25">
      <c r="A672" s="1" t="s">
        <v>571</v>
      </c>
      <c r="B672" s="3">
        <v>58</v>
      </c>
      <c r="C672" s="1">
        <v>2</v>
      </c>
      <c r="D672" s="1">
        <v>11</v>
      </c>
      <c r="E672">
        <f t="shared" si="40"/>
        <v>105</v>
      </c>
      <c r="G672" s="9" t="s">
        <v>800</v>
      </c>
      <c r="H672" s="10">
        <v>128.52000000000001</v>
      </c>
      <c r="J672" t="s">
        <v>640</v>
      </c>
      <c r="K672">
        <v>87</v>
      </c>
      <c r="L672" s="11">
        <f t="shared" si="41"/>
        <v>2.3635386664070898E-4</v>
      </c>
      <c r="M672" s="11">
        <f t="shared" si="43"/>
        <v>0.97986689905936997</v>
      </c>
      <c r="N672" t="str">
        <f t="shared" si="42"/>
        <v>C</v>
      </c>
    </row>
    <row r="673" spans="1:14" x14ac:dyDescent="0.25">
      <c r="A673" s="1" t="s">
        <v>732</v>
      </c>
      <c r="B673" s="3">
        <v>364</v>
      </c>
      <c r="C673" s="1">
        <v>1</v>
      </c>
      <c r="D673" s="1">
        <v>0</v>
      </c>
      <c r="E673">
        <f t="shared" si="40"/>
        <v>364</v>
      </c>
      <c r="G673" s="9" t="s">
        <v>1066</v>
      </c>
      <c r="H673" s="10">
        <v>56.050000000000004</v>
      </c>
      <c r="J673" t="s">
        <v>1067</v>
      </c>
      <c r="K673">
        <v>87</v>
      </c>
      <c r="L673" s="11">
        <f t="shared" si="41"/>
        <v>2.3635386664070898E-4</v>
      </c>
      <c r="M673" s="11">
        <f t="shared" si="43"/>
        <v>0.98010325292601064</v>
      </c>
      <c r="N673" t="str">
        <f t="shared" si="42"/>
        <v>C</v>
      </c>
    </row>
    <row r="674" spans="1:14" x14ac:dyDescent="0.25">
      <c r="A674" s="1" t="s">
        <v>375</v>
      </c>
      <c r="B674" s="3">
        <v>4</v>
      </c>
      <c r="C674" s="1">
        <v>4</v>
      </c>
      <c r="D674" s="1">
        <v>1</v>
      </c>
      <c r="E674">
        <f t="shared" si="40"/>
        <v>15</v>
      </c>
      <c r="G674" s="9" t="s">
        <v>711</v>
      </c>
      <c r="H674" s="10">
        <v>119.79</v>
      </c>
      <c r="J674" t="s">
        <v>344</v>
      </c>
      <c r="K674">
        <v>87</v>
      </c>
      <c r="L674" s="11">
        <f t="shared" si="41"/>
        <v>2.3635386664070898E-4</v>
      </c>
      <c r="M674" s="11">
        <f t="shared" si="43"/>
        <v>0.98033960679265131</v>
      </c>
      <c r="N674" t="str">
        <f t="shared" si="42"/>
        <v>C</v>
      </c>
    </row>
    <row r="675" spans="1:14" x14ac:dyDescent="0.25">
      <c r="A675" s="1" t="s">
        <v>733</v>
      </c>
      <c r="B675" s="3">
        <v>81</v>
      </c>
      <c r="C675" s="1">
        <v>1</v>
      </c>
      <c r="D675" s="1">
        <v>8</v>
      </c>
      <c r="E675">
        <f t="shared" si="40"/>
        <v>73</v>
      </c>
      <c r="G675" s="9" t="s">
        <v>946</v>
      </c>
      <c r="H675" s="10">
        <v>598</v>
      </c>
      <c r="J675" t="s">
        <v>994</v>
      </c>
      <c r="K675">
        <v>86</v>
      </c>
      <c r="L675" s="11">
        <f t="shared" si="41"/>
        <v>2.3363715552989623E-4</v>
      </c>
      <c r="M675" s="11">
        <f t="shared" si="43"/>
        <v>0.98057324394818124</v>
      </c>
      <c r="N675" t="str">
        <f t="shared" si="42"/>
        <v>C</v>
      </c>
    </row>
    <row r="676" spans="1:14" x14ac:dyDescent="0.25">
      <c r="A676" s="1" t="s">
        <v>734</v>
      </c>
      <c r="B676" s="3">
        <v>69</v>
      </c>
      <c r="C676" s="1">
        <v>1</v>
      </c>
      <c r="D676" s="1">
        <v>6</v>
      </c>
      <c r="E676">
        <f t="shared" si="40"/>
        <v>63</v>
      </c>
      <c r="G676" s="9" t="s">
        <v>497</v>
      </c>
      <c r="H676" s="10">
        <v>327</v>
      </c>
      <c r="J676" t="s">
        <v>843</v>
      </c>
      <c r="K676">
        <v>84</v>
      </c>
      <c r="L676" s="11">
        <f t="shared" si="41"/>
        <v>2.2820373330827072E-4</v>
      </c>
      <c r="M676" s="11">
        <f t="shared" si="43"/>
        <v>0.98080144768148947</v>
      </c>
      <c r="N676" t="str">
        <f t="shared" si="42"/>
        <v>C</v>
      </c>
    </row>
    <row r="677" spans="1:14" x14ac:dyDescent="0.25">
      <c r="A677" s="1" t="s">
        <v>591</v>
      </c>
      <c r="B677" s="3">
        <v>17</v>
      </c>
      <c r="C677" s="1">
        <v>2</v>
      </c>
      <c r="D677" s="1">
        <v>3</v>
      </c>
      <c r="E677">
        <f t="shared" si="40"/>
        <v>31</v>
      </c>
      <c r="G677" s="9" t="s">
        <v>561</v>
      </c>
      <c r="H677" s="10">
        <v>106</v>
      </c>
      <c r="J677" t="s">
        <v>457</v>
      </c>
      <c r="K677">
        <v>83</v>
      </c>
      <c r="L677" s="11">
        <f t="shared" si="41"/>
        <v>2.2548702219745797E-4</v>
      </c>
      <c r="M677" s="11">
        <f t="shared" si="43"/>
        <v>0.98102693470368696</v>
      </c>
      <c r="N677" t="str">
        <f t="shared" si="42"/>
        <v>C</v>
      </c>
    </row>
    <row r="678" spans="1:14" x14ac:dyDescent="0.25">
      <c r="A678" s="1" t="s">
        <v>735</v>
      </c>
      <c r="B678" s="3">
        <v>143</v>
      </c>
      <c r="C678" s="1">
        <v>2</v>
      </c>
      <c r="D678" s="1">
        <v>28</v>
      </c>
      <c r="E678">
        <f t="shared" si="40"/>
        <v>258</v>
      </c>
      <c r="G678" s="9" t="s">
        <v>348</v>
      </c>
      <c r="H678" s="10">
        <v>458</v>
      </c>
      <c r="J678" t="s">
        <v>771</v>
      </c>
      <c r="K678">
        <v>83</v>
      </c>
      <c r="L678" s="11">
        <f t="shared" si="41"/>
        <v>2.2548702219745797E-4</v>
      </c>
      <c r="M678" s="11">
        <f t="shared" si="43"/>
        <v>0.98125242172588445</v>
      </c>
      <c r="N678" t="str">
        <f t="shared" si="42"/>
        <v>C</v>
      </c>
    </row>
    <row r="679" spans="1:14" x14ac:dyDescent="0.25">
      <c r="A679" s="1" t="s">
        <v>737</v>
      </c>
      <c r="B679" s="3">
        <v>64</v>
      </c>
      <c r="C679" s="1">
        <v>1</v>
      </c>
      <c r="D679" s="1">
        <v>3</v>
      </c>
      <c r="E679">
        <f t="shared" si="40"/>
        <v>61</v>
      </c>
      <c r="G679" s="9" t="s">
        <v>169</v>
      </c>
      <c r="H679" s="10">
        <v>297</v>
      </c>
      <c r="J679" t="s">
        <v>907</v>
      </c>
      <c r="K679">
        <v>83</v>
      </c>
      <c r="L679" s="11">
        <f t="shared" si="41"/>
        <v>2.2548702219745797E-4</v>
      </c>
      <c r="M679" s="11">
        <f t="shared" si="43"/>
        <v>0.98147790874808194</v>
      </c>
      <c r="N679" t="str">
        <f t="shared" si="42"/>
        <v>C</v>
      </c>
    </row>
    <row r="680" spans="1:14" x14ac:dyDescent="0.25">
      <c r="A680" s="1" t="s">
        <v>78</v>
      </c>
      <c r="B680" s="3">
        <v>174</v>
      </c>
      <c r="C680" s="1">
        <v>1</v>
      </c>
      <c r="D680" s="1">
        <v>8</v>
      </c>
      <c r="E680">
        <f t="shared" si="40"/>
        <v>166</v>
      </c>
      <c r="G680" s="9" t="s">
        <v>514</v>
      </c>
      <c r="H680" s="10">
        <v>1372</v>
      </c>
      <c r="J680" t="s">
        <v>621</v>
      </c>
      <c r="K680">
        <v>83</v>
      </c>
      <c r="L680" s="11">
        <f t="shared" si="41"/>
        <v>2.2548702219745797E-4</v>
      </c>
      <c r="M680" s="11">
        <f t="shared" si="43"/>
        <v>0.98170339577027943</v>
      </c>
      <c r="N680" t="str">
        <f t="shared" si="42"/>
        <v>C</v>
      </c>
    </row>
    <row r="681" spans="1:14" x14ac:dyDescent="0.25">
      <c r="A681" s="1" t="s">
        <v>738</v>
      </c>
      <c r="B681" s="3">
        <v>45</v>
      </c>
      <c r="C681" s="1">
        <v>1</v>
      </c>
      <c r="D681" s="1">
        <v>2</v>
      </c>
      <c r="E681">
        <f t="shared" si="40"/>
        <v>43</v>
      </c>
      <c r="G681" s="9" t="s">
        <v>343</v>
      </c>
      <c r="H681" s="10">
        <v>514</v>
      </c>
      <c r="J681" t="s">
        <v>477</v>
      </c>
      <c r="K681">
        <v>82</v>
      </c>
      <c r="L681" s="11">
        <f t="shared" si="41"/>
        <v>2.2277031108664522E-4</v>
      </c>
      <c r="M681" s="11">
        <f t="shared" si="43"/>
        <v>0.98192616608136607</v>
      </c>
      <c r="N681" t="str">
        <f t="shared" si="42"/>
        <v>C</v>
      </c>
    </row>
    <row r="682" spans="1:14" x14ac:dyDescent="0.25">
      <c r="A682" s="1" t="s">
        <v>413</v>
      </c>
      <c r="B682" s="3">
        <v>1180</v>
      </c>
      <c r="C682" s="1">
        <v>1</v>
      </c>
      <c r="D682" s="1">
        <v>82</v>
      </c>
      <c r="E682">
        <f t="shared" si="40"/>
        <v>1098</v>
      </c>
      <c r="G682" s="9" t="s">
        <v>754</v>
      </c>
      <c r="H682" s="10">
        <v>1124</v>
      </c>
      <c r="J682" t="s">
        <v>1163</v>
      </c>
      <c r="K682">
        <v>82</v>
      </c>
      <c r="L682" s="11">
        <f t="shared" si="41"/>
        <v>2.2277031108664522E-4</v>
      </c>
      <c r="M682" s="11">
        <f t="shared" si="43"/>
        <v>0.98214893639245271</v>
      </c>
      <c r="N682" t="str">
        <f t="shared" si="42"/>
        <v>C</v>
      </c>
    </row>
    <row r="683" spans="1:14" x14ac:dyDescent="0.25">
      <c r="A683" s="1" t="s">
        <v>741</v>
      </c>
      <c r="B683" s="3">
        <v>38</v>
      </c>
      <c r="C683" s="1">
        <v>1</v>
      </c>
      <c r="D683" s="1">
        <v>1</v>
      </c>
      <c r="E683">
        <f t="shared" si="40"/>
        <v>37</v>
      </c>
      <c r="G683" s="9" t="s">
        <v>1137</v>
      </c>
      <c r="H683" s="10">
        <v>155</v>
      </c>
      <c r="J683" t="s">
        <v>974</v>
      </c>
      <c r="K683">
        <v>82</v>
      </c>
      <c r="L683" s="11">
        <f t="shared" si="41"/>
        <v>2.2277031108664522E-4</v>
      </c>
      <c r="M683" s="11">
        <f t="shared" si="43"/>
        <v>0.98237170670353935</v>
      </c>
      <c r="N683" t="str">
        <f t="shared" si="42"/>
        <v>C</v>
      </c>
    </row>
    <row r="684" spans="1:14" x14ac:dyDescent="0.25">
      <c r="A684" s="1" t="s">
        <v>741</v>
      </c>
      <c r="B684" s="3">
        <v>38</v>
      </c>
      <c r="C684" s="1">
        <v>1</v>
      </c>
      <c r="D684" s="1">
        <v>1</v>
      </c>
      <c r="E684">
        <f t="shared" si="40"/>
        <v>37</v>
      </c>
      <c r="G684" s="9" t="s">
        <v>206</v>
      </c>
      <c r="H684" s="10">
        <v>317</v>
      </c>
      <c r="J684" t="s">
        <v>670</v>
      </c>
      <c r="K684">
        <v>82</v>
      </c>
      <c r="L684" s="11">
        <f t="shared" si="41"/>
        <v>2.2277031108664522E-4</v>
      </c>
      <c r="M684" s="11">
        <f t="shared" si="43"/>
        <v>0.98259447701462599</v>
      </c>
      <c r="N684" t="str">
        <f t="shared" si="42"/>
        <v>C</v>
      </c>
    </row>
    <row r="685" spans="1:14" x14ac:dyDescent="0.25">
      <c r="A685" s="1" t="s">
        <v>741</v>
      </c>
      <c r="B685" s="3">
        <v>38</v>
      </c>
      <c r="C685" s="1">
        <v>1</v>
      </c>
      <c r="D685" s="1">
        <v>1</v>
      </c>
      <c r="E685">
        <f t="shared" si="40"/>
        <v>37</v>
      </c>
      <c r="G685" s="9" t="s">
        <v>359</v>
      </c>
      <c r="H685" s="10">
        <v>245</v>
      </c>
      <c r="J685" t="s">
        <v>733</v>
      </c>
      <c r="K685">
        <v>81</v>
      </c>
      <c r="L685" s="11">
        <f t="shared" si="41"/>
        <v>2.2005359997583247E-4</v>
      </c>
      <c r="M685" s="11">
        <f t="shared" si="43"/>
        <v>0.98281453061460178</v>
      </c>
      <c r="N685" t="str">
        <f t="shared" si="42"/>
        <v>C</v>
      </c>
    </row>
    <row r="686" spans="1:14" x14ac:dyDescent="0.25">
      <c r="A686" s="1" t="s">
        <v>741</v>
      </c>
      <c r="B686" s="3">
        <v>38</v>
      </c>
      <c r="C686" s="1">
        <v>1</v>
      </c>
      <c r="D686" s="1">
        <v>1</v>
      </c>
      <c r="E686">
        <f t="shared" si="40"/>
        <v>37</v>
      </c>
      <c r="G686" s="9" t="s">
        <v>625</v>
      </c>
      <c r="H686" s="10">
        <v>564</v>
      </c>
      <c r="J686" t="s">
        <v>202</v>
      </c>
      <c r="K686">
        <v>81</v>
      </c>
      <c r="L686" s="11">
        <f t="shared" si="41"/>
        <v>2.2005359997583247E-4</v>
      </c>
      <c r="M686" s="11">
        <f t="shared" si="43"/>
        <v>0.98303458421457757</v>
      </c>
      <c r="N686" t="str">
        <f t="shared" si="42"/>
        <v>C</v>
      </c>
    </row>
    <row r="687" spans="1:14" x14ac:dyDescent="0.25">
      <c r="A687" s="1" t="s">
        <v>741</v>
      </c>
      <c r="B687" s="3">
        <v>38</v>
      </c>
      <c r="C687" s="1">
        <v>1</v>
      </c>
      <c r="D687" s="1">
        <v>1</v>
      </c>
      <c r="E687">
        <f t="shared" si="40"/>
        <v>37</v>
      </c>
      <c r="G687" s="9" t="s">
        <v>857</v>
      </c>
      <c r="H687" s="10">
        <v>376</v>
      </c>
      <c r="J687" t="s">
        <v>1007</v>
      </c>
      <c r="K687">
        <v>81</v>
      </c>
      <c r="L687" s="11">
        <f t="shared" si="41"/>
        <v>2.2005359997583247E-4</v>
      </c>
      <c r="M687" s="11">
        <f t="shared" si="43"/>
        <v>0.98325463781455336</v>
      </c>
      <c r="N687" t="str">
        <f t="shared" si="42"/>
        <v>C</v>
      </c>
    </row>
    <row r="688" spans="1:14" x14ac:dyDescent="0.25">
      <c r="A688" s="1" t="s">
        <v>741</v>
      </c>
      <c r="B688" s="3">
        <v>38</v>
      </c>
      <c r="C688" s="1">
        <v>1</v>
      </c>
      <c r="D688" s="1">
        <v>1</v>
      </c>
      <c r="E688">
        <f t="shared" si="40"/>
        <v>37</v>
      </c>
      <c r="G688" s="9" t="s">
        <v>200</v>
      </c>
      <c r="H688" s="10">
        <v>524.57141807999994</v>
      </c>
      <c r="J688" t="s">
        <v>246</v>
      </c>
      <c r="K688">
        <v>80</v>
      </c>
      <c r="L688" s="11">
        <f t="shared" si="41"/>
        <v>2.1733688886501975E-4</v>
      </c>
      <c r="M688" s="11">
        <f t="shared" si="43"/>
        <v>0.98347197470341841</v>
      </c>
      <c r="N688" t="str">
        <f t="shared" si="42"/>
        <v>C</v>
      </c>
    </row>
    <row r="689" spans="1:14" x14ac:dyDescent="0.25">
      <c r="A689" s="1" t="s">
        <v>741</v>
      </c>
      <c r="B689" s="3">
        <v>38</v>
      </c>
      <c r="C689" s="1">
        <v>1</v>
      </c>
      <c r="D689" s="1">
        <v>1</v>
      </c>
      <c r="E689">
        <f t="shared" si="40"/>
        <v>37</v>
      </c>
      <c r="G689" s="9" t="s">
        <v>573</v>
      </c>
      <c r="H689" s="10">
        <v>99</v>
      </c>
      <c r="J689" t="s">
        <v>224</v>
      </c>
      <c r="K689">
        <v>80</v>
      </c>
      <c r="L689" s="11">
        <f t="shared" si="41"/>
        <v>2.1733688886501975E-4</v>
      </c>
      <c r="M689" s="11">
        <f t="shared" si="43"/>
        <v>0.98368931159228346</v>
      </c>
      <c r="N689" t="str">
        <f t="shared" si="42"/>
        <v>C</v>
      </c>
    </row>
    <row r="690" spans="1:14" x14ac:dyDescent="0.25">
      <c r="A690" s="1" t="s">
        <v>741</v>
      </c>
      <c r="B690" s="3">
        <v>38</v>
      </c>
      <c r="C690" s="1">
        <v>1</v>
      </c>
      <c r="D690" s="1">
        <v>1</v>
      </c>
      <c r="E690">
        <f t="shared" si="40"/>
        <v>37</v>
      </c>
      <c r="G690" s="9" t="s">
        <v>226</v>
      </c>
      <c r="H690" s="10">
        <v>343</v>
      </c>
      <c r="J690" t="s">
        <v>378</v>
      </c>
      <c r="K690">
        <v>80</v>
      </c>
      <c r="L690" s="11">
        <f t="shared" si="41"/>
        <v>2.1733688886501975E-4</v>
      </c>
      <c r="M690" s="11">
        <f t="shared" si="43"/>
        <v>0.9839066484811485</v>
      </c>
      <c r="N690" t="str">
        <f t="shared" si="42"/>
        <v>C</v>
      </c>
    </row>
    <row r="691" spans="1:14" x14ac:dyDescent="0.25">
      <c r="A691" s="1" t="s">
        <v>741</v>
      </c>
      <c r="B691" s="3">
        <v>38</v>
      </c>
      <c r="C691" s="1">
        <v>1</v>
      </c>
      <c r="D691" s="1">
        <v>1</v>
      </c>
      <c r="E691">
        <f t="shared" si="40"/>
        <v>37</v>
      </c>
      <c r="G691" s="9" t="s">
        <v>165</v>
      </c>
      <c r="H691" s="10">
        <v>66.539999999999992</v>
      </c>
      <c r="J691" t="s">
        <v>297</v>
      </c>
      <c r="K691">
        <v>79</v>
      </c>
      <c r="L691" s="11">
        <f t="shared" si="41"/>
        <v>2.14620177754207E-4</v>
      </c>
      <c r="M691" s="11">
        <f t="shared" si="43"/>
        <v>0.9841212686589027</v>
      </c>
      <c r="N691" t="str">
        <f t="shared" si="42"/>
        <v>C</v>
      </c>
    </row>
    <row r="692" spans="1:14" x14ac:dyDescent="0.25">
      <c r="A692" s="1" t="s">
        <v>742</v>
      </c>
      <c r="B692" s="3">
        <v>66</v>
      </c>
      <c r="C692" s="1">
        <v>1</v>
      </c>
      <c r="D692" s="1">
        <v>3</v>
      </c>
      <c r="E692">
        <f t="shared" si="40"/>
        <v>63</v>
      </c>
      <c r="G692" s="9" t="s">
        <v>336</v>
      </c>
      <c r="H692" s="10">
        <v>159</v>
      </c>
      <c r="J692" t="s">
        <v>698</v>
      </c>
      <c r="K692">
        <v>79</v>
      </c>
      <c r="L692" s="11">
        <f t="shared" si="41"/>
        <v>2.14620177754207E-4</v>
      </c>
      <c r="M692" s="11">
        <f t="shared" si="43"/>
        <v>0.9843358888366569</v>
      </c>
      <c r="N692" t="str">
        <f t="shared" si="42"/>
        <v>C</v>
      </c>
    </row>
    <row r="693" spans="1:14" x14ac:dyDescent="0.25">
      <c r="A693" s="1" t="s">
        <v>742</v>
      </c>
      <c r="B693" s="3">
        <v>66</v>
      </c>
      <c r="C693" s="1">
        <v>1</v>
      </c>
      <c r="D693" s="1">
        <v>3</v>
      </c>
      <c r="E693">
        <f t="shared" si="40"/>
        <v>63</v>
      </c>
      <c r="G693" s="9" t="s">
        <v>74</v>
      </c>
      <c r="H693" s="10">
        <v>100</v>
      </c>
      <c r="J693" t="s">
        <v>745</v>
      </c>
      <c r="K693">
        <v>78</v>
      </c>
      <c r="L693" s="11">
        <f t="shared" si="41"/>
        <v>2.1190346664339425E-4</v>
      </c>
      <c r="M693" s="11">
        <f t="shared" si="43"/>
        <v>0.98454779230330025</v>
      </c>
      <c r="N693" t="str">
        <f t="shared" si="42"/>
        <v>C</v>
      </c>
    </row>
    <row r="694" spans="1:14" x14ac:dyDescent="0.25">
      <c r="A694" s="1" t="s">
        <v>742</v>
      </c>
      <c r="B694" s="3">
        <v>66</v>
      </c>
      <c r="C694" s="1">
        <v>1</v>
      </c>
      <c r="D694" s="1">
        <v>3</v>
      </c>
      <c r="E694">
        <f t="shared" si="40"/>
        <v>63</v>
      </c>
      <c r="G694" s="9" t="s">
        <v>920</v>
      </c>
      <c r="H694" s="10">
        <v>46</v>
      </c>
      <c r="J694" t="s">
        <v>1107</v>
      </c>
      <c r="K694">
        <v>78</v>
      </c>
      <c r="L694" s="11">
        <f t="shared" si="41"/>
        <v>2.1190346664339425E-4</v>
      </c>
      <c r="M694" s="11">
        <f t="shared" si="43"/>
        <v>0.9847596957699436</v>
      </c>
      <c r="N694" t="str">
        <f t="shared" si="42"/>
        <v>C</v>
      </c>
    </row>
    <row r="695" spans="1:14" x14ac:dyDescent="0.25">
      <c r="A695" s="1" t="s">
        <v>742</v>
      </c>
      <c r="B695" s="3">
        <v>66</v>
      </c>
      <c r="C695" s="1">
        <v>1</v>
      </c>
      <c r="D695" s="1">
        <v>0</v>
      </c>
      <c r="E695">
        <f t="shared" si="40"/>
        <v>66</v>
      </c>
      <c r="G695" s="9" t="s">
        <v>1003</v>
      </c>
      <c r="H695" s="10">
        <v>175.5</v>
      </c>
      <c r="J695" t="s">
        <v>398</v>
      </c>
      <c r="K695">
        <v>78</v>
      </c>
      <c r="L695" s="11">
        <f t="shared" si="41"/>
        <v>2.1190346664339425E-4</v>
      </c>
      <c r="M695" s="11">
        <f t="shared" si="43"/>
        <v>0.98497159923658695</v>
      </c>
      <c r="N695" t="str">
        <f t="shared" si="42"/>
        <v>C</v>
      </c>
    </row>
    <row r="696" spans="1:14" x14ac:dyDescent="0.25">
      <c r="A696" s="1" t="s">
        <v>744</v>
      </c>
      <c r="B696" s="3">
        <v>473</v>
      </c>
      <c r="C696" s="1">
        <v>1</v>
      </c>
      <c r="D696" s="1">
        <v>33</v>
      </c>
      <c r="E696">
        <f t="shared" si="40"/>
        <v>440</v>
      </c>
      <c r="G696" s="9" t="s">
        <v>23</v>
      </c>
      <c r="H696" s="10">
        <v>127</v>
      </c>
      <c r="J696" t="s">
        <v>1069</v>
      </c>
      <c r="K696">
        <v>78</v>
      </c>
      <c r="L696" s="11">
        <f t="shared" si="41"/>
        <v>2.1190346664339425E-4</v>
      </c>
      <c r="M696" s="11">
        <f t="shared" si="43"/>
        <v>0.9851835027032303</v>
      </c>
      <c r="N696" t="str">
        <f t="shared" si="42"/>
        <v>C</v>
      </c>
    </row>
    <row r="697" spans="1:14" x14ac:dyDescent="0.25">
      <c r="A697" s="1" t="s">
        <v>745</v>
      </c>
      <c r="B697" s="3">
        <v>39</v>
      </c>
      <c r="C697" s="1">
        <v>1</v>
      </c>
      <c r="D697" s="1">
        <v>0</v>
      </c>
      <c r="E697">
        <f t="shared" si="40"/>
        <v>39</v>
      </c>
      <c r="G697" s="9" t="s">
        <v>485</v>
      </c>
      <c r="H697" s="10">
        <v>480</v>
      </c>
      <c r="J697" t="s">
        <v>773</v>
      </c>
      <c r="K697">
        <v>77</v>
      </c>
      <c r="L697" s="11">
        <f t="shared" si="41"/>
        <v>2.091867555325815E-4</v>
      </c>
      <c r="M697" s="11">
        <f t="shared" si="43"/>
        <v>0.9853926894587629</v>
      </c>
      <c r="N697" t="str">
        <f t="shared" si="42"/>
        <v>C</v>
      </c>
    </row>
    <row r="698" spans="1:14" x14ac:dyDescent="0.25">
      <c r="A698" s="1" t="s">
        <v>746</v>
      </c>
      <c r="B698" s="3">
        <v>261</v>
      </c>
      <c r="C698" s="1">
        <v>1</v>
      </c>
      <c r="D698" s="1">
        <v>0</v>
      </c>
      <c r="E698">
        <f t="shared" si="40"/>
        <v>261</v>
      </c>
      <c r="G698" s="9" t="s">
        <v>1015</v>
      </c>
      <c r="H698" s="10">
        <v>2456</v>
      </c>
      <c r="J698" t="s">
        <v>356</v>
      </c>
      <c r="K698">
        <v>77</v>
      </c>
      <c r="L698" s="11">
        <f t="shared" si="41"/>
        <v>2.091867555325815E-4</v>
      </c>
      <c r="M698" s="11">
        <f t="shared" si="43"/>
        <v>0.98560187621429551</v>
      </c>
      <c r="N698" t="str">
        <f t="shared" si="42"/>
        <v>C</v>
      </c>
    </row>
    <row r="699" spans="1:14" x14ac:dyDescent="0.25">
      <c r="A699" s="1" t="s">
        <v>415</v>
      </c>
      <c r="B699" s="3">
        <v>35</v>
      </c>
      <c r="C699" s="1">
        <v>1</v>
      </c>
      <c r="D699" s="1">
        <v>2</v>
      </c>
      <c r="E699">
        <f t="shared" si="40"/>
        <v>33</v>
      </c>
      <c r="G699" s="9" t="s">
        <v>564</v>
      </c>
      <c r="H699" s="10">
        <v>273</v>
      </c>
      <c r="J699" t="s">
        <v>478</v>
      </c>
      <c r="K699">
        <v>76</v>
      </c>
      <c r="L699" s="11">
        <f t="shared" si="41"/>
        <v>2.0647004442176875E-4</v>
      </c>
      <c r="M699" s="11">
        <f t="shared" si="43"/>
        <v>0.98580834625871727</v>
      </c>
      <c r="N699" t="str">
        <f t="shared" si="42"/>
        <v>C</v>
      </c>
    </row>
    <row r="700" spans="1:14" x14ac:dyDescent="0.25">
      <c r="A700" s="1" t="s">
        <v>415</v>
      </c>
      <c r="B700" s="3">
        <v>36</v>
      </c>
      <c r="C700" s="1">
        <v>1</v>
      </c>
      <c r="D700" s="1">
        <v>2</v>
      </c>
      <c r="E700">
        <f t="shared" si="40"/>
        <v>34</v>
      </c>
      <c r="G700" s="9" t="s">
        <v>1054</v>
      </c>
      <c r="H700" s="10">
        <v>432</v>
      </c>
      <c r="J700" t="s">
        <v>381</v>
      </c>
      <c r="K700">
        <v>76</v>
      </c>
      <c r="L700" s="11">
        <f t="shared" si="41"/>
        <v>2.0647004442176875E-4</v>
      </c>
      <c r="M700" s="11">
        <f t="shared" si="43"/>
        <v>0.98601481630313903</v>
      </c>
      <c r="N700" t="str">
        <f t="shared" si="42"/>
        <v>C</v>
      </c>
    </row>
    <row r="701" spans="1:14" x14ac:dyDescent="0.25">
      <c r="A701" s="1" t="s">
        <v>415</v>
      </c>
      <c r="B701" s="3">
        <v>36</v>
      </c>
      <c r="C701" s="1">
        <v>1</v>
      </c>
      <c r="D701" s="1">
        <v>2</v>
      </c>
      <c r="E701">
        <f t="shared" si="40"/>
        <v>34</v>
      </c>
      <c r="G701" s="9" t="s">
        <v>539</v>
      </c>
      <c r="H701" s="10">
        <v>122</v>
      </c>
      <c r="J701" t="s">
        <v>1152</v>
      </c>
      <c r="K701">
        <v>76</v>
      </c>
      <c r="L701" s="11">
        <f t="shared" si="41"/>
        <v>2.0647004442176875E-4</v>
      </c>
      <c r="M701" s="11">
        <f t="shared" si="43"/>
        <v>0.98622128634756079</v>
      </c>
      <c r="N701" t="str">
        <f t="shared" si="42"/>
        <v>C</v>
      </c>
    </row>
    <row r="702" spans="1:14" x14ac:dyDescent="0.25">
      <c r="A702" s="1" t="s">
        <v>415</v>
      </c>
      <c r="B702" s="3">
        <v>36</v>
      </c>
      <c r="C702" s="1">
        <v>1</v>
      </c>
      <c r="D702" s="1">
        <v>2</v>
      </c>
      <c r="E702">
        <f t="shared" si="40"/>
        <v>34</v>
      </c>
      <c r="G702" s="9" t="s">
        <v>85</v>
      </c>
      <c r="H702" s="10">
        <v>1971</v>
      </c>
      <c r="J702" t="s">
        <v>966</v>
      </c>
      <c r="K702">
        <v>76</v>
      </c>
      <c r="L702" s="11">
        <f t="shared" si="41"/>
        <v>2.0647004442176875E-4</v>
      </c>
      <c r="M702" s="11">
        <f t="shared" si="43"/>
        <v>0.98642775639198255</v>
      </c>
      <c r="N702" t="str">
        <f t="shared" si="42"/>
        <v>C</v>
      </c>
    </row>
    <row r="703" spans="1:14" x14ac:dyDescent="0.25">
      <c r="A703" s="1" t="s">
        <v>748</v>
      </c>
      <c r="B703" s="3">
        <v>505</v>
      </c>
      <c r="C703" s="1">
        <v>1</v>
      </c>
      <c r="D703" s="1">
        <v>50</v>
      </c>
      <c r="E703">
        <f t="shared" si="40"/>
        <v>455</v>
      </c>
      <c r="G703" s="9" t="s">
        <v>1200</v>
      </c>
      <c r="H703" s="10">
        <v>493</v>
      </c>
      <c r="J703" t="s">
        <v>137</v>
      </c>
      <c r="K703">
        <v>76</v>
      </c>
      <c r="L703" s="11">
        <f t="shared" si="41"/>
        <v>2.0647004442176875E-4</v>
      </c>
      <c r="M703" s="11">
        <f t="shared" si="43"/>
        <v>0.9866342264364043</v>
      </c>
      <c r="N703" t="str">
        <f t="shared" si="42"/>
        <v>C</v>
      </c>
    </row>
    <row r="704" spans="1:14" x14ac:dyDescent="0.25">
      <c r="A704" s="1" t="s">
        <v>750</v>
      </c>
      <c r="B704" s="3">
        <v>353</v>
      </c>
      <c r="C704" s="1">
        <v>1</v>
      </c>
      <c r="D704" s="1">
        <v>45.26</v>
      </c>
      <c r="E704">
        <f t="shared" si="40"/>
        <v>307.74</v>
      </c>
      <c r="G704" s="9" t="s">
        <v>1116</v>
      </c>
      <c r="H704" s="10">
        <v>719</v>
      </c>
      <c r="J704" t="s">
        <v>1220</v>
      </c>
      <c r="K704">
        <v>76</v>
      </c>
      <c r="L704" s="11">
        <f t="shared" si="41"/>
        <v>2.0647004442176875E-4</v>
      </c>
      <c r="M704" s="11">
        <f t="shared" si="43"/>
        <v>0.98684069648082606</v>
      </c>
      <c r="N704" t="str">
        <f t="shared" si="42"/>
        <v>C</v>
      </c>
    </row>
    <row r="705" spans="1:14" x14ac:dyDescent="0.25">
      <c r="A705" s="1" t="s">
        <v>173</v>
      </c>
      <c r="B705" s="3">
        <v>37</v>
      </c>
      <c r="C705" s="1">
        <v>1</v>
      </c>
      <c r="D705" s="1">
        <v>4.74</v>
      </c>
      <c r="E705">
        <f t="shared" si="40"/>
        <v>32.26</v>
      </c>
      <c r="G705" s="9" t="s">
        <v>646</v>
      </c>
      <c r="H705" s="10">
        <v>1937</v>
      </c>
      <c r="J705" t="s">
        <v>876</v>
      </c>
      <c r="K705">
        <v>75.900000000000006</v>
      </c>
      <c r="L705" s="11">
        <f t="shared" si="41"/>
        <v>2.0619837331068748E-4</v>
      </c>
      <c r="M705" s="11">
        <f t="shared" si="43"/>
        <v>0.98704689485413677</v>
      </c>
      <c r="N705" t="str">
        <f t="shared" si="42"/>
        <v>C</v>
      </c>
    </row>
    <row r="706" spans="1:14" x14ac:dyDescent="0.25">
      <c r="A706" s="1" t="s">
        <v>173</v>
      </c>
      <c r="B706" s="3">
        <v>37</v>
      </c>
      <c r="C706" s="1">
        <v>1</v>
      </c>
      <c r="D706" s="1">
        <v>0</v>
      </c>
      <c r="E706">
        <f t="shared" si="40"/>
        <v>37</v>
      </c>
      <c r="G706" s="9" t="s">
        <v>699</v>
      </c>
      <c r="H706" s="10">
        <v>702</v>
      </c>
      <c r="J706" t="s">
        <v>614</v>
      </c>
      <c r="K706">
        <v>75</v>
      </c>
      <c r="L706" s="11">
        <f t="shared" si="41"/>
        <v>2.03753333310956E-4</v>
      </c>
      <c r="M706" s="11">
        <f t="shared" si="43"/>
        <v>0.98725064818744768</v>
      </c>
      <c r="N706" t="str">
        <f t="shared" si="42"/>
        <v>C</v>
      </c>
    </row>
    <row r="707" spans="1:14" x14ac:dyDescent="0.25">
      <c r="A707" s="1" t="s">
        <v>173</v>
      </c>
      <c r="B707" s="3">
        <v>37</v>
      </c>
      <c r="C707" s="1">
        <v>1</v>
      </c>
      <c r="D707" s="1">
        <v>0</v>
      </c>
      <c r="E707">
        <f t="shared" ref="E707:E770" si="44">C707*B707-D707</f>
        <v>37</v>
      </c>
      <c r="G707" s="9" t="s">
        <v>1033</v>
      </c>
      <c r="H707" s="10">
        <v>1141</v>
      </c>
      <c r="J707" t="s">
        <v>302</v>
      </c>
      <c r="K707">
        <v>75</v>
      </c>
      <c r="L707" s="11">
        <f t="shared" ref="L707:L770" si="45">K707/SUM($K$2:$K$804)</f>
        <v>2.03753333310956E-4</v>
      </c>
      <c r="M707" s="11">
        <f t="shared" si="43"/>
        <v>0.98745440152075858</v>
      </c>
      <c r="N707" t="str">
        <f t="shared" ref="N707:N770" si="46">IF(M707&lt;0.8, "A", IF(M707&lt;0.95,"B","C"))</f>
        <v>C</v>
      </c>
    </row>
    <row r="708" spans="1:14" x14ac:dyDescent="0.25">
      <c r="A708" s="1" t="s">
        <v>752</v>
      </c>
      <c r="B708" s="3">
        <v>127</v>
      </c>
      <c r="C708" s="1">
        <v>1</v>
      </c>
      <c r="D708" s="1">
        <v>6</v>
      </c>
      <c r="E708">
        <f t="shared" si="44"/>
        <v>121</v>
      </c>
      <c r="G708" s="9" t="s">
        <v>476</v>
      </c>
      <c r="H708" s="10">
        <v>1842</v>
      </c>
      <c r="J708" t="s">
        <v>97</v>
      </c>
      <c r="K708">
        <v>74</v>
      </c>
      <c r="L708" s="11">
        <f t="shared" si="45"/>
        <v>2.0103662220014325E-4</v>
      </c>
      <c r="M708" s="11">
        <f t="shared" ref="M708:M771" si="47">L708+M707</f>
        <v>0.98765543814295875</v>
      </c>
      <c r="N708" t="str">
        <f t="shared" si="46"/>
        <v>C</v>
      </c>
    </row>
    <row r="709" spans="1:14" x14ac:dyDescent="0.25">
      <c r="A709" s="1" t="s">
        <v>125</v>
      </c>
      <c r="B709" s="3">
        <v>739</v>
      </c>
      <c r="C709" s="1">
        <v>1</v>
      </c>
      <c r="D709" s="1">
        <v>22</v>
      </c>
      <c r="E709">
        <f t="shared" si="44"/>
        <v>717</v>
      </c>
      <c r="G709" s="9" t="s">
        <v>372</v>
      </c>
      <c r="H709" s="10">
        <v>1105</v>
      </c>
      <c r="J709" t="s">
        <v>963</v>
      </c>
      <c r="K709">
        <v>74</v>
      </c>
      <c r="L709" s="11">
        <f t="shared" si="45"/>
        <v>2.0103662220014325E-4</v>
      </c>
      <c r="M709" s="11">
        <f t="shared" si="47"/>
        <v>0.98785647476515892</v>
      </c>
      <c r="N709" t="str">
        <f t="shared" si="46"/>
        <v>C</v>
      </c>
    </row>
    <row r="710" spans="1:14" x14ac:dyDescent="0.25">
      <c r="A710" s="1" t="s">
        <v>754</v>
      </c>
      <c r="B710" s="3">
        <v>1124</v>
      </c>
      <c r="C710" s="1">
        <v>1</v>
      </c>
      <c r="D710" s="1">
        <v>78</v>
      </c>
      <c r="E710">
        <f t="shared" si="44"/>
        <v>1046</v>
      </c>
      <c r="G710" s="9" t="s">
        <v>843</v>
      </c>
      <c r="H710" s="10">
        <v>84</v>
      </c>
      <c r="J710" t="s">
        <v>1154</v>
      </c>
      <c r="K710">
        <v>74</v>
      </c>
      <c r="L710" s="11">
        <f t="shared" si="45"/>
        <v>2.0103662220014325E-4</v>
      </c>
      <c r="M710" s="11">
        <f t="shared" si="47"/>
        <v>0.98805751138735909</v>
      </c>
      <c r="N710" t="str">
        <f t="shared" si="46"/>
        <v>C</v>
      </c>
    </row>
    <row r="711" spans="1:14" x14ac:dyDescent="0.25">
      <c r="A711" s="1" t="s">
        <v>755</v>
      </c>
      <c r="B711" s="3">
        <v>328</v>
      </c>
      <c r="C711" s="1">
        <v>1</v>
      </c>
      <c r="D711" s="1">
        <v>32</v>
      </c>
      <c r="E711">
        <f t="shared" si="44"/>
        <v>296</v>
      </c>
      <c r="G711" s="9" t="s">
        <v>815</v>
      </c>
      <c r="H711" s="10">
        <v>47</v>
      </c>
      <c r="J711" t="s">
        <v>1088</v>
      </c>
      <c r="K711">
        <v>74</v>
      </c>
      <c r="L711" s="11">
        <f t="shared" si="45"/>
        <v>2.0103662220014325E-4</v>
      </c>
      <c r="M711" s="11">
        <f t="shared" si="47"/>
        <v>0.98825854800955926</v>
      </c>
      <c r="N711" t="str">
        <f t="shared" si="46"/>
        <v>C</v>
      </c>
    </row>
    <row r="712" spans="1:14" x14ac:dyDescent="0.25">
      <c r="A712" s="1" t="s">
        <v>757</v>
      </c>
      <c r="B712" s="3">
        <v>447</v>
      </c>
      <c r="C712" s="1">
        <v>1</v>
      </c>
      <c r="D712" s="1">
        <v>31</v>
      </c>
      <c r="E712">
        <f t="shared" si="44"/>
        <v>416</v>
      </c>
      <c r="G712" s="9" t="s">
        <v>299</v>
      </c>
      <c r="H712" s="10">
        <v>447</v>
      </c>
      <c r="J712" t="s">
        <v>1198</v>
      </c>
      <c r="K712">
        <v>73</v>
      </c>
      <c r="L712" s="11">
        <f t="shared" si="45"/>
        <v>1.9831991108933052E-4</v>
      </c>
      <c r="M712" s="11">
        <f t="shared" si="47"/>
        <v>0.98845686792064857</v>
      </c>
      <c r="N712" t="str">
        <f t="shared" si="46"/>
        <v>C</v>
      </c>
    </row>
    <row r="713" spans="1:14" x14ac:dyDescent="0.25">
      <c r="A713" s="1" t="s">
        <v>759</v>
      </c>
      <c r="B713" s="3">
        <v>3053</v>
      </c>
      <c r="C713" s="1">
        <v>1</v>
      </c>
      <c r="D713" s="1">
        <v>305</v>
      </c>
      <c r="E713">
        <f t="shared" si="44"/>
        <v>2748</v>
      </c>
      <c r="G713" s="9" t="s">
        <v>817</v>
      </c>
      <c r="H713" s="10">
        <v>545</v>
      </c>
      <c r="J713" t="s">
        <v>60</v>
      </c>
      <c r="K713">
        <v>73</v>
      </c>
      <c r="L713" s="11">
        <f t="shared" si="45"/>
        <v>1.9831991108933052E-4</v>
      </c>
      <c r="M713" s="11">
        <f t="shared" si="47"/>
        <v>0.98865518783173789</v>
      </c>
      <c r="N713" t="str">
        <f t="shared" si="46"/>
        <v>C</v>
      </c>
    </row>
    <row r="714" spans="1:14" x14ac:dyDescent="0.25">
      <c r="A714" s="1" t="s">
        <v>760</v>
      </c>
      <c r="B714" s="3">
        <v>1133</v>
      </c>
      <c r="C714" s="1">
        <v>0.66666667000000002</v>
      </c>
      <c r="D714" s="1">
        <v>0</v>
      </c>
      <c r="E714">
        <f t="shared" si="44"/>
        <v>755.33333711</v>
      </c>
      <c r="G714" s="9" t="s">
        <v>377</v>
      </c>
      <c r="H714" s="10">
        <v>88</v>
      </c>
      <c r="J714" t="s">
        <v>938</v>
      </c>
      <c r="K714">
        <v>72.5</v>
      </c>
      <c r="L714" s="11">
        <f t="shared" si="45"/>
        <v>1.9696155553392415E-4</v>
      </c>
      <c r="M714" s="11">
        <f t="shared" si="47"/>
        <v>0.98885214938727184</v>
      </c>
      <c r="N714" t="str">
        <f t="shared" si="46"/>
        <v>C</v>
      </c>
    </row>
    <row r="715" spans="1:14" x14ac:dyDescent="0.25">
      <c r="A715" s="1" t="s">
        <v>236</v>
      </c>
      <c r="B715" s="3">
        <v>36</v>
      </c>
      <c r="C715" s="1">
        <v>1</v>
      </c>
      <c r="D715" s="1">
        <v>0</v>
      </c>
      <c r="E715">
        <f t="shared" si="44"/>
        <v>36</v>
      </c>
      <c r="G715" s="9" t="s">
        <v>366</v>
      </c>
      <c r="H715" s="10">
        <v>600</v>
      </c>
      <c r="J715" t="s">
        <v>1086</v>
      </c>
      <c r="K715">
        <v>72</v>
      </c>
      <c r="L715" s="11">
        <f t="shared" si="45"/>
        <v>1.9560319997851777E-4</v>
      </c>
      <c r="M715" s="11">
        <f t="shared" si="47"/>
        <v>0.98904775258725031</v>
      </c>
      <c r="N715" t="str">
        <f t="shared" si="46"/>
        <v>C</v>
      </c>
    </row>
    <row r="716" spans="1:14" x14ac:dyDescent="0.25">
      <c r="A716" s="1" t="s">
        <v>236</v>
      </c>
      <c r="B716" s="3">
        <v>36</v>
      </c>
      <c r="C716" s="1">
        <v>1</v>
      </c>
      <c r="D716" s="1">
        <v>3</v>
      </c>
      <c r="E716">
        <f t="shared" si="44"/>
        <v>33</v>
      </c>
      <c r="G716" s="9" t="s">
        <v>729</v>
      </c>
      <c r="H716" s="10">
        <v>97</v>
      </c>
      <c r="J716" t="s">
        <v>253</v>
      </c>
      <c r="K716">
        <v>72</v>
      </c>
      <c r="L716" s="11">
        <f t="shared" si="45"/>
        <v>1.9560319997851777E-4</v>
      </c>
      <c r="M716" s="11">
        <f t="shared" si="47"/>
        <v>0.98924335578722877</v>
      </c>
      <c r="N716" t="str">
        <f t="shared" si="46"/>
        <v>C</v>
      </c>
    </row>
    <row r="717" spans="1:14" x14ac:dyDescent="0.25">
      <c r="A717" s="1" t="s">
        <v>236</v>
      </c>
      <c r="B717" s="3">
        <v>36</v>
      </c>
      <c r="C717" s="1">
        <v>1</v>
      </c>
      <c r="D717" s="1">
        <v>3</v>
      </c>
      <c r="E717">
        <f t="shared" si="44"/>
        <v>33</v>
      </c>
      <c r="G717" s="9" t="s">
        <v>1186</v>
      </c>
      <c r="H717" s="10">
        <v>500</v>
      </c>
      <c r="J717" t="s">
        <v>405</v>
      </c>
      <c r="K717">
        <v>72</v>
      </c>
      <c r="L717" s="11">
        <f t="shared" si="45"/>
        <v>1.9560319997851777E-4</v>
      </c>
      <c r="M717" s="11">
        <f t="shared" si="47"/>
        <v>0.98943895898720724</v>
      </c>
      <c r="N717" t="str">
        <f t="shared" si="46"/>
        <v>C</v>
      </c>
    </row>
    <row r="718" spans="1:14" x14ac:dyDescent="0.25">
      <c r="A718" s="1" t="s">
        <v>140</v>
      </c>
      <c r="B718" s="3">
        <v>0.01</v>
      </c>
      <c r="C718" s="1">
        <v>1</v>
      </c>
      <c r="D718" s="1">
        <v>0</v>
      </c>
      <c r="E718">
        <f t="shared" si="44"/>
        <v>0.01</v>
      </c>
      <c r="G718" s="9" t="s">
        <v>836</v>
      </c>
      <c r="H718" s="10">
        <v>1206</v>
      </c>
      <c r="J718" t="s">
        <v>41</v>
      </c>
      <c r="K718">
        <v>71</v>
      </c>
      <c r="L718" s="11">
        <f t="shared" si="45"/>
        <v>1.9288648886770502E-4</v>
      </c>
      <c r="M718" s="11">
        <f t="shared" si="47"/>
        <v>0.98963184547607497</v>
      </c>
      <c r="N718" t="str">
        <f t="shared" si="46"/>
        <v>C</v>
      </c>
    </row>
    <row r="719" spans="1:14" x14ac:dyDescent="0.25">
      <c r="A719" s="1" t="s">
        <v>140</v>
      </c>
      <c r="B719" s="3">
        <v>0.01</v>
      </c>
      <c r="C719" s="1">
        <v>1</v>
      </c>
      <c r="D719" s="1">
        <v>0</v>
      </c>
      <c r="E719">
        <f t="shared" si="44"/>
        <v>0.01</v>
      </c>
      <c r="G719" s="9" t="s">
        <v>903</v>
      </c>
      <c r="H719" s="10">
        <v>448</v>
      </c>
      <c r="J719" t="s">
        <v>171</v>
      </c>
      <c r="K719">
        <v>70</v>
      </c>
      <c r="L719" s="11">
        <f t="shared" si="45"/>
        <v>1.9016977775689227E-4</v>
      </c>
      <c r="M719" s="11">
        <f t="shared" si="47"/>
        <v>0.98982201525383184</v>
      </c>
      <c r="N719" t="str">
        <f t="shared" si="46"/>
        <v>C</v>
      </c>
    </row>
    <row r="720" spans="1:14" x14ac:dyDescent="0.25">
      <c r="A720" s="1" t="s">
        <v>140</v>
      </c>
      <c r="B720" s="3">
        <v>0.01</v>
      </c>
      <c r="C720" s="1">
        <v>1</v>
      </c>
      <c r="D720" s="1">
        <v>0</v>
      </c>
      <c r="E720">
        <f t="shared" si="44"/>
        <v>0.01</v>
      </c>
      <c r="G720" s="9" t="s">
        <v>465</v>
      </c>
      <c r="H720" s="10">
        <v>210</v>
      </c>
      <c r="J720" t="s">
        <v>734</v>
      </c>
      <c r="K720">
        <v>69</v>
      </c>
      <c r="L720" s="11">
        <f t="shared" si="45"/>
        <v>1.8745306664607952E-4</v>
      </c>
      <c r="M720" s="11">
        <f t="shared" si="47"/>
        <v>0.99000946832047787</v>
      </c>
      <c r="N720" t="str">
        <f t="shared" si="46"/>
        <v>C</v>
      </c>
    </row>
    <row r="721" spans="1:14" x14ac:dyDescent="0.25">
      <c r="A721" s="1" t="s">
        <v>761</v>
      </c>
      <c r="B721" s="3">
        <v>206</v>
      </c>
      <c r="C721" s="1">
        <v>1</v>
      </c>
      <c r="D721" s="1">
        <v>0</v>
      </c>
      <c r="E721">
        <f t="shared" si="44"/>
        <v>206</v>
      </c>
      <c r="G721" s="9" t="s">
        <v>928</v>
      </c>
      <c r="H721" s="10">
        <v>1083</v>
      </c>
      <c r="J721" t="s">
        <v>1021</v>
      </c>
      <c r="K721">
        <v>68</v>
      </c>
      <c r="L721" s="11">
        <f t="shared" si="45"/>
        <v>1.8473635553526677E-4</v>
      </c>
      <c r="M721" s="11">
        <f t="shared" si="47"/>
        <v>0.99019420467601316</v>
      </c>
      <c r="N721" t="str">
        <f t="shared" si="46"/>
        <v>C</v>
      </c>
    </row>
    <row r="722" spans="1:14" x14ac:dyDescent="0.25">
      <c r="A722" s="1" t="s">
        <v>763</v>
      </c>
      <c r="B722" s="3">
        <v>213</v>
      </c>
      <c r="C722" s="1">
        <v>1</v>
      </c>
      <c r="D722" s="1">
        <v>0</v>
      </c>
      <c r="E722">
        <f t="shared" si="44"/>
        <v>213</v>
      </c>
      <c r="G722" s="9" t="s">
        <v>295</v>
      </c>
      <c r="H722" s="10">
        <v>441</v>
      </c>
      <c r="J722" t="s">
        <v>262</v>
      </c>
      <c r="K722">
        <v>68</v>
      </c>
      <c r="L722" s="11">
        <f t="shared" si="45"/>
        <v>1.8473635553526677E-4</v>
      </c>
      <c r="M722" s="11">
        <f t="shared" si="47"/>
        <v>0.99037894103154844</v>
      </c>
      <c r="N722" t="str">
        <f t="shared" si="46"/>
        <v>C</v>
      </c>
    </row>
    <row r="723" spans="1:14" x14ac:dyDescent="0.25">
      <c r="A723" s="1" t="s">
        <v>764</v>
      </c>
      <c r="B723" s="3">
        <v>33</v>
      </c>
      <c r="C723" s="1">
        <v>1</v>
      </c>
      <c r="D723" s="1">
        <v>0</v>
      </c>
      <c r="E723">
        <f t="shared" si="44"/>
        <v>33</v>
      </c>
      <c r="G723" s="9" t="s">
        <v>912</v>
      </c>
      <c r="H723" s="10">
        <v>88.800000000000011</v>
      </c>
      <c r="J723" t="s">
        <v>165</v>
      </c>
      <c r="K723">
        <v>66.539999999999992</v>
      </c>
      <c r="L723" s="11">
        <f t="shared" si="45"/>
        <v>1.8076995731348015E-4</v>
      </c>
      <c r="M723" s="11">
        <f t="shared" si="47"/>
        <v>0.99055971098886197</v>
      </c>
      <c r="N723" t="str">
        <f t="shared" si="46"/>
        <v>C</v>
      </c>
    </row>
    <row r="724" spans="1:14" x14ac:dyDescent="0.25">
      <c r="A724" s="1" t="s">
        <v>764</v>
      </c>
      <c r="B724" s="3">
        <v>33</v>
      </c>
      <c r="C724" s="1">
        <v>1</v>
      </c>
      <c r="D724" s="1">
        <v>0</v>
      </c>
      <c r="E724">
        <f t="shared" si="44"/>
        <v>33</v>
      </c>
      <c r="G724" s="9" t="s">
        <v>479</v>
      </c>
      <c r="H724" s="10">
        <v>91</v>
      </c>
      <c r="J724" t="s">
        <v>1085</v>
      </c>
      <c r="K724">
        <v>66</v>
      </c>
      <c r="L724" s="11">
        <f t="shared" si="45"/>
        <v>1.793029333136413E-4</v>
      </c>
      <c r="M724" s="11">
        <f t="shared" si="47"/>
        <v>0.99073901392217567</v>
      </c>
      <c r="N724" t="str">
        <f t="shared" si="46"/>
        <v>C</v>
      </c>
    </row>
    <row r="725" spans="1:14" x14ac:dyDescent="0.25">
      <c r="A725" s="1" t="s">
        <v>157</v>
      </c>
      <c r="B725" s="3">
        <v>122</v>
      </c>
      <c r="C725" s="1">
        <v>1</v>
      </c>
      <c r="D725" s="1">
        <v>0</v>
      </c>
      <c r="E725">
        <f t="shared" si="44"/>
        <v>122</v>
      </c>
      <c r="G725" s="9" t="s">
        <v>1214</v>
      </c>
      <c r="H725" s="10">
        <v>511</v>
      </c>
      <c r="J725" t="s">
        <v>1080</v>
      </c>
      <c r="K725">
        <v>66</v>
      </c>
      <c r="L725" s="11">
        <f t="shared" si="45"/>
        <v>1.793029333136413E-4</v>
      </c>
      <c r="M725" s="11">
        <f t="shared" si="47"/>
        <v>0.99091831685548937</v>
      </c>
      <c r="N725" t="str">
        <f t="shared" si="46"/>
        <v>C</v>
      </c>
    </row>
    <row r="726" spans="1:14" x14ac:dyDescent="0.25">
      <c r="A726" s="1" t="s">
        <v>157</v>
      </c>
      <c r="B726" s="3">
        <v>122</v>
      </c>
      <c r="C726" s="1">
        <v>1</v>
      </c>
      <c r="D726" s="1">
        <v>0</v>
      </c>
      <c r="E726">
        <f t="shared" si="44"/>
        <v>122</v>
      </c>
      <c r="G726" s="9" t="s">
        <v>1108</v>
      </c>
      <c r="H726" s="10">
        <v>336</v>
      </c>
      <c r="J726" t="s">
        <v>234</v>
      </c>
      <c r="K726">
        <v>66</v>
      </c>
      <c r="L726" s="11">
        <f t="shared" si="45"/>
        <v>1.793029333136413E-4</v>
      </c>
      <c r="M726" s="11">
        <f t="shared" si="47"/>
        <v>0.99109761978880306</v>
      </c>
      <c r="N726" t="str">
        <f t="shared" si="46"/>
        <v>C</v>
      </c>
    </row>
    <row r="727" spans="1:14" x14ac:dyDescent="0.25">
      <c r="A727" s="1" t="s">
        <v>715</v>
      </c>
      <c r="B727" s="3">
        <v>1185</v>
      </c>
      <c r="C727" s="1">
        <v>0.49999999000000001</v>
      </c>
      <c r="D727" s="1">
        <v>40.5</v>
      </c>
      <c r="E727">
        <f t="shared" si="44"/>
        <v>551.99998815000004</v>
      </c>
      <c r="G727" s="9" t="s">
        <v>808</v>
      </c>
      <c r="H727" s="10">
        <v>206</v>
      </c>
      <c r="J727" t="s">
        <v>650</v>
      </c>
      <c r="K727">
        <v>65</v>
      </c>
      <c r="L727" s="11">
        <f t="shared" si="45"/>
        <v>1.7658622220282854E-4</v>
      </c>
      <c r="M727" s="11">
        <f t="shared" si="47"/>
        <v>0.99127420601100591</v>
      </c>
      <c r="N727" t="str">
        <f t="shared" si="46"/>
        <v>C</v>
      </c>
    </row>
    <row r="728" spans="1:14" x14ac:dyDescent="0.25">
      <c r="A728" s="1" t="s">
        <v>752</v>
      </c>
      <c r="B728" s="3">
        <v>127</v>
      </c>
      <c r="C728" s="1">
        <v>1</v>
      </c>
      <c r="D728" s="1">
        <v>6</v>
      </c>
      <c r="E728">
        <f t="shared" si="44"/>
        <v>121</v>
      </c>
      <c r="G728" s="9" t="s">
        <v>229</v>
      </c>
      <c r="H728" s="10">
        <v>306</v>
      </c>
      <c r="J728" t="s">
        <v>649</v>
      </c>
      <c r="K728">
        <v>64.900000000000006</v>
      </c>
      <c r="L728" s="11">
        <f t="shared" si="45"/>
        <v>1.7631455109174728E-4</v>
      </c>
      <c r="M728" s="11">
        <f t="shared" si="47"/>
        <v>0.9914505205620977</v>
      </c>
      <c r="N728" t="str">
        <f t="shared" si="46"/>
        <v>C</v>
      </c>
    </row>
    <row r="729" spans="1:14" x14ac:dyDescent="0.25">
      <c r="A729" s="1" t="s">
        <v>288</v>
      </c>
      <c r="B729" s="3">
        <v>41</v>
      </c>
      <c r="C729" s="1">
        <v>1</v>
      </c>
      <c r="D729" s="1">
        <v>2</v>
      </c>
      <c r="E729">
        <f t="shared" si="44"/>
        <v>39</v>
      </c>
      <c r="G729" s="9" t="s">
        <v>383</v>
      </c>
      <c r="H729" s="10">
        <v>107</v>
      </c>
      <c r="J729" t="s">
        <v>806</v>
      </c>
      <c r="K729">
        <v>64.44</v>
      </c>
      <c r="L729" s="11">
        <f t="shared" si="45"/>
        <v>1.750648639807734E-4</v>
      </c>
      <c r="M729" s="11">
        <f t="shared" si="47"/>
        <v>0.99162558542607848</v>
      </c>
      <c r="N729" t="str">
        <f t="shared" si="46"/>
        <v>C</v>
      </c>
    </row>
    <row r="730" spans="1:14" x14ac:dyDescent="0.25">
      <c r="A730" s="1" t="s">
        <v>424</v>
      </c>
      <c r="B730" s="3">
        <v>588</v>
      </c>
      <c r="C730" s="1">
        <v>1</v>
      </c>
      <c r="D730" s="1">
        <v>41</v>
      </c>
      <c r="E730">
        <f t="shared" si="44"/>
        <v>547</v>
      </c>
      <c r="G730" s="9" t="s">
        <v>1037</v>
      </c>
      <c r="H730" s="10">
        <v>142</v>
      </c>
      <c r="J730" t="s">
        <v>737</v>
      </c>
      <c r="K730">
        <v>64</v>
      </c>
      <c r="L730" s="11">
        <f t="shared" si="45"/>
        <v>1.7386951109201579E-4</v>
      </c>
      <c r="M730" s="11">
        <f t="shared" si="47"/>
        <v>0.99179945493717048</v>
      </c>
      <c r="N730" t="str">
        <f t="shared" si="46"/>
        <v>C</v>
      </c>
    </row>
    <row r="731" spans="1:14" x14ac:dyDescent="0.25">
      <c r="A731" s="1" t="s">
        <v>765</v>
      </c>
      <c r="B731" s="3">
        <v>861</v>
      </c>
      <c r="C731" s="1">
        <v>1</v>
      </c>
      <c r="D731" s="1">
        <v>60</v>
      </c>
      <c r="E731">
        <f t="shared" si="44"/>
        <v>801</v>
      </c>
      <c r="G731" s="9" t="s">
        <v>537</v>
      </c>
      <c r="H731" s="10">
        <v>166.20000000000002</v>
      </c>
      <c r="J731" t="s">
        <v>983</v>
      </c>
      <c r="K731">
        <v>64</v>
      </c>
      <c r="L731" s="11">
        <f t="shared" si="45"/>
        <v>1.7386951109201579E-4</v>
      </c>
      <c r="M731" s="11">
        <f t="shared" si="47"/>
        <v>0.99197332444826247</v>
      </c>
      <c r="N731" t="str">
        <f t="shared" si="46"/>
        <v>C</v>
      </c>
    </row>
    <row r="732" spans="1:14" x14ac:dyDescent="0.25">
      <c r="A732" s="1" t="s">
        <v>767</v>
      </c>
      <c r="B732" s="3">
        <v>1750</v>
      </c>
      <c r="C732" s="1">
        <v>1</v>
      </c>
      <c r="D732" s="1">
        <v>122</v>
      </c>
      <c r="E732">
        <f t="shared" si="44"/>
        <v>1628</v>
      </c>
      <c r="G732" s="9" t="s">
        <v>703</v>
      </c>
      <c r="H732" s="10">
        <v>2268</v>
      </c>
      <c r="J732" t="s">
        <v>387</v>
      </c>
      <c r="K732">
        <v>64</v>
      </c>
      <c r="L732" s="11">
        <f t="shared" si="45"/>
        <v>1.7386951109201579E-4</v>
      </c>
      <c r="M732" s="11">
        <f t="shared" si="47"/>
        <v>0.99214719395935447</v>
      </c>
      <c r="N732" t="str">
        <f t="shared" si="46"/>
        <v>C</v>
      </c>
    </row>
    <row r="733" spans="1:14" x14ac:dyDescent="0.25">
      <c r="A733" s="1" t="s">
        <v>112</v>
      </c>
      <c r="B733" s="3">
        <v>89</v>
      </c>
      <c r="C733" s="1">
        <v>2</v>
      </c>
      <c r="D733" s="1">
        <v>17.34</v>
      </c>
      <c r="E733">
        <f t="shared" si="44"/>
        <v>160.66</v>
      </c>
      <c r="G733" s="9" t="s">
        <v>924</v>
      </c>
      <c r="H733" s="10">
        <v>512</v>
      </c>
      <c r="J733" t="s">
        <v>612</v>
      </c>
      <c r="K733">
        <v>64</v>
      </c>
      <c r="L733" s="11">
        <f t="shared" si="45"/>
        <v>1.7386951109201579E-4</v>
      </c>
      <c r="M733" s="11">
        <f t="shared" si="47"/>
        <v>0.99232106347044646</v>
      </c>
      <c r="N733" t="str">
        <f t="shared" si="46"/>
        <v>C</v>
      </c>
    </row>
    <row r="734" spans="1:14" x14ac:dyDescent="0.25">
      <c r="A734" s="1" t="s">
        <v>112</v>
      </c>
      <c r="B734" s="3">
        <v>89</v>
      </c>
      <c r="C734" s="1">
        <v>1</v>
      </c>
      <c r="D734" s="1">
        <v>8.66</v>
      </c>
      <c r="E734">
        <f t="shared" si="44"/>
        <v>80.34</v>
      </c>
      <c r="G734" s="9" t="s">
        <v>1188</v>
      </c>
      <c r="H734" s="10">
        <v>175</v>
      </c>
      <c r="J734" t="s">
        <v>1159</v>
      </c>
      <c r="K734">
        <v>59</v>
      </c>
      <c r="L734" s="11">
        <f t="shared" si="45"/>
        <v>1.6028595553795207E-4</v>
      </c>
      <c r="M734" s="11">
        <f t="shared" si="47"/>
        <v>0.99248134942598443</v>
      </c>
      <c r="N734" t="str">
        <f t="shared" si="46"/>
        <v>C</v>
      </c>
    </row>
    <row r="735" spans="1:14" x14ac:dyDescent="0.25">
      <c r="A735" s="1" t="s">
        <v>769</v>
      </c>
      <c r="B735" s="3">
        <v>431</v>
      </c>
      <c r="C735" s="1">
        <v>1</v>
      </c>
      <c r="D735" s="1">
        <v>43</v>
      </c>
      <c r="E735">
        <f t="shared" si="44"/>
        <v>388</v>
      </c>
      <c r="G735" s="9" t="s">
        <v>670</v>
      </c>
      <c r="H735" s="10">
        <v>82</v>
      </c>
      <c r="J735" t="s">
        <v>208</v>
      </c>
      <c r="K735">
        <v>59</v>
      </c>
      <c r="L735" s="11">
        <f t="shared" si="45"/>
        <v>1.6028595553795207E-4</v>
      </c>
      <c r="M735" s="11">
        <f t="shared" si="47"/>
        <v>0.99264163538152239</v>
      </c>
      <c r="N735" t="str">
        <f t="shared" si="46"/>
        <v>C</v>
      </c>
    </row>
    <row r="736" spans="1:14" x14ac:dyDescent="0.25">
      <c r="A736" s="1" t="s">
        <v>771</v>
      </c>
      <c r="B736" s="3">
        <v>83</v>
      </c>
      <c r="C736" s="1">
        <v>1</v>
      </c>
      <c r="D736" s="1">
        <v>4</v>
      </c>
      <c r="E736">
        <f t="shared" si="44"/>
        <v>79</v>
      </c>
      <c r="G736" s="9" t="s">
        <v>316</v>
      </c>
      <c r="H736" s="10">
        <v>432</v>
      </c>
      <c r="J736" t="s">
        <v>546</v>
      </c>
      <c r="K736">
        <v>57</v>
      </c>
      <c r="L736" s="11">
        <f t="shared" si="45"/>
        <v>1.5485253331632657E-4</v>
      </c>
      <c r="M736" s="11">
        <f t="shared" si="47"/>
        <v>0.99279648791483877</v>
      </c>
      <c r="N736" t="str">
        <f t="shared" si="46"/>
        <v>C</v>
      </c>
    </row>
    <row r="737" spans="1:14" x14ac:dyDescent="0.25">
      <c r="A737" s="1" t="s">
        <v>773</v>
      </c>
      <c r="B737" s="3">
        <v>77</v>
      </c>
      <c r="C737" s="1">
        <v>1</v>
      </c>
      <c r="D737" s="1">
        <v>3</v>
      </c>
      <c r="E737">
        <f t="shared" si="44"/>
        <v>74</v>
      </c>
      <c r="G737" s="9" t="s">
        <v>440</v>
      </c>
      <c r="H737" s="10">
        <v>121</v>
      </c>
      <c r="J737" t="s">
        <v>580</v>
      </c>
      <c r="K737">
        <v>57</v>
      </c>
      <c r="L737" s="11">
        <f t="shared" si="45"/>
        <v>1.5485253331632657E-4</v>
      </c>
      <c r="M737" s="11">
        <f t="shared" si="47"/>
        <v>0.99295134044815514</v>
      </c>
      <c r="N737" t="str">
        <f t="shared" si="46"/>
        <v>C</v>
      </c>
    </row>
    <row r="738" spans="1:14" x14ac:dyDescent="0.25">
      <c r="A738" s="1" t="s">
        <v>514</v>
      </c>
      <c r="B738" s="3">
        <v>123</v>
      </c>
      <c r="C738" s="1">
        <v>1</v>
      </c>
      <c r="D738" s="1">
        <v>8</v>
      </c>
      <c r="E738">
        <f t="shared" si="44"/>
        <v>115</v>
      </c>
      <c r="G738" s="9" t="s">
        <v>636</v>
      </c>
      <c r="H738" s="10">
        <v>308</v>
      </c>
      <c r="J738" t="s">
        <v>429</v>
      </c>
      <c r="K738">
        <v>56.1</v>
      </c>
      <c r="L738" s="11">
        <f t="shared" si="45"/>
        <v>1.5240749331659509E-4</v>
      </c>
      <c r="M738" s="11">
        <f t="shared" si="47"/>
        <v>0.99310374794147172</v>
      </c>
      <c r="N738" t="str">
        <f t="shared" si="46"/>
        <v>C</v>
      </c>
    </row>
    <row r="739" spans="1:14" x14ac:dyDescent="0.25">
      <c r="A739" s="1" t="s">
        <v>514</v>
      </c>
      <c r="B739" s="3">
        <v>123</v>
      </c>
      <c r="C739" s="1">
        <v>1</v>
      </c>
      <c r="D739" s="1">
        <v>14.82</v>
      </c>
      <c r="E739">
        <f t="shared" si="44"/>
        <v>108.18</v>
      </c>
      <c r="G739" s="9" t="s">
        <v>253</v>
      </c>
      <c r="H739" s="10">
        <v>72</v>
      </c>
      <c r="J739" t="s">
        <v>1066</v>
      </c>
      <c r="K739">
        <v>56.050000000000004</v>
      </c>
      <c r="L739" s="11">
        <f t="shared" si="45"/>
        <v>1.5227165776105446E-4</v>
      </c>
      <c r="M739" s="11">
        <f t="shared" si="47"/>
        <v>0.99325601959923282</v>
      </c>
      <c r="N739" t="str">
        <f t="shared" si="46"/>
        <v>C</v>
      </c>
    </row>
    <row r="740" spans="1:14" x14ac:dyDescent="0.25">
      <c r="A740" s="1" t="s">
        <v>774</v>
      </c>
      <c r="B740" s="3">
        <v>35</v>
      </c>
      <c r="C740" s="1">
        <v>1</v>
      </c>
      <c r="D740" s="1">
        <v>3</v>
      </c>
      <c r="E740">
        <f t="shared" si="44"/>
        <v>32</v>
      </c>
      <c r="G740" s="9" t="s">
        <v>521</v>
      </c>
      <c r="H740" s="10">
        <v>149</v>
      </c>
      <c r="J740" t="s">
        <v>581</v>
      </c>
      <c r="K740">
        <v>56</v>
      </c>
      <c r="L740" s="11">
        <f t="shared" si="45"/>
        <v>1.5213582220551382E-4</v>
      </c>
      <c r="M740" s="11">
        <f t="shared" si="47"/>
        <v>0.99340815542143834</v>
      </c>
      <c r="N740" t="str">
        <f t="shared" si="46"/>
        <v>C</v>
      </c>
    </row>
    <row r="741" spans="1:14" x14ac:dyDescent="0.25">
      <c r="A741" s="1" t="s">
        <v>775</v>
      </c>
      <c r="B741" s="3">
        <v>1257</v>
      </c>
      <c r="C741" s="1">
        <v>1</v>
      </c>
      <c r="D741" s="1">
        <v>87</v>
      </c>
      <c r="E741">
        <f t="shared" si="44"/>
        <v>1170</v>
      </c>
      <c r="G741" s="9" t="s">
        <v>439</v>
      </c>
      <c r="H741" s="10">
        <v>157</v>
      </c>
      <c r="J741" t="s">
        <v>1077</v>
      </c>
      <c r="K741">
        <v>56</v>
      </c>
      <c r="L741" s="11">
        <f t="shared" si="45"/>
        <v>1.5213582220551382E-4</v>
      </c>
      <c r="M741" s="11">
        <f t="shared" si="47"/>
        <v>0.99356029124364387</v>
      </c>
      <c r="N741" t="str">
        <f t="shared" si="46"/>
        <v>C</v>
      </c>
    </row>
    <row r="742" spans="1:14" x14ac:dyDescent="0.25">
      <c r="A742" s="1" t="s">
        <v>777</v>
      </c>
      <c r="B742" s="3">
        <v>120</v>
      </c>
      <c r="C742" s="1">
        <v>1</v>
      </c>
      <c r="D742" s="1">
        <v>6</v>
      </c>
      <c r="E742">
        <f t="shared" si="44"/>
        <v>114</v>
      </c>
      <c r="G742" s="9" t="s">
        <v>855</v>
      </c>
      <c r="H742" s="10">
        <v>1258</v>
      </c>
      <c r="J742" t="s">
        <v>672</v>
      </c>
      <c r="K742">
        <v>56</v>
      </c>
      <c r="L742" s="11">
        <f t="shared" si="45"/>
        <v>1.5213582220551382E-4</v>
      </c>
      <c r="M742" s="11">
        <f t="shared" si="47"/>
        <v>0.99371242706584939</v>
      </c>
      <c r="N742" t="str">
        <f t="shared" si="46"/>
        <v>C</v>
      </c>
    </row>
    <row r="743" spans="1:14" x14ac:dyDescent="0.25">
      <c r="A743" s="1" t="s">
        <v>153</v>
      </c>
      <c r="B743" s="3">
        <v>160</v>
      </c>
      <c r="C743" s="1">
        <v>1</v>
      </c>
      <c r="D743" s="1">
        <v>0</v>
      </c>
      <c r="E743">
        <f t="shared" si="44"/>
        <v>160</v>
      </c>
      <c r="G743" s="9" t="s">
        <v>302</v>
      </c>
      <c r="H743" s="10">
        <v>75</v>
      </c>
      <c r="J743" t="s">
        <v>287</v>
      </c>
      <c r="K743">
        <v>55</v>
      </c>
      <c r="L743" s="11">
        <f t="shared" si="45"/>
        <v>1.4941911109470107E-4</v>
      </c>
      <c r="M743" s="11">
        <f t="shared" si="47"/>
        <v>0.99386184617694406</v>
      </c>
      <c r="N743" t="str">
        <f t="shared" si="46"/>
        <v>C</v>
      </c>
    </row>
    <row r="744" spans="1:14" x14ac:dyDescent="0.25">
      <c r="A744" s="1" t="s">
        <v>153</v>
      </c>
      <c r="B744" s="3">
        <v>160</v>
      </c>
      <c r="C744" s="1">
        <v>1</v>
      </c>
      <c r="D744" s="1">
        <v>0</v>
      </c>
      <c r="E744">
        <f t="shared" si="44"/>
        <v>160</v>
      </c>
      <c r="G744" s="9" t="s">
        <v>232</v>
      </c>
      <c r="H744" s="10">
        <v>435</v>
      </c>
      <c r="J744" t="s">
        <v>873</v>
      </c>
      <c r="K744">
        <v>55</v>
      </c>
      <c r="L744" s="11">
        <f t="shared" si="45"/>
        <v>1.4941911109470107E-4</v>
      </c>
      <c r="M744" s="11">
        <f t="shared" si="47"/>
        <v>0.99401126528803874</v>
      </c>
      <c r="N744" t="str">
        <f t="shared" si="46"/>
        <v>C</v>
      </c>
    </row>
    <row r="745" spans="1:14" x14ac:dyDescent="0.25">
      <c r="A745" s="1" t="s">
        <v>779</v>
      </c>
      <c r="B745" s="3">
        <v>175</v>
      </c>
      <c r="C745" s="1">
        <v>1</v>
      </c>
      <c r="D745" s="1">
        <v>0</v>
      </c>
      <c r="E745">
        <f t="shared" si="44"/>
        <v>175</v>
      </c>
      <c r="G745" s="9" t="s">
        <v>244</v>
      </c>
      <c r="H745" s="10">
        <v>32</v>
      </c>
      <c r="J745" t="s">
        <v>547</v>
      </c>
      <c r="K745">
        <v>54</v>
      </c>
      <c r="L745" s="11">
        <f t="shared" si="45"/>
        <v>1.4670239998388832E-4</v>
      </c>
      <c r="M745" s="11">
        <f t="shared" si="47"/>
        <v>0.99415796768802267</v>
      </c>
      <c r="N745" t="str">
        <f t="shared" si="46"/>
        <v>C</v>
      </c>
    </row>
    <row r="746" spans="1:14" x14ac:dyDescent="0.25">
      <c r="A746" s="1" t="s">
        <v>226</v>
      </c>
      <c r="B746" s="3">
        <v>69</v>
      </c>
      <c r="C746" s="1">
        <v>1</v>
      </c>
      <c r="D746" s="1">
        <v>0</v>
      </c>
      <c r="E746">
        <f t="shared" si="44"/>
        <v>69</v>
      </c>
      <c r="G746" s="9" t="s">
        <v>1034</v>
      </c>
      <c r="H746" s="10">
        <v>273.00001364999997</v>
      </c>
      <c r="J746" t="s">
        <v>511</v>
      </c>
      <c r="K746">
        <v>54</v>
      </c>
      <c r="L746" s="11">
        <f t="shared" si="45"/>
        <v>1.4670239998388832E-4</v>
      </c>
      <c r="M746" s="11">
        <f t="shared" si="47"/>
        <v>0.9943046700880066</v>
      </c>
      <c r="N746" t="str">
        <f t="shared" si="46"/>
        <v>C</v>
      </c>
    </row>
    <row r="747" spans="1:14" x14ac:dyDescent="0.25">
      <c r="A747" s="1" t="s">
        <v>226</v>
      </c>
      <c r="B747" s="3">
        <v>69</v>
      </c>
      <c r="C747" s="1">
        <v>1</v>
      </c>
      <c r="D747" s="1">
        <v>0</v>
      </c>
      <c r="E747">
        <f t="shared" si="44"/>
        <v>69</v>
      </c>
      <c r="G747" s="9" t="s">
        <v>932</v>
      </c>
      <c r="H747" s="10">
        <v>327.60000000000002</v>
      </c>
      <c r="J747" t="s">
        <v>1011</v>
      </c>
      <c r="K747">
        <v>53</v>
      </c>
      <c r="L747" s="11">
        <f t="shared" si="45"/>
        <v>1.4398568887307556E-4</v>
      </c>
      <c r="M747" s="11">
        <f t="shared" si="47"/>
        <v>0.99444865577687969</v>
      </c>
      <c r="N747" t="str">
        <f t="shared" si="46"/>
        <v>C</v>
      </c>
    </row>
    <row r="748" spans="1:14" x14ac:dyDescent="0.25">
      <c r="A748" s="1" t="s">
        <v>780</v>
      </c>
      <c r="B748" s="3">
        <v>71</v>
      </c>
      <c r="C748" s="1">
        <v>1</v>
      </c>
      <c r="D748" s="1">
        <v>0</v>
      </c>
      <c r="E748">
        <f t="shared" si="44"/>
        <v>71</v>
      </c>
      <c r="G748" s="9" t="s">
        <v>806</v>
      </c>
      <c r="H748" s="10">
        <v>64.44</v>
      </c>
      <c r="J748" t="s">
        <v>91</v>
      </c>
      <c r="K748">
        <v>52</v>
      </c>
      <c r="L748" s="11">
        <f t="shared" si="45"/>
        <v>1.4126897776226284E-4</v>
      </c>
      <c r="M748" s="11">
        <f t="shared" si="47"/>
        <v>0.99458992475464192</v>
      </c>
      <c r="N748" t="str">
        <f t="shared" si="46"/>
        <v>C</v>
      </c>
    </row>
    <row r="749" spans="1:14" x14ac:dyDescent="0.25">
      <c r="A749" s="1" t="s">
        <v>780</v>
      </c>
      <c r="B749" s="3">
        <v>71</v>
      </c>
      <c r="C749" s="1">
        <v>1</v>
      </c>
      <c r="D749" s="1">
        <v>0</v>
      </c>
      <c r="E749">
        <f t="shared" si="44"/>
        <v>71</v>
      </c>
      <c r="G749" s="9" t="s">
        <v>823</v>
      </c>
      <c r="H749" s="10">
        <v>357.12</v>
      </c>
      <c r="J749" t="s">
        <v>1138</v>
      </c>
      <c r="K749">
        <v>52</v>
      </c>
      <c r="L749" s="11">
        <f t="shared" si="45"/>
        <v>1.4126897776226284E-4</v>
      </c>
      <c r="M749" s="11">
        <f t="shared" si="47"/>
        <v>0.99473119373240415</v>
      </c>
      <c r="N749" t="str">
        <f t="shared" si="46"/>
        <v>C</v>
      </c>
    </row>
    <row r="750" spans="1:14" x14ac:dyDescent="0.25">
      <c r="A750" s="1" t="s">
        <v>780</v>
      </c>
      <c r="B750" s="3">
        <v>71</v>
      </c>
      <c r="C750" s="1">
        <v>1</v>
      </c>
      <c r="D750" s="1">
        <v>0</v>
      </c>
      <c r="E750">
        <f t="shared" si="44"/>
        <v>71</v>
      </c>
      <c r="G750" s="9" t="s">
        <v>1008</v>
      </c>
      <c r="H750" s="10">
        <v>25.8</v>
      </c>
      <c r="J750" t="s">
        <v>662</v>
      </c>
      <c r="K750">
        <v>51.714161600000004</v>
      </c>
      <c r="L750" s="11">
        <f t="shared" si="45"/>
        <v>1.404924374050859E-4</v>
      </c>
      <c r="M750" s="11">
        <f t="shared" si="47"/>
        <v>0.99487168616980926</v>
      </c>
      <c r="N750" t="str">
        <f t="shared" si="46"/>
        <v>C</v>
      </c>
    </row>
    <row r="751" spans="1:14" x14ac:dyDescent="0.25">
      <c r="A751" s="1" t="s">
        <v>759</v>
      </c>
      <c r="B751" s="3">
        <v>2947</v>
      </c>
      <c r="C751" s="1">
        <v>1</v>
      </c>
      <c r="D751" s="1">
        <v>0</v>
      </c>
      <c r="E751">
        <f t="shared" si="44"/>
        <v>2947</v>
      </c>
      <c r="G751" s="9" t="s">
        <v>493</v>
      </c>
      <c r="H751" s="10">
        <v>192</v>
      </c>
      <c r="J751" t="s">
        <v>1035</v>
      </c>
      <c r="K751">
        <v>51</v>
      </c>
      <c r="L751" s="11">
        <f t="shared" si="45"/>
        <v>1.3855226665145009E-4</v>
      </c>
      <c r="M751" s="11">
        <f t="shared" si="47"/>
        <v>0.99501023843646075</v>
      </c>
      <c r="N751" t="str">
        <f t="shared" si="46"/>
        <v>C</v>
      </c>
    </row>
    <row r="752" spans="1:14" x14ac:dyDescent="0.25">
      <c r="A752" s="1" t="s">
        <v>759</v>
      </c>
      <c r="B752" s="3">
        <v>2947</v>
      </c>
      <c r="C752" s="1">
        <v>1</v>
      </c>
      <c r="D752" s="1">
        <v>0</v>
      </c>
      <c r="E752">
        <f t="shared" si="44"/>
        <v>2947</v>
      </c>
      <c r="G752" s="9" t="s">
        <v>1049</v>
      </c>
      <c r="H752" s="10">
        <v>214</v>
      </c>
      <c r="J752" t="s">
        <v>991</v>
      </c>
      <c r="K752">
        <v>50</v>
      </c>
      <c r="L752" s="11">
        <f t="shared" si="45"/>
        <v>1.3583555554063734E-4</v>
      </c>
      <c r="M752" s="11">
        <f t="shared" si="47"/>
        <v>0.99514607399200139</v>
      </c>
      <c r="N752" t="str">
        <f t="shared" si="46"/>
        <v>C</v>
      </c>
    </row>
    <row r="753" spans="1:14" x14ac:dyDescent="0.25">
      <c r="A753" s="1" t="s">
        <v>781</v>
      </c>
      <c r="B753" s="3">
        <v>674</v>
      </c>
      <c r="C753" s="1">
        <v>1</v>
      </c>
      <c r="D753" s="1">
        <v>0</v>
      </c>
      <c r="E753">
        <f t="shared" si="44"/>
        <v>674</v>
      </c>
      <c r="G753" s="9" t="s">
        <v>260</v>
      </c>
      <c r="H753" s="10">
        <v>29</v>
      </c>
      <c r="J753" t="s">
        <v>964</v>
      </c>
      <c r="K753">
        <v>50</v>
      </c>
      <c r="L753" s="11">
        <f t="shared" si="45"/>
        <v>1.3583555554063734E-4</v>
      </c>
      <c r="M753" s="11">
        <f t="shared" si="47"/>
        <v>0.99528190954754203</v>
      </c>
      <c r="N753" t="str">
        <f t="shared" si="46"/>
        <v>C</v>
      </c>
    </row>
    <row r="754" spans="1:14" x14ac:dyDescent="0.25">
      <c r="A754" s="1" t="s">
        <v>782</v>
      </c>
      <c r="B754" s="3">
        <v>928</v>
      </c>
      <c r="C754" s="1">
        <v>1</v>
      </c>
      <c r="D754" s="1">
        <v>0</v>
      </c>
      <c r="E754">
        <f t="shared" si="44"/>
        <v>928</v>
      </c>
      <c r="G754" s="9" t="s">
        <v>95</v>
      </c>
      <c r="H754" s="10">
        <v>350</v>
      </c>
      <c r="J754" t="s">
        <v>620</v>
      </c>
      <c r="K754">
        <v>50</v>
      </c>
      <c r="L754" s="11">
        <f t="shared" si="45"/>
        <v>1.3583555554063734E-4</v>
      </c>
      <c r="M754" s="11">
        <f t="shared" si="47"/>
        <v>0.99541774510308267</v>
      </c>
      <c r="N754" t="str">
        <f t="shared" si="46"/>
        <v>C</v>
      </c>
    </row>
    <row r="755" spans="1:14" x14ac:dyDescent="0.25">
      <c r="A755" s="1" t="s">
        <v>783</v>
      </c>
      <c r="B755" s="3">
        <v>1081</v>
      </c>
      <c r="C755" s="1">
        <v>1</v>
      </c>
      <c r="D755" s="1">
        <v>0</v>
      </c>
      <c r="E755">
        <f t="shared" si="44"/>
        <v>1081</v>
      </c>
      <c r="G755" s="9" t="s">
        <v>590</v>
      </c>
      <c r="H755" s="10">
        <v>14</v>
      </c>
      <c r="J755" t="s">
        <v>868</v>
      </c>
      <c r="K755">
        <v>49</v>
      </c>
      <c r="L755" s="11">
        <f t="shared" si="45"/>
        <v>1.3311884442982459E-4</v>
      </c>
      <c r="M755" s="11">
        <f t="shared" si="47"/>
        <v>0.99555086394751247</v>
      </c>
      <c r="N755" t="str">
        <f t="shared" si="46"/>
        <v>C</v>
      </c>
    </row>
    <row r="756" spans="1:14" x14ac:dyDescent="0.25">
      <c r="A756" s="1" t="s">
        <v>784</v>
      </c>
      <c r="B756" s="3">
        <v>300</v>
      </c>
      <c r="C756" s="1">
        <v>1</v>
      </c>
      <c r="D756" s="1">
        <v>0</v>
      </c>
      <c r="E756">
        <f t="shared" si="44"/>
        <v>300</v>
      </c>
      <c r="G756" s="9" t="s">
        <v>633</v>
      </c>
      <c r="H756" s="10">
        <v>28</v>
      </c>
      <c r="J756" t="s">
        <v>1136</v>
      </c>
      <c r="K756">
        <v>49</v>
      </c>
      <c r="L756" s="11">
        <f t="shared" si="45"/>
        <v>1.3311884442982459E-4</v>
      </c>
      <c r="M756" s="11">
        <f t="shared" si="47"/>
        <v>0.99568398279194226</v>
      </c>
      <c r="N756" t="str">
        <f t="shared" si="46"/>
        <v>C</v>
      </c>
    </row>
    <row r="757" spans="1:14" x14ac:dyDescent="0.25">
      <c r="A757" s="1" t="s">
        <v>785</v>
      </c>
      <c r="B757" s="3">
        <v>3482</v>
      </c>
      <c r="C757" s="1">
        <v>1</v>
      </c>
      <c r="D757" s="1">
        <v>0</v>
      </c>
      <c r="E757">
        <f t="shared" si="44"/>
        <v>3482</v>
      </c>
      <c r="G757" s="9" t="s">
        <v>629</v>
      </c>
      <c r="H757" s="10">
        <v>506</v>
      </c>
      <c r="J757" t="s">
        <v>1224</v>
      </c>
      <c r="K757">
        <v>48</v>
      </c>
      <c r="L757" s="11">
        <f t="shared" si="45"/>
        <v>1.3040213331901184E-4</v>
      </c>
      <c r="M757" s="11">
        <f t="shared" si="47"/>
        <v>0.99581438492526131</v>
      </c>
      <c r="N757" t="str">
        <f t="shared" si="46"/>
        <v>C</v>
      </c>
    </row>
    <row r="758" spans="1:14" x14ac:dyDescent="0.25">
      <c r="A758" s="1" t="s">
        <v>787</v>
      </c>
      <c r="B758" s="3">
        <v>468</v>
      </c>
      <c r="C758" s="1">
        <v>1</v>
      </c>
      <c r="D758" s="1">
        <v>0</v>
      </c>
      <c r="E758">
        <f t="shared" si="44"/>
        <v>468</v>
      </c>
      <c r="G758" s="9" t="s">
        <v>679</v>
      </c>
      <c r="H758" s="10">
        <v>503.99999495999998</v>
      </c>
      <c r="J758" t="s">
        <v>815</v>
      </c>
      <c r="K758">
        <v>47</v>
      </c>
      <c r="L758" s="11">
        <f t="shared" si="45"/>
        <v>1.2768542220819909E-4</v>
      </c>
      <c r="M758" s="11">
        <f t="shared" si="47"/>
        <v>0.99594207034746951</v>
      </c>
      <c r="N758" t="str">
        <f t="shared" si="46"/>
        <v>C</v>
      </c>
    </row>
    <row r="759" spans="1:14" x14ac:dyDescent="0.25">
      <c r="A759" s="1" t="s">
        <v>395</v>
      </c>
      <c r="B759" s="3">
        <v>105</v>
      </c>
      <c r="C759" s="1">
        <v>1</v>
      </c>
      <c r="D759" s="1">
        <v>0</v>
      </c>
      <c r="E759">
        <f t="shared" si="44"/>
        <v>105</v>
      </c>
      <c r="G759" s="9" t="s">
        <v>913</v>
      </c>
      <c r="H759" s="10">
        <v>122</v>
      </c>
      <c r="J759" t="s">
        <v>456</v>
      </c>
      <c r="K759">
        <v>46</v>
      </c>
      <c r="L759" s="11">
        <f t="shared" si="45"/>
        <v>1.2496871109738634E-4</v>
      </c>
      <c r="M759" s="11">
        <f t="shared" si="47"/>
        <v>0.99606703905856686</v>
      </c>
      <c r="N759" t="str">
        <f t="shared" si="46"/>
        <v>C</v>
      </c>
    </row>
    <row r="760" spans="1:14" x14ac:dyDescent="0.25">
      <c r="A760" s="1" t="s">
        <v>789</v>
      </c>
      <c r="B760" s="3">
        <v>26</v>
      </c>
      <c r="C760" s="1">
        <v>1</v>
      </c>
      <c r="D760" s="1">
        <v>0</v>
      </c>
      <c r="E760">
        <f t="shared" si="44"/>
        <v>26</v>
      </c>
      <c r="G760" s="9" t="s">
        <v>1139</v>
      </c>
      <c r="H760" s="10">
        <v>103</v>
      </c>
      <c r="J760" t="s">
        <v>324</v>
      </c>
      <c r="K760">
        <v>46</v>
      </c>
      <c r="L760" s="11">
        <f t="shared" si="45"/>
        <v>1.2496871109738634E-4</v>
      </c>
      <c r="M760" s="11">
        <f t="shared" si="47"/>
        <v>0.99619200776966421</v>
      </c>
      <c r="N760" t="str">
        <f t="shared" si="46"/>
        <v>C</v>
      </c>
    </row>
    <row r="761" spans="1:14" x14ac:dyDescent="0.25">
      <c r="A761" s="1" t="s">
        <v>791</v>
      </c>
      <c r="B761" s="3">
        <v>244</v>
      </c>
      <c r="C761" s="1">
        <v>2</v>
      </c>
      <c r="D761" s="1">
        <v>48</v>
      </c>
      <c r="E761">
        <f t="shared" si="44"/>
        <v>440</v>
      </c>
      <c r="G761" s="9" t="s">
        <v>718</v>
      </c>
      <c r="H761" s="10">
        <v>161</v>
      </c>
      <c r="J761" t="s">
        <v>920</v>
      </c>
      <c r="K761">
        <v>46</v>
      </c>
      <c r="L761" s="11">
        <f t="shared" si="45"/>
        <v>1.2496871109738634E-4</v>
      </c>
      <c r="M761" s="11">
        <f t="shared" si="47"/>
        <v>0.99631697648076156</v>
      </c>
      <c r="N761" t="str">
        <f t="shared" si="46"/>
        <v>C</v>
      </c>
    </row>
    <row r="762" spans="1:14" x14ac:dyDescent="0.25">
      <c r="A762" s="1" t="s">
        <v>793</v>
      </c>
      <c r="B762" s="3">
        <v>659</v>
      </c>
      <c r="C762" s="1">
        <v>1</v>
      </c>
      <c r="D762" s="1">
        <v>46</v>
      </c>
      <c r="E762">
        <f t="shared" si="44"/>
        <v>613</v>
      </c>
      <c r="G762" s="9" t="s">
        <v>1104</v>
      </c>
      <c r="H762" s="10">
        <v>254</v>
      </c>
      <c r="J762" t="s">
        <v>738</v>
      </c>
      <c r="K762">
        <v>45</v>
      </c>
      <c r="L762" s="11">
        <f t="shared" si="45"/>
        <v>1.2225199998657361E-4</v>
      </c>
      <c r="M762" s="11">
        <f t="shared" si="47"/>
        <v>0.99643922848074817</v>
      </c>
      <c r="N762" t="str">
        <f t="shared" si="46"/>
        <v>C</v>
      </c>
    </row>
    <row r="763" spans="1:14" x14ac:dyDescent="0.25">
      <c r="A763" s="1" t="s">
        <v>795</v>
      </c>
      <c r="B763" s="3">
        <v>183</v>
      </c>
      <c r="C763" s="1">
        <v>1</v>
      </c>
      <c r="D763" s="1">
        <v>9</v>
      </c>
      <c r="E763">
        <f t="shared" si="44"/>
        <v>174</v>
      </c>
      <c r="G763" s="9" t="s">
        <v>712</v>
      </c>
      <c r="H763" s="10">
        <v>117</v>
      </c>
      <c r="J763" t="s">
        <v>831</v>
      </c>
      <c r="K763">
        <v>44</v>
      </c>
      <c r="L763" s="11">
        <f t="shared" si="45"/>
        <v>1.1953528887576085E-4</v>
      </c>
      <c r="M763" s="11">
        <f t="shared" si="47"/>
        <v>0.99655876376962393</v>
      </c>
      <c r="N763" t="str">
        <f t="shared" si="46"/>
        <v>C</v>
      </c>
    </row>
    <row r="764" spans="1:14" x14ac:dyDescent="0.25">
      <c r="A764" s="1" t="s">
        <v>797</v>
      </c>
      <c r="B764" s="3">
        <v>56</v>
      </c>
      <c r="C764" s="1">
        <v>1</v>
      </c>
      <c r="D764" s="1">
        <v>3</v>
      </c>
      <c r="E764">
        <f t="shared" si="44"/>
        <v>53</v>
      </c>
      <c r="G764" s="9" t="s">
        <v>954</v>
      </c>
      <c r="H764" s="10">
        <v>601</v>
      </c>
      <c r="J764" t="s">
        <v>856</v>
      </c>
      <c r="K764">
        <v>44</v>
      </c>
      <c r="L764" s="11">
        <f t="shared" si="45"/>
        <v>1.1953528887576085E-4</v>
      </c>
      <c r="M764" s="11">
        <f t="shared" si="47"/>
        <v>0.99667829905849969</v>
      </c>
      <c r="N764" t="str">
        <f t="shared" si="46"/>
        <v>C</v>
      </c>
    </row>
    <row r="765" spans="1:14" x14ac:dyDescent="0.25">
      <c r="A765" s="1" t="s">
        <v>797</v>
      </c>
      <c r="B765" s="3">
        <v>50</v>
      </c>
      <c r="C765" s="1">
        <v>1</v>
      </c>
      <c r="D765" s="1">
        <v>3</v>
      </c>
      <c r="E765">
        <f t="shared" si="44"/>
        <v>47</v>
      </c>
      <c r="G765" s="9" t="s">
        <v>741</v>
      </c>
      <c r="H765" s="10">
        <v>342</v>
      </c>
      <c r="J765" t="s">
        <v>30</v>
      </c>
      <c r="K765">
        <v>44</v>
      </c>
      <c r="L765" s="11">
        <f t="shared" si="45"/>
        <v>1.1953528887576085E-4</v>
      </c>
      <c r="M765" s="11">
        <f t="shared" si="47"/>
        <v>0.99679783434737546</v>
      </c>
      <c r="N765" t="str">
        <f t="shared" si="46"/>
        <v>C</v>
      </c>
    </row>
    <row r="766" spans="1:14" x14ac:dyDescent="0.25">
      <c r="A766" s="1" t="s">
        <v>798</v>
      </c>
      <c r="B766" s="3">
        <v>378</v>
      </c>
      <c r="C766" s="1">
        <v>1</v>
      </c>
      <c r="D766" s="1">
        <v>26</v>
      </c>
      <c r="E766">
        <f t="shared" si="44"/>
        <v>352</v>
      </c>
      <c r="G766" s="9" t="s">
        <v>851</v>
      </c>
      <c r="H766" s="10">
        <v>370</v>
      </c>
      <c r="J766" t="s">
        <v>710</v>
      </c>
      <c r="K766">
        <v>43</v>
      </c>
      <c r="L766" s="11">
        <f t="shared" si="45"/>
        <v>1.1681857776494811E-4</v>
      </c>
      <c r="M766" s="11">
        <f t="shared" si="47"/>
        <v>0.99691465292514037</v>
      </c>
      <c r="N766" t="str">
        <f t="shared" si="46"/>
        <v>C</v>
      </c>
    </row>
    <row r="767" spans="1:14" x14ac:dyDescent="0.25">
      <c r="A767" s="1" t="s">
        <v>248</v>
      </c>
      <c r="B767" s="3">
        <v>219</v>
      </c>
      <c r="C767" s="1">
        <v>1</v>
      </c>
      <c r="D767" s="1">
        <v>21</v>
      </c>
      <c r="E767">
        <f t="shared" si="44"/>
        <v>198</v>
      </c>
      <c r="G767" s="9" t="s">
        <v>119</v>
      </c>
      <c r="H767" s="10">
        <v>94.09</v>
      </c>
      <c r="J767" t="s">
        <v>358</v>
      </c>
      <c r="K767">
        <v>41</v>
      </c>
      <c r="L767" s="11">
        <f t="shared" si="45"/>
        <v>1.1138515554332261E-4</v>
      </c>
      <c r="M767" s="11">
        <f t="shared" si="47"/>
        <v>0.99702603808068369</v>
      </c>
      <c r="N767" t="str">
        <f t="shared" si="46"/>
        <v>C</v>
      </c>
    </row>
    <row r="768" spans="1:14" x14ac:dyDescent="0.25">
      <c r="A768" s="1" t="s">
        <v>248</v>
      </c>
      <c r="B768" s="3">
        <v>219</v>
      </c>
      <c r="C768" s="1">
        <v>1</v>
      </c>
      <c r="D768" s="1">
        <v>21</v>
      </c>
      <c r="E768">
        <f t="shared" si="44"/>
        <v>198</v>
      </c>
      <c r="G768" s="9" t="s">
        <v>595</v>
      </c>
      <c r="H768" s="10">
        <v>306</v>
      </c>
      <c r="J768" t="s">
        <v>421</v>
      </c>
      <c r="K768">
        <v>40.872000000000007</v>
      </c>
      <c r="L768" s="11">
        <f t="shared" si="45"/>
        <v>1.110374165211386E-4</v>
      </c>
      <c r="M768" s="11">
        <f t="shared" si="47"/>
        <v>0.99713707549720487</v>
      </c>
      <c r="N768" t="str">
        <f t="shared" si="46"/>
        <v>C</v>
      </c>
    </row>
    <row r="769" spans="1:14" x14ac:dyDescent="0.25">
      <c r="A769" s="1" t="s">
        <v>800</v>
      </c>
      <c r="B769" s="3">
        <v>918</v>
      </c>
      <c r="C769" s="1">
        <v>0.01</v>
      </c>
      <c r="D769" s="1">
        <v>0.18</v>
      </c>
      <c r="E769">
        <f t="shared" si="44"/>
        <v>9</v>
      </c>
      <c r="G769" s="9" t="s">
        <v>620</v>
      </c>
      <c r="H769" s="10">
        <v>50</v>
      </c>
      <c r="J769" t="s">
        <v>955</v>
      </c>
      <c r="K769">
        <v>40</v>
      </c>
      <c r="L769" s="11">
        <f t="shared" si="45"/>
        <v>1.0866844443250987E-4</v>
      </c>
      <c r="M769" s="11">
        <f t="shared" si="47"/>
        <v>0.99724574394163734</v>
      </c>
      <c r="N769" t="str">
        <f t="shared" si="46"/>
        <v>C</v>
      </c>
    </row>
    <row r="770" spans="1:14" x14ac:dyDescent="0.25">
      <c r="A770" s="1" t="s">
        <v>801</v>
      </c>
      <c r="B770" s="3">
        <v>1176</v>
      </c>
      <c r="C770" s="1">
        <v>0.1</v>
      </c>
      <c r="D770" s="1">
        <v>7.6</v>
      </c>
      <c r="E770">
        <f t="shared" si="44"/>
        <v>110.00000000000001</v>
      </c>
      <c r="G770" s="9" t="s">
        <v>239</v>
      </c>
      <c r="H770" s="10">
        <v>606</v>
      </c>
      <c r="J770" t="s">
        <v>1158</v>
      </c>
      <c r="K770">
        <v>40</v>
      </c>
      <c r="L770" s="11">
        <f t="shared" si="45"/>
        <v>1.0866844443250987E-4</v>
      </c>
      <c r="M770" s="11">
        <f t="shared" si="47"/>
        <v>0.99735441238606981</v>
      </c>
      <c r="N770" t="str">
        <f t="shared" si="46"/>
        <v>C</v>
      </c>
    </row>
    <row r="771" spans="1:14" x14ac:dyDescent="0.25">
      <c r="A771" s="1" t="s">
        <v>802</v>
      </c>
      <c r="B771" s="3">
        <v>245</v>
      </c>
      <c r="C771" s="1">
        <v>1</v>
      </c>
      <c r="D771" s="1">
        <v>0</v>
      </c>
      <c r="E771">
        <f t="shared" ref="E771:E834" si="48">C771*B771-D771</f>
        <v>245</v>
      </c>
      <c r="G771" s="9" t="s">
        <v>527</v>
      </c>
      <c r="H771" s="10">
        <v>1429</v>
      </c>
      <c r="J771" t="s">
        <v>367</v>
      </c>
      <c r="K771">
        <v>40</v>
      </c>
      <c r="L771" s="11">
        <f t="shared" ref="L771:L804" si="49">K771/SUM($K$2:$K$804)</f>
        <v>1.0866844443250987E-4</v>
      </c>
      <c r="M771" s="11">
        <f t="shared" si="47"/>
        <v>0.99746308083050228</v>
      </c>
      <c r="N771" t="str">
        <f t="shared" ref="N771:N804" si="50">IF(M771&lt;0.8, "A", IF(M771&lt;0.95,"B","C"))</f>
        <v>C</v>
      </c>
    </row>
    <row r="772" spans="1:14" x14ac:dyDescent="0.25">
      <c r="A772" s="1" t="s">
        <v>803</v>
      </c>
      <c r="B772" s="3">
        <v>281</v>
      </c>
      <c r="C772" s="1">
        <v>1</v>
      </c>
      <c r="D772" s="1">
        <v>14</v>
      </c>
      <c r="E772">
        <f t="shared" si="48"/>
        <v>267</v>
      </c>
      <c r="G772" s="9" t="s">
        <v>1192</v>
      </c>
      <c r="H772" s="10">
        <v>702</v>
      </c>
      <c r="J772" t="s">
        <v>884</v>
      </c>
      <c r="K772">
        <v>39</v>
      </c>
      <c r="L772" s="11">
        <f t="shared" si="49"/>
        <v>1.0595173332169712E-4</v>
      </c>
      <c r="M772" s="11">
        <f t="shared" ref="M772:M804" si="51">L772+M771</f>
        <v>0.99756903256382401</v>
      </c>
      <c r="N772" t="str">
        <f t="shared" si="50"/>
        <v>C</v>
      </c>
    </row>
    <row r="773" spans="1:14" x14ac:dyDescent="0.25">
      <c r="A773" s="1" t="s">
        <v>804</v>
      </c>
      <c r="B773" s="3">
        <v>33</v>
      </c>
      <c r="C773" s="1">
        <v>1</v>
      </c>
      <c r="D773" s="1">
        <v>1</v>
      </c>
      <c r="E773">
        <f t="shared" si="48"/>
        <v>32</v>
      </c>
      <c r="G773" s="9" t="s">
        <v>473</v>
      </c>
      <c r="H773" s="10">
        <v>907</v>
      </c>
      <c r="J773" t="s">
        <v>70</v>
      </c>
      <c r="K773">
        <v>39</v>
      </c>
      <c r="L773" s="11">
        <f t="shared" si="49"/>
        <v>1.0595173332169712E-4</v>
      </c>
      <c r="M773" s="11">
        <f t="shared" si="51"/>
        <v>0.99767498429714574</v>
      </c>
      <c r="N773" t="str">
        <f t="shared" si="50"/>
        <v>C</v>
      </c>
    </row>
    <row r="774" spans="1:14" x14ac:dyDescent="0.25">
      <c r="A774" s="1" t="s">
        <v>804</v>
      </c>
      <c r="B774" s="3">
        <v>33</v>
      </c>
      <c r="C774" s="1">
        <v>1</v>
      </c>
      <c r="D774" s="1">
        <v>0</v>
      </c>
      <c r="E774">
        <f t="shared" si="48"/>
        <v>33</v>
      </c>
      <c r="G774" s="9" t="s">
        <v>72</v>
      </c>
      <c r="H774" s="10">
        <v>100</v>
      </c>
      <c r="J774" t="s">
        <v>1155</v>
      </c>
      <c r="K774">
        <v>39</v>
      </c>
      <c r="L774" s="11">
        <f t="shared" si="49"/>
        <v>1.0595173332169712E-4</v>
      </c>
      <c r="M774" s="11">
        <f t="shared" si="51"/>
        <v>0.99778093603046747</v>
      </c>
      <c r="N774" t="str">
        <f t="shared" si="50"/>
        <v>C</v>
      </c>
    </row>
    <row r="775" spans="1:14" x14ac:dyDescent="0.25">
      <c r="A775" s="1" t="s">
        <v>805</v>
      </c>
      <c r="B775" s="3">
        <v>592</v>
      </c>
      <c r="C775" s="1">
        <v>1</v>
      </c>
      <c r="D775" s="1">
        <v>0</v>
      </c>
      <c r="E775">
        <f t="shared" si="48"/>
        <v>592</v>
      </c>
      <c r="G775" s="9" t="s">
        <v>270</v>
      </c>
      <c r="H775" s="10">
        <v>234</v>
      </c>
      <c r="J775" t="s">
        <v>1050</v>
      </c>
      <c r="K775">
        <v>38</v>
      </c>
      <c r="L775" s="11">
        <f t="shared" si="49"/>
        <v>1.0323502221088437E-4</v>
      </c>
      <c r="M775" s="11">
        <f t="shared" si="51"/>
        <v>0.99788417105267835</v>
      </c>
      <c r="N775" t="str">
        <f t="shared" si="50"/>
        <v>C</v>
      </c>
    </row>
    <row r="776" spans="1:14" x14ac:dyDescent="0.25">
      <c r="A776" s="1" t="s">
        <v>806</v>
      </c>
      <c r="B776" s="3">
        <v>537</v>
      </c>
      <c r="C776" s="1">
        <v>0.12</v>
      </c>
      <c r="D776" s="1">
        <v>0</v>
      </c>
      <c r="E776">
        <f t="shared" si="48"/>
        <v>64.44</v>
      </c>
      <c r="G776" s="9" t="s">
        <v>267</v>
      </c>
      <c r="H776" s="10">
        <v>396</v>
      </c>
      <c r="J776" t="s">
        <v>613</v>
      </c>
      <c r="K776">
        <v>37</v>
      </c>
      <c r="L776" s="11">
        <f t="shared" si="49"/>
        <v>1.0051831110007162E-4</v>
      </c>
      <c r="M776" s="11">
        <f t="shared" si="51"/>
        <v>0.99798468936377838</v>
      </c>
      <c r="N776" t="str">
        <f t="shared" si="50"/>
        <v>C</v>
      </c>
    </row>
    <row r="777" spans="1:14" x14ac:dyDescent="0.25">
      <c r="A777" s="1" t="s">
        <v>182</v>
      </c>
      <c r="B777" s="3">
        <v>83</v>
      </c>
      <c r="C777" s="1">
        <v>1</v>
      </c>
      <c r="D777" s="1">
        <v>0</v>
      </c>
      <c r="E777">
        <f t="shared" si="48"/>
        <v>83</v>
      </c>
      <c r="G777" s="9" t="s">
        <v>1148</v>
      </c>
      <c r="H777" s="10">
        <v>219</v>
      </c>
      <c r="J777" t="s">
        <v>274</v>
      </c>
      <c r="K777">
        <v>37</v>
      </c>
      <c r="L777" s="11">
        <f t="shared" si="49"/>
        <v>1.0051831110007162E-4</v>
      </c>
      <c r="M777" s="11">
        <f t="shared" si="51"/>
        <v>0.99808520767487841</v>
      </c>
      <c r="N777" t="str">
        <f t="shared" si="50"/>
        <v>C</v>
      </c>
    </row>
    <row r="778" spans="1:14" x14ac:dyDescent="0.25">
      <c r="A778" s="1" t="s">
        <v>65</v>
      </c>
      <c r="B778" s="3">
        <v>301</v>
      </c>
      <c r="C778" s="1">
        <v>1</v>
      </c>
      <c r="D778" s="1">
        <v>0</v>
      </c>
      <c r="E778">
        <f t="shared" si="48"/>
        <v>301</v>
      </c>
      <c r="G778" s="9" t="s">
        <v>748</v>
      </c>
      <c r="H778" s="10">
        <v>505</v>
      </c>
      <c r="J778" t="s">
        <v>505</v>
      </c>
      <c r="K778">
        <v>36</v>
      </c>
      <c r="L778" s="11">
        <f t="shared" si="49"/>
        <v>9.7801599989258886E-5</v>
      </c>
      <c r="M778" s="11">
        <f t="shared" si="51"/>
        <v>0.99818300927486769</v>
      </c>
      <c r="N778" t="str">
        <f t="shared" si="50"/>
        <v>C</v>
      </c>
    </row>
    <row r="779" spans="1:14" x14ac:dyDescent="0.25">
      <c r="A779" s="1" t="s">
        <v>510</v>
      </c>
      <c r="B779" s="3">
        <v>258</v>
      </c>
      <c r="C779" s="1">
        <v>1</v>
      </c>
      <c r="D779" s="1">
        <v>0</v>
      </c>
      <c r="E779">
        <f t="shared" si="48"/>
        <v>258</v>
      </c>
      <c r="G779" s="9" t="s">
        <v>113</v>
      </c>
      <c r="H779" s="10">
        <v>127</v>
      </c>
      <c r="J779" t="s">
        <v>915</v>
      </c>
      <c r="K779">
        <v>36</v>
      </c>
      <c r="L779" s="11">
        <f t="shared" si="49"/>
        <v>9.7801599989258886E-5</v>
      </c>
      <c r="M779" s="11">
        <f t="shared" si="51"/>
        <v>0.99828081087485698</v>
      </c>
      <c r="N779" t="str">
        <f t="shared" si="50"/>
        <v>C</v>
      </c>
    </row>
    <row r="780" spans="1:14" x14ac:dyDescent="0.25">
      <c r="A780" s="1" t="s">
        <v>808</v>
      </c>
      <c r="B780" s="3">
        <v>206</v>
      </c>
      <c r="C780" s="1">
        <v>1</v>
      </c>
      <c r="D780" s="1">
        <v>0</v>
      </c>
      <c r="E780">
        <f t="shared" si="48"/>
        <v>206</v>
      </c>
      <c r="G780" s="9" t="s">
        <v>279</v>
      </c>
      <c r="H780" s="10">
        <v>156</v>
      </c>
      <c r="J780" t="s">
        <v>220</v>
      </c>
      <c r="K780">
        <v>36</v>
      </c>
      <c r="L780" s="11">
        <f t="shared" si="49"/>
        <v>9.7801599989258886E-5</v>
      </c>
      <c r="M780" s="11">
        <f t="shared" si="51"/>
        <v>0.99837861247484627</v>
      </c>
      <c r="N780" t="str">
        <f t="shared" si="50"/>
        <v>C</v>
      </c>
    </row>
    <row r="781" spans="1:14" x14ac:dyDescent="0.25">
      <c r="A781" s="1" t="s">
        <v>810</v>
      </c>
      <c r="B781" s="3">
        <v>236</v>
      </c>
      <c r="C781" s="1">
        <v>1</v>
      </c>
      <c r="D781" s="1">
        <v>0</v>
      </c>
      <c r="E781">
        <f t="shared" si="48"/>
        <v>236</v>
      </c>
      <c r="G781" s="9" t="s">
        <v>405</v>
      </c>
      <c r="H781" s="10">
        <v>72</v>
      </c>
      <c r="J781" t="s">
        <v>774</v>
      </c>
      <c r="K781">
        <v>35</v>
      </c>
      <c r="L781" s="11">
        <f t="shared" si="49"/>
        <v>9.5084888878446135E-5</v>
      </c>
      <c r="M781" s="11">
        <f t="shared" si="51"/>
        <v>0.99847369736372471</v>
      </c>
      <c r="N781" t="str">
        <f t="shared" si="50"/>
        <v>C</v>
      </c>
    </row>
    <row r="782" spans="1:14" x14ac:dyDescent="0.25">
      <c r="A782" s="1" t="s">
        <v>811</v>
      </c>
      <c r="B782" s="3">
        <v>104</v>
      </c>
      <c r="C782" s="1">
        <v>1</v>
      </c>
      <c r="D782" s="1">
        <v>0</v>
      </c>
      <c r="E782">
        <f t="shared" si="48"/>
        <v>104</v>
      </c>
      <c r="G782" s="9" t="s">
        <v>1102</v>
      </c>
      <c r="H782" s="10">
        <v>98</v>
      </c>
      <c r="J782" t="s">
        <v>850</v>
      </c>
      <c r="K782">
        <v>35</v>
      </c>
      <c r="L782" s="11">
        <f t="shared" si="49"/>
        <v>9.5084888878446135E-5</v>
      </c>
      <c r="M782" s="11">
        <f t="shared" si="51"/>
        <v>0.99856878225260315</v>
      </c>
      <c r="N782" t="str">
        <f t="shared" si="50"/>
        <v>C</v>
      </c>
    </row>
    <row r="783" spans="1:14" x14ac:dyDescent="0.25">
      <c r="A783" s="1" t="s">
        <v>812</v>
      </c>
      <c r="B783" s="3">
        <v>98</v>
      </c>
      <c r="C783" s="1">
        <v>1</v>
      </c>
      <c r="D783" s="1">
        <v>0</v>
      </c>
      <c r="E783">
        <f t="shared" si="48"/>
        <v>98</v>
      </c>
      <c r="G783" s="9" t="s">
        <v>80</v>
      </c>
      <c r="H783" s="10">
        <v>672</v>
      </c>
      <c r="J783" t="s">
        <v>896</v>
      </c>
      <c r="K783">
        <v>34</v>
      </c>
      <c r="L783" s="11">
        <f t="shared" si="49"/>
        <v>9.2368177767633385E-5</v>
      </c>
      <c r="M783" s="11">
        <f t="shared" si="51"/>
        <v>0.99866115043037074</v>
      </c>
      <c r="N783" t="str">
        <f t="shared" si="50"/>
        <v>C</v>
      </c>
    </row>
    <row r="784" spans="1:14" x14ac:dyDescent="0.25">
      <c r="A784" s="1" t="s">
        <v>813</v>
      </c>
      <c r="B784" s="3">
        <v>409</v>
      </c>
      <c r="C784" s="1">
        <v>1</v>
      </c>
      <c r="D784" s="1">
        <v>0</v>
      </c>
      <c r="E784">
        <f t="shared" si="48"/>
        <v>409</v>
      </c>
      <c r="G784" s="9" t="s">
        <v>1178</v>
      </c>
      <c r="H784" s="10">
        <v>102</v>
      </c>
      <c r="J784" t="s">
        <v>93</v>
      </c>
      <c r="K784">
        <v>32</v>
      </c>
      <c r="L784" s="11">
        <f t="shared" si="49"/>
        <v>8.6934755546007897E-5</v>
      </c>
      <c r="M784" s="11">
        <f t="shared" si="51"/>
        <v>0.99874808518591673</v>
      </c>
      <c r="N784" t="str">
        <f t="shared" si="50"/>
        <v>C</v>
      </c>
    </row>
    <row r="785" spans="1:14" x14ac:dyDescent="0.25">
      <c r="A785" s="1" t="s">
        <v>814</v>
      </c>
      <c r="B785" s="3">
        <v>48</v>
      </c>
      <c r="C785" s="1">
        <v>1</v>
      </c>
      <c r="D785" s="1">
        <v>0</v>
      </c>
      <c r="E785">
        <f t="shared" si="48"/>
        <v>48</v>
      </c>
      <c r="G785" s="9" t="s">
        <v>1001</v>
      </c>
      <c r="H785" s="10">
        <v>177</v>
      </c>
      <c r="J785" t="s">
        <v>244</v>
      </c>
      <c r="K785">
        <v>32</v>
      </c>
      <c r="L785" s="11">
        <f t="shared" si="49"/>
        <v>8.6934755546007897E-5</v>
      </c>
      <c r="M785" s="11">
        <f t="shared" si="51"/>
        <v>0.99883501994146273</v>
      </c>
      <c r="N785" t="str">
        <f t="shared" si="50"/>
        <v>C</v>
      </c>
    </row>
    <row r="786" spans="1:14" x14ac:dyDescent="0.25">
      <c r="A786" s="1" t="s">
        <v>814</v>
      </c>
      <c r="B786" s="3">
        <v>48</v>
      </c>
      <c r="C786" s="1">
        <v>1</v>
      </c>
      <c r="D786" s="1">
        <v>0</v>
      </c>
      <c r="E786">
        <f t="shared" si="48"/>
        <v>48</v>
      </c>
      <c r="G786" s="9" t="s">
        <v>824</v>
      </c>
      <c r="H786" s="10">
        <v>133</v>
      </c>
      <c r="J786" t="s">
        <v>1226</v>
      </c>
      <c r="K786">
        <v>30</v>
      </c>
      <c r="L786" s="11">
        <f t="shared" si="49"/>
        <v>8.1501333324382396E-5</v>
      </c>
      <c r="M786" s="11">
        <f t="shared" si="51"/>
        <v>0.99891652127478714</v>
      </c>
      <c r="N786" t="str">
        <f t="shared" si="50"/>
        <v>C</v>
      </c>
    </row>
    <row r="787" spans="1:14" x14ac:dyDescent="0.25">
      <c r="A787" s="1" t="s">
        <v>815</v>
      </c>
      <c r="B787" s="3">
        <v>47</v>
      </c>
      <c r="C787" s="1">
        <v>1</v>
      </c>
      <c r="D787" s="1">
        <v>3</v>
      </c>
      <c r="E787">
        <f t="shared" si="48"/>
        <v>44</v>
      </c>
      <c r="G787" s="9" t="s">
        <v>68</v>
      </c>
      <c r="H787" s="10">
        <v>1724</v>
      </c>
      <c r="J787" t="s">
        <v>1212</v>
      </c>
      <c r="K787">
        <v>30</v>
      </c>
      <c r="L787" s="11">
        <f t="shared" si="49"/>
        <v>8.1501333324382396E-5</v>
      </c>
      <c r="M787" s="11">
        <f t="shared" si="51"/>
        <v>0.99899802260811155</v>
      </c>
      <c r="N787" t="str">
        <f t="shared" si="50"/>
        <v>C</v>
      </c>
    </row>
    <row r="788" spans="1:14" x14ac:dyDescent="0.25">
      <c r="A788" s="1" t="s">
        <v>299</v>
      </c>
      <c r="B788" s="3">
        <v>74</v>
      </c>
      <c r="C788" s="1">
        <v>1</v>
      </c>
      <c r="D788" s="1">
        <v>5</v>
      </c>
      <c r="E788">
        <f t="shared" si="48"/>
        <v>69</v>
      </c>
      <c r="G788" s="9" t="s">
        <v>25</v>
      </c>
      <c r="H788" s="10">
        <v>5126</v>
      </c>
      <c r="J788" t="s">
        <v>1219</v>
      </c>
      <c r="K788">
        <v>29.9</v>
      </c>
      <c r="L788" s="11">
        <f t="shared" si="49"/>
        <v>8.1229662213301126E-5</v>
      </c>
      <c r="M788" s="11">
        <f t="shared" si="51"/>
        <v>0.9990792522703249</v>
      </c>
      <c r="N788" t="str">
        <f t="shared" si="50"/>
        <v>C</v>
      </c>
    </row>
    <row r="789" spans="1:14" x14ac:dyDescent="0.25">
      <c r="A789" s="1" t="s">
        <v>816</v>
      </c>
      <c r="B789" s="3">
        <v>42</v>
      </c>
      <c r="C789" s="1">
        <v>1</v>
      </c>
      <c r="D789" s="1">
        <v>2</v>
      </c>
      <c r="E789">
        <f t="shared" si="48"/>
        <v>40</v>
      </c>
      <c r="G789" s="9" t="s">
        <v>746</v>
      </c>
      <c r="H789" s="10">
        <v>261</v>
      </c>
      <c r="J789" t="s">
        <v>260</v>
      </c>
      <c r="K789">
        <v>29</v>
      </c>
      <c r="L789" s="11">
        <f t="shared" si="49"/>
        <v>7.8784622213569659E-5</v>
      </c>
      <c r="M789" s="11">
        <f t="shared" si="51"/>
        <v>0.99915803689253846</v>
      </c>
      <c r="N789" t="str">
        <f t="shared" si="50"/>
        <v>C</v>
      </c>
    </row>
    <row r="790" spans="1:14" x14ac:dyDescent="0.25">
      <c r="A790" s="1" t="s">
        <v>817</v>
      </c>
      <c r="B790" s="3">
        <v>545</v>
      </c>
      <c r="C790" s="1">
        <v>1</v>
      </c>
      <c r="D790" s="1">
        <v>38</v>
      </c>
      <c r="E790">
        <f t="shared" si="48"/>
        <v>507</v>
      </c>
      <c r="G790" s="9" t="s">
        <v>818</v>
      </c>
      <c r="H790" s="10">
        <v>870</v>
      </c>
      <c r="J790" t="s">
        <v>1128</v>
      </c>
      <c r="K790">
        <v>28</v>
      </c>
      <c r="L790" s="11">
        <f t="shared" si="49"/>
        <v>7.6067911102756908E-5</v>
      </c>
      <c r="M790" s="11">
        <f t="shared" si="51"/>
        <v>0.99923410480364117</v>
      </c>
      <c r="N790" t="str">
        <f t="shared" si="50"/>
        <v>C</v>
      </c>
    </row>
    <row r="791" spans="1:14" x14ac:dyDescent="0.25">
      <c r="A791" s="1" t="s">
        <v>818</v>
      </c>
      <c r="B791" s="3">
        <v>292</v>
      </c>
      <c r="C791" s="1">
        <v>1</v>
      </c>
      <c r="D791" s="1">
        <v>35.18</v>
      </c>
      <c r="E791">
        <f t="shared" si="48"/>
        <v>256.82</v>
      </c>
      <c r="G791" s="9" t="s">
        <v>171</v>
      </c>
      <c r="H791" s="10">
        <v>70</v>
      </c>
      <c r="J791" t="s">
        <v>437</v>
      </c>
      <c r="K791">
        <v>28</v>
      </c>
      <c r="L791" s="11">
        <f t="shared" si="49"/>
        <v>7.6067911102756908E-5</v>
      </c>
      <c r="M791" s="11">
        <f t="shared" si="51"/>
        <v>0.99931017271474387</v>
      </c>
      <c r="N791" t="str">
        <f t="shared" si="50"/>
        <v>C</v>
      </c>
    </row>
    <row r="792" spans="1:14" x14ac:dyDescent="0.25">
      <c r="A792" s="1" t="s">
        <v>820</v>
      </c>
      <c r="B792" s="3">
        <v>955</v>
      </c>
      <c r="C792" s="1">
        <v>1</v>
      </c>
      <c r="D792" s="1">
        <v>66</v>
      </c>
      <c r="E792">
        <f t="shared" si="48"/>
        <v>889</v>
      </c>
      <c r="G792" s="9" t="s">
        <v>212</v>
      </c>
      <c r="H792" s="10">
        <v>238</v>
      </c>
      <c r="J792" t="s">
        <v>633</v>
      </c>
      <c r="K792">
        <v>28</v>
      </c>
      <c r="L792" s="11">
        <f t="shared" si="49"/>
        <v>7.6067911102756908E-5</v>
      </c>
      <c r="M792" s="11">
        <f t="shared" si="51"/>
        <v>0.99938624062584658</v>
      </c>
      <c r="N792" t="str">
        <f t="shared" si="50"/>
        <v>C</v>
      </c>
    </row>
    <row r="793" spans="1:14" x14ac:dyDescent="0.25">
      <c r="A793" s="1" t="s">
        <v>821</v>
      </c>
      <c r="B793" s="3">
        <v>372</v>
      </c>
      <c r="C793" s="1">
        <v>1</v>
      </c>
      <c r="D793" s="1">
        <v>26</v>
      </c>
      <c r="E793">
        <f t="shared" si="48"/>
        <v>346</v>
      </c>
      <c r="G793" s="9" t="s">
        <v>565</v>
      </c>
      <c r="H793" s="10">
        <v>376</v>
      </c>
      <c r="J793" t="s">
        <v>789</v>
      </c>
      <c r="K793">
        <v>26</v>
      </c>
      <c r="L793" s="11">
        <f t="shared" si="49"/>
        <v>7.0634488881131421E-5</v>
      </c>
      <c r="M793" s="11">
        <f t="shared" si="51"/>
        <v>0.99945687511472769</v>
      </c>
      <c r="N793" t="str">
        <f t="shared" si="50"/>
        <v>C</v>
      </c>
    </row>
    <row r="794" spans="1:14" x14ac:dyDescent="0.25">
      <c r="A794" s="1" t="s">
        <v>163</v>
      </c>
      <c r="B794" s="3">
        <v>17</v>
      </c>
      <c r="C794" s="1">
        <v>4</v>
      </c>
      <c r="D794" s="1">
        <v>6.68</v>
      </c>
      <c r="E794">
        <f t="shared" si="48"/>
        <v>61.32</v>
      </c>
      <c r="G794" s="9" t="s">
        <v>30</v>
      </c>
      <c r="H794" s="10">
        <v>44</v>
      </c>
      <c r="J794" t="s">
        <v>1008</v>
      </c>
      <c r="K794">
        <v>25.8</v>
      </c>
      <c r="L794" s="11">
        <f t="shared" si="49"/>
        <v>7.0091146658968868E-5</v>
      </c>
      <c r="M794" s="11">
        <f t="shared" si="51"/>
        <v>0.99952696626138671</v>
      </c>
      <c r="N794" t="str">
        <f t="shared" si="50"/>
        <v>C</v>
      </c>
    </row>
    <row r="795" spans="1:14" x14ac:dyDescent="0.25">
      <c r="A795" s="1" t="s">
        <v>163</v>
      </c>
      <c r="B795" s="3">
        <v>17</v>
      </c>
      <c r="C795" s="1">
        <v>2</v>
      </c>
      <c r="D795" s="1">
        <v>3.32</v>
      </c>
      <c r="E795">
        <f t="shared" si="48"/>
        <v>30.68</v>
      </c>
      <c r="G795" s="9" t="s">
        <v>274</v>
      </c>
      <c r="H795" s="10">
        <v>37</v>
      </c>
      <c r="J795" t="s">
        <v>642</v>
      </c>
      <c r="K795">
        <v>25</v>
      </c>
      <c r="L795" s="11">
        <f t="shared" si="49"/>
        <v>6.791777777031867E-5</v>
      </c>
      <c r="M795" s="11">
        <f t="shared" si="51"/>
        <v>0.99959488403915697</v>
      </c>
      <c r="N795" t="str">
        <f t="shared" si="50"/>
        <v>C</v>
      </c>
    </row>
    <row r="796" spans="1:14" x14ac:dyDescent="0.25">
      <c r="A796" s="1" t="s">
        <v>711</v>
      </c>
      <c r="B796" s="3">
        <v>1089</v>
      </c>
      <c r="C796" s="1">
        <v>0.01</v>
      </c>
      <c r="D796" s="1">
        <v>0.89</v>
      </c>
      <c r="E796">
        <f t="shared" si="48"/>
        <v>10</v>
      </c>
      <c r="G796" s="9" t="s">
        <v>978</v>
      </c>
      <c r="H796" s="10">
        <v>20</v>
      </c>
      <c r="J796" t="s">
        <v>965</v>
      </c>
      <c r="K796">
        <v>25</v>
      </c>
      <c r="L796" s="11">
        <f t="shared" si="49"/>
        <v>6.791777777031867E-5</v>
      </c>
      <c r="M796" s="11">
        <f t="shared" si="51"/>
        <v>0.99966280181692724</v>
      </c>
      <c r="N796" t="str">
        <f t="shared" si="50"/>
        <v>C</v>
      </c>
    </row>
    <row r="797" spans="1:14" x14ac:dyDescent="0.25">
      <c r="A797" s="1" t="s">
        <v>432</v>
      </c>
      <c r="B797" s="3">
        <v>892</v>
      </c>
      <c r="C797" s="1">
        <v>1</v>
      </c>
      <c r="D797" s="1">
        <v>24</v>
      </c>
      <c r="E797">
        <f t="shared" si="48"/>
        <v>868</v>
      </c>
      <c r="G797" s="9" t="s">
        <v>311</v>
      </c>
      <c r="H797" s="10">
        <v>509</v>
      </c>
      <c r="J797" t="s">
        <v>504</v>
      </c>
      <c r="K797">
        <v>24</v>
      </c>
      <c r="L797" s="11">
        <f t="shared" si="49"/>
        <v>6.5201066659505919E-5</v>
      </c>
      <c r="M797" s="11">
        <f t="shared" si="51"/>
        <v>0.99972800288358676</v>
      </c>
      <c r="N797" t="str">
        <f t="shared" si="50"/>
        <v>C</v>
      </c>
    </row>
    <row r="798" spans="1:14" x14ac:dyDescent="0.25">
      <c r="A798" s="1" t="s">
        <v>823</v>
      </c>
      <c r="B798" s="3">
        <v>1488</v>
      </c>
      <c r="C798" s="1">
        <v>0.24</v>
      </c>
      <c r="D798" s="1">
        <v>35.119999999999997</v>
      </c>
      <c r="E798">
        <f t="shared" si="48"/>
        <v>322</v>
      </c>
      <c r="G798" s="9" t="s">
        <v>218</v>
      </c>
      <c r="H798" s="10">
        <v>88</v>
      </c>
      <c r="J798" t="s">
        <v>1045</v>
      </c>
      <c r="K798">
        <v>23</v>
      </c>
      <c r="L798" s="11">
        <f t="shared" si="49"/>
        <v>6.2484355548693169E-5</v>
      </c>
      <c r="M798" s="11">
        <f t="shared" si="51"/>
        <v>0.99979048723913544</v>
      </c>
      <c r="N798" t="str">
        <f t="shared" si="50"/>
        <v>C</v>
      </c>
    </row>
    <row r="799" spans="1:14" x14ac:dyDescent="0.25">
      <c r="A799" s="1" t="s">
        <v>824</v>
      </c>
      <c r="B799" s="3">
        <v>133</v>
      </c>
      <c r="C799" s="1">
        <v>1</v>
      </c>
      <c r="D799" s="1">
        <v>6</v>
      </c>
      <c r="E799">
        <f t="shared" si="48"/>
        <v>127</v>
      </c>
      <c r="G799" s="9" t="s">
        <v>621</v>
      </c>
      <c r="H799" s="10">
        <v>83</v>
      </c>
      <c r="J799" t="s">
        <v>978</v>
      </c>
      <c r="K799">
        <v>20</v>
      </c>
      <c r="L799" s="11">
        <f t="shared" si="49"/>
        <v>5.4334222216254937E-5</v>
      </c>
      <c r="M799" s="11">
        <f>L799+M798</f>
        <v>0.99984482146135167</v>
      </c>
      <c r="N799" t="str">
        <f t="shared" si="50"/>
        <v>C</v>
      </c>
    </row>
    <row r="800" spans="1:14" x14ac:dyDescent="0.25">
      <c r="A800" s="1" t="s">
        <v>825</v>
      </c>
      <c r="B800" s="3">
        <v>125</v>
      </c>
      <c r="C800" s="1">
        <v>1</v>
      </c>
      <c r="D800" s="1">
        <v>8</v>
      </c>
      <c r="E800">
        <f t="shared" si="48"/>
        <v>117</v>
      </c>
      <c r="G800" s="9" t="s">
        <v>248</v>
      </c>
      <c r="H800" s="10">
        <v>1540</v>
      </c>
      <c r="J800" t="s">
        <v>403</v>
      </c>
      <c r="K800">
        <v>17</v>
      </c>
      <c r="L800" s="11">
        <f t="shared" si="49"/>
        <v>4.6184088883816692E-5</v>
      </c>
      <c r="M800" s="11">
        <f t="shared" si="51"/>
        <v>0.99989100555023547</v>
      </c>
      <c r="N800" t="str">
        <f t="shared" si="50"/>
        <v>C</v>
      </c>
    </row>
    <row r="801" spans="1:14" x14ac:dyDescent="0.25">
      <c r="A801" s="1" t="s">
        <v>825</v>
      </c>
      <c r="B801" s="3">
        <v>123</v>
      </c>
      <c r="C801" s="1">
        <v>1</v>
      </c>
      <c r="D801" s="1">
        <v>8</v>
      </c>
      <c r="E801">
        <f t="shared" si="48"/>
        <v>115</v>
      </c>
      <c r="G801" s="9" t="s">
        <v>1047</v>
      </c>
      <c r="H801" s="10">
        <v>439</v>
      </c>
      <c r="J801" t="s">
        <v>231</v>
      </c>
      <c r="K801">
        <v>16</v>
      </c>
      <c r="L801" s="11">
        <f t="shared" si="49"/>
        <v>4.3467377773003949E-5</v>
      </c>
      <c r="M801" s="11">
        <f t="shared" si="51"/>
        <v>0.99993447292800852</v>
      </c>
      <c r="N801" t="str">
        <f t="shared" si="50"/>
        <v>C</v>
      </c>
    </row>
    <row r="802" spans="1:14" x14ac:dyDescent="0.25">
      <c r="A802" s="1" t="s">
        <v>331</v>
      </c>
      <c r="B802" s="3">
        <v>26</v>
      </c>
      <c r="C802" s="1">
        <v>1</v>
      </c>
      <c r="D802" s="1">
        <v>1</v>
      </c>
      <c r="E802">
        <f t="shared" si="48"/>
        <v>25</v>
      </c>
      <c r="G802" s="9" t="s">
        <v>1184</v>
      </c>
      <c r="H802" s="10">
        <v>470</v>
      </c>
      <c r="J802" t="s">
        <v>590</v>
      </c>
      <c r="K802">
        <v>14</v>
      </c>
      <c r="L802" s="11">
        <f t="shared" si="49"/>
        <v>3.8033955551378454E-5</v>
      </c>
      <c r="M802" s="11">
        <f t="shared" si="51"/>
        <v>0.99997250688355988</v>
      </c>
      <c r="N802" t="str">
        <f t="shared" si="50"/>
        <v>C</v>
      </c>
    </row>
    <row r="803" spans="1:14" x14ac:dyDescent="0.25">
      <c r="A803" s="1" t="s">
        <v>331</v>
      </c>
      <c r="B803" s="3">
        <v>26</v>
      </c>
      <c r="C803" s="1">
        <v>1</v>
      </c>
      <c r="D803" s="1">
        <v>1</v>
      </c>
      <c r="E803">
        <f t="shared" si="48"/>
        <v>25</v>
      </c>
      <c r="G803" s="9" t="s">
        <v>133</v>
      </c>
      <c r="H803" s="10">
        <v>370</v>
      </c>
      <c r="J803" t="s">
        <v>634</v>
      </c>
      <c r="K803">
        <v>10</v>
      </c>
      <c r="L803" s="11">
        <f t="shared" si="49"/>
        <v>2.7167111108127469E-5</v>
      </c>
      <c r="M803" s="11">
        <f>L803+M802</f>
        <v>0.99999967399466805</v>
      </c>
      <c r="N803" t="str">
        <f t="shared" si="50"/>
        <v>C</v>
      </c>
    </row>
    <row r="804" spans="1:14" x14ac:dyDescent="0.25">
      <c r="A804" s="1" t="s">
        <v>331</v>
      </c>
      <c r="B804" s="3">
        <v>26</v>
      </c>
      <c r="C804" s="1">
        <v>1</v>
      </c>
      <c r="D804" s="1">
        <v>1</v>
      </c>
      <c r="E804">
        <f t="shared" si="48"/>
        <v>25</v>
      </c>
      <c r="G804" s="9" t="s">
        <v>1093</v>
      </c>
      <c r="H804" s="10">
        <v>658</v>
      </c>
      <c r="J804" t="s">
        <v>140</v>
      </c>
      <c r="K804">
        <v>0.11999999999999998</v>
      </c>
      <c r="L804" s="11">
        <f t="shared" si="49"/>
        <v>3.2600533329752954E-7</v>
      </c>
      <c r="M804" s="11">
        <f t="shared" si="51"/>
        <v>1.0000000000000013</v>
      </c>
      <c r="N804" t="str">
        <f t="shared" si="50"/>
        <v>C</v>
      </c>
    </row>
    <row r="805" spans="1:14" x14ac:dyDescent="0.25">
      <c r="A805" s="1" t="s">
        <v>331</v>
      </c>
      <c r="B805" s="3">
        <v>26</v>
      </c>
      <c r="C805" s="1">
        <v>1</v>
      </c>
      <c r="D805" s="1">
        <v>1</v>
      </c>
      <c r="E805">
        <f t="shared" si="48"/>
        <v>25</v>
      </c>
      <c r="G805" s="9" t="s">
        <v>1228</v>
      </c>
      <c r="H805" s="10">
        <v>368092.13759236794</v>
      </c>
    </row>
    <row r="806" spans="1:14" x14ac:dyDescent="0.25">
      <c r="A806" s="1" t="s">
        <v>331</v>
      </c>
      <c r="B806" s="3">
        <v>26</v>
      </c>
      <c r="C806" s="1">
        <v>1</v>
      </c>
      <c r="D806" s="1">
        <v>1</v>
      </c>
      <c r="E806">
        <f t="shared" si="48"/>
        <v>25</v>
      </c>
    </row>
    <row r="807" spans="1:14" x14ac:dyDescent="0.25">
      <c r="A807" s="1" t="s">
        <v>331</v>
      </c>
      <c r="B807" s="3">
        <v>26</v>
      </c>
      <c r="C807" s="1">
        <v>1</v>
      </c>
      <c r="D807" s="1">
        <v>1</v>
      </c>
      <c r="E807">
        <f t="shared" si="48"/>
        <v>25</v>
      </c>
    </row>
    <row r="808" spans="1:14" x14ac:dyDescent="0.25">
      <c r="A808" s="1" t="s">
        <v>257</v>
      </c>
      <c r="B808" s="3">
        <v>70</v>
      </c>
      <c r="C808" s="1">
        <v>1</v>
      </c>
      <c r="D808" s="1">
        <v>3</v>
      </c>
      <c r="E808">
        <f t="shared" si="48"/>
        <v>67</v>
      </c>
    </row>
    <row r="809" spans="1:14" x14ac:dyDescent="0.25">
      <c r="A809" s="1" t="s">
        <v>293</v>
      </c>
      <c r="B809" s="3">
        <v>493</v>
      </c>
      <c r="C809" s="1">
        <v>1</v>
      </c>
      <c r="D809" s="1">
        <v>0</v>
      </c>
      <c r="E809">
        <f t="shared" si="48"/>
        <v>493</v>
      </c>
    </row>
    <row r="810" spans="1:14" x14ac:dyDescent="0.25">
      <c r="A810" s="1" t="s">
        <v>826</v>
      </c>
      <c r="B810" s="3">
        <v>490</v>
      </c>
      <c r="C810" s="1">
        <v>1</v>
      </c>
      <c r="D810" s="1">
        <v>0</v>
      </c>
      <c r="E810">
        <f t="shared" si="48"/>
        <v>490</v>
      </c>
    </row>
    <row r="811" spans="1:14" x14ac:dyDescent="0.25">
      <c r="A811" s="1" t="s">
        <v>826</v>
      </c>
      <c r="B811" s="3">
        <v>490</v>
      </c>
      <c r="C811" s="1">
        <v>1</v>
      </c>
      <c r="D811" s="1">
        <v>0</v>
      </c>
      <c r="E811">
        <f t="shared" si="48"/>
        <v>490</v>
      </c>
    </row>
    <row r="812" spans="1:14" x14ac:dyDescent="0.25">
      <c r="A812" s="1" t="s">
        <v>828</v>
      </c>
      <c r="B812" s="3">
        <v>217</v>
      </c>
      <c r="C812" s="1">
        <v>1</v>
      </c>
      <c r="D812" s="1">
        <v>0</v>
      </c>
      <c r="E812">
        <f t="shared" si="48"/>
        <v>217</v>
      </c>
    </row>
    <row r="813" spans="1:14" x14ac:dyDescent="0.25">
      <c r="A813" s="1" t="s">
        <v>830</v>
      </c>
      <c r="B813" s="3">
        <v>222</v>
      </c>
      <c r="C813" s="1">
        <v>1</v>
      </c>
      <c r="D813" s="1">
        <v>0</v>
      </c>
      <c r="E813">
        <f t="shared" si="48"/>
        <v>222</v>
      </c>
    </row>
    <row r="814" spans="1:14" x14ac:dyDescent="0.25">
      <c r="A814" s="1" t="s">
        <v>465</v>
      </c>
      <c r="B814" s="3">
        <v>30</v>
      </c>
      <c r="C814" s="1">
        <v>2</v>
      </c>
      <c r="D814" s="1">
        <v>6</v>
      </c>
      <c r="E814">
        <f t="shared" si="48"/>
        <v>54</v>
      </c>
    </row>
    <row r="815" spans="1:14" x14ac:dyDescent="0.25">
      <c r="A815" s="1" t="s">
        <v>465</v>
      </c>
      <c r="B815" s="3">
        <v>30</v>
      </c>
      <c r="C815" s="1">
        <v>1</v>
      </c>
      <c r="D815" s="1">
        <v>3</v>
      </c>
      <c r="E815">
        <f t="shared" si="48"/>
        <v>27</v>
      </c>
    </row>
    <row r="816" spans="1:14" x14ac:dyDescent="0.25">
      <c r="A816" s="1" t="s">
        <v>355</v>
      </c>
      <c r="B816" s="3">
        <v>16</v>
      </c>
      <c r="C816" s="1">
        <v>1</v>
      </c>
      <c r="D816" s="1">
        <v>0</v>
      </c>
      <c r="E816">
        <f t="shared" si="48"/>
        <v>16</v>
      </c>
    </row>
    <row r="817" spans="1:5" x14ac:dyDescent="0.25">
      <c r="A817" s="1" t="s">
        <v>831</v>
      </c>
      <c r="B817" s="3">
        <v>11</v>
      </c>
      <c r="C817" s="1">
        <v>1</v>
      </c>
      <c r="D817" s="1">
        <v>0</v>
      </c>
      <c r="E817">
        <f t="shared" si="48"/>
        <v>11</v>
      </c>
    </row>
    <row r="818" spans="1:5" x14ac:dyDescent="0.25">
      <c r="A818" s="1" t="s">
        <v>832</v>
      </c>
      <c r="B818" s="3">
        <v>118</v>
      </c>
      <c r="C818" s="1">
        <v>1</v>
      </c>
      <c r="D818" s="1">
        <v>0</v>
      </c>
      <c r="E818">
        <f t="shared" si="48"/>
        <v>118</v>
      </c>
    </row>
    <row r="819" spans="1:5" x14ac:dyDescent="0.25">
      <c r="A819" s="1" t="s">
        <v>408</v>
      </c>
      <c r="B819" s="3">
        <v>73</v>
      </c>
      <c r="C819" s="1">
        <v>1</v>
      </c>
      <c r="D819" s="1">
        <v>0</v>
      </c>
      <c r="E819">
        <f t="shared" si="48"/>
        <v>73</v>
      </c>
    </row>
    <row r="820" spans="1:5" x14ac:dyDescent="0.25">
      <c r="A820" s="1" t="s">
        <v>408</v>
      </c>
      <c r="B820" s="3">
        <v>73</v>
      </c>
      <c r="C820" s="1">
        <v>1</v>
      </c>
      <c r="D820" s="1">
        <v>0</v>
      </c>
      <c r="E820">
        <f t="shared" si="48"/>
        <v>73</v>
      </c>
    </row>
    <row r="821" spans="1:5" x14ac:dyDescent="0.25">
      <c r="A821" s="1" t="s">
        <v>699</v>
      </c>
      <c r="B821" s="3">
        <v>349</v>
      </c>
      <c r="C821" s="1">
        <v>1</v>
      </c>
      <c r="D821" s="1">
        <v>24</v>
      </c>
      <c r="E821">
        <f t="shared" si="48"/>
        <v>325</v>
      </c>
    </row>
    <row r="822" spans="1:5" x14ac:dyDescent="0.25">
      <c r="A822" s="1" t="s">
        <v>382</v>
      </c>
      <c r="B822" s="3">
        <v>347</v>
      </c>
      <c r="C822" s="1">
        <v>1</v>
      </c>
      <c r="D822" s="1">
        <v>24</v>
      </c>
      <c r="E822">
        <f t="shared" si="48"/>
        <v>323</v>
      </c>
    </row>
    <row r="823" spans="1:5" x14ac:dyDescent="0.25">
      <c r="A823" s="1" t="s">
        <v>834</v>
      </c>
      <c r="B823" s="3">
        <v>517</v>
      </c>
      <c r="C823" s="1">
        <v>1</v>
      </c>
      <c r="D823" s="1">
        <v>51</v>
      </c>
      <c r="E823">
        <f t="shared" si="48"/>
        <v>466</v>
      </c>
    </row>
    <row r="824" spans="1:5" x14ac:dyDescent="0.25">
      <c r="A824" s="1" t="s">
        <v>835</v>
      </c>
      <c r="B824" s="3">
        <v>470</v>
      </c>
      <c r="C824" s="1">
        <v>1</v>
      </c>
      <c r="D824" s="1">
        <v>47</v>
      </c>
      <c r="E824">
        <f t="shared" si="48"/>
        <v>423</v>
      </c>
    </row>
    <row r="825" spans="1:5" x14ac:dyDescent="0.25">
      <c r="A825" s="1" t="s">
        <v>836</v>
      </c>
      <c r="B825" s="3">
        <v>1206</v>
      </c>
      <c r="C825" s="1">
        <v>1</v>
      </c>
      <c r="D825" s="1">
        <v>0</v>
      </c>
      <c r="E825">
        <f t="shared" si="48"/>
        <v>1206</v>
      </c>
    </row>
    <row r="826" spans="1:5" x14ac:dyDescent="0.25">
      <c r="A826" s="1" t="s">
        <v>838</v>
      </c>
      <c r="B826" s="3">
        <v>726</v>
      </c>
      <c r="C826" s="1">
        <v>1</v>
      </c>
      <c r="D826" s="1">
        <v>0</v>
      </c>
      <c r="E826">
        <f t="shared" si="48"/>
        <v>726</v>
      </c>
    </row>
    <row r="827" spans="1:5" x14ac:dyDescent="0.25">
      <c r="A827" s="1" t="s">
        <v>840</v>
      </c>
      <c r="B827" s="3">
        <v>313</v>
      </c>
      <c r="C827" s="1">
        <v>1</v>
      </c>
      <c r="D827" s="1">
        <v>0</v>
      </c>
      <c r="E827">
        <f t="shared" si="48"/>
        <v>313</v>
      </c>
    </row>
    <row r="828" spans="1:5" x14ac:dyDescent="0.25">
      <c r="A828" s="1" t="s">
        <v>89</v>
      </c>
      <c r="B828" s="3">
        <v>31</v>
      </c>
      <c r="C828" s="1">
        <v>1</v>
      </c>
      <c r="D828" s="1">
        <v>0</v>
      </c>
      <c r="E828">
        <f t="shared" si="48"/>
        <v>31</v>
      </c>
    </row>
    <row r="829" spans="1:5" x14ac:dyDescent="0.25">
      <c r="A829" s="1" t="s">
        <v>842</v>
      </c>
      <c r="B829" s="3">
        <v>720</v>
      </c>
      <c r="C829" s="1">
        <v>1</v>
      </c>
      <c r="D829" s="1">
        <v>0</v>
      </c>
      <c r="E829">
        <f t="shared" si="48"/>
        <v>720</v>
      </c>
    </row>
    <row r="830" spans="1:5" x14ac:dyDescent="0.25">
      <c r="A830" s="1" t="s">
        <v>843</v>
      </c>
      <c r="B830" s="3">
        <v>84</v>
      </c>
      <c r="C830" s="1">
        <v>1</v>
      </c>
      <c r="D830" s="1">
        <v>0</v>
      </c>
      <c r="E830">
        <f t="shared" si="48"/>
        <v>84</v>
      </c>
    </row>
    <row r="831" spans="1:5" x14ac:dyDescent="0.25">
      <c r="A831" s="1" t="s">
        <v>844</v>
      </c>
      <c r="B831" s="3">
        <v>84</v>
      </c>
      <c r="C831" s="1">
        <v>1</v>
      </c>
      <c r="D831" s="1">
        <v>4</v>
      </c>
      <c r="E831">
        <f t="shared" si="48"/>
        <v>80</v>
      </c>
    </row>
    <row r="832" spans="1:5" x14ac:dyDescent="0.25">
      <c r="A832" s="1" t="s">
        <v>844</v>
      </c>
      <c r="B832" s="3">
        <v>84</v>
      </c>
      <c r="C832" s="1">
        <v>1</v>
      </c>
      <c r="D832" s="1">
        <v>4</v>
      </c>
      <c r="E832">
        <f t="shared" si="48"/>
        <v>80</v>
      </c>
    </row>
    <row r="833" spans="1:5" x14ac:dyDescent="0.25">
      <c r="A833" s="1" t="s">
        <v>845</v>
      </c>
      <c r="B833" s="3">
        <v>562</v>
      </c>
      <c r="C833" s="1">
        <v>1</v>
      </c>
      <c r="D833" s="1">
        <v>56</v>
      </c>
      <c r="E833">
        <f t="shared" si="48"/>
        <v>506</v>
      </c>
    </row>
    <row r="834" spans="1:5" x14ac:dyDescent="0.25">
      <c r="A834" s="1" t="s">
        <v>847</v>
      </c>
      <c r="B834" s="3">
        <v>362</v>
      </c>
      <c r="C834" s="1">
        <v>1</v>
      </c>
      <c r="D834" s="1">
        <v>25</v>
      </c>
      <c r="E834">
        <f t="shared" si="48"/>
        <v>337</v>
      </c>
    </row>
    <row r="835" spans="1:5" x14ac:dyDescent="0.25">
      <c r="A835" s="1" t="s">
        <v>848</v>
      </c>
      <c r="B835" s="3">
        <v>214</v>
      </c>
      <c r="C835" s="1">
        <v>1</v>
      </c>
      <c r="D835" s="1">
        <v>14</v>
      </c>
      <c r="E835">
        <f t="shared" ref="E835:E898" si="52">C835*B835-D835</f>
        <v>200</v>
      </c>
    </row>
    <row r="836" spans="1:5" x14ac:dyDescent="0.25">
      <c r="A836" s="1" t="s">
        <v>381</v>
      </c>
      <c r="B836" s="3">
        <v>19</v>
      </c>
      <c r="C836" s="1">
        <v>1</v>
      </c>
      <c r="D836" s="1">
        <v>0</v>
      </c>
      <c r="E836">
        <f t="shared" si="52"/>
        <v>19</v>
      </c>
    </row>
    <row r="837" spans="1:5" x14ac:dyDescent="0.25">
      <c r="A837" s="1" t="s">
        <v>492</v>
      </c>
      <c r="B837" s="3">
        <v>110</v>
      </c>
      <c r="C837" s="1">
        <v>1</v>
      </c>
      <c r="D837" s="1">
        <v>0</v>
      </c>
      <c r="E837">
        <f t="shared" si="52"/>
        <v>110</v>
      </c>
    </row>
    <row r="838" spans="1:5" x14ac:dyDescent="0.25">
      <c r="A838" s="1" t="s">
        <v>492</v>
      </c>
      <c r="B838" s="3">
        <v>110</v>
      </c>
      <c r="C838" s="1">
        <v>1</v>
      </c>
      <c r="D838" s="1">
        <v>11</v>
      </c>
      <c r="E838">
        <f t="shared" si="52"/>
        <v>99</v>
      </c>
    </row>
    <row r="839" spans="1:5" x14ac:dyDescent="0.25">
      <c r="A839" s="1" t="s">
        <v>850</v>
      </c>
      <c r="B839" s="3">
        <v>35</v>
      </c>
      <c r="C839" s="1">
        <v>1</v>
      </c>
      <c r="D839" s="1">
        <v>0</v>
      </c>
      <c r="E839">
        <f t="shared" si="52"/>
        <v>35</v>
      </c>
    </row>
    <row r="840" spans="1:5" x14ac:dyDescent="0.25">
      <c r="A840" s="1" t="s">
        <v>851</v>
      </c>
      <c r="B840" s="3">
        <v>37</v>
      </c>
      <c r="C840" s="1">
        <v>1</v>
      </c>
      <c r="D840" s="1">
        <v>0</v>
      </c>
      <c r="E840">
        <f t="shared" si="52"/>
        <v>37</v>
      </c>
    </row>
    <row r="841" spans="1:5" x14ac:dyDescent="0.25">
      <c r="A841" s="1" t="s">
        <v>851</v>
      </c>
      <c r="B841" s="3">
        <v>37</v>
      </c>
      <c r="C841" s="1">
        <v>1</v>
      </c>
      <c r="D841" s="1">
        <v>0</v>
      </c>
      <c r="E841">
        <f t="shared" si="52"/>
        <v>37</v>
      </c>
    </row>
    <row r="842" spans="1:5" x14ac:dyDescent="0.25">
      <c r="A842" s="1" t="s">
        <v>851</v>
      </c>
      <c r="B842" s="3">
        <v>37</v>
      </c>
      <c r="C842" s="1">
        <v>1</v>
      </c>
      <c r="D842" s="1">
        <v>0</v>
      </c>
      <c r="E842">
        <f t="shared" si="52"/>
        <v>37</v>
      </c>
    </row>
    <row r="843" spans="1:5" x14ac:dyDescent="0.25">
      <c r="A843" s="1" t="s">
        <v>851</v>
      </c>
      <c r="B843" s="3">
        <v>37</v>
      </c>
      <c r="C843" s="1">
        <v>1</v>
      </c>
      <c r="D843" s="1">
        <v>0</v>
      </c>
      <c r="E843">
        <f t="shared" si="52"/>
        <v>37</v>
      </c>
    </row>
    <row r="844" spans="1:5" x14ac:dyDescent="0.25">
      <c r="A844" s="1" t="s">
        <v>851</v>
      </c>
      <c r="B844" s="3">
        <v>37</v>
      </c>
      <c r="C844" s="1">
        <v>1</v>
      </c>
      <c r="D844" s="1">
        <v>0</v>
      </c>
      <c r="E844">
        <f t="shared" si="52"/>
        <v>37</v>
      </c>
    </row>
    <row r="845" spans="1:5" x14ac:dyDescent="0.25">
      <c r="A845" s="1" t="s">
        <v>851</v>
      </c>
      <c r="B845" s="3">
        <v>37</v>
      </c>
      <c r="C845" s="1">
        <v>1</v>
      </c>
      <c r="D845" s="1">
        <v>0</v>
      </c>
      <c r="E845">
        <f t="shared" si="52"/>
        <v>37</v>
      </c>
    </row>
    <row r="846" spans="1:5" x14ac:dyDescent="0.25">
      <c r="A846" s="1" t="s">
        <v>851</v>
      </c>
      <c r="B846" s="3">
        <v>37</v>
      </c>
      <c r="C846" s="1">
        <v>1</v>
      </c>
      <c r="D846" s="1">
        <v>0</v>
      </c>
      <c r="E846">
        <f t="shared" si="52"/>
        <v>37</v>
      </c>
    </row>
    <row r="847" spans="1:5" x14ac:dyDescent="0.25">
      <c r="A847" s="1" t="s">
        <v>851</v>
      </c>
      <c r="B847" s="3">
        <v>37</v>
      </c>
      <c r="C847" s="1">
        <v>1</v>
      </c>
      <c r="D847" s="1">
        <v>0</v>
      </c>
      <c r="E847">
        <f t="shared" si="52"/>
        <v>37</v>
      </c>
    </row>
    <row r="848" spans="1:5" x14ac:dyDescent="0.25">
      <c r="A848" s="1" t="s">
        <v>851</v>
      </c>
      <c r="B848" s="3">
        <v>37</v>
      </c>
      <c r="C848" s="1">
        <v>1</v>
      </c>
      <c r="D848" s="1">
        <v>0</v>
      </c>
      <c r="E848">
        <f t="shared" si="52"/>
        <v>37</v>
      </c>
    </row>
    <row r="849" spans="1:5" x14ac:dyDescent="0.25">
      <c r="A849" s="1" t="s">
        <v>851</v>
      </c>
      <c r="B849" s="3">
        <v>37</v>
      </c>
      <c r="C849" s="1">
        <v>1</v>
      </c>
      <c r="D849" s="1">
        <v>0</v>
      </c>
      <c r="E849">
        <f t="shared" si="52"/>
        <v>37</v>
      </c>
    </row>
    <row r="850" spans="1:5" x14ac:dyDescent="0.25">
      <c r="A850" s="1" t="s">
        <v>853</v>
      </c>
      <c r="B850" s="3">
        <v>425</v>
      </c>
      <c r="C850" s="1">
        <v>1</v>
      </c>
      <c r="D850" s="1">
        <v>42</v>
      </c>
      <c r="E850">
        <f t="shared" si="52"/>
        <v>383</v>
      </c>
    </row>
    <row r="851" spans="1:5" x14ac:dyDescent="0.25">
      <c r="A851" s="1" t="s">
        <v>854</v>
      </c>
      <c r="B851" s="3">
        <v>640</v>
      </c>
      <c r="C851" s="1">
        <v>1</v>
      </c>
      <c r="D851" s="1">
        <v>44</v>
      </c>
      <c r="E851">
        <f t="shared" si="52"/>
        <v>596</v>
      </c>
    </row>
    <row r="852" spans="1:5" x14ac:dyDescent="0.25">
      <c r="A852" s="1" t="s">
        <v>855</v>
      </c>
      <c r="B852" s="3">
        <v>1258</v>
      </c>
      <c r="C852" s="1">
        <v>1</v>
      </c>
      <c r="D852" s="1">
        <v>88</v>
      </c>
      <c r="E852">
        <f t="shared" si="52"/>
        <v>1170</v>
      </c>
    </row>
    <row r="853" spans="1:5" x14ac:dyDescent="0.25">
      <c r="A853" s="1" t="s">
        <v>779</v>
      </c>
      <c r="B853" s="3">
        <v>180</v>
      </c>
      <c r="C853" s="1">
        <v>1</v>
      </c>
      <c r="D853" s="1">
        <v>9</v>
      </c>
      <c r="E853">
        <f t="shared" si="52"/>
        <v>171</v>
      </c>
    </row>
    <row r="854" spans="1:5" x14ac:dyDescent="0.25">
      <c r="A854" s="1" t="s">
        <v>485</v>
      </c>
      <c r="B854" s="3">
        <v>240</v>
      </c>
      <c r="C854" s="1">
        <v>1</v>
      </c>
      <c r="D854" s="1">
        <v>0</v>
      </c>
      <c r="E854">
        <f t="shared" si="52"/>
        <v>240</v>
      </c>
    </row>
    <row r="855" spans="1:5" x14ac:dyDescent="0.25">
      <c r="A855" s="1" t="s">
        <v>856</v>
      </c>
      <c r="B855" s="3">
        <v>44</v>
      </c>
      <c r="C855" s="1">
        <v>1</v>
      </c>
      <c r="D855" s="1">
        <v>0</v>
      </c>
      <c r="E855">
        <f t="shared" si="52"/>
        <v>44</v>
      </c>
    </row>
    <row r="856" spans="1:5" x14ac:dyDescent="0.25">
      <c r="A856" s="1" t="s">
        <v>781</v>
      </c>
      <c r="B856" s="3">
        <v>789</v>
      </c>
      <c r="C856" s="1">
        <v>1</v>
      </c>
      <c r="D856" s="1">
        <v>55</v>
      </c>
      <c r="E856">
        <f t="shared" si="52"/>
        <v>734</v>
      </c>
    </row>
    <row r="857" spans="1:5" x14ac:dyDescent="0.25">
      <c r="A857" s="1" t="s">
        <v>857</v>
      </c>
      <c r="B857" s="3">
        <v>376</v>
      </c>
      <c r="C857" s="1">
        <v>1</v>
      </c>
      <c r="D857" s="1">
        <v>26</v>
      </c>
      <c r="E857">
        <f t="shared" si="52"/>
        <v>350</v>
      </c>
    </row>
    <row r="858" spans="1:5" x14ac:dyDescent="0.25">
      <c r="A858" s="1" t="s">
        <v>858</v>
      </c>
      <c r="B858" s="3">
        <v>203</v>
      </c>
      <c r="C858" s="1">
        <v>1</v>
      </c>
      <c r="D858" s="1">
        <v>14</v>
      </c>
      <c r="E858">
        <f t="shared" si="52"/>
        <v>189</v>
      </c>
    </row>
    <row r="859" spans="1:5" x14ac:dyDescent="0.25">
      <c r="A859" s="1" t="s">
        <v>858</v>
      </c>
      <c r="B859" s="3">
        <v>204</v>
      </c>
      <c r="C859" s="1">
        <v>1</v>
      </c>
      <c r="D859" s="1">
        <v>14</v>
      </c>
      <c r="E859">
        <f t="shared" si="52"/>
        <v>190</v>
      </c>
    </row>
    <row r="860" spans="1:5" x14ac:dyDescent="0.25">
      <c r="A860" s="1" t="s">
        <v>328</v>
      </c>
      <c r="B860" s="3">
        <v>685</v>
      </c>
      <c r="C860" s="1">
        <v>0.32142860000000001</v>
      </c>
      <c r="D860" s="1">
        <v>0</v>
      </c>
      <c r="E860">
        <f t="shared" si="52"/>
        <v>220.17859100000001</v>
      </c>
    </row>
    <row r="861" spans="1:5" x14ac:dyDescent="0.25">
      <c r="A861" s="1" t="s">
        <v>860</v>
      </c>
      <c r="B861" s="3">
        <v>96</v>
      </c>
      <c r="C861" s="1">
        <v>1</v>
      </c>
      <c r="D861" s="1">
        <v>0</v>
      </c>
      <c r="E861">
        <f t="shared" si="52"/>
        <v>96</v>
      </c>
    </row>
    <row r="862" spans="1:5" x14ac:dyDescent="0.25">
      <c r="A862" s="1" t="s">
        <v>98</v>
      </c>
      <c r="B862" s="3">
        <v>220</v>
      </c>
      <c r="C862" s="1">
        <v>1</v>
      </c>
      <c r="D862" s="1">
        <v>15</v>
      </c>
      <c r="E862">
        <f t="shared" si="52"/>
        <v>205</v>
      </c>
    </row>
    <row r="863" spans="1:5" x14ac:dyDescent="0.25">
      <c r="A863" s="1" t="s">
        <v>416</v>
      </c>
      <c r="B863" s="3">
        <v>8</v>
      </c>
      <c r="C863" s="1">
        <v>1</v>
      </c>
      <c r="D863" s="1">
        <v>0</v>
      </c>
      <c r="E863">
        <f t="shared" si="52"/>
        <v>8</v>
      </c>
    </row>
    <row r="864" spans="1:5" x14ac:dyDescent="0.25">
      <c r="A864" s="1" t="s">
        <v>416</v>
      </c>
      <c r="B864" s="3">
        <v>8</v>
      </c>
      <c r="C864" s="1">
        <v>4</v>
      </c>
      <c r="D864" s="1">
        <v>0</v>
      </c>
      <c r="E864">
        <f t="shared" si="52"/>
        <v>32</v>
      </c>
    </row>
    <row r="865" spans="1:5" x14ac:dyDescent="0.25">
      <c r="A865" s="1" t="s">
        <v>861</v>
      </c>
      <c r="B865" s="3">
        <v>145</v>
      </c>
      <c r="C865" s="1">
        <v>1</v>
      </c>
      <c r="D865" s="1">
        <v>14</v>
      </c>
      <c r="E865">
        <f t="shared" si="52"/>
        <v>131</v>
      </c>
    </row>
    <row r="866" spans="1:5" x14ac:dyDescent="0.25">
      <c r="A866" s="1" t="s">
        <v>863</v>
      </c>
      <c r="B866" s="3">
        <v>53</v>
      </c>
      <c r="C866" s="1">
        <v>1</v>
      </c>
      <c r="D866" s="1">
        <v>3</v>
      </c>
      <c r="E866">
        <f t="shared" si="52"/>
        <v>50</v>
      </c>
    </row>
    <row r="867" spans="1:5" x14ac:dyDescent="0.25">
      <c r="A867" s="1" t="s">
        <v>863</v>
      </c>
      <c r="B867" s="3">
        <v>53</v>
      </c>
      <c r="C867" s="1">
        <v>1</v>
      </c>
      <c r="D867" s="1">
        <v>3</v>
      </c>
      <c r="E867">
        <f t="shared" si="52"/>
        <v>50</v>
      </c>
    </row>
    <row r="868" spans="1:5" x14ac:dyDescent="0.25">
      <c r="A868" s="1" t="s">
        <v>863</v>
      </c>
      <c r="B868" s="3">
        <v>53</v>
      </c>
      <c r="C868" s="1">
        <v>1</v>
      </c>
      <c r="D868" s="1">
        <v>3</v>
      </c>
      <c r="E868">
        <f t="shared" si="52"/>
        <v>50</v>
      </c>
    </row>
    <row r="869" spans="1:5" x14ac:dyDescent="0.25">
      <c r="A869" s="1" t="s">
        <v>864</v>
      </c>
      <c r="B869" s="3">
        <v>128</v>
      </c>
      <c r="C869" s="1">
        <v>1</v>
      </c>
      <c r="D869" s="1">
        <v>6</v>
      </c>
      <c r="E869">
        <f t="shared" si="52"/>
        <v>122</v>
      </c>
    </row>
    <row r="870" spans="1:5" x14ac:dyDescent="0.25">
      <c r="A870" s="1" t="s">
        <v>265</v>
      </c>
      <c r="B870" s="3">
        <v>48</v>
      </c>
      <c r="C870" s="1">
        <v>1</v>
      </c>
      <c r="D870" s="1">
        <v>4</v>
      </c>
      <c r="E870">
        <f t="shared" si="52"/>
        <v>44</v>
      </c>
    </row>
    <row r="871" spans="1:5" x14ac:dyDescent="0.25">
      <c r="A871" s="1" t="s">
        <v>552</v>
      </c>
      <c r="B871" s="3">
        <v>61</v>
      </c>
      <c r="C871" s="1">
        <v>3</v>
      </c>
      <c r="D871" s="1">
        <v>18</v>
      </c>
      <c r="E871">
        <f t="shared" si="52"/>
        <v>165</v>
      </c>
    </row>
    <row r="872" spans="1:5" x14ac:dyDescent="0.25">
      <c r="A872" s="1" t="s">
        <v>321</v>
      </c>
      <c r="B872" s="3">
        <v>62</v>
      </c>
      <c r="C872" s="1">
        <v>1</v>
      </c>
      <c r="D872" s="1">
        <v>6</v>
      </c>
      <c r="E872">
        <f t="shared" si="52"/>
        <v>56</v>
      </c>
    </row>
    <row r="873" spans="1:5" x14ac:dyDescent="0.25">
      <c r="A873" s="1" t="s">
        <v>865</v>
      </c>
      <c r="B873" s="3">
        <v>3061</v>
      </c>
      <c r="C873" s="1">
        <v>0.5</v>
      </c>
      <c r="D873" s="1">
        <v>152.5</v>
      </c>
      <c r="E873">
        <f t="shared" si="52"/>
        <v>1378</v>
      </c>
    </row>
    <row r="874" spans="1:5" x14ac:dyDescent="0.25">
      <c r="A874" s="1" t="s">
        <v>867</v>
      </c>
      <c r="B874" s="3">
        <v>122</v>
      </c>
      <c r="C874" s="1">
        <v>1</v>
      </c>
      <c r="D874" s="1">
        <v>12</v>
      </c>
      <c r="E874">
        <f t="shared" si="52"/>
        <v>110</v>
      </c>
    </row>
    <row r="875" spans="1:5" x14ac:dyDescent="0.25">
      <c r="A875" s="1" t="s">
        <v>868</v>
      </c>
      <c r="B875" s="3">
        <v>49</v>
      </c>
      <c r="C875" s="1">
        <v>1</v>
      </c>
      <c r="D875" s="1">
        <v>4</v>
      </c>
      <c r="E875">
        <f t="shared" si="52"/>
        <v>45</v>
      </c>
    </row>
    <row r="876" spans="1:5" x14ac:dyDescent="0.25">
      <c r="A876" s="1" t="s">
        <v>869</v>
      </c>
      <c r="B876" s="3">
        <v>178</v>
      </c>
      <c r="C876" s="1">
        <v>1</v>
      </c>
      <c r="D876" s="1">
        <v>12</v>
      </c>
      <c r="E876">
        <f t="shared" si="52"/>
        <v>166</v>
      </c>
    </row>
    <row r="877" spans="1:5" x14ac:dyDescent="0.25">
      <c r="A877" s="1" t="s">
        <v>870</v>
      </c>
      <c r="B877" s="3">
        <v>398</v>
      </c>
      <c r="C877" s="1">
        <v>1</v>
      </c>
      <c r="D877" s="1">
        <v>0</v>
      </c>
      <c r="E877">
        <f t="shared" si="52"/>
        <v>398</v>
      </c>
    </row>
    <row r="878" spans="1:5" x14ac:dyDescent="0.25">
      <c r="A878" s="1" t="s">
        <v>550</v>
      </c>
      <c r="B878" s="3">
        <v>418</v>
      </c>
      <c r="C878" s="1">
        <v>1</v>
      </c>
      <c r="D878" s="1">
        <v>0</v>
      </c>
      <c r="E878">
        <f t="shared" si="52"/>
        <v>418</v>
      </c>
    </row>
    <row r="879" spans="1:5" x14ac:dyDescent="0.25">
      <c r="A879" s="1" t="s">
        <v>639</v>
      </c>
      <c r="B879" s="3">
        <v>383</v>
      </c>
      <c r="C879" s="1">
        <v>1</v>
      </c>
      <c r="D879" s="1">
        <v>38</v>
      </c>
      <c r="E879">
        <f t="shared" si="52"/>
        <v>345</v>
      </c>
    </row>
    <row r="880" spans="1:5" x14ac:dyDescent="0.25">
      <c r="A880" s="1" t="s">
        <v>872</v>
      </c>
      <c r="B880" s="3">
        <v>365</v>
      </c>
      <c r="C880" s="1">
        <v>1</v>
      </c>
      <c r="D880" s="1">
        <v>3.26</v>
      </c>
      <c r="E880">
        <f t="shared" si="52"/>
        <v>361.74</v>
      </c>
    </row>
    <row r="881" spans="1:5" x14ac:dyDescent="0.25">
      <c r="A881" s="1" t="s">
        <v>568</v>
      </c>
      <c r="B881" s="3">
        <v>530</v>
      </c>
      <c r="C881" s="1">
        <v>1</v>
      </c>
      <c r="D881" s="1">
        <v>4.74</v>
      </c>
      <c r="E881">
        <f t="shared" si="52"/>
        <v>525.26</v>
      </c>
    </row>
    <row r="882" spans="1:5" x14ac:dyDescent="0.25">
      <c r="A882" s="1" t="s">
        <v>873</v>
      </c>
      <c r="B882" s="3">
        <v>55</v>
      </c>
      <c r="C882" s="1">
        <v>1</v>
      </c>
      <c r="D882" s="1">
        <v>2</v>
      </c>
      <c r="E882">
        <f t="shared" si="52"/>
        <v>53</v>
      </c>
    </row>
    <row r="883" spans="1:5" x14ac:dyDescent="0.25">
      <c r="A883" s="1" t="s">
        <v>153</v>
      </c>
      <c r="B883" s="3">
        <v>158</v>
      </c>
      <c r="C883" s="1">
        <v>1</v>
      </c>
      <c r="D883" s="1">
        <v>7</v>
      </c>
      <c r="E883">
        <f t="shared" si="52"/>
        <v>151</v>
      </c>
    </row>
    <row r="884" spans="1:5" x14ac:dyDescent="0.25">
      <c r="A884" s="1" t="s">
        <v>874</v>
      </c>
      <c r="B884" s="3">
        <v>109</v>
      </c>
      <c r="C884" s="1">
        <v>1</v>
      </c>
      <c r="D884" s="1">
        <v>5</v>
      </c>
      <c r="E884">
        <f t="shared" si="52"/>
        <v>104</v>
      </c>
    </row>
    <row r="885" spans="1:5" x14ac:dyDescent="0.25">
      <c r="A885" s="1" t="s">
        <v>875</v>
      </c>
      <c r="B885" s="3">
        <v>101</v>
      </c>
      <c r="C885" s="1">
        <v>1</v>
      </c>
      <c r="D885" s="1">
        <v>0</v>
      </c>
      <c r="E885">
        <f t="shared" si="52"/>
        <v>101</v>
      </c>
    </row>
    <row r="886" spans="1:5" x14ac:dyDescent="0.25">
      <c r="A886" s="1" t="s">
        <v>527</v>
      </c>
      <c r="B886" s="3">
        <v>744</v>
      </c>
      <c r="C886" s="1">
        <v>1</v>
      </c>
      <c r="D886" s="1">
        <v>52</v>
      </c>
      <c r="E886">
        <f t="shared" si="52"/>
        <v>692</v>
      </c>
    </row>
    <row r="887" spans="1:5" x14ac:dyDescent="0.25">
      <c r="A887" s="1" t="s">
        <v>876</v>
      </c>
      <c r="B887" s="3">
        <v>759</v>
      </c>
      <c r="C887" s="1">
        <v>0.1</v>
      </c>
      <c r="D887" s="1">
        <v>0</v>
      </c>
      <c r="E887">
        <f t="shared" si="52"/>
        <v>75.900000000000006</v>
      </c>
    </row>
    <row r="888" spans="1:5" x14ac:dyDescent="0.25">
      <c r="A888" s="1" t="s">
        <v>878</v>
      </c>
      <c r="B888" s="3">
        <v>366</v>
      </c>
      <c r="C888" s="1">
        <v>1</v>
      </c>
      <c r="D888" s="1">
        <v>18</v>
      </c>
      <c r="E888">
        <f t="shared" si="52"/>
        <v>348</v>
      </c>
    </row>
    <row r="889" spans="1:5" x14ac:dyDescent="0.25">
      <c r="A889" s="1" t="s">
        <v>880</v>
      </c>
      <c r="B889" s="3">
        <v>138</v>
      </c>
      <c r="C889" s="1">
        <v>1</v>
      </c>
      <c r="D889" s="1">
        <v>0</v>
      </c>
      <c r="E889">
        <f t="shared" si="52"/>
        <v>138</v>
      </c>
    </row>
    <row r="890" spans="1:5" x14ac:dyDescent="0.25">
      <c r="A890" s="1" t="s">
        <v>882</v>
      </c>
      <c r="B890" s="3">
        <v>88</v>
      </c>
      <c r="C890" s="1">
        <v>1</v>
      </c>
      <c r="D890" s="1">
        <v>6</v>
      </c>
      <c r="E890">
        <f t="shared" si="52"/>
        <v>82</v>
      </c>
    </row>
    <row r="891" spans="1:5" x14ac:dyDescent="0.25">
      <c r="A891" s="1" t="s">
        <v>222</v>
      </c>
      <c r="B891" s="3">
        <v>14</v>
      </c>
      <c r="C891" s="1">
        <v>2</v>
      </c>
      <c r="D891" s="1">
        <v>0</v>
      </c>
      <c r="E891">
        <f t="shared" si="52"/>
        <v>28</v>
      </c>
    </row>
    <row r="892" spans="1:5" x14ac:dyDescent="0.25">
      <c r="A892" s="1" t="s">
        <v>884</v>
      </c>
      <c r="B892" s="3">
        <v>39</v>
      </c>
      <c r="C892" s="1">
        <v>1</v>
      </c>
      <c r="D892" s="1">
        <v>0</v>
      </c>
      <c r="E892">
        <f t="shared" si="52"/>
        <v>39</v>
      </c>
    </row>
    <row r="893" spans="1:5" x14ac:dyDescent="0.25">
      <c r="A893" s="1" t="s">
        <v>886</v>
      </c>
      <c r="B893" s="3">
        <v>824</v>
      </c>
      <c r="C893" s="1">
        <v>1</v>
      </c>
      <c r="D893" s="1">
        <v>82</v>
      </c>
      <c r="E893">
        <f t="shared" si="52"/>
        <v>742</v>
      </c>
    </row>
    <row r="894" spans="1:5" x14ac:dyDescent="0.25">
      <c r="A894" s="1" t="s">
        <v>888</v>
      </c>
      <c r="B894" s="3">
        <v>361</v>
      </c>
      <c r="C894" s="1">
        <v>1</v>
      </c>
      <c r="D894" s="1">
        <v>0</v>
      </c>
      <c r="E894">
        <f t="shared" si="52"/>
        <v>361</v>
      </c>
    </row>
    <row r="895" spans="1:5" x14ac:dyDescent="0.25">
      <c r="A895" s="1" t="s">
        <v>366</v>
      </c>
      <c r="B895" s="3">
        <v>60</v>
      </c>
      <c r="C895" s="1">
        <v>1</v>
      </c>
      <c r="D895" s="1">
        <v>0</v>
      </c>
      <c r="E895">
        <f t="shared" si="52"/>
        <v>60</v>
      </c>
    </row>
    <row r="896" spans="1:5" x14ac:dyDescent="0.25">
      <c r="A896" s="1" t="s">
        <v>889</v>
      </c>
      <c r="B896" s="3">
        <v>658</v>
      </c>
      <c r="C896" s="1">
        <v>1</v>
      </c>
      <c r="D896" s="1">
        <v>0</v>
      </c>
      <c r="E896">
        <f t="shared" si="52"/>
        <v>658</v>
      </c>
    </row>
    <row r="897" spans="1:5" x14ac:dyDescent="0.25">
      <c r="A897" s="1" t="s">
        <v>891</v>
      </c>
      <c r="B897" s="3">
        <v>1531</v>
      </c>
      <c r="C897" s="1">
        <v>0.33333332999999998</v>
      </c>
      <c r="D897" s="1">
        <v>0</v>
      </c>
      <c r="E897">
        <f t="shared" si="52"/>
        <v>510.33332822999995</v>
      </c>
    </row>
    <row r="898" spans="1:5" x14ac:dyDescent="0.25">
      <c r="A898" s="1" t="s">
        <v>118</v>
      </c>
      <c r="B898" s="3">
        <v>25</v>
      </c>
      <c r="C898" s="1">
        <v>1</v>
      </c>
      <c r="D898" s="1">
        <v>0</v>
      </c>
      <c r="E898">
        <f t="shared" si="52"/>
        <v>25</v>
      </c>
    </row>
    <row r="899" spans="1:5" x14ac:dyDescent="0.25">
      <c r="A899" s="1" t="s">
        <v>893</v>
      </c>
      <c r="B899" s="3">
        <v>93</v>
      </c>
      <c r="C899" s="1">
        <v>1</v>
      </c>
      <c r="D899" s="1">
        <v>0</v>
      </c>
      <c r="E899">
        <f t="shared" ref="E899:E962" si="53">C899*B899-D899</f>
        <v>93</v>
      </c>
    </row>
    <row r="900" spans="1:5" x14ac:dyDescent="0.25">
      <c r="A900" s="1" t="s">
        <v>894</v>
      </c>
      <c r="B900" s="3">
        <v>987</v>
      </c>
      <c r="C900" s="1">
        <v>1</v>
      </c>
      <c r="D900" s="1">
        <v>0</v>
      </c>
      <c r="E900">
        <f t="shared" si="53"/>
        <v>987</v>
      </c>
    </row>
    <row r="901" spans="1:5" x14ac:dyDescent="0.25">
      <c r="A901" s="1" t="s">
        <v>159</v>
      </c>
      <c r="B901" s="3">
        <v>678</v>
      </c>
      <c r="C901" s="1">
        <v>1</v>
      </c>
      <c r="D901" s="1">
        <v>0</v>
      </c>
      <c r="E901">
        <f t="shared" si="53"/>
        <v>678</v>
      </c>
    </row>
    <row r="902" spans="1:5" x14ac:dyDescent="0.25">
      <c r="A902" s="1" t="s">
        <v>330</v>
      </c>
      <c r="B902" s="3">
        <v>34</v>
      </c>
      <c r="C902" s="1">
        <v>1</v>
      </c>
      <c r="D902" s="1">
        <v>0</v>
      </c>
      <c r="E902">
        <f t="shared" si="53"/>
        <v>34</v>
      </c>
    </row>
    <row r="903" spans="1:5" x14ac:dyDescent="0.25">
      <c r="A903" s="1" t="s">
        <v>895</v>
      </c>
      <c r="B903" s="3">
        <v>625</v>
      </c>
      <c r="C903" s="1">
        <v>1</v>
      </c>
      <c r="D903" s="1">
        <v>62</v>
      </c>
      <c r="E903">
        <f t="shared" si="53"/>
        <v>563</v>
      </c>
    </row>
    <row r="904" spans="1:5" x14ac:dyDescent="0.25">
      <c r="A904" s="1" t="s">
        <v>896</v>
      </c>
      <c r="B904" s="3">
        <v>17</v>
      </c>
      <c r="C904" s="1">
        <v>2</v>
      </c>
      <c r="D904" s="1">
        <v>0</v>
      </c>
      <c r="E904">
        <f t="shared" si="53"/>
        <v>34</v>
      </c>
    </row>
    <row r="905" spans="1:5" x14ac:dyDescent="0.25">
      <c r="A905" s="1" t="s">
        <v>898</v>
      </c>
      <c r="B905" s="3">
        <v>572</v>
      </c>
      <c r="C905" s="1">
        <v>1</v>
      </c>
      <c r="D905" s="1">
        <v>40</v>
      </c>
      <c r="E905">
        <f t="shared" si="53"/>
        <v>532</v>
      </c>
    </row>
    <row r="906" spans="1:5" x14ac:dyDescent="0.25">
      <c r="A906" s="1" t="s">
        <v>899</v>
      </c>
      <c r="B906" s="3">
        <v>420</v>
      </c>
      <c r="C906" s="1">
        <v>1</v>
      </c>
      <c r="D906" s="1">
        <v>0</v>
      </c>
      <c r="E906">
        <f t="shared" si="53"/>
        <v>420</v>
      </c>
    </row>
    <row r="907" spans="1:5" x14ac:dyDescent="0.25">
      <c r="A907" s="1" t="s">
        <v>270</v>
      </c>
      <c r="B907" s="3">
        <v>40</v>
      </c>
      <c r="C907" s="1">
        <v>1</v>
      </c>
      <c r="D907" s="1">
        <v>0</v>
      </c>
      <c r="E907">
        <f t="shared" si="53"/>
        <v>40</v>
      </c>
    </row>
    <row r="908" spans="1:5" x14ac:dyDescent="0.25">
      <c r="A908" s="1" t="s">
        <v>900</v>
      </c>
      <c r="B908" s="3">
        <v>46</v>
      </c>
      <c r="C908" s="1">
        <v>2</v>
      </c>
      <c r="D908" s="1">
        <v>32</v>
      </c>
      <c r="E908">
        <f t="shared" si="53"/>
        <v>60</v>
      </c>
    </row>
    <row r="909" spans="1:5" x14ac:dyDescent="0.25">
      <c r="A909" s="1" t="s">
        <v>901</v>
      </c>
      <c r="B909" s="3">
        <v>347</v>
      </c>
      <c r="C909" s="1">
        <v>1</v>
      </c>
      <c r="D909" s="1">
        <v>0</v>
      </c>
      <c r="E909">
        <f t="shared" si="53"/>
        <v>347</v>
      </c>
    </row>
    <row r="910" spans="1:5" x14ac:dyDescent="0.25">
      <c r="A910" s="1" t="s">
        <v>589</v>
      </c>
      <c r="B910" s="3">
        <v>139</v>
      </c>
      <c r="C910" s="1">
        <v>1</v>
      </c>
      <c r="D910" s="1">
        <v>0</v>
      </c>
      <c r="E910">
        <f t="shared" si="53"/>
        <v>139</v>
      </c>
    </row>
    <row r="911" spans="1:5" x14ac:dyDescent="0.25">
      <c r="A911" s="1" t="s">
        <v>902</v>
      </c>
      <c r="B911" s="3">
        <v>307</v>
      </c>
      <c r="C911" s="1">
        <v>1</v>
      </c>
      <c r="D911" s="1">
        <v>0</v>
      </c>
      <c r="E911">
        <f t="shared" si="53"/>
        <v>307</v>
      </c>
    </row>
    <row r="912" spans="1:5" x14ac:dyDescent="0.25">
      <c r="A912" s="1" t="s">
        <v>903</v>
      </c>
      <c r="B912" s="3">
        <v>448</v>
      </c>
      <c r="C912" s="1">
        <v>1</v>
      </c>
      <c r="D912" s="1">
        <v>0</v>
      </c>
      <c r="E912">
        <f t="shared" si="53"/>
        <v>448</v>
      </c>
    </row>
    <row r="913" spans="1:5" x14ac:dyDescent="0.25">
      <c r="A913" s="1" t="s">
        <v>904</v>
      </c>
      <c r="B913" s="3">
        <v>449</v>
      </c>
      <c r="C913" s="1">
        <v>1</v>
      </c>
      <c r="D913" s="1">
        <v>31</v>
      </c>
      <c r="E913">
        <f t="shared" si="53"/>
        <v>418</v>
      </c>
    </row>
    <row r="914" spans="1:5" x14ac:dyDescent="0.25">
      <c r="A914" s="1" t="s">
        <v>906</v>
      </c>
      <c r="B914" s="3">
        <v>742</v>
      </c>
      <c r="C914" s="1">
        <v>1</v>
      </c>
      <c r="D914" s="1">
        <v>0</v>
      </c>
      <c r="E914">
        <f t="shared" si="53"/>
        <v>742</v>
      </c>
    </row>
    <row r="915" spans="1:5" x14ac:dyDescent="0.25">
      <c r="A915" s="1" t="s">
        <v>430</v>
      </c>
      <c r="B915" s="3">
        <v>236</v>
      </c>
      <c r="C915" s="1">
        <v>1</v>
      </c>
      <c r="D915" s="1">
        <v>0</v>
      </c>
      <c r="E915">
        <f t="shared" si="53"/>
        <v>236</v>
      </c>
    </row>
    <row r="916" spans="1:5" x14ac:dyDescent="0.25">
      <c r="A916" s="1" t="s">
        <v>907</v>
      </c>
      <c r="B916" s="3">
        <v>83</v>
      </c>
      <c r="C916" s="1">
        <v>1</v>
      </c>
      <c r="D916" s="1">
        <v>0</v>
      </c>
      <c r="E916">
        <f t="shared" si="53"/>
        <v>83</v>
      </c>
    </row>
    <row r="917" spans="1:5" x14ac:dyDescent="0.25">
      <c r="A917" s="1" t="s">
        <v>908</v>
      </c>
      <c r="B917" s="3">
        <v>524</v>
      </c>
      <c r="C917" s="1">
        <v>1</v>
      </c>
      <c r="D917" s="1">
        <v>0</v>
      </c>
      <c r="E917">
        <f t="shared" si="53"/>
        <v>524</v>
      </c>
    </row>
    <row r="918" spans="1:5" x14ac:dyDescent="0.25">
      <c r="A918" s="1" t="s">
        <v>910</v>
      </c>
      <c r="B918" s="3">
        <v>98</v>
      </c>
      <c r="C918" s="1">
        <v>1</v>
      </c>
      <c r="D918" s="1">
        <v>0</v>
      </c>
      <c r="E918">
        <f t="shared" si="53"/>
        <v>98</v>
      </c>
    </row>
    <row r="919" spans="1:5" x14ac:dyDescent="0.25">
      <c r="A919" s="1" t="s">
        <v>912</v>
      </c>
      <c r="B919" s="3">
        <v>444</v>
      </c>
      <c r="C919" s="1">
        <v>0.2</v>
      </c>
      <c r="D919" s="1">
        <v>5.8</v>
      </c>
      <c r="E919">
        <f t="shared" si="53"/>
        <v>83.000000000000014</v>
      </c>
    </row>
    <row r="920" spans="1:5" x14ac:dyDescent="0.25">
      <c r="A920" s="1" t="s">
        <v>913</v>
      </c>
      <c r="B920" s="3">
        <v>122</v>
      </c>
      <c r="C920" s="1">
        <v>1</v>
      </c>
      <c r="D920" s="1">
        <v>0</v>
      </c>
      <c r="E920">
        <f t="shared" si="53"/>
        <v>122</v>
      </c>
    </row>
    <row r="921" spans="1:5" x14ac:dyDescent="0.25">
      <c r="A921" s="1" t="s">
        <v>915</v>
      </c>
      <c r="B921" s="3">
        <v>36</v>
      </c>
      <c r="C921" s="1">
        <v>1</v>
      </c>
      <c r="D921" s="1">
        <v>0</v>
      </c>
      <c r="E921">
        <f t="shared" si="53"/>
        <v>36</v>
      </c>
    </row>
    <row r="922" spans="1:5" x14ac:dyDescent="0.25">
      <c r="A922" s="1" t="s">
        <v>916</v>
      </c>
      <c r="B922" s="3">
        <v>51.66</v>
      </c>
      <c r="C922" s="1">
        <v>1</v>
      </c>
      <c r="D922" s="1">
        <v>0</v>
      </c>
      <c r="E922">
        <f t="shared" si="53"/>
        <v>51.66</v>
      </c>
    </row>
    <row r="923" spans="1:5" x14ac:dyDescent="0.25">
      <c r="A923" s="1" t="s">
        <v>917</v>
      </c>
      <c r="B923" s="3">
        <v>77</v>
      </c>
      <c r="C923" s="1">
        <v>2</v>
      </c>
      <c r="D923" s="1">
        <v>0</v>
      </c>
      <c r="E923">
        <f t="shared" si="53"/>
        <v>154</v>
      </c>
    </row>
    <row r="924" spans="1:5" x14ac:dyDescent="0.25">
      <c r="A924" s="1" t="s">
        <v>918</v>
      </c>
      <c r="B924" s="3">
        <v>3215</v>
      </c>
      <c r="C924" s="1">
        <v>0.33333332999999998</v>
      </c>
      <c r="D924" s="1">
        <v>106.67</v>
      </c>
      <c r="E924">
        <f t="shared" si="53"/>
        <v>964.99665594999999</v>
      </c>
    </row>
    <row r="925" spans="1:5" x14ac:dyDescent="0.25">
      <c r="A925" s="1" t="s">
        <v>920</v>
      </c>
      <c r="B925" s="3">
        <v>23</v>
      </c>
      <c r="C925" s="1">
        <v>1</v>
      </c>
      <c r="D925" s="1">
        <v>1</v>
      </c>
      <c r="E925">
        <f t="shared" si="53"/>
        <v>22</v>
      </c>
    </row>
    <row r="926" spans="1:5" x14ac:dyDescent="0.25">
      <c r="A926" s="1" t="s">
        <v>920</v>
      </c>
      <c r="B926" s="3">
        <v>23</v>
      </c>
      <c r="C926" s="1">
        <v>1</v>
      </c>
      <c r="D926" s="1">
        <v>1</v>
      </c>
      <c r="E926">
        <f t="shared" si="53"/>
        <v>22</v>
      </c>
    </row>
    <row r="927" spans="1:5" x14ac:dyDescent="0.25">
      <c r="A927" s="1" t="s">
        <v>526</v>
      </c>
      <c r="B927" s="3">
        <v>78</v>
      </c>
      <c r="C927" s="1">
        <v>1</v>
      </c>
      <c r="D927" s="1">
        <v>3</v>
      </c>
      <c r="E927">
        <f t="shared" si="53"/>
        <v>75</v>
      </c>
    </row>
    <row r="928" spans="1:5" x14ac:dyDescent="0.25">
      <c r="A928" s="1" t="s">
        <v>671</v>
      </c>
      <c r="B928" s="3">
        <v>25</v>
      </c>
      <c r="C928" s="1">
        <v>1</v>
      </c>
      <c r="D928" s="1">
        <v>0</v>
      </c>
      <c r="E928">
        <f t="shared" si="53"/>
        <v>25</v>
      </c>
    </row>
    <row r="929" spans="1:5" x14ac:dyDescent="0.25">
      <c r="A929" s="1" t="s">
        <v>671</v>
      </c>
      <c r="B929" s="3">
        <v>25</v>
      </c>
      <c r="C929" s="1">
        <v>1</v>
      </c>
      <c r="D929" s="1">
        <v>0</v>
      </c>
      <c r="E929">
        <f t="shared" si="53"/>
        <v>25</v>
      </c>
    </row>
    <row r="930" spans="1:5" x14ac:dyDescent="0.25">
      <c r="A930" s="1" t="s">
        <v>670</v>
      </c>
      <c r="B930" s="3">
        <v>41</v>
      </c>
      <c r="C930" s="1">
        <v>1</v>
      </c>
      <c r="D930" s="1">
        <v>0</v>
      </c>
      <c r="E930">
        <f t="shared" si="53"/>
        <v>41</v>
      </c>
    </row>
    <row r="931" spans="1:5" x14ac:dyDescent="0.25">
      <c r="A931" s="1" t="s">
        <v>673</v>
      </c>
      <c r="B931" s="3">
        <v>32</v>
      </c>
      <c r="C931" s="1">
        <v>1</v>
      </c>
      <c r="D931" s="1">
        <v>4.22</v>
      </c>
      <c r="E931">
        <f t="shared" si="53"/>
        <v>27.78</v>
      </c>
    </row>
    <row r="932" spans="1:5" x14ac:dyDescent="0.25">
      <c r="A932" s="1" t="s">
        <v>673</v>
      </c>
      <c r="B932" s="3">
        <v>32</v>
      </c>
      <c r="C932" s="1">
        <v>1</v>
      </c>
      <c r="D932" s="1">
        <v>4.22</v>
      </c>
      <c r="E932">
        <f t="shared" si="53"/>
        <v>27.78</v>
      </c>
    </row>
    <row r="933" spans="1:5" x14ac:dyDescent="0.25">
      <c r="A933" s="1" t="s">
        <v>921</v>
      </c>
      <c r="B933" s="3">
        <v>247</v>
      </c>
      <c r="C933" s="1">
        <v>1</v>
      </c>
      <c r="D933" s="1">
        <v>32.56</v>
      </c>
      <c r="E933">
        <f t="shared" si="53"/>
        <v>214.44</v>
      </c>
    </row>
    <row r="934" spans="1:5" x14ac:dyDescent="0.25">
      <c r="A934" s="1" t="s">
        <v>922</v>
      </c>
      <c r="B934" s="3">
        <v>489</v>
      </c>
      <c r="C934" s="1">
        <v>1</v>
      </c>
      <c r="D934" s="1">
        <v>34</v>
      </c>
      <c r="E934">
        <f t="shared" si="53"/>
        <v>455</v>
      </c>
    </row>
    <row r="935" spans="1:5" x14ac:dyDescent="0.25">
      <c r="A935" s="1" t="s">
        <v>721</v>
      </c>
      <c r="B935" s="3">
        <v>146</v>
      </c>
      <c r="C935" s="1">
        <v>1</v>
      </c>
      <c r="D935" s="1">
        <v>0</v>
      </c>
      <c r="E935">
        <f t="shared" si="53"/>
        <v>146</v>
      </c>
    </row>
    <row r="936" spans="1:5" x14ac:dyDescent="0.25">
      <c r="A936" s="1" t="s">
        <v>924</v>
      </c>
      <c r="B936" s="3">
        <v>512</v>
      </c>
      <c r="C936" s="1">
        <v>1</v>
      </c>
      <c r="D936" s="1">
        <v>51</v>
      </c>
      <c r="E936">
        <f t="shared" si="53"/>
        <v>461</v>
      </c>
    </row>
    <row r="937" spans="1:5" x14ac:dyDescent="0.25">
      <c r="A937" s="1" t="s">
        <v>926</v>
      </c>
      <c r="B937" s="3">
        <v>275</v>
      </c>
      <c r="C937" s="1">
        <v>1</v>
      </c>
      <c r="D937" s="1">
        <v>13</v>
      </c>
      <c r="E937">
        <f t="shared" si="53"/>
        <v>262</v>
      </c>
    </row>
    <row r="938" spans="1:5" x14ac:dyDescent="0.25">
      <c r="A938" s="1" t="s">
        <v>290</v>
      </c>
      <c r="B938" s="3">
        <v>90</v>
      </c>
      <c r="C938" s="1">
        <v>1</v>
      </c>
      <c r="D938" s="1">
        <v>0</v>
      </c>
      <c r="E938">
        <f t="shared" si="53"/>
        <v>90</v>
      </c>
    </row>
    <row r="939" spans="1:5" x14ac:dyDescent="0.25">
      <c r="A939" s="1" t="s">
        <v>238</v>
      </c>
      <c r="B939" s="3">
        <v>179</v>
      </c>
      <c r="C939" s="1">
        <v>1</v>
      </c>
      <c r="D939" s="1">
        <v>0</v>
      </c>
      <c r="E939">
        <f t="shared" si="53"/>
        <v>179</v>
      </c>
    </row>
    <row r="940" spans="1:5" x14ac:dyDescent="0.25">
      <c r="A940" s="1" t="s">
        <v>239</v>
      </c>
      <c r="B940" s="3">
        <v>303</v>
      </c>
      <c r="C940" s="1">
        <v>1</v>
      </c>
      <c r="D940" s="1">
        <v>0</v>
      </c>
      <c r="E940">
        <f t="shared" si="53"/>
        <v>303</v>
      </c>
    </row>
    <row r="941" spans="1:5" x14ac:dyDescent="0.25">
      <c r="A941" s="1" t="s">
        <v>928</v>
      </c>
      <c r="B941" s="3">
        <v>1083</v>
      </c>
      <c r="C941" s="1">
        <v>1</v>
      </c>
      <c r="D941" s="1">
        <v>75</v>
      </c>
      <c r="E941">
        <f t="shared" si="53"/>
        <v>1008</v>
      </c>
    </row>
    <row r="942" spans="1:5" x14ac:dyDescent="0.25">
      <c r="A942" s="1" t="s">
        <v>195</v>
      </c>
      <c r="B942" s="3">
        <v>481</v>
      </c>
      <c r="C942" s="1">
        <v>1</v>
      </c>
      <c r="D942" s="1">
        <v>33</v>
      </c>
      <c r="E942">
        <f t="shared" si="53"/>
        <v>448</v>
      </c>
    </row>
    <row r="943" spans="1:5" x14ac:dyDescent="0.25">
      <c r="A943" s="1" t="s">
        <v>930</v>
      </c>
      <c r="B943" s="3">
        <v>654</v>
      </c>
      <c r="C943" s="1">
        <v>1</v>
      </c>
      <c r="D943" s="1">
        <v>45</v>
      </c>
      <c r="E943">
        <f t="shared" si="53"/>
        <v>609</v>
      </c>
    </row>
    <row r="944" spans="1:5" x14ac:dyDescent="0.25">
      <c r="A944" s="1" t="s">
        <v>309</v>
      </c>
      <c r="B944" s="3">
        <v>239</v>
      </c>
      <c r="C944" s="1">
        <v>1</v>
      </c>
      <c r="D944" s="1">
        <v>11</v>
      </c>
      <c r="E944">
        <f t="shared" si="53"/>
        <v>228</v>
      </c>
    </row>
    <row r="945" spans="1:5" x14ac:dyDescent="0.25">
      <c r="A945" s="1" t="s">
        <v>98</v>
      </c>
      <c r="B945" s="3">
        <v>220</v>
      </c>
      <c r="C945" s="1">
        <v>1</v>
      </c>
      <c r="D945" s="1">
        <v>15</v>
      </c>
      <c r="E945">
        <f t="shared" si="53"/>
        <v>205</v>
      </c>
    </row>
    <row r="946" spans="1:5" x14ac:dyDescent="0.25">
      <c r="A946" s="1" t="s">
        <v>931</v>
      </c>
      <c r="B946" s="3">
        <v>576</v>
      </c>
      <c r="C946" s="1">
        <v>1</v>
      </c>
      <c r="D946" s="1">
        <v>40</v>
      </c>
      <c r="E946">
        <f t="shared" si="53"/>
        <v>536</v>
      </c>
    </row>
    <row r="947" spans="1:5" x14ac:dyDescent="0.25">
      <c r="A947" s="1" t="s">
        <v>457</v>
      </c>
      <c r="B947" s="3">
        <v>41</v>
      </c>
      <c r="C947" s="1">
        <v>1</v>
      </c>
      <c r="D947" s="1">
        <v>2</v>
      </c>
      <c r="E947">
        <f t="shared" si="53"/>
        <v>39</v>
      </c>
    </row>
    <row r="948" spans="1:5" x14ac:dyDescent="0.25">
      <c r="A948" s="1" t="s">
        <v>932</v>
      </c>
      <c r="B948" s="3">
        <v>1638</v>
      </c>
      <c r="C948" s="1">
        <v>0.2</v>
      </c>
      <c r="D948" s="1">
        <v>0</v>
      </c>
      <c r="E948">
        <f t="shared" si="53"/>
        <v>327.60000000000002</v>
      </c>
    </row>
    <row r="949" spans="1:5" x14ac:dyDescent="0.25">
      <c r="A949" s="1" t="s">
        <v>933</v>
      </c>
      <c r="B949" s="3">
        <v>254</v>
      </c>
      <c r="C949" s="1">
        <v>1</v>
      </c>
      <c r="D949" s="1">
        <v>17</v>
      </c>
      <c r="E949">
        <f t="shared" si="53"/>
        <v>237</v>
      </c>
    </row>
    <row r="950" spans="1:5" x14ac:dyDescent="0.25">
      <c r="A950" s="1" t="s">
        <v>935</v>
      </c>
      <c r="B950" s="3">
        <v>170</v>
      </c>
      <c r="C950" s="1">
        <v>1</v>
      </c>
      <c r="D950" s="1">
        <v>11</v>
      </c>
      <c r="E950">
        <f t="shared" si="53"/>
        <v>159</v>
      </c>
    </row>
    <row r="951" spans="1:5" x14ac:dyDescent="0.25">
      <c r="A951" s="1" t="s">
        <v>937</v>
      </c>
      <c r="B951" s="3">
        <v>659</v>
      </c>
      <c r="C951" s="1">
        <v>1</v>
      </c>
      <c r="D951" s="1">
        <v>46</v>
      </c>
      <c r="E951">
        <f t="shared" si="53"/>
        <v>613</v>
      </c>
    </row>
    <row r="952" spans="1:5" x14ac:dyDescent="0.25">
      <c r="A952" s="1" t="s">
        <v>278</v>
      </c>
      <c r="B952" s="3">
        <v>100</v>
      </c>
      <c r="C952" s="1">
        <v>1</v>
      </c>
      <c r="D952" s="1">
        <v>0</v>
      </c>
      <c r="E952">
        <f t="shared" si="53"/>
        <v>100</v>
      </c>
    </row>
    <row r="953" spans="1:5" x14ac:dyDescent="0.25">
      <c r="A953" s="1" t="s">
        <v>98</v>
      </c>
      <c r="B953" s="3">
        <v>220</v>
      </c>
      <c r="C953" s="1">
        <v>1</v>
      </c>
      <c r="D953" s="1">
        <v>15</v>
      </c>
      <c r="E953">
        <f t="shared" si="53"/>
        <v>205</v>
      </c>
    </row>
    <row r="954" spans="1:5" x14ac:dyDescent="0.25">
      <c r="A954" s="1" t="s">
        <v>98</v>
      </c>
      <c r="B954" s="3">
        <v>220</v>
      </c>
      <c r="C954" s="1">
        <v>1</v>
      </c>
      <c r="D954" s="1">
        <v>15</v>
      </c>
      <c r="E954">
        <f t="shared" si="53"/>
        <v>205</v>
      </c>
    </row>
    <row r="955" spans="1:5" x14ac:dyDescent="0.25">
      <c r="A955" s="1" t="s">
        <v>98</v>
      </c>
      <c r="B955" s="3">
        <v>220</v>
      </c>
      <c r="C955" s="1">
        <v>0.68181818000000005</v>
      </c>
      <c r="D955" s="1">
        <v>0</v>
      </c>
      <c r="E955">
        <f t="shared" si="53"/>
        <v>149.99999960000002</v>
      </c>
    </row>
    <row r="956" spans="1:5" x14ac:dyDescent="0.25">
      <c r="A956" s="1" t="s">
        <v>98</v>
      </c>
      <c r="B956" s="3">
        <v>220</v>
      </c>
      <c r="C956" s="1">
        <v>0.31818182</v>
      </c>
      <c r="D956" s="1">
        <v>0</v>
      </c>
      <c r="E956">
        <f t="shared" si="53"/>
        <v>70.000000400000005</v>
      </c>
    </row>
    <row r="957" spans="1:5" x14ac:dyDescent="0.25">
      <c r="A957" s="1" t="s">
        <v>639</v>
      </c>
      <c r="B957" s="3">
        <v>383</v>
      </c>
      <c r="C957" s="1">
        <v>1</v>
      </c>
      <c r="D957" s="1">
        <v>38</v>
      </c>
      <c r="E957">
        <f t="shared" si="53"/>
        <v>345</v>
      </c>
    </row>
    <row r="958" spans="1:5" x14ac:dyDescent="0.25">
      <c r="A958" s="1" t="s">
        <v>607</v>
      </c>
      <c r="B958" s="3">
        <v>101</v>
      </c>
      <c r="C958" s="1">
        <v>1</v>
      </c>
      <c r="D958" s="1">
        <v>0</v>
      </c>
      <c r="E958">
        <f t="shared" si="53"/>
        <v>101</v>
      </c>
    </row>
    <row r="959" spans="1:5" x14ac:dyDescent="0.25">
      <c r="A959" s="1" t="s">
        <v>607</v>
      </c>
      <c r="B959" s="3">
        <v>101</v>
      </c>
      <c r="C959" s="1">
        <v>1</v>
      </c>
      <c r="D959" s="1">
        <v>5</v>
      </c>
      <c r="E959">
        <f t="shared" si="53"/>
        <v>96</v>
      </c>
    </row>
    <row r="960" spans="1:5" x14ac:dyDescent="0.25">
      <c r="A960" s="1" t="s">
        <v>938</v>
      </c>
      <c r="B960" s="3">
        <v>72.5</v>
      </c>
      <c r="C960" s="1">
        <v>1</v>
      </c>
      <c r="D960" s="1">
        <v>0</v>
      </c>
      <c r="E960">
        <f t="shared" si="53"/>
        <v>72.5</v>
      </c>
    </row>
    <row r="961" spans="1:5" x14ac:dyDescent="0.25">
      <c r="A961" s="1" t="s">
        <v>413</v>
      </c>
      <c r="B961" s="3">
        <v>1197</v>
      </c>
      <c r="C961" s="1">
        <v>0.1</v>
      </c>
      <c r="D961" s="1">
        <v>0</v>
      </c>
      <c r="E961">
        <f t="shared" si="53"/>
        <v>119.7</v>
      </c>
    </row>
    <row r="962" spans="1:5" x14ac:dyDescent="0.25">
      <c r="A962" s="1" t="s">
        <v>940</v>
      </c>
      <c r="B962" s="3">
        <v>72</v>
      </c>
      <c r="C962" s="1">
        <v>2</v>
      </c>
      <c r="D962" s="1">
        <v>14</v>
      </c>
      <c r="E962">
        <f t="shared" si="53"/>
        <v>130</v>
      </c>
    </row>
    <row r="963" spans="1:5" x14ac:dyDescent="0.25">
      <c r="A963" s="1" t="s">
        <v>825</v>
      </c>
      <c r="B963" s="3">
        <v>123</v>
      </c>
      <c r="C963" s="1">
        <v>1</v>
      </c>
      <c r="D963" s="1">
        <v>8</v>
      </c>
      <c r="E963">
        <f t="shared" ref="E963:E1026" si="54">C963*B963-D963</f>
        <v>115</v>
      </c>
    </row>
    <row r="964" spans="1:5" x14ac:dyDescent="0.25">
      <c r="A964" s="1" t="s">
        <v>941</v>
      </c>
      <c r="B964" s="3">
        <v>97</v>
      </c>
      <c r="C964" s="1">
        <v>1</v>
      </c>
      <c r="D964" s="1">
        <v>4</v>
      </c>
      <c r="E964">
        <f t="shared" si="54"/>
        <v>93</v>
      </c>
    </row>
    <row r="965" spans="1:5" x14ac:dyDescent="0.25">
      <c r="A965" s="1" t="s">
        <v>942</v>
      </c>
      <c r="B965" s="3">
        <v>127</v>
      </c>
      <c r="C965" s="1">
        <v>1</v>
      </c>
      <c r="D965" s="1">
        <v>6</v>
      </c>
      <c r="E965">
        <f t="shared" si="54"/>
        <v>121</v>
      </c>
    </row>
    <row r="966" spans="1:5" x14ac:dyDescent="0.25">
      <c r="A966" s="1" t="s">
        <v>943</v>
      </c>
      <c r="B966" s="3">
        <v>2642</v>
      </c>
      <c r="C966" s="1">
        <v>1</v>
      </c>
      <c r="D966" s="1">
        <v>184</v>
      </c>
      <c r="E966">
        <f t="shared" si="54"/>
        <v>2458</v>
      </c>
    </row>
    <row r="967" spans="1:5" x14ac:dyDescent="0.25">
      <c r="A967" s="1" t="s">
        <v>462</v>
      </c>
      <c r="B967" s="3">
        <v>1338</v>
      </c>
      <c r="C967" s="1">
        <v>1</v>
      </c>
      <c r="D967" s="1">
        <v>200</v>
      </c>
      <c r="E967">
        <f t="shared" si="54"/>
        <v>1138</v>
      </c>
    </row>
    <row r="968" spans="1:5" x14ac:dyDescent="0.25">
      <c r="A968" s="1" t="s">
        <v>944</v>
      </c>
      <c r="B968" s="3">
        <v>170</v>
      </c>
      <c r="C968" s="1">
        <v>1</v>
      </c>
      <c r="D968" s="1">
        <v>17</v>
      </c>
      <c r="E968">
        <f t="shared" si="54"/>
        <v>153</v>
      </c>
    </row>
    <row r="969" spans="1:5" x14ac:dyDescent="0.25">
      <c r="A969" s="1" t="s">
        <v>946</v>
      </c>
      <c r="B969" s="3">
        <v>598</v>
      </c>
      <c r="C969" s="1">
        <v>1</v>
      </c>
      <c r="D969" s="1">
        <v>59</v>
      </c>
      <c r="E969">
        <f t="shared" si="54"/>
        <v>539</v>
      </c>
    </row>
    <row r="970" spans="1:5" x14ac:dyDescent="0.25">
      <c r="A970" s="1" t="s">
        <v>948</v>
      </c>
      <c r="B970" s="3">
        <v>279</v>
      </c>
      <c r="C970" s="1">
        <v>1</v>
      </c>
      <c r="D970" s="1">
        <v>0</v>
      </c>
      <c r="E970">
        <f t="shared" si="54"/>
        <v>279</v>
      </c>
    </row>
    <row r="971" spans="1:5" x14ac:dyDescent="0.25">
      <c r="A971" s="1" t="s">
        <v>949</v>
      </c>
      <c r="B971" s="3">
        <v>110</v>
      </c>
      <c r="C971" s="1">
        <v>1</v>
      </c>
      <c r="D971" s="1">
        <v>0</v>
      </c>
      <c r="E971">
        <f t="shared" si="54"/>
        <v>110</v>
      </c>
    </row>
    <row r="972" spans="1:5" x14ac:dyDescent="0.25">
      <c r="A972" s="1" t="s">
        <v>366</v>
      </c>
      <c r="B972" s="3">
        <v>60</v>
      </c>
      <c r="C972" s="1">
        <v>1</v>
      </c>
      <c r="D972" s="1">
        <v>0</v>
      </c>
      <c r="E972">
        <f t="shared" si="54"/>
        <v>60</v>
      </c>
    </row>
    <row r="973" spans="1:5" x14ac:dyDescent="0.25">
      <c r="A973" s="1" t="s">
        <v>950</v>
      </c>
      <c r="B973" s="3">
        <v>1145</v>
      </c>
      <c r="C973" s="1">
        <v>1</v>
      </c>
      <c r="D973" s="1">
        <v>80</v>
      </c>
      <c r="E973">
        <f t="shared" si="54"/>
        <v>1065</v>
      </c>
    </row>
    <row r="974" spans="1:5" x14ac:dyDescent="0.25">
      <c r="A974" s="1" t="s">
        <v>951</v>
      </c>
      <c r="B974" s="3">
        <v>209</v>
      </c>
      <c r="C974" s="1">
        <v>1</v>
      </c>
      <c r="D974" s="1">
        <v>20</v>
      </c>
      <c r="E974">
        <f t="shared" si="54"/>
        <v>189</v>
      </c>
    </row>
    <row r="975" spans="1:5" x14ac:dyDescent="0.25">
      <c r="A975" s="1" t="s">
        <v>953</v>
      </c>
      <c r="B975" s="3">
        <v>658</v>
      </c>
      <c r="C975" s="1">
        <v>1</v>
      </c>
      <c r="D975" s="1">
        <v>46</v>
      </c>
      <c r="E975">
        <f t="shared" si="54"/>
        <v>612</v>
      </c>
    </row>
    <row r="976" spans="1:5" x14ac:dyDescent="0.25">
      <c r="A976" s="1" t="s">
        <v>954</v>
      </c>
      <c r="B976" s="3">
        <v>601</v>
      </c>
      <c r="C976" s="1">
        <v>1</v>
      </c>
      <c r="D976" s="1">
        <v>90</v>
      </c>
      <c r="E976">
        <f t="shared" si="54"/>
        <v>511</v>
      </c>
    </row>
    <row r="977" spans="1:5" x14ac:dyDescent="0.25">
      <c r="A977" s="1" t="s">
        <v>955</v>
      </c>
      <c r="B977" s="3">
        <v>40</v>
      </c>
      <c r="C977" s="1">
        <v>1</v>
      </c>
      <c r="D977" s="1">
        <v>4</v>
      </c>
      <c r="E977">
        <f t="shared" si="54"/>
        <v>36</v>
      </c>
    </row>
    <row r="978" spans="1:5" x14ac:dyDescent="0.25">
      <c r="A978" s="1" t="s">
        <v>222</v>
      </c>
      <c r="B978" s="3">
        <v>12</v>
      </c>
      <c r="C978" s="1">
        <v>4</v>
      </c>
      <c r="D978" s="1">
        <v>0</v>
      </c>
      <c r="E978">
        <f t="shared" si="54"/>
        <v>48</v>
      </c>
    </row>
    <row r="979" spans="1:5" x14ac:dyDescent="0.25">
      <c r="A979" s="1" t="s">
        <v>222</v>
      </c>
      <c r="B979" s="3">
        <v>12</v>
      </c>
      <c r="C979" s="1">
        <v>1</v>
      </c>
      <c r="D979" s="1">
        <v>0</v>
      </c>
      <c r="E979">
        <f t="shared" si="54"/>
        <v>12</v>
      </c>
    </row>
    <row r="980" spans="1:5" x14ac:dyDescent="0.25">
      <c r="A980" s="1" t="s">
        <v>957</v>
      </c>
      <c r="B980" s="3">
        <v>593</v>
      </c>
      <c r="C980" s="1">
        <v>0.12</v>
      </c>
      <c r="D980" s="1">
        <v>1.1599999999999999</v>
      </c>
      <c r="E980">
        <f t="shared" si="54"/>
        <v>70</v>
      </c>
    </row>
    <row r="981" spans="1:5" x14ac:dyDescent="0.25">
      <c r="A981" s="1" t="s">
        <v>959</v>
      </c>
      <c r="B981" s="3">
        <v>135</v>
      </c>
      <c r="C981" s="1">
        <v>1</v>
      </c>
      <c r="D981" s="1">
        <v>0</v>
      </c>
      <c r="E981">
        <f t="shared" si="54"/>
        <v>135</v>
      </c>
    </row>
    <row r="982" spans="1:5" x14ac:dyDescent="0.25">
      <c r="A982" s="1" t="s">
        <v>961</v>
      </c>
      <c r="B982" s="3">
        <v>652</v>
      </c>
      <c r="C982" s="1">
        <v>1</v>
      </c>
      <c r="D982" s="1">
        <v>45</v>
      </c>
      <c r="E982">
        <f t="shared" si="54"/>
        <v>607</v>
      </c>
    </row>
    <row r="983" spans="1:5" x14ac:dyDescent="0.25">
      <c r="A983" s="1" t="s">
        <v>277</v>
      </c>
      <c r="B983" s="3">
        <v>361</v>
      </c>
      <c r="C983" s="1">
        <v>1</v>
      </c>
      <c r="D983" s="1">
        <v>25</v>
      </c>
      <c r="E983">
        <f t="shared" si="54"/>
        <v>336</v>
      </c>
    </row>
    <row r="984" spans="1:5" x14ac:dyDescent="0.25">
      <c r="A984" s="1" t="s">
        <v>492</v>
      </c>
      <c r="B984" s="3">
        <v>110</v>
      </c>
      <c r="C984" s="1">
        <v>1</v>
      </c>
      <c r="D984" s="1">
        <v>11</v>
      </c>
      <c r="E984">
        <f t="shared" si="54"/>
        <v>99</v>
      </c>
    </row>
    <row r="985" spans="1:5" x14ac:dyDescent="0.25">
      <c r="A985" s="1" t="s">
        <v>116</v>
      </c>
      <c r="B985" s="3">
        <v>58</v>
      </c>
      <c r="C985" s="1">
        <v>1</v>
      </c>
      <c r="D985" s="1">
        <v>5</v>
      </c>
      <c r="E985">
        <f t="shared" si="54"/>
        <v>53</v>
      </c>
    </row>
    <row r="986" spans="1:5" x14ac:dyDescent="0.25">
      <c r="A986" s="1" t="s">
        <v>270</v>
      </c>
      <c r="B986" s="3">
        <v>34</v>
      </c>
      <c r="C986" s="1">
        <v>1</v>
      </c>
      <c r="D986" s="1">
        <v>0</v>
      </c>
      <c r="E986">
        <f t="shared" si="54"/>
        <v>34</v>
      </c>
    </row>
    <row r="987" spans="1:5" x14ac:dyDescent="0.25">
      <c r="A987" s="1" t="s">
        <v>408</v>
      </c>
      <c r="B987" s="3">
        <v>73</v>
      </c>
      <c r="C987" s="1">
        <v>1</v>
      </c>
      <c r="D987" s="1">
        <v>0</v>
      </c>
      <c r="E987">
        <f t="shared" si="54"/>
        <v>73</v>
      </c>
    </row>
    <row r="988" spans="1:5" x14ac:dyDescent="0.25">
      <c r="A988" s="1" t="s">
        <v>962</v>
      </c>
      <c r="B988" s="3">
        <v>137</v>
      </c>
      <c r="C988" s="1">
        <v>1</v>
      </c>
      <c r="D988" s="1">
        <v>0</v>
      </c>
      <c r="E988">
        <f t="shared" si="54"/>
        <v>137</v>
      </c>
    </row>
    <row r="989" spans="1:5" x14ac:dyDescent="0.25">
      <c r="A989" s="1" t="s">
        <v>415</v>
      </c>
      <c r="B989" s="3">
        <v>36</v>
      </c>
      <c r="C989" s="1">
        <v>1</v>
      </c>
      <c r="D989" s="1">
        <v>2</v>
      </c>
      <c r="E989">
        <f t="shared" si="54"/>
        <v>34</v>
      </c>
    </row>
    <row r="990" spans="1:5" x14ac:dyDescent="0.25">
      <c r="A990" s="1" t="s">
        <v>415</v>
      </c>
      <c r="B990" s="3">
        <v>36</v>
      </c>
      <c r="C990" s="1">
        <v>1</v>
      </c>
      <c r="D990" s="1">
        <v>2</v>
      </c>
      <c r="E990">
        <f t="shared" si="54"/>
        <v>34</v>
      </c>
    </row>
    <row r="991" spans="1:5" x14ac:dyDescent="0.25">
      <c r="A991" s="1" t="s">
        <v>415</v>
      </c>
      <c r="B991" s="3">
        <v>36</v>
      </c>
      <c r="C991" s="1">
        <v>1</v>
      </c>
      <c r="D991" s="1">
        <v>2</v>
      </c>
      <c r="E991">
        <f t="shared" si="54"/>
        <v>34</v>
      </c>
    </row>
    <row r="992" spans="1:5" x14ac:dyDescent="0.25">
      <c r="A992" s="1" t="s">
        <v>415</v>
      </c>
      <c r="B992" s="3">
        <v>36</v>
      </c>
      <c r="C992" s="1">
        <v>1</v>
      </c>
      <c r="D992" s="1">
        <v>2</v>
      </c>
      <c r="E992">
        <f t="shared" si="54"/>
        <v>34</v>
      </c>
    </row>
    <row r="993" spans="1:5" x14ac:dyDescent="0.25">
      <c r="A993" s="1" t="s">
        <v>415</v>
      </c>
      <c r="B993" s="3">
        <v>36</v>
      </c>
      <c r="C993" s="1">
        <v>1</v>
      </c>
      <c r="D993" s="1">
        <v>2</v>
      </c>
      <c r="E993">
        <f t="shared" si="54"/>
        <v>34</v>
      </c>
    </row>
    <row r="994" spans="1:5" x14ac:dyDescent="0.25">
      <c r="A994" s="1" t="s">
        <v>415</v>
      </c>
      <c r="B994" s="3">
        <v>36</v>
      </c>
      <c r="C994" s="1">
        <v>1</v>
      </c>
      <c r="D994" s="1">
        <v>2</v>
      </c>
      <c r="E994">
        <f t="shared" si="54"/>
        <v>34</v>
      </c>
    </row>
    <row r="995" spans="1:5" x14ac:dyDescent="0.25">
      <c r="A995" s="1" t="s">
        <v>415</v>
      </c>
      <c r="B995" s="3">
        <v>36</v>
      </c>
      <c r="C995" s="1">
        <v>1</v>
      </c>
      <c r="D995" s="1">
        <v>2</v>
      </c>
      <c r="E995">
        <f t="shared" si="54"/>
        <v>34</v>
      </c>
    </row>
    <row r="996" spans="1:5" x14ac:dyDescent="0.25">
      <c r="A996" s="1" t="s">
        <v>415</v>
      </c>
      <c r="B996" s="3">
        <v>36</v>
      </c>
      <c r="C996" s="1">
        <v>1</v>
      </c>
      <c r="D996" s="1">
        <v>2</v>
      </c>
      <c r="E996">
        <f t="shared" si="54"/>
        <v>34</v>
      </c>
    </row>
    <row r="997" spans="1:5" x14ac:dyDescent="0.25">
      <c r="A997" s="1" t="s">
        <v>415</v>
      </c>
      <c r="B997" s="3">
        <v>36</v>
      </c>
      <c r="C997" s="1">
        <v>1</v>
      </c>
      <c r="D997" s="1">
        <v>2</v>
      </c>
      <c r="E997">
        <f t="shared" si="54"/>
        <v>34</v>
      </c>
    </row>
    <row r="998" spans="1:5" x14ac:dyDescent="0.25">
      <c r="A998" s="1" t="s">
        <v>415</v>
      </c>
      <c r="B998" s="3">
        <v>36</v>
      </c>
      <c r="C998" s="1">
        <v>1</v>
      </c>
      <c r="D998" s="1">
        <v>2</v>
      </c>
      <c r="E998">
        <f t="shared" si="54"/>
        <v>34</v>
      </c>
    </row>
    <row r="999" spans="1:5" x14ac:dyDescent="0.25">
      <c r="A999" s="1" t="s">
        <v>415</v>
      </c>
      <c r="B999" s="3">
        <v>36</v>
      </c>
      <c r="C999" s="1">
        <v>1</v>
      </c>
      <c r="D999" s="1">
        <v>2</v>
      </c>
      <c r="E999">
        <f t="shared" si="54"/>
        <v>34</v>
      </c>
    </row>
    <row r="1000" spans="1:5" x14ac:dyDescent="0.25">
      <c r="A1000" s="1" t="s">
        <v>963</v>
      </c>
      <c r="B1000" s="3">
        <v>37</v>
      </c>
      <c r="C1000" s="1">
        <v>1</v>
      </c>
      <c r="D1000" s="1">
        <v>2</v>
      </c>
      <c r="E1000">
        <f t="shared" si="54"/>
        <v>35</v>
      </c>
    </row>
    <row r="1001" spans="1:5" x14ac:dyDescent="0.25">
      <c r="A1001" s="1" t="s">
        <v>589</v>
      </c>
      <c r="B1001" s="3">
        <v>139</v>
      </c>
      <c r="C1001" s="1">
        <v>1</v>
      </c>
      <c r="D1001" s="1">
        <v>9</v>
      </c>
      <c r="E1001">
        <f t="shared" si="54"/>
        <v>130</v>
      </c>
    </row>
    <row r="1002" spans="1:5" x14ac:dyDescent="0.25">
      <c r="A1002" s="1" t="s">
        <v>153</v>
      </c>
      <c r="B1002" s="3">
        <v>158</v>
      </c>
      <c r="C1002" s="1">
        <v>1</v>
      </c>
      <c r="D1002" s="1">
        <v>7</v>
      </c>
      <c r="E1002">
        <f t="shared" si="54"/>
        <v>151</v>
      </c>
    </row>
    <row r="1003" spans="1:5" x14ac:dyDescent="0.25">
      <c r="A1003" s="1" t="s">
        <v>153</v>
      </c>
      <c r="B1003" s="3">
        <v>158</v>
      </c>
      <c r="C1003" s="1">
        <v>1</v>
      </c>
      <c r="D1003" s="1">
        <v>0</v>
      </c>
      <c r="E1003">
        <f t="shared" si="54"/>
        <v>158</v>
      </c>
    </row>
    <row r="1004" spans="1:5" x14ac:dyDescent="0.25">
      <c r="A1004" s="1" t="s">
        <v>153</v>
      </c>
      <c r="B1004" s="3">
        <v>158</v>
      </c>
      <c r="C1004" s="1">
        <v>1</v>
      </c>
      <c r="D1004" s="1">
        <v>7</v>
      </c>
      <c r="E1004">
        <f t="shared" si="54"/>
        <v>151</v>
      </c>
    </row>
    <row r="1005" spans="1:5" x14ac:dyDescent="0.25">
      <c r="A1005" s="1" t="s">
        <v>153</v>
      </c>
      <c r="B1005" s="3">
        <v>158</v>
      </c>
      <c r="C1005" s="1">
        <v>1</v>
      </c>
      <c r="D1005" s="1">
        <v>7</v>
      </c>
      <c r="E1005">
        <f t="shared" si="54"/>
        <v>151</v>
      </c>
    </row>
    <row r="1006" spans="1:5" x14ac:dyDescent="0.25">
      <c r="A1006" s="1" t="s">
        <v>89</v>
      </c>
      <c r="B1006" s="3">
        <v>31</v>
      </c>
      <c r="C1006" s="1">
        <v>1</v>
      </c>
      <c r="D1006" s="1">
        <v>1</v>
      </c>
      <c r="E1006">
        <f t="shared" si="54"/>
        <v>30</v>
      </c>
    </row>
    <row r="1007" spans="1:5" x14ac:dyDescent="0.25">
      <c r="A1007" s="1" t="s">
        <v>702</v>
      </c>
      <c r="B1007" s="3">
        <v>250</v>
      </c>
      <c r="C1007" s="1">
        <v>1</v>
      </c>
      <c r="D1007" s="1">
        <v>12</v>
      </c>
      <c r="E1007">
        <f t="shared" si="54"/>
        <v>238</v>
      </c>
    </row>
    <row r="1008" spans="1:5" x14ac:dyDescent="0.25">
      <c r="A1008" s="1" t="s">
        <v>719</v>
      </c>
      <c r="B1008" s="3">
        <v>74</v>
      </c>
      <c r="C1008" s="1">
        <v>1</v>
      </c>
      <c r="D1008" s="1">
        <v>3</v>
      </c>
      <c r="E1008">
        <f t="shared" si="54"/>
        <v>71</v>
      </c>
    </row>
    <row r="1009" spans="1:5" x14ac:dyDescent="0.25">
      <c r="A1009" s="1" t="s">
        <v>719</v>
      </c>
      <c r="B1009" s="3">
        <v>75</v>
      </c>
      <c r="C1009" s="1">
        <v>1</v>
      </c>
      <c r="D1009" s="1">
        <v>3</v>
      </c>
      <c r="E1009">
        <f t="shared" si="54"/>
        <v>72</v>
      </c>
    </row>
    <row r="1010" spans="1:5" x14ac:dyDescent="0.25">
      <c r="A1010" s="1" t="s">
        <v>964</v>
      </c>
      <c r="B1010" s="3">
        <v>25</v>
      </c>
      <c r="C1010" s="1">
        <v>1</v>
      </c>
      <c r="D1010" s="1">
        <v>1</v>
      </c>
      <c r="E1010">
        <f t="shared" si="54"/>
        <v>24</v>
      </c>
    </row>
    <row r="1011" spans="1:5" x14ac:dyDescent="0.25">
      <c r="A1011" s="1" t="s">
        <v>964</v>
      </c>
      <c r="B1011" s="3">
        <v>25</v>
      </c>
      <c r="C1011" s="1">
        <v>1</v>
      </c>
      <c r="D1011" s="1">
        <v>1</v>
      </c>
      <c r="E1011">
        <f t="shared" si="54"/>
        <v>24</v>
      </c>
    </row>
    <row r="1012" spans="1:5" x14ac:dyDescent="0.25">
      <c r="A1012" s="1" t="s">
        <v>965</v>
      </c>
      <c r="B1012" s="3">
        <v>25</v>
      </c>
      <c r="C1012" s="1">
        <v>1</v>
      </c>
      <c r="D1012" s="1">
        <v>0</v>
      </c>
      <c r="E1012">
        <f t="shared" si="54"/>
        <v>25</v>
      </c>
    </row>
    <row r="1013" spans="1:5" x14ac:dyDescent="0.25">
      <c r="A1013" s="1" t="s">
        <v>966</v>
      </c>
      <c r="B1013" s="3">
        <v>76</v>
      </c>
      <c r="C1013" s="1">
        <v>1</v>
      </c>
      <c r="D1013" s="1">
        <v>0</v>
      </c>
      <c r="E1013">
        <f t="shared" si="54"/>
        <v>76</v>
      </c>
    </row>
    <row r="1014" spans="1:5" x14ac:dyDescent="0.25">
      <c r="A1014" s="1" t="s">
        <v>968</v>
      </c>
      <c r="B1014" s="3">
        <v>366</v>
      </c>
      <c r="C1014" s="1">
        <v>1</v>
      </c>
      <c r="D1014" s="1">
        <v>25</v>
      </c>
      <c r="E1014">
        <f t="shared" si="54"/>
        <v>341</v>
      </c>
    </row>
    <row r="1015" spans="1:5" x14ac:dyDescent="0.25">
      <c r="A1015" s="1" t="s">
        <v>969</v>
      </c>
      <c r="B1015" s="3">
        <v>272</v>
      </c>
      <c r="C1015" s="1">
        <v>1</v>
      </c>
      <c r="D1015" s="1">
        <v>19</v>
      </c>
      <c r="E1015">
        <f t="shared" si="54"/>
        <v>253</v>
      </c>
    </row>
    <row r="1016" spans="1:5" x14ac:dyDescent="0.25">
      <c r="A1016" s="1" t="s">
        <v>826</v>
      </c>
      <c r="B1016" s="3">
        <v>488</v>
      </c>
      <c r="C1016" s="1">
        <v>1</v>
      </c>
      <c r="D1016" s="1">
        <v>24</v>
      </c>
      <c r="E1016">
        <f t="shared" si="54"/>
        <v>464</v>
      </c>
    </row>
    <row r="1017" spans="1:5" x14ac:dyDescent="0.25">
      <c r="A1017" s="1" t="s">
        <v>970</v>
      </c>
      <c r="B1017" s="3">
        <v>544</v>
      </c>
      <c r="C1017" s="1">
        <v>0.2</v>
      </c>
      <c r="D1017" s="1">
        <v>6.8</v>
      </c>
      <c r="E1017">
        <f t="shared" si="54"/>
        <v>102.00000000000001</v>
      </c>
    </row>
    <row r="1018" spans="1:5" x14ac:dyDescent="0.25">
      <c r="A1018" s="1" t="s">
        <v>972</v>
      </c>
      <c r="B1018" s="3">
        <v>44</v>
      </c>
      <c r="C1018" s="1">
        <v>1</v>
      </c>
      <c r="D1018" s="1">
        <v>2</v>
      </c>
      <c r="E1018">
        <f t="shared" si="54"/>
        <v>42</v>
      </c>
    </row>
    <row r="1019" spans="1:5" x14ac:dyDescent="0.25">
      <c r="A1019" s="1" t="s">
        <v>972</v>
      </c>
      <c r="B1019" s="3">
        <v>44</v>
      </c>
      <c r="C1019" s="1">
        <v>1</v>
      </c>
      <c r="D1019" s="1">
        <v>0</v>
      </c>
      <c r="E1019">
        <f t="shared" si="54"/>
        <v>44</v>
      </c>
    </row>
    <row r="1020" spans="1:5" x14ac:dyDescent="0.25">
      <c r="A1020" s="1" t="s">
        <v>760</v>
      </c>
      <c r="B1020" s="3">
        <v>1067</v>
      </c>
      <c r="C1020" s="1">
        <v>0.33333332999999998</v>
      </c>
      <c r="D1020" s="1">
        <v>24.67</v>
      </c>
      <c r="E1020">
        <f t="shared" si="54"/>
        <v>330.99666310999999</v>
      </c>
    </row>
    <row r="1021" spans="1:5" x14ac:dyDescent="0.25">
      <c r="A1021" s="1" t="s">
        <v>973</v>
      </c>
      <c r="B1021" s="3">
        <v>101</v>
      </c>
      <c r="C1021" s="1">
        <v>1</v>
      </c>
      <c r="D1021" s="1">
        <v>7</v>
      </c>
      <c r="E1021">
        <f t="shared" si="54"/>
        <v>94</v>
      </c>
    </row>
    <row r="1022" spans="1:5" x14ac:dyDescent="0.25">
      <c r="A1022" s="1" t="s">
        <v>337</v>
      </c>
      <c r="B1022" s="3">
        <v>216</v>
      </c>
      <c r="C1022" s="1">
        <v>1</v>
      </c>
      <c r="D1022" s="1">
        <v>10</v>
      </c>
      <c r="E1022">
        <f t="shared" si="54"/>
        <v>206</v>
      </c>
    </row>
    <row r="1023" spans="1:5" x14ac:dyDescent="0.25">
      <c r="A1023" s="1" t="s">
        <v>974</v>
      </c>
      <c r="B1023" s="3">
        <v>82</v>
      </c>
      <c r="C1023" s="1">
        <v>1</v>
      </c>
      <c r="D1023" s="1">
        <v>8</v>
      </c>
      <c r="E1023">
        <f t="shared" si="54"/>
        <v>74</v>
      </c>
    </row>
    <row r="1024" spans="1:5" x14ac:dyDescent="0.25">
      <c r="A1024" s="1" t="s">
        <v>976</v>
      </c>
      <c r="B1024" s="3">
        <v>25</v>
      </c>
      <c r="C1024" s="1">
        <v>1</v>
      </c>
      <c r="D1024" s="1">
        <v>1</v>
      </c>
      <c r="E1024">
        <f t="shared" si="54"/>
        <v>24</v>
      </c>
    </row>
    <row r="1025" spans="1:5" x14ac:dyDescent="0.25">
      <c r="A1025" s="1" t="s">
        <v>976</v>
      </c>
      <c r="B1025" s="3">
        <v>25</v>
      </c>
      <c r="C1025" s="1">
        <v>1</v>
      </c>
      <c r="D1025" s="1">
        <v>1</v>
      </c>
      <c r="E1025">
        <f t="shared" si="54"/>
        <v>24</v>
      </c>
    </row>
    <row r="1026" spans="1:5" x14ac:dyDescent="0.25">
      <c r="A1026" s="1" t="s">
        <v>976</v>
      </c>
      <c r="B1026" s="3">
        <v>25</v>
      </c>
      <c r="C1026" s="1">
        <v>1</v>
      </c>
      <c r="D1026" s="1">
        <v>1</v>
      </c>
      <c r="E1026">
        <f t="shared" si="54"/>
        <v>24</v>
      </c>
    </row>
    <row r="1027" spans="1:5" x14ac:dyDescent="0.25">
      <c r="A1027" s="1" t="s">
        <v>977</v>
      </c>
      <c r="B1027" s="3">
        <v>207</v>
      </c>
      <c r="C1027" s="1">
        <v>1</v>
      </c>
      <c r="D1027" s="1">
        <v>14</v>
      </c>
      <c r="E1027">
        <f t="shared" ref="E1027:E1090" si="55">C1027*B1027-D1027</f>
        <v>193</v>
      </c>
    </row>
    <row r="1028" spans="1:5" x14ac:dyDescent="0.25">
      <c r="A1028" s="1" t="s">
        <v>978</v>
      </c>
      <c r="B1028" s="3">
        <v>20</v>
      </c>
      <c r="C1028" s="1">
        <v>1</v>
      </c>
      <c r="D1028" s="1">
        <v>1</v>
      </c>
      <c r="E1028">
        <f t="shared" si="55"/>
        <v>19</v>
      </c>
    </row>
    <row r="1029" spans="1:5" x14ac:dyDescent="0.25">
      <c r="A1029" s="1" t="s">
        <v>979</v>
      </c>
      <c r="B1029" s="3">
        <v>634</v>
      </c>
      <c r="C1029" s="1">
        <v>1</v>
      </c>
      <c r="D1029" s="1">
        <v>19</v>
      </c>
      <c r="E1029">
        <f t="shared" si="55"/>
        <v>615</v>
      </c>
    </row>
    <row r="1030" spans="1:5" x14ac:dyDescent="0.25">
      <c r="A1030" s="1" t="s">
        <v>981</v>
      </c>
      <c r="B1030" s="3">
        <v>141</v>
      </c>
      <c r="C1030" s="1">
        <v>1</v>
      </c>
      <c r="D1030" s="1">
        <v>9</v>
      </c>
      <c r="E1030">
        <f t="shared" si="55"/>
        <v>132</v>
      </c>
    </row>
    <row r="1031" spans="1:5" x14ac:dyDescent="0.25">
      <c r="A1031" s="1" t="s">
        <v>517</v>
      </c>
      <c r="B1031" s="3">
        <v>49</v>
      </c>
      <c r="C1031" s="1">
        <v>3</v>
      </c>
      <c r="D1031" s="1">
        <v>0</v>
      </c>
      <c r="E1031">
        <f t="shared" si="55"/>
        <v>147</v>
      </c>
    </row>
    <row r="1032" spans="1:5" x14ac:dyDescent="0.25">
      <c r="A1032" s="1" t="s">
        <v>448</v>
      </c>
      <c r="B1032" s="3">
        <v>8</v>
      </c>
      <c r="C1032" s="1">
        <v>3</v>
      </c>
      <c r="D1032" s="1">
        <v>0</v>
      </c>
      <c r="E1032">
        <f t="shared" si="55"/>
        <v>24</v>
      </c>
    </row>
    <row r="1033" spans="1:5" x14ac:dyDescent="0.25">
      <c r="A1033" s="1" t="s">
        <v>983</v>
      </c>
      <c r="B1033" s="3">
        <v>16</v>
      </c>
      <c r="C1033" s="1">
        <v>1</v>
      </c>
      <c r="D1033" s="1">
        <v>0</v>
      </c>
      <c r="E1033">
        <f t="shared" si="55"/>
        <v>16</v>
      </c>
    </row>
    <row r="1034" spans="1:5" x14ac:dyDescent="0.25">
      <c r="A1034" s="1" t="s">
        <v>983</v>
      </c>
      <c r="B1034" s="3">
        <v>16</v>
      </c>
      <c r="C1034" s="1">
        <v>1</v>
      </c>
      <c r="D1034" s="1">
        <v>1</v>
      </c>
      <c r="E1034">
        <f t="shared" si="55"/>
        <v>15</v>
      </c>
    </row>
    <row r="1035" spans="1:5" x14ac:dyDescent="0.25">
      <c r="A1035" s="1" t="s">
        <v>983</v>
      </c>
      <c r="B1035" s="3">
        <v>16</v>
      </c>
      <c r="C1035" s="1">
        <v>1</v>
      </c>
      <c r="D1035" s="1">
        <v>0</v>
      </c>
      <c r="E1035">
        <f t="shared" si="55"/>
        <v>16</v>
      </c>
    </row>
    <row r="1036" spans="1:5" x14ac:dyDescent="0.25">
      <c r="A1036" s="1" t="s">
        <v>355</v>
      </c>
      <c r="B1036" s="3">
        <v>16</v>
      </c>
      <c r="C1036" s="1">
        <v>1</v>
      </c>
      <c r="D1036" s="1">
        <v>0</v>
      </c>
      <c r="E1036">
        <f t="shared" si="55"/>
        <v>16</v>
      </c>
    </row>
    <row r="1037" spans="1:5" x14ac:dyDescent="0.25">
      <c r="A1037" s="1" t="s">
        <v>355</v>
      </c>
      <c r="B1037" s="3">
        <v>16</v>
      </c>
      <c r="C1037" s="1">
        <v>1</v>
      </c>
      <c r="D1037" s="1">
        <v>0</v>
      </c>
      <c r="E1037">
        <f t="shared" si="55"/>
        <v>16</v>
      </c>
    </row>
    <row r="1038" spans="1:5" x14ac:dyDescent="0.25">
      <c r="A1038" s="1" t="s">
        <v>984</v>
      </c>
      <c r="B1038" s="3">
        <v>146</v>
      </c>
      <c r="C1038" s="1">
        <v>1</v>
      </c>
      <c r="D1038" s="1">
        <v>36</v>
      </c>
      <c r="E1038">
        <f t="shared" si="55"/>
        <v>110</v>
      </c>
    </row>
    <row r="1039" spans="1:5" x14ac:dyDescent="0.25">
      <c r="A1039" s="1" t="s">
        <v>986</v>
      </c>
      <c r="B1039" s="3">
        <v>51</v>
      </c>
      <c r="C1039" s="1">
        <v>1</v>
      </c>
      <c r="D1039" s="1">
        <v>0</v>
      </c>
      <c r="E1039">
        <f t="shared" si="55"/>
        <v>51</v>
      </c>
    </row>
    <row r="1040" spans="1:5" x14ac:dyDescent="0.25">
      <c r="A1040" s="1" t="s">
        <v>78</v>
      </c>
      <c r="B1040" s="3">
        <v>179</v>
      </c>
      <c r="C1040" s="1">
        <v>1</v>
      </c>
      <c r="D1040" s="1">
        <v>8</v>
      </c>
      <c r="E1040">
        <f t="shared" si="55"/>
        <v>171</v>
      </c>
    </row>
    <row r="1041" spans="1:5" x14ac:dyDescent="0.25">
      <c r="A1041" s="1" t="s">
        <v>825</v>
      </c>
      <c r="B1041" s="3">
        <v>123</v>
      </c>
      <c r="C1041" s="1">
        <v>1</v>
      </c>
      <c r="D1041" s="1">
        <v>8</v>
      </c>
      <c r="E1041">
        <f t="shared" si="55"/>
        <v>115</v>
      </c>
    </row>
    <row r="1042" spans="1:5" x14ac:dyDescent="0.25">
      <c r="A1042" s="1" t="s">
        <v>825</v>
      </c>
      <c r="B1042" s="3">
        <v>123</v>
      </c>
      <c r="C1042" s="1">
        <v>1</v>
      </c>
      <c r="D1042" s="1">
        <v>8</v>
      </c>
      <c r="E1042">
        <f t="shared" si="55"/>
        <v>115</v>
      </c>
    </row>
    <row r="1043" spans="1:5" x14ac:dyDescent="0.25">
      <c r="A1043" s="1" t="s">
        <v>987</v>
      </c>
      <c r="B1043" s="3">
        <v>591</v>
      </c>
      <c r="C1043" s="1">
        <v>1</v>
      </c>
      <c r="D1043" s="1">
        <v>17</v>
      </c>
      <c r="E1043">
        <f t="shared" si="55"/>
        <v>574</v>
      </c>
    </row>
    <row r="1044" spans="1:5" x14ac:dyDescent="0.25">
      <c r="A1044" s="1" t="s">
        <v>988</v>
      </c>
      <c r="B1044" s="3">
        <v>375</v>
      </c>
      <c r="C1044" s="1">
        <v>1</v>
      </c>
      <c r="D1044" s="1">
        <v>18</v>
      </c>
      <c r="E1044">
        <f t="shared" si="55"/>
        <v>357</v>
      </c>
    </row>
    <row r="1045" spans="1:5" x14ac:dyDescent="0.25">
      <c r="A1045" s="1" t="s">
        <v>845</v>
      </c>
      <c r="B1045" s="3">
        <v>552</v>
      </c>
      <c r="C1045" s="1">
        <v>1</v>
      </c>
      <c r="D1045" s="1">
        <v>55</v>
      </c>
      <c r="E1045">
        <f t="shared" si="55"/>
        <v>497</v>
      </c>
    </row>
    <row r="1046" spans="1:5" x14ac:dyDescent="0.25">
      <c r="A1046" s="1" t="s">
        <v>990</v>
      </c>
      <c r="B1046" s="3">
        <v>399</v>
      </c>
      <c r="C1046" s="1">
        <v>1</v>
      </c>
      <c r="D1046" s="1">
        <v>19</v>
      </c>
      <c r="E1046">
        <f t="shared" si="55"/>
        <v>380</v>
      </c>
    </row>
    <row r="1047" spans="1:5" x14ac:dyDescent="0.25">
      <c r="A1047" s="1" t="s">
        <v>990</v>
      </c>
      <c r="B1047" s="3">
        <v>399</v>
      </c>
      <c r="C1047" s="1">
        <v>1</v>
      </c>
      <c r="D1047" s="1">
        <v>19</v>
      </c>
      <c r="E1047">
        <f t="shared" si="55"/>
        <v>380</v>
      </c>
    </row>
    <row r="1048" spans="1:5" x14ac:dyDescent="0.25">
      <c r="A1048" s="1" t="s">
        <v>991</v>
      </c>
      <c r="B1048" s="3">
        <v>25</v>
      </c>
      <c r="C1048" s="1">
        <v>1</v>
      </c>
      <c r="D1048" s="1">
        <v>0</v>
      </c>
      <c r="E1048">
        <f t="shared" si="55"/>
        <v>25</v>
      </c>
    </row>
    <row r="1049" spans="1:5" x14ac:dyDescent="0.25">
      <c r="A1049" s="1" t="s">
        <v>992</v>
      </c>
      <c r="B1049" s="3">
        <v>222</v>
      </c>
      <c r="C1049" s="1">
        <v>1</v>
      </c>
      <c r="D1049" s="1">
        <v>50</v>
      </c>
      <c r="E1049">
        <f t="shared" si="55"/>
        <v>172</v>
      </c>
    </row>
    <row r="1050" spans="1:5" x14ac:dyDescent="0.25">
      <c r="A1050" s="1" t="s">
        <v>994</v>
      </c>
      <c r="B1050" s="3">
        <v>43</v>
      </c>
      <c r="C1050" s="1">
        <v>2</v>
      </c>
      <c r="D1050" s="1">
        <v>8</v>
      </c>
      <c r="E1050">
        <f t="shared" si="55"/>
        <v>78</v>
      </c>
    </row>
    <row r="1051" spans="1:5" x14ac:dyDescent="0.25">
      <c r="A1051" s="1" t="s">
        <v>995</v>
      </c>
      <c r="B1051" s="3">
        <v>489</v>
      </c>
      <c r="C1051" s="1">
        <v>1</v>
      </c>
      <c r="D1051" s="1">
        <v>34</v>
      </c>
      <c r="E1051">
        <f t="shared" si="55"/>
        <v>455</v>
      </c>
    </row>
    <row r="1052" spans="1:5" x14ac:dyDescent="0.25">
      <c r="A1052" s="1" t="s">
        <v>997</v>
      </c>
      <c r="B1052" s="3">
        <v>142</v>
      </c>
      <c r="C1052" s="1">
        <v>1</v>
      </c>
      <c r="D1052" s="1">
        <v>14</v>
      </c>
      <c r="E1052">
        <f t="shared" si="55"/>
        <v>128</v>
      </c>
    </row>
    <row r="1053" spans="1:5" x14ac:dyDescent="0.25">
      <c r="A1053" s="1" t="s">
        <v>999</v>
      </c>
      <c r="B1053" s="3">
        <v>587</v>
      </c>
      <c r="C1053" s="1">
        <v>1</v>
      </c>
      <c r="D1053" s="1">
        <v>58</v>
      </c>
      <c r="E1053">
        <f t="shared" si="55"/>
        <v>529</v>
      </c>
    </row>
    <row r="1054" spans="1:5" x14ac:dyDescent="0.25">
      <c r="A1054" s="1" t="s">
        <v>831</v>
      </c>
      <c r="B1054" s="3">
        <v>11</v>
      </c>
      <c r="C1054" s="1">
        <v>1</v>
      </c>
      <c r="D1054" s="1">
        <v>1</v>
      </c>
      <c r="E1054">
        <f t="shared" si="55"/>
        <v>10</v>
      </c>
    </row>
    <row r="1055" spans="1:5" x14ac:dyDescent="0.25">
      <c r="A1055" s="1" t="s">
        <v>831</v>
      </c>
      <c r="B1055" s="3">
        <v>11</v>
      </c>
      <c r="C1055" s="1">
        <v>1</v>
      </c>
      <c r="D1055" s="1">
        <v>1</v>
      </c>
      <c r="E1055">
        <f t="shared" si="55"/>
        <v>10</v>
      </c>
    </row>
    <row r="1056" spans="1:5" x14ac:dyDescent="0.25">
      <c r="A1056" s="1" t="s">
        <v>1001</v>
      </c>
      <c r="B1056" s="3">
        <v>59</v>
      </c>
      <c r="C1056" s="1">
        <v>2</v>
      </c>
      <c r="D1056" s="1">
        <v>11</v>
      </c>
      <c r="E1056">
        <f t="shared" si="55"/>
        <v>107</v>
      </c>
    </row>
    <row r="1057" spans="1:5" x14ac:dyDescent="0.25">
      <c r="A1057" s="1" t="s">
        <v>1002</v>
      </c>
      <c r="B1057" s="3">
        <v>633</v>
      </c>
      <c r="C1057" s="1">
        <v>1</v>
      </c>
      <c r="D1057" s="1">
        <v>18</v>
      </c>
      <c r="E1057">
        <f t="shared" si="55"/>
        <v>615</v>
      </c>
    </row>
    <row r="1058" spans="1:5" x14ac:dyDescent="0.25">
      <c r="A1058" s="1" t="s">
        <v>1003</v>
      </c>
      <c r="B1058" s="3">
        <v>175.5</v>
      </c>
      <c r="C1058" s="1">
        <v>1</v>
      </c>
      <c r="D1058" s="1">
        <v>0</v>
      </c>
      <c r="E1058">
        <f t="shared" si="55"/>
        <v>175.5</v>
      </c>
    </row>
    <row r="1059" spans="1:5" x14ac:dyDescent="0.25">
      <c r="A1059" s="1" t="s">
        <v>1005</v>
      </c>
      <c r="B1059" s="3">
        <v>179</v>
      </c>
      <c r="C1059" s="1">
        <v>2</v>
      </c>
      <c r="D1059" s="1">
        <v>53</v>
      </c>
      <c r="E1059">
        <f t="shared" si="55"/>
        <v>305</v>
      </c>
    </row>
    <row r="1060" spans="1:5" x14ac:dyDescent="0.25">
      <c r="A1060" s="1" t="s">
        <v>375</v>
      </c>
      <c r="B1060" s="3">
        <v>4</v>
      </c>
      <c r="C1060" s="1">
        <v>4</v>
      </c>
      <c r="D1060" s="1">
        <v>13</v>
      </c>
      <c r="E1060">
        <f t="shared" si="55"/>
        <v>3</v>
      </c>
    </row>
    <row r="1061" spans="1:5" x14ac:dyDescent="0.25">
      <c r="A1061" s="1" t="s">
        <v>375</v>
      </c>
      <c r="B1061" s="3">
        <v>4</v>
      </c>
      <c r="C1061" s="1">
        <v>4</v>
      </c>
      <c r="D1061" s="1">
        <v>1</v>
      </c>
      <c r="E1061">
        <f t="shared" si="55"/>
        <v>15</v>
      </c>
    </row>
    <row r="1062" spans="1:5" x14ac:dyDescent="0.25">
      <c r="A1062" s="1" t="s">
        <v>375</v>
      </c>
      <c r="B1062" s="3">
        <v>4</v>
      </c>
      <c r="C1062" s="1">
        <v>4</v>
      </c>
      <c r="D1062" s="1">
        <v>1</v>
      </c>
      <c r="E1062">
        <f t="shared" si="55"/>
        <v>15</v>
      </c>
    </row>
    <row r="1063" spans="1:5" x14ac:dyDescent="0.25">
      <c r="A1063" s="1" t="s">
        <v>392</v>
      </c>
      <c r="B1063" s="3">
        <v>207</v>
      </c>
      <c r="C1063" s="1">
        <v>1</v>
      </c>
      <c r="D1063" s="1">
        <v>14</v>
      </c>
      <c r="E1063">
        <f t="shared" si="55"/>
        <v>193</v>
      </c>
    </row>
    <row r="1064" spans="1:5" x14ac:dyDescent="0.25">
      <c r="A1064" s="1" t="s">
        <v>1007</v>
      </c>
      <c r="B1064" s="3">
        <v>81</v>
      </c>
      <c r="C1064" s="1">
        <v>1</v>
      </c>
      <c r="D1064" s="1">
        <v>5</v>
      </c>
      <c r="E1064">
        <f t="shared" si="55"/>
        <v>76</v>
      </c>
    </row>
    <row r="1065" spans="1:5" x14ac:dyDescent="0.25">
      <c r="A1065" s="1" t="s">
        <v>514</v>
      </c>
      <c r="B1065" s="3">
        <v>139</v>
      </c>
      <c r="C1065" s="1">
        <v>1</v>
      </c>
      <c r="D1065" s="1">
        <v>0</v>
      </c>
      <c r="E1065">
        <f t="shared" si="55"/>
        <v>139</v>
      </c>
    </row>
    <row r="1066" spans="1:5" x14ac:dyDescent="0.25">
      <c r="A1066" s="1" t="s">
        <v>957</v>
      </c>
      <c r="B1066" s="3">
        <v>593</v>
      </c>
      <c r="C1066" s="1">
        <v>0.16</v>
      </c>
      <c r="D1066" s="1">
        <v>1.88</v>
      </c>
      <c r="E1066">
        <f t="shared" si="55"/>
        <v>93</v>
      </c>
    </row>
    <row r="1067" spans="1:5" x14ac:dyDescent="0.25">
      <c r="A1067" s="1" t="s">
        <v>1008</v>
      </c>
      <c r="B1067" s="3">
        <v>645</v>
      </c>
      <c r="C1067" s="1">
        <v>0.04</v>
      </c>
      <c r="D1067" s="1">
        <v>0</v>
      </c>
      <c r="E1067">
        <f t="shared" si="55"/>
        <v>25.8</v>
      </c>
    </row>
    <row r="1068" spans="1:5" x14ac:dyDescent="0.25">
      <c r="A1068" s="1" t="s">
        <v>1009</v>
      </c>
      <c r="B1068" s="3">
        <v>169</v>
      </c>
      <c r="C1068" s="1">
        <v>1</v>
      </c>
      <c r="D1068" s="1">
        <v>8</v>
      </c>
      <c r="E1068">
        <f t="shared" si="55"/>
        <v>161</v>
      </c>
    </row>
    <row r="1069" spans="1:5" x14ac:dyDescent="0.25">
      <c r="A1069" s="1" t="s">
        <v>1010</v>
      </c>
      <c r="B1069" s="3">
        <v>148</v>
      </c>
      <c r="C1069" s="1">
        <v>1</v>
      </c>
      <c r="D1069" s="1">
        <v>7</v>
      </c>
      <c r="E1069">
        <f t="shared" si="55"/>
        <v>141</v>
      </c>
    </row>
    <row r="1070" spans="1:5" x14ac:dyDescent="0.25">
      <c r="A1070" s="1" t="s">
        <v>1011</v>
      </c>
      <c r="B1070" s="3">
        <v>53</v>
      </c>
      <c r="C1070" s="1">
        <v>1</v>
      </c>
      <c r="D1070" s="1">
        <v>2</v>
      </c>
      <c r="E1070">
        <f t="shared" si="55"/>
        <v>51</v>
      </c>
    </row>
    <row r="1071" spans="1:5" x14ac:dyDescent="0.25">
      <c r="A1071" s="1" t="s">
        <v>1012</v>
      </c>
      <c r="B1071" s="3">
        <v>100</v>
      </c>
      <c r="C1071" s="1">
        <v>1</v>
      </c>
      <c r="D1071" s="1">
        <v>0</v>
      </c>
      <c r="E1071">
        <f t="shared" si="55"/>
        <v>100</v>
      </c>
    </row>
    <row r="1072" spans="1:5" x14ac:dyDescent="0.25">
      <c r="A1072" s="1" t="s">
        <v>1012</v>
      </c>
      <c r="B1072" s="3">
        <v>100</v>
      </c>
      <c r="C1072" s="1">
        <v>1</v>
      </c>
      <c r="D1072" s="1">
        <v>0</v>
      </c>
      <c r="E1072">
        <f t="shared" si="55"/>
        <v>100</v>
      </c>
    </row>
    <row r="1073" spans="1:5" x14ac:dyDescent="0.25">
      <c r="A1073" s="1" t="s">
        <v>1013</v>
      </c>
      <c r="B1073" s="3">
        <v>449</v>
      </c>
      <c r="C1073" s="1">
        <v>1</v>
      </c>
      <c r="D1073" s="1">
        <v>0</v>
      </c>
      <c r="E1073">
        <f t="shared" si="55"/>
        <v>449</v>
      </c>
    </row>
    <row r="1074" spans="1:5" x14ac:dyDescent="0.25">
      <c r="A1074" s="1" t="s">
        <v>1014</v>
      </c>
      <c r="B1074" s="3">
        <v>271</v>
      </c>
      <c r="C1074" s="1">
        <v>1</v>
      </c>
      <c r="D1074" s="1">
        <v>0</v>
      </c>
      <c r="E1074">
        <f t="shared" si="55"/>
        <v>271</v>
      </c>
    </row>
    <row r="1075" spans="1:5" x14ac:dyDescent="0.25">
      <c r="A1075" s="1" t="s">
        <v>1015</v>
      </c>
      <c r="B1075" s="3">
        <v>2456</v>
      </c>
      <c r="C1075" s="1">
        <v>1</v>
      </c>
      <c r="D1075" s="1">
        <v>0</v>
      </c>
      <c r="E1075">
        <f t="shared" si="55"/>
        <v>2456</v>
      </c>
    </row>
    <row r="1076" spans="1:5" x14ac:dyDescent="0.25">
      <c r="A1076" s="1" t="s">
        <v>1017</v>
      </c>
      <c r="B1076" s="3">
        <v>96</v>
      </c>
      <c r="C1076" s="1">
        <v>1</v>
      </c>
      <c r="D1076" s="1">
        <v>6</v>
      </c>
      <c r="E1076">
        <f t="shared" si="55"/>
        <v>90</v>
      </c>
    </row>
    <row r="1077" spans="1:5" x14ac:dyDescent="0.25">
      <c r="A1077" s="1" t="s">
        <v>1017</v>
      </c>
      <c r="B1077" s="3">
        <v>96</v>
      </c>
      <c r="C1077" s="1">
        <v>1</v>
      </c>
      <c r="D1077" s="1">
        <v>6</v>
      </c>
      <c r="E1077">
        <f t="shared" si="55"/>
        <v>90</v>
      </c>
    </row>
    <row r="1078" spans="1:5" x14ac:dyDescent="0.25">
      <c r="A1078" s="1" t="s">
        <v>104</v>
      </c>
      <c r="B1078" s="3">
        <v>195</v>
      </c>
      <c r="C1078" s="1">
        <v>1</v>
      </c>
      <c r="D1078" s="1">
        <v>13</v>
      </c>
      <c r="E1078">
        <f t="shared" si="55"/>
        <v>182</v>
      </c>
    </row>
    <row r="1079" spans="1:5" x14ac:dyDescent="0.25">
      <c r="A1079" s="1" t="s">
        <v>104</v>
      </c>
      <c r="B1079" s="3">
        <v>195</v>
      </c>
      <c r="C1079" s="1">
        <v>1</v>
      </c>
      <c r="D1079" s="1">
        <v>13</v>
      </c>
      <c r="E1079">
        <f t="shared" si="55"/>
        <v>182</v>
      </c>
    </row>
    <row r="1080" spans="1:5" x14ac:dyDescent="0.25">
      <c r="A1080" s="1" t="s">
        <v>1018</v>
      </c>
      <c r="B1080" s="3">
        <v>10375</v>
      </c>
      <c r="C1080" s="1">
        <v>0.33333332999999998</v>
      </c>
      <c r="D1080" s="1">
        <v>103.33</v>
      </c>
      <c r="E1080">
        <f t="shared" si="55"/>
        <v>3355.0032987499999</v>
      </c>
    </row>
    <row r="1081" spans="1:5" x14ac:dyDescent="0.25">
      <c r="A1081" s="1" t="s">
        <v>995</v>
      </c>
      <c r="B1081" s="3">
        <v>481</v>
      </c>
      <c r="C1081" s="1">
        <v>1</v>
      </c>
      <c r="D1081" s="1">
        <v>33</v>
      </c>
      <c r="E1081">
        <f t="shared" si="55"/>
        <v>448</v>
      </c>
    </row>
    <row r="1082" spans="1:5" x14ac:dyDescent="0.25">
      <c r="A1082" s="1" t="s">
        <v>1020</v>
      </c>
      <c r="B1082" s="3">
        <v>426</v>
      </c>
      <c r="C1082" s="1">
        <v>1</v>
      </c>
      <c r="D1082" s="1">
        <v>42</v>
      </c>
      <c r="E1082">
        <f t="shared" si="55"/>
        <v>384</v>
      </c>
    </row>
    <row r="1083" spans="1:5" x14ac:dyDescent="0.25">
      <c r="A1083" s="1" t="s">
        <v>1021</v>
      </c>
      <c r="B1083" s="3">
        <v>68</v>
      </c>
      <c r="C1083" s="1">
        <v>1</v>
      </c>
      <c r="D1083" s="1">
        <v>4</v>
      </c>
      <c r="E1083">
        <f t="shared" si="55"/>
        <v>64</v>
      </c>
    </row>
    <row r="1084" spans="1:5" x14ac:dyDescent="0.25">
      <c r="A1084" s="1" t="s">
        <v>591</v>
      </c>
      <c r="B1084" s="3">
        <v>17</v>
      </c>
      <c r="C1084" s="1">
        <v>1</v>
      </c>
      <c r="D1084" s="1">
        <v>1</v>
      </c>
      <c r="E1084">
        <f t="shared" si="55"/>
        <v>16</v>
      </c>
    </row>
    <row r="1085" spans="1:5" x14ac:dyDescent="0.25">
      <c r="A1085" s="1" t="s">
        <v>1022</v>
      </c>
      <c r="B1085" s="3">
        <v>142</v>
      </c>
      <c r="C1085" s="1">
        <v>1</v>
      </c>
      <c r="D1085" s="1">
        <v>9</v>
      </c>
      <c r="E1085">
        <f t="shared" si="55"/>
        <v>133</v>
      </c>
    </row>
    <row r="1086" spans="1:5" x14ac:dyDescent="0.25">
      <c r="A1086" s="1" t="s">
        <v>416</v>
      </c>
      <c r="B1086" s="3">
        <v>8</v>
      </c>
      <c r="C1086" s="1">
        <v>1</v>
      </c>
      <c r="D1086" s="1">
        <v>0</v>
      </c>
      <c r="E1086">
        <f t="shared" si="55"/>
        <v>8</v>
      </c>
    </row>
    <row r="1087" spans="1:5" x14ac:dyDescent="0.25">
      <c r="A1087" s="1" t="s">
        <v>416</v>
      </c>
      <c r="B1087" s="3">
        <v>8</v>
      </c>
      <c r="C1087" s="1">
        <v>1</v>
      </c>
      <c r="D1087" s="1">
        <v>0.34</v>
      </c>
      <c r="E1087">
        <f t="shared" si="55"/>
        <v>7.66</v>
      </c>
    </row>
    <row r="1088" spans="1:5" x14ac:dyDescent="0.25">
      <c r="A1088" s="1" t="s">
        <v>416</v>
      </c>
      <c r="B1088" s="3">
        <v>8</v>
      </c>
      <c r="C1088" s="1">
        <v>2</v>
      </c>
      <c r="D1088" s="1">
        <v>0.66</v>
      </c>
      <c r="E1088">
        <f t="shared" si="55"/>
        <v>15.34</v>
      </c>
    </row>
    <row r="1089" spans="1:5" x14ac:dyDescent="0.25">
      <c r="A1089" s="1" t="s">
        <v>214</v>
      </c>
      <c r="B1089" s="3">
        <v>50</v>
      </c>
      <c r="C1089" s="1">
        <v>1</v>
      </c>
      <c r="D1089" s="1">
        <v>2</v>
      </c>
      <c r="E1089">
        <f t="shared" si="55"/>
        <v>48</v>
      </c>
    </row>
    <row r="1090" spans="1:5" x14ac:dyDescent="0.25">
      <c r="A1090" s="1" t="s">
        <v>1023</v>
      </c>
      <c r="B1090" s="3">
        <v>189</v>
      </c>
      <c r="C1090" s="1">
        <v>1</v>
      </c>
      <c r="D1090" s="1">
        <v>13</v>
      </c>
      <c r="E1090">
        <f t="shared" si="55"/>
        <v>176</v>
      </c>
    </row>
    <row r="1091" spans="1:5" x14ac:dyDescent="0.25">
      <c r="A1091" s="1" t="s">
        <v>804</v>
      </c>
      <c r="B1091" s="3">
        <v>33</v>
      </c>
      <c r="C1091" s="1">
        <v>1</v>
      </c>
      <c r="D1091" s="1">
        <v>1</v>
      </c>
      <c r="E1091">
        <f t="shared" ref="E1091:E1154" si="56">C1091*B1091-D1091</f>
        <v>32</v>
      </c>
    </row>
    <row r="1092" spans="1:5" x14ac:dyDescent="0.25">
      <c r="A1092" s="1" t="s">
        <v>514</v>
      </c>
      <c r="B1092" s="3">
        <v>123</v>
      </c>
      <c r="C1092" s="1">
        <v>1</v>
      </c>
      <c r="D1092" s="1">
        <v>8</v>
      </c>
      <c r="E1092">
        <f t="shared" si="56"/>
        <v>115</v>
      </c>
    </row>
    <row r="1093" spans="1:5" x14ac:dyDescent="0.25">
      <c r="A1093" s="1" t="s">
        <v>1025</v>
      </c>
      <c r="B1093" s="3">
        <v>2123</v>
      </c>
      <c r="C1093" s="1">
        <v>1</v>
      </c>
      <c r="D1093" s="1">
        <v>148</v>
      </c>
      <c r="E1093">
        <f t="shared" si="56"/>
        <v>1975</v>
      </c>
    </row>
    <row r="1094" spans="1:5" x14ac:dyDescent="0.25">
      <c r="A1094" s="1" t="s">
        <v>1027</v>
      </c>
      <c r="B1094" s="3">
        <v>486</v>
      </c>
      <c r="C1094" s="1">
        <v>1</v>
      </c>
      <c r="D1094" s="1">
        <v>34</v>
      </c>
      <c r="E1094">
        <f t="shared" si="56"/>
        <v>452</v>
      </c>
    </row>
    <row r="1095" spans="1:5" x14ac:dyDescent="0.25">
      <c r="A1095" s="1" t="s">
        <v>624</v>
      </c>
      <c r="B1095" s="3">
        <v>36</v>
      </c>
      <c r="C1095" s="1">
        <v>1</v>
      </c>
      <c r="D1095" s="1">
        <v>2</v>
      </c>
      <c r="E1095">
        <f t="shared" si="56"/>
        <v>34</v>
      </c>
    </row>
    <row r="1096" spans="1:5" x14ac:dyDescent="0.25">
      <c r="A1096" s="1" t="s">
        <v>624</v>
      </c>
      <c r="B1096" s="3">
        <v>37</v>
      </c>
      <c r="C1096" s="1">
        <v>1</v>
      </c>
      <c r="D1096" s="1">
        <v>2</v>
      </c>
      <c r="E1096">
        <f t="shared" si="56"/>
        <v>35</v>
      </c>
    </row>
    <row r="1097" spans="1:5" x14ac:dyDescent="0.25">
      <c r="A1097" s="1" t="s">
        <v>247</v>
      </c>
      <c r="B1097" s="3">
        <v>25</v>
      </c>
      <c r="C1097" s="1">
        <v>1</v>
      </c>
      <c r="D1097" s="1">
        <v>1</v>
      </c>
      <c r="E1097">
        <f t="shared" si="56"/>
        <v>24</v>
      </c>
    </row>
    <row r="1098" spans="1:5" x14ac:dyDescent="0.25">
      <c r="A1098" s="1" t="s">
        <v>247</v>
      </c>
      <c r="B1098" s="3">
        <v>25</v>
      </c>
      <c r="C1098" s="1">
        <v>1</v>
      </c>
      <c r="D1098" s="1">
        <v>1</v>
      </c>
      <c r="E1098">
        <f t="shared" si="56"/>
        <v>24</v>
      </c>
    </row>
    <row r="1099" spans="1:5" x14ac:dyDescent="0.25">
      <c r="A1099" s="1" t="s">
        <v>331</v>
      </c>
      <c r="B1099" s="3">
        <v>26</v>
      </c>
      <c r="C1099" s="1">
        <v>1</v>
      </c>
      <c r="D1099" s="1">
        <v>1</v>
      </c>
      <c r="E1099">
        <f t="shared" si="56"/>
        <v>25</v>
      </c>
    </row>
    <row r="1100" spans="1:5" x14ac:dyDescent="0.25">
      <c r="A1100" s="1" t="s">
        <v>331</v>
      </c>
      <c r="B1100" s="3">
        <v>26</v>
      </c>
      <c r="C1100" s="1">
        <v>1</v>
      </c>
      <c r="D1100" s="1">
        <v>1</v>
      </c>
      <c r="E1100">
        <f t="shared" si="56"/>
        <v>25</v>
      </c>
    </row>
    <row r="1101" spans="1:5" x14ac:dyDescent="0.25">
      <c r="A1101" s="1" t="s">
        <v>331</v>
      </c>
      <c r="B1101" s="3">
        <v>26</v>
      </c>
      <c r="C1101" s="1">
        <v>1</v>
      </c>
      <c r="D1101" s="1">
        <v>1</v>
      </c>
      <c r="E1101">
        <f t="shared" si="56"/>
        <v>25</v>
      </c>
    </row>
    <row r="1102" spans="1:5" x14ac:dyDescent="0.25">
      <c r="A1102" s="1" t="s">
        <v>1029</v>
      </c>
      <c r="B1102" s="3">
        <v>245</v>
      </c>
      <c r="C1102" s="1">
        <v>1</v>
      </c>
      <c r="D1102" s="1">
        <v>0</v>
      </c>
      <c r="E1102">
        <f t="shared" si="56"/>
        <v>245</v>
      </c>
    </row>
    <row r="1103" spans="1:5" x14ac:dyDescent="0.25">
      <c r="A1103" s="1" t="s">
        <v>112</v>
      </c>
      <c r="B1103" s="3">
        <v>90</v>
      </c>
      <c r="C1103" s="1">
        <v>1</v>
      </c>
      <c r="D1103" s="1">
        <v>1.33</v>
      </c>
      <c r="E1103">
        <f t="shared" si="56"/>
        <v>88.67</v>
      </c>
    </row>
    <row r="1104" spans="1:5" x14ac:dyDescent="0.25">
      <c r="A1104" s="1" t="s">
        <v>1031</v>
      </c>
      <c r="B1104" s="3">
        <v>158</v>
      </c>
      <c r="C1104" s="1">
        <v>1</v>
      </c>
      <c r="D1104" s="1">
        <v>2.33</v>
      </c>
      <c r="E1104">
        <f t="shared" si="56"/>
        <v>155.66999999999999</v>
      </c>
    </row>
    <row r="1105" spans="1:5" x14ac:dyDescent="0.25">
      <c r="A1105" s="1" t="s">
        <v>1031</v>
      </c>
      <c r="B1105" s="3">
        <v>158</v>
      </c>
      <c r="C1105" s="1">
        <v>1</v>
      </c>
      <c r="D1105" s="1">
        <v>2.34</v>
      </c>
      <c r="E1105">
        <f t="shared" si="56"/>
        <v>155.66</v>
      </c>
    </row>
    <row r="1106" spans="1:5" x14ac:dyDescent="0.25">
      <c r="A1106" s="1" t="s">
        <v>222</v>
      </c>
      <c r="B1106" s="3">
        <v>14</v>
      </c>
      <c r="C1106" s="1">
        <v>1</v>
      </c>
      <c r="D1106" s="1">
        <v>0</v>
      </c>
      <c r="E1106">
        <f t="shared" si="56"/>
        <v>14</v>
      </c>
    </row>
    <row r="1107" spans="1:5" x14ac:dyDescent="0.25">
      <c r="A1107" s="1" t="s">
        <v>1032</v>
      </c>
      <c r="B1107" s="3">
        <v>354</v>
      </c>
      <c r="C1107" s="1">
        <v>1</v>
      </c>
      <c r="D1107" s="1">
        <v>24</v>
      </c>
      <c r="E1107">
        <f t="shared" si="56"/>
        <v>330</v>
      </c>
    </row>
    <row r="1108" spans="1:5" x14ac:dyDescent="0.25">
      <c r="A1108" s="1" t="s">
        <v>442</v>
      </c>
      <c r="B1108" s="3">
        <v>181</v>
      </c>
      <c r="C1108" s="1">
        <v>1</v>
      </c>
      <c r="D1108" s="1">
        <v>0</v>
      </c>
      <c r="E1108">
        <f t="shared" si="56"/>
        <v>181</v>
      </c>
    </row>
    <row r="1109" spans="1:5" x14ac:dyDescent="0.25">
      <c r="A1109" s="1" t="s">
        <v>1033</v>
      </c>
      <c r="B1109" s="3">
        <v>1141</v>
      </c>
      <c r="C1109" s="1">
        <v>1</v>
      </c>
      <c r="D1109" s="1">
        <v>0</v>
      </c>
      <c r="E1109">
        <f t="shared" si="56"/>
        <v>1141</v>
      </c>
    </row>
    <row r="1110" spans="1:5" x14ac:dyDescent="0.25">
      <c r="A1110" s="1" t="s">
        <v>232</v>
      </c>
      <c r="B1110" s="3">
        <v>145</v>
      </c>
      <c r="C1110" s="1">
        <v>1</v>
      </c>
      <c r="D1110" s="1">
        <v>10</v>
      </c>
      <c r="E1110">
        <f t="shared" si="56"/>
        <v>135</v>
      </c>
    </row>
    <row r="1111" spans="1:5" x14ac:dyDescent="0.25">
      <c r="A1111" s="1" t="s">
        <v>146</v>
      </c>
      <c r="B1111" s="3">
        <v>103</v>
      </c>
      <c r="C1111" s="1">
        <v>1</v>
      </c>
      <c r="D1111" s="1">
        <v>7</v>
      </c>
      <c r="E1111">
        <f t="shared" si="56"/>
        <v>96</v>
      </c>
    </row>
    <row r="1112" spans="1:5" x14ac:dyDescent="0.25">
      <c r="A1112" s="1" t="s">
        <v>140</v>
      </c>
      <c r="B1112" s="3">
        <v>0.01</v>
      </c>
      <c r="C1112" s="1">
        <v>1</v>
      </c>
      <c r="D1112" s="1">
        <v>0</v>
      </c>
      <c r="E1112">
        <f t="shared" si="56"/>
        <v>0.01</v>
      </c>
    </row>
    <row r="1113" spans="1:5" x14ac:dyDescent="0.25">
      <c r="A1113" s="1" t="s">
        <v>140</v>
      </c>
      <c r="B1113" s="3">
        <v>0.01</v>
      </c>
      <c r="C1113" s="1">
        <v>1</v>
      </c>
      <c r="D1113" s="1">
        <v>0</v>
      </c>
      <c r="E1113">
        <f t="shared" si="56"/>
        <v>0.01</v>
      </c>
    </row>
    <row r="1114" spans="1:5" x14ac:dyDescent="0.25">
      <c r="A1114" s="1" t="s">
        <v>568</v>
      </c>
      <c r="B1114" s="3">
        <v>530</v>
      </c>
      <c r="C1114" s="1">
        <v>1</v>
      </c>
      <c r="D1114" s="1">
        <v>0</v>
      </c>
      <c r="E1114">
        <f t="shared" si="56"/>
        <v>530</v>
      </c>
    </row>
    <row r="1115" spans="1:5" x14ac:dyDescent="0.25">
      <c r="A1115" s="1" t="s">
        <v>1034</v>
      </c>
      <c r="B1115" s="3">
        <v>4095</v>
      </c>
      <c r="C1115" s="1">
        <v>6.6666669999999997E-2</v>
      </c>
      <c r="D1115" s="1">
        <v>0</v>
      </c>
      <c r="E1115">
        <f t="shared" si="56"/>
        <v>273.00001364999997</v>
      </c>
    </row>
    <row r="1116" spans="1:5" x14ac:dyDescent="0.25">
      <c r="A1116" s="1" t="s">
        <v>259</v>
      </c>
      <c r="B1116" s="3">
        <v>58</v>
      </c>
      <c r="C1116" s="1">
        <v>1</v>
      </c>
      <c r="D1116" s="1">
        <v>2</v>
      </c>
      <c r="E1116">
        <f t="shared" si="56"/>
        <v>56</v>
      </c>
    </row>
    <row r="1117" spans="1:5" x14ac:dyDescent="0.25">
      <c r="A1117" s="1" t="s">
        <v>259</v>
      </c>
      <c r="B1117" s="3">
        <v>55</v>
      </c>
      <c r="C1117" s="1">
        <v>1</v>
      </c>
      <c r="D1117" s="1">
        <v>2</v>
      </c>
      <c r="E1117">
        <f t="shared" si="56"/>
        <v>53</v>
      </c>
    </row>
    <row r="1118" spans="1:5" x14ac:dyDescent="0.25">
      <c r="A1118" s="1" t="s">
        <v>251</v>
      </c>
      <c r="B1118" s="3">
        <v>53</v>
      </c>
      <c r="C1118" s="1">
        <v>1</v>
      </c>
      <c r="D1118" s="1">
        <v>2</v>
      </c>
      <c r="E1118">
        <f t="shared" si="56"/>
        <v>51</v>
      </c>
    </row>
    <row r="1119" spans="1:5" x14ac:dyDescent="0.25">
      <c r="A1119" s="1" t="s">
        <v>251</v>
      </c>
      <c r="B1119" s="3">
        <v>53</v>
      </c>
      <c r="C1119" s="1">
        <v>1</v>
      </c>
      <c r="D1119" s="1">
        <v>2</v>
      </c>
      <c r="E1119">
        <f t="shared" si="56"/>
        <v>51</v>
      </c>
    </row>
    <row r="1120" spans="1:5" x14ac:dyDescent="0.25">
      <c r="A1120" s="1" t="s">
        <v>251</v>
      </c>
      <c r="B1120" s="3">
        <v>53</v>
      </c>
      <c r="C1120" s="1">
        <v>1</v>
      </c>
      <c r="D1120" s="1">
        <v>2</v>
      </c>
      <c r="E1120">
        <f t="shared" si="56"/>
        <v>51</v>
      </c>
    </row>
    <row r="1121" spans="1:5" x14ac:dyDescent="0.25">
      <c r="A1121" s="1" t="s">
        <v>1035</v>
      </c>
      <c r="B1121" s="3">
        <v>51</v>
      </c>
      <c r="C1121" s="1">
        <v>1</v>
      </c>
      <c r="D1121" s="1">
        <v>2</v>
      </c>
      <c r="E1121">
        <f t="shared" si="56"/>
        <v>49</v>
      </c>
    </row>
    <row r="1122" spans="1:5" x14ac:dyDescent="0.25">
      <c r="A1122" s="1" t="s">
        <v>1037</v>
      </c>
      <c r="B1122" s="3">
        <v>142</v>
      </c>
      <c r="C1122" s="1">
        <v>1</v>
      </c>
      <c r="D1122" s="1">
        <v>7</v>
      </c>
      <c r="E1122">
        <f t="shared" si="56"/>
        <v>135</v>
      </c>
    </row>
    <row r="1123" spans="1:5" x14ac:dyDescent="0.25">
      <c r="A1123" s="1" t="s">
        <v>1038</v>
      </c>
      <c r="B1123" s="3">
        <v>1147</v>
      </c>
      <c r="C1123" s="1">
        <v>1</v>
      </c>
      <c r="D1123" s="1">
        <v>114</v>
      </c>
      <c r="E1123">
        <f t="shared" si="56"/>
        <v>1033</v>
      </c>
    </row>
    <row r="1124" spans="1:5" x14ac:dyDescent="0.25">
      <c r="A1124" s="1" t="s">
        <v>1039</v>
      </c>
      <c r="B1124" s="3">
        <v>524</v>
      </c>
      <c r="C1124" s="1">
        <v>1</v>
      </c>
      <c r="D1124" s="1">
        <v>0</v>
      </c>
      <c r="E1124">
        <f t="shared" si="56"/>
        <v>524</v>
      </c>
    </row>
    <row r="1125" spans="1:5" x14ac:dyDescent="0.25">
      <c r="A1125" s="1" t="s">
        <v>1041</v>
      </c>
      <c r="B1125" s="3">
        <v>150</v>
      </c>
      <c r="C1125" s="1">
        <v>1</v>
      </c>
      <c r="D1125" s="1">
        <v>0</v>
      </c>
      <c r="E1125">
        <f t="shared" si="56"/>
        <v>150</v>
      </c>
    </row>
    <row r="1126" spans="1:5" x14ac:dyDescent="0.25">
      <c r="A1126" s="1" t="s">
        <v>1042</v>
      </c>
      <c r="B1126" s="3">
        <v>632</v>
      </c>
      <c r="C1126" s="1">
        <v>1</v>
      </c>
      <c r="D1126" s="1">
        <v>0</v>
      </c>
      <c r="E1126">
        <f t="shared" si="56"/>
        <v>632</v>
      </c>
    </row>
    <row r="1127" spans="1:5" x14ac:dyDescent="0.25">
      <c r="A1127" s="1" t="s">
        <v>1043</v>
      </c>
      <c r="B1127" s="3">
        <v>9</v>
      </c>
      <c r="C1127" s="1">
        <v>10</v>
      </c>
      <c r="D1127" s="1">
        <v>0</v>
      </c>
      <c r="E1127">
        <f t="shared" si="56"/>
        <v>90</v>
      </c>
    </row>
    <row r="1128" spans="1:5" x14ac:dyDescent="0.25">
      <c r="A1128" s="1" t="s">
        <v>91</v>
      </c>
      <c r="B1128" s="3">
        <v>2</v>
      </c>
      <c r="C1128" s="1">
        <v>1</v>
      </c>
      <c r="D1128" s="1">
        <v>0</v>
      </c>
      <c r="E1128">
        <f t="shared" si="56"/>
        <v>2</v>
      </c>
    </row>
    <row r="1129" spans="1:5" x14ac:dyDescent="0.25">
      <c r="A1129" s="1" t="s">
        <v>91</v>
      </c>
      <c r="B1129" s="3">
        <v>2</v>
      </c>
      <c r="C1129" s="1">
        <v>1</v>
      </c>
      <c r="D1129" s="1">
        <v>0</v>
      </c>
      <c r="E1129">
        <f t="shared" si="56"/>
        <v>2</v>
      </c>
    </row>
    <row r="1130" spans="1:5" x14ac:dyDescent="0.25">
      <c r="A1130" s="1" t="s">
        <v>91</v>
      </c>
      <c r="B1130" s="3">
        <v>2</v>
      </c>
      <c r="C1130" s="1">
        <v>1</v>
      </c>
      <c r="D1130" s="1">
        <v>0</v>
      </c>
      <c r="E1130">
        <f t="shared" si="56"/>
        <v>2</v>
      </c>
    </row>
    <row r="1131" spans="1:5" x14ac:dyDescent="0.25">
      <c r="A1131" s="1" t="s">
        <v>1044</v>
      </c>
      <c r="B1131" s="3">
        <v>103</v>
      </c>
      <c r="C1131" s="1">
        <v>1</v>
      </c>
      <c r="D1131" s="1">
        <v>5</v>
      </c>
      <c r="E1131">
        <f t="shared" si="56"/>
        <v>98</v>
      </c>
    </row>
    <row r="1132" spans="1:5" x14ac:dyDescent="0.25">
      <c r="A1132" s="1" t="s">
        <v>941</v>
      </c>
      <c r="B1132" s="3">
        <v>97</v>
      </c>
      <c r="C1132" s="1">
        <v>1</v>
      </c>
      <c r="D1132" s="1">
        <v>4</v>
      </c>
      <c r="E1132">
        <f t="shared" si="56"/>
        <v>93</v>
      </c>
    </row>
    <row r="1133" spans="1:5" x14ac:dyDescent="0.25">
      <c r="A1133" s="1" t="s">
        <v>1045</v>
      </c>
      <c r="B1133" s="3">
        <v>23</v>
      </c>
      <c r="C1133" s="1">
        <v>1</v>
      </c>
      <c r="D1133" s="1">
        <v>1</v>
      </c>
      <c r="E1133">
        <f t="shared" si="56"/>
        <v>22</v>
      </c>
    </row>
    <row r="1134" spans="1:5" x14ac:dyDescent="0.25">
      <c r="A1134" s="1" t="s">
        <v>1046</v>
      </c>
      <c r="B1134" s="3">
        <v>200</v>
      </c>
      <c r="C1134" s="1">
        <v>1</v>
      </c>
      <c r="D1134" s="1">
        <v>10</v>
      </c>
      <c r="E1134">
        <f t="shared" si="56"/>
        <v>190</v>
      </c>
    </row>
    <row r="1135" spans="1:5" x14ac:dyDescent="0.25">
      <c r="A1135" s="1" t="s">
        <v>1047</v>
      </c>
      <c r="B1135" s="3">
        <v>439</v>
      </c>
      <c r="C1135" s="1">
        <v>1</v>
      </c>
      <c r="D1135" s="1">
        <v>30</v>
      </c>
      <c r="E1135">
        <f t="shared" si="56"/>
        <v>409</v>
      </c>
    </row>
    <row r="1136" spans="1:5" x14ac:dyDescent="0.25">
      <c r="A1136" s="1" t="s">
        <v>1048</v>
      </c>
      <c r="B1136" s="3">
        <v>404</v>
      </c>
      <c r="C1136" s="1">
        <v>1</v>
      </c>
      <c r="D1136" s="1">
        <v>0</v>
      </c>
      <c r="E1136">
        <f t="shared" si="56"/>
        <v>404</v>
      </c>
    </row>
    <row r="1137" spans="1:5" x14ac:dyDescent="0.25">
      <c r="A1137" s="1" t="s">
        <v>228</v>
      </c>
      <c r="B1137" s="3">
        <v>380</v>
      </c>
      <c r="C1137" s="1">
        <v>1</v>
      </c>
      <c r="D1137" s="1">
        <v>38</v>
      </c>
      <c r="E1137">
        <f t="shared" si="56"/>
        <v>342</v>
      </c>
    </row>
    <row r="1138" spans="1:5" x14ac:dyDescent="0.25">
      <c r="A1138" s="1" t="s">
        <v>1049</v>
      </c>
      <c r="B1138" s="3">
        <v>214</v>
      </c>
      <c r="C1138" s="1">
        <v>1</v>
      </c>
      <c r="D1138" s="1">
        <v>0</v>
      </c>
      <c r="E1138">
        <f t="shared" si="56"/>
        <v>214</v>
      </c>
    </row>
    <row r="1139" spans="1:5" x14ac:dyDescent="0.25">
      <c r="A1139" s="1" t="s">
        <v>1050</v>
      </c>
      <c r="B1139" s="3">
        <v>18</v>
      </c>
      <c r="C1139" s="1">
        <v>1</v>
      </c>
      <c r="D1139" s="1">
        <v>0</v>
      </c>
      <c r="E1139">
        <f t="shared" si="56"/>
        <v>18</v>
      </c>
    </row>
    <row r="1140" spans="1:5" x14ac:dyDescent="0.25">
      <c r="A1140" s="1" t="s">
        <v>226</v>
      </c>
      <c r="B1140" s="3">
        <v>69</v>
      </c>
      <c r="C1140" s="1">
        <v>1</v>
      </c>
      <c r="D1140" s="1">
        <v>0</v>
      </c>
      <c r="E1140">
        <f t="shared" si="56"/>
        <v>69</v>
      </c>
    </row>
    <row r="1141" spans="1:5" x14ac:dyDescent="0.25">
      <c r="A1141" s="1" t="s">
        <v>1051</v>
      </c>
      <c r="B1141" s="3">
        <v>500</v>
      </c>
      <c r="C1141" s="1">
        <v>1</v>
      </c>
      <c r="D1141" s="1">
        <v>0</v>
      </c>
      <c r="E1141">
        <f t="shared" si="56"/>
        <v>500</v>
      </c>
    </row>
    <row r="1142" spans="1:5" x14ac:dyDescent="0.25">
      <c r="A1142" s="1" t="s">
        <v>177</v>
      </c>
      <c r="B1142" s="3">
        <v>144</v>
      </c>
      <c r="C1142" s="1">
        <v>1</v>
      </c>
      <c r="D1142" s="1">
        <v>7</v>
      </c>
      <c r="E1142">
        <f t="shared" si="56"/>
        <v>137</v>
      </c>
    </row>
    <row r="1143" spans="1:5" x14ac:dyDescent="0.25">
      <c r="A1143" s="1" t="s">
        <v>210</v>
      </c>
      <c r="B1143" s="3">
        <v>100</v>
      </c>
      <c r="C1143" s="1">
        <v>1</v>
      </c>
      <c r="D1143" s="1">
        <v>5</v>
      </c>
      <c r="E1143">
        <f t="shared" si="56"/>
        <v>95</v>
      </c>
    </row>
    <row r="1144" spans="1:5" x14ac:dyDescent="0.25">
      <c r="A1144" s="1" t="s">
        <v>1052</v>
      </c>
      <c r="B1144" s="3">
        <v>1047</v>
      </c>
      <c r="C1144" s="1">
        <v>1</v>
      </c>
      <c r="D1144" s="1">
        <v>14.09</v>
      </c>
      <c r="E1144">
        <f t="shared" si="56"/>
        <v>1032.9100000000001</v>
      </c>
    </row>
    <row r="1145" spans="1:5" x14ac:dyDescent="0.25">
      <c r="A1145" s="1" t="s">
        <v>226</v>
      </c>
      <c r="B1145" s="3">
        <v>68</v>
      </c>
      <c r="C1145" s="1">
        <v>1</v>
      </c>
      <c r="D1145" s="1">
        <v>0.91</v>
      </c>
      <c r="E1145">
        <f t="shared" si="56"/>
        <v>67.09</v>
      </c>
    </row>
    <row r="1146" spans="1:5" x14ac:dyDescent="0.25">
      <c r="A1146" s="1" t="s">
        <v>1053</v>
      </c>
      <c r="B1146" s="3">
        <v>319</v>
      </c>
      <c r="C1146" s="1">
        <v>1</v>
      </c>
      <c r="D1146" s="1">
        <v>15</v>
      </c>
      <c r="E1146">
        <f t="shared" si="56"/>
        <v>304</v>
      </c>
    </row>
    <row r="1147" spans="1:5" x14ac:dyDescent="0.25">
      <c r="A1147" s="1" t="s">
        <v>33</v>
      </c>
      <c r="B1147" s="3">
        <v>450</v>
      </c>
      <c r="C1147" s="1">
        <v>1</v>
      </c>
      <c r="D1147" s="1">
        <v>22</v>
      </c>
      <c r="E1147">
        <f t="shared" si="56"/>
        <v>428</v>
      </c>
    </row>
    <row r="1148" spans="1:5" x14ac:dyDescent="0.25">
      <c r="A1148" s="1" t="s">
        <v>1054</v>
      </c>
      <c r="B1148" s="3">
        <v>432</v>
      </c>
      <c r="C1148" s="1">
        <v>1</v>
      </c>
      <c r="D1148" s="1">
        <v>21</v>
      </c>
      <c r="E1148">
        <f t="shared" si="56"/>
        <v>411</v>
      </c>
    </row>
    <row r="1149" spans="1:5" x14ac:dyDescent="0.25">
      <c r="A1149" s="1" t="s">
        <v>286</v>
      </c>
      <c r="B1149" s="3">
        <v>70</v>
      </c>
      <c r="C1149" s="1">
        <v>1</v>
      </c>
      <c r="D1149" s="1">
        <v>3</v>
      </c>
      <c r="E1149">
        <f t="shared" si="56"/>
        <v>67</v>
      </c>
    </row>
    <row r="1150" spans="1:5" x14ac:dyDescent="0.25">
      <c r="A1150" s="1" t="s">
        <v>472</v>
      </c>
      <c r="B1150" s="3">
        <v>143</v>
      </c>
      <c r="C1150" s="1">
        <v>1</v>
      </c>
      <c r="D1150" s="1">
        <v>7</v>
      </c>
      <c r="E1150">
        <f t="shared" si="56"/>
        <v>136</v>
      </c>
    </row>
    <row r="1151" spans="1:5" x14ac:dyDescent="0.25">
      <c r="A1151" s="1" t="s">
        <v>76</v>
      </c>
      <c r="B1151" s="3">
        <v>73</v>
      </c>
      <c r="C1151" s="1">
        <v>1</v>
      </c>
      <c r="D1151" s="1">
        <v>7</v>
      </c>
      <c r="E1151">
        <f t="shared" si="56"/>
        <v>66</v>
      </c>
    </row>
    <row r="1152" spans="1:5" x14ac:dyDescent="0.25">
      <c r="A1152" s="1" t="s">
        <v>1055</v>
      </c>
      <c r="B1152" s="3">
        <v>278</v>
      </c>
      <c r="C1152" s="1">
        <v>1</v>
      </c>
      <c r="D1152" s="1">
        <v>27</v>
      </c>
      <c r="E1152">
        <f t="shared" si="56"/>
        <v>251</v>
      </c>
    </row>
    <row r="1153" spans="1:5" x14ac:dyDescent="0.25">
      <c r="A1153" s="1" t="s">
        <v>1057</v>
      </c>
      <c r="B1153" s="3">
        <v>766</v>
      </c>
      <c r="C1153" s="1">
        <v>1</v>
      </c>
      <c r="D1153" s="1">
        <v>53</v>
      </c>
      <c r="E1153">
        <f t="shared" si="56"/>
        <v>713</v>
      </c>
    </row>
    <row r="1154" spans="1:5" x14ac:dyDescent="0.25">
      <c r="A1154" s="1" t="s">
        <v>1058</v>
      </c>
      <c r="B1154" s="3">
        <v>869</v>
      </c>
      <c r="C1154" s="1">
        <v>1</v>
      </c>
      <c r="D1154" s="1">
        <v>26</v>
      </c>
      <c r="E1154">
        <f t="shared" si="56"/>
        <v>843</v>
      </c>
    </row>
    <row r="1155" spans="1:5" x14ac:dyDescent="0.25">
      <c r="A1155" s="1" t="s">
        <v>1059</v>
      </c>
      <c r="B1155" s="3">
        <v>394</v>
      </c>
      <c r="C1155" s="1">
        <v>1</v>
      </c>
      <c r="D1155" s="1">
        <v>39</v>
      </c>
      <c r="E1155">
        <f t="shared" ref="E1155:E1218" si="57">C1155*B1155-D1155</f>
        <v>355</v>
      </c>
    </row>
    <row r="1156" spans="1:5" x14ac:dyDescent="0.25">
      <c r="A1156" s="1" t="s">
        <v>466</v>
      </c>
      <c r="B1156" s="3">
        <v>30</v>
      </c>
      <c r="C1156" s="1">
        <v>3</v>
      </c>
      <c r="D1156" s="1">
        <v>9</v>
      </c>
      <c r="E1156">
        <f t="shared" si="57"/>
        <v>81</v>
      </c>
    </row>
    <row r="1157" spans="1:5" x14ac:dyDescent="0.25">
      <c r="A1157" s="1" t="s">
        <v>466</v>
      </c>
      <c r="B1157" s="3">
        <v>30</v>
      </c>
      <c r="C1157" s="1">
        <v>3</v>
      </c>
      <c r="D1157" s="1">
        <v>9</v>
      </c>
      <c r="E1157">
        <f t="shared" si="57"/>
        <v>81</v>
      </c>
    </row>
    <row r="1158" spans="1:5" x14ac:dyDescent="0.25">
      <c r="A1158" s="1" t="s">
        <v>163</v>
      </c>
      <c r="B1158" s="3">
        <v>17</v>
      </c>
      <c r="C1158" s="1">
        <v>2</v>
      </c>
      <c r="D1158" s="1">
        <v>3.34</v>
      </c>
      <c r="E1158">
        <f t="shared" si="57"/>
        <v>30.66</v>
      </c>
    </row>
    <row r="1159" spans="1:5" x14ac:dyDescent="0.25">
      <c r="A1159" s="1" t="s">
        <v>163</v>
      </c>
      <c r="B1159" s="3">
        <v>17</v>
      </c>
      <c r="C1159" s="1">
        <v>1</v>
      </c>
      <c r="D1159" s="1">
        <v>1.66</v>
      </c>
      <c r="E1159">
        <f t="shared" si="57"/>
        <v>15.34</v>
      </c>
    </row>
    <row r="1160" spans="1:5" x14ac:dyDescent="0.25">
      <c r="A1160" s="1" t="s">
        <v>764</v>
      </c>
      <c r="B1160" s="3">
        <v>33</v>
      </c>
      <c r="C1160" s="1">
        <v>1</v>
      </c>
      <c r="D1160" s="1">
        <v>3</v>
      </c>
      <c r="E1160">
        <f t="shared" si="57"/>
        <v>30</v>
      </c>
    </row>
    <row r="1161" spans="1:5" x14ac:dyDescent="0.25">
      <c r="A1161" s="1" t="s">
        <v>1060</v>
      </c>
      <c r="B1161" s="3">
        <v>126</v>
      </c>
      <c r="C1161" s="1">
        <v>1</v>
      </c>
      <c r="D1161" s="1">
        <v>12</v>
      </c>
      <c r="E1161">
        <f t="shared" si="57"/>
        <v>114</v>
      </c>
    </row>
    <row r="1162" spans="1:5" x14ac:dyDescent="0.25">
      <c r="A1162" s="1" t="s">
        <v>125</v>
      </c>
      <c r="B1162" s="3">
        <v>739</v>
      </c>
      <c r="C1162" s="1">
        <v>1</v>
      </c>
      <c r="D1162" s="1">
        <v>0</v>
      </c>
      <c r="E1162">
        <f t="shared" si="57"/>
        <v>739</v>
      </c>
    </row>
    <row r="1163" spans="1:5" x14ac:dyDescent="0.25">
      <c r="A1163" s="1" t="s">
        <v>195</v>
      </c>
      <c r="B1163" s="3">
        <v>481</v>
      </c>
      <c r="C1163" s="1">
        <v>1</v>
      </c>
      <c r="D1163" s="1">
        <v>33</v>
      </c>
      <c r="E1163">
        <f t="shared" si="57"/>
        <v>448</v>
      </c>
    </row>
    <row r="1164" spans="1:5" x14ac:dyDescent="0.25">
      <c r="A1164" s="1" t="s">
        <v>639</v>
      </c>
      <c r="B1164" s="3">
        <v>385</v>
      </c>
      <c r="C1164" s="1">
        <v>1</v>
      </c>
      <c r="D1164" s="1">
        <v>38</v>
      </c>
      <c r="E1164">
        <f t="shared" si="57"/>
        <v>347</v>
      </c>
    </row>
    <row r="1165" spans="1:5" x14ac:dyDescent="0.25">
      <c r="A1165" s="1" t="s">
        <v>1063</v>
      </c>
      <c r="B1165" s="3">
        <v>266</v>
      </c>
      <c r="C1165" s="1">
        <v>1</v>
      </c>
      <c r="D1165" s="1">
        <v>0</v>
      </c>
      <c r="E1165">
        <f t="shared" si="57"/>
        <v>266</v>
      </c>
    </row>
    <row r="1166" spans="1:5" x14ac:dyDescent="0.25">
      <c r="A1166" s="1" t="s">
        <v>759</v>
      </c>
      <c r="B1166" s="3">
        <v>3001</v>
      </c>
      <c r="C1166" s="1">
        <v>1</v>
      </c>
      <c r="D1166" s="1">
        <v>300</v>
      </c>
      <c r="E1166">
        <f t="shared" si="57"/>
        <v>2701</v>
      </c>
    </row>
    <row r="1167" spans="1:5" x14ac:dyDescent="0.25">
      <c r="A1167" s="1" t="s">
        <v>1064</v>
      </c>
      <c r="B1167" s="3">
        <v>403</v>
      </c>
      <c r="C1167" s="1">
        <v>1</v>
      </c>
      <c r="D1167" s="1">
        <v>0</v>
      </c>
      <c r="E1167">
        <f t="shared" si="57"/>
        <v>403</v>
      </c>
    </row>
    <row r="1168" spans="1:5" x14ac:dyDescent="0.25">
      <c r="A1168" s="1" t="s">
        <v>986</v>
      </c>
      <c r="B1168" s="3">
        <v>51</v>
      </c>
      <c r="C1168" s="1">
        <v>1</v>
      </c>
      <c r="D1168" s="1">
        <v>0</v>
      </c>
      <c r="E1168">
        <f t="shared" si="57"/>
        <v>51</v>
      </c>
    </row>
    <row r="1169" spans="1:5" x14ac:dyDescent="0.25">
      <c r="A1169" s="1" t="s">
        <v>1066</v>
      </c>
      <c r="B1169" s="3">
        <v>1121</v>
      </c>
      <c r="C1169" s="1">
        <v>0.05</v>
      </c>
      <c r="D1169" s="1">
        <v>0</v>
      </c>
      <c r="E1169">
        <f t="shared" si="57"/>
        <v>56.050000000000004</v>
      </c>
    </row>
    <row r="1170" spans="1:5" x14ac:dyDescent="0.25">
      <c r="A1170" s="1" t="s">
        <v>1067</v>
      </c>
      <c r="B1170" s="3">
        <v>87</v>
      </c>
      <c r="C1170" s="1">
        <v>1</v>
      </c>
      <c r="D1170" s="1">
        <v>0</v>
      </c>
      <c r="E1170">
        <f t="shared" si="57"/>
        <v>87</v>
      </c>
    </row>
    <row r="1171" spans="1:5" x14ac:dyDescent="0.25">
      <c r="A1171" s="1" t="s">
        <v>1068</v>
      </c>
      <c r="B1171" s="3">
        <v>162</v>
      </c>
      <c r="C1171" s="1">
        <v>1</v>
      </c>
      <c r="D1171" s="1">
        <v>0</v>
      </c>
      <c r="E1171">
        <f t="shared" si="57"/>
        <v>162</v>
      </c>
    </row>
    <row r="1172" spans="1:5" x14ac:dyDescent="0.25">
      <c r="A1172" s="1" t="s">
        <v>1069</v>
      </c>
      <c r="B1172" s="3">
        <v>26</v>
      </c>
      <c r="C1172" s="1">
        <v>1</v>
      </c>
      <c r="D1172" s="1">
        <v>0</v>
      </c>
      <c r="E1172">
        <f t="shared" si="57"/>
        <v>26</v>
      </c>
    </row>
    <row r="1173" spans="1:5" x14ac:dyDescent="0.25">
      <c r="A1173" s="1" t="s">
        <v>1069</v>
      </c>
      <c r="B1173" s="3">
        <v>26</v>
      </c>
      <c r="C1173" s="1">
        <v>1</v>
      </c>
      <c r="D1173" s="1">
        <v>0</v>
      </c>
      <c r="E1173">
        <f t="shared" si="57"/>
        <v>26</v>
      </c>
    </row>
    <row r="1174" spans="1:5" x14ac:dyDescent="0.25">
      <c r="A1174" s="1" t="s">
        <v>1069</v>
      </c>
      <c r="B1174" s="3">
        <v>26</v>
      </c>
      <c r="C1174" s="1">
        <v>1</v>
      </c>
      <c r="D1174" s="1">
        <v>0</v>
      </c>
      <c r="E1174">
        <f t="shared" si="57"/>
        <v>26</v>
      </c>
    </row>
    <row r="1175" spans="1:5" x14ac:dyDescent="0.25">
      <c r="A1175" s="1" t="s">
        <v>664</v>
      </c>
      <c r="B1175" s="3">
        <v>47</v>
      </c>
      <c r="C1175" s="1">
        <v>3</v>
      </c>
      <c r="D1175" s="1">
        <v>0</v>
      </c>
      <c r="E1175">
        <f t="shared" si="57"/>
        <v>141</v>
      </c>
    </row>
    <row r="1176" spans="1:5" x14ac:dyDescent="0.25">
      <c r="A1176" s="1" t="s">
        <v>1070</v>
      </c>
      <c r="B1176" s="3">
        <v>152.96</v>
      </c>
      <c r="C1176" s="1">
        <v>1</v>
      </c>
      <c r="D1176" s="1">
        <v>0</v>
      </c>
      <c r="E1176">
        <f t="shared" si="57"/>
        <v>152.96</v>
      </c>
    </row>
    <row r="1177" spans="1:5" x14ac:dyDescent="0.25">
      <c r="A1177" s="1" t="s">
        <v>1071</v>
      </c>
      <c r="B1177" s="3">
        <v>98.41</v>
      </c>
      <c r="C1177" s="1">
        <v>1</v>
      </c>
      <c r="D1177" s="1">
        <v>0</v>
      </c>
      <c r="E1177">
        <f t="shared" si="57"/>
        <v>98.41</v>
      </c>
    </row>
    <row r="1178" spans="1:5" x14ac:dyDescent="0.25">
      <c r="A1178" s="1" t="s">
        <v>1071</v>
      </c>
      <c r="B1178" s="3">
        <v>98.41</v>
      </c>
      <c r="C1178" s="1">
        <v>1</v>
      </c>
      <c r="D1178" s="1">
        <v>0</v>
      </c>
      <c r="E1178">
        <f t="shared" si="57"/>
        <v>98.41</v>
      </c>
    </row>
    <row r="1179" spans="1:5" x14ac:dyDescent="0.25">
      <c r="A1179" s="1" t="s">
        <v>1071</v>
      </c>
      <c r="B1179" s="3">
        <v>98.41</v>
      </c>
      <c r="C1179" s="1">
        <v>1</v>
      </c>
      <c r="D1179" s="1">
        <v>0</v>
      </c>
      <c r="E1179">
        <f t="shared" si="57"/>
        <v>98.41</v>
      </c>
    </row>
    <row r="1180" spans="1:5" x14ac:dyDescent="0.25">
      <c r="A1180" s="1" t="s">
        <v>878</v>
      </c>
      <c r="B1180" s="3">
        <v>383</v>
      </c>
      <c r="C1180" s="1">
        <v>1</v>
      </c>
      <c r="D1180" s="1">
        <v>0</v>
      </c>
      <c r="E1180">
        <f t="shared" si="57"/>
        <v>383</v>
      </c>
    </row>
    <row r="1181" spans="1:5" x14ac:dyDescent="0.25">
      <c r="A1181" s="1" t="s">
        <v>492</v>
      </c>
      <c r="B1181" s="3">
        <v>97</v>
      </c>
      <c r="C1181" s="1">
        <v>1</v>
      </c>
      <c r="D1181" s="1">
        <v>0</v>
      </c>
      <c r="E1181">
        <f t="shared" si="57"/>
        <v>97</v>
      </c>
    </row>
    <row r="1182" spans="1:5" x14ac:dyDescent="0.25">
      <c r="A1182" s="1" t="s">
        <v>704</v>
      </c>
      <c r="B1182" s="3">
        <v>43</v>
      </c>
      <c r="C1182" s="1">
        <v>2</v>
      </c>
      <c r="D1182" s="1">
        <v>0</v>
      </c>
      <c r="E1182">
        <f t="shared" si="57"/>
        <v>86</v>
      </c>
    </row>
    <row r="1183" spans="1:5" x14ac:dyDescent="0.25">
      <c r="A1183" s="1" t="s">
        <v>624</v>
      </c>
      <c r="B1183" s="3">
        <v>37</v>
      </c>
      <c r="C1183" s="1">
        <v>1</v>
      </c>
      <c r="D1183" s="1">
        <v>0</v>
      </c>
      <c r="E1183">
        <f t="shared" si="57"/>
        <v>37</v>
      </c>
    </row>
    <row r="1184" spans="1:5" x14ac:dyDescent="0.25">
      <c r="A1184" s="1" t="s">
        <v>624</v>
      </c>
      <c r="B1184" s="3">
        <v>37</v>
      </c>
      <c r="C1184" s="1">
        <v>1</v>
      </c>
      <c r="D1184" s="1">
        <v>0</v>
      </c>
      <c r="E1184">
        <f t="shared" si="57"/>
        <v>37</v>
      </c>
    </row>
    <row r="1185" spans="1:5" x14ac:dyDescent="0.25">
      <c r="A1185" s="1" t="s">
        <v>624</v>
      </c>
      <c r="B1185" s="3">
        <v>37</v>
      </c>
      <c r="C1185" s="1">
        <v>1</v>
      </c>
      <c r="D1185" s="1">
        <v>0</v>
      </c>
      <c r="E1185">
        <f t="shared" si="57"/>
        <v>37</v>
      </c>
    </row>
    <row r="1186" spans="1:5" x14ac:dyDescent="0.25">
      <c r="A1186" s="1" t="s">
        <v>247</v>
      </c>
      <c r="B1186" s="3">
        <v>25</v>
      </c>
      <c r="C1186" s="1">
        <v>1</v>
      </c>
      <c r="D1186" s="1">
        <v>0</v>
      </c>
      <c r="E1186">
        <f t="shared" si="57"/>
        <v>25</v>
      </c>
    </row>
    <row r="1187" spans="1:5" x14ac:dyDescent="0.25">
      <c r="A1187" s="1" t="s">
        <v>247</v>
      </c>
      <c r="B1187" s="3">
        <v>25</v>
      </c>
      <c r="C1187" s="1">
        <v>1</v>
      </c>
      <c r="D1187" s="1">
        <v>0</v>
      </c>
      <c r="E1187">
        <f t="shared" si="57"/>
        <v>25</v>
      </c>
    </row>
    <row r="1188" spans="1:5" x14ac:dyDescent="0.25">
      <c r="A1188" s="1" t="s">
        <v>986</v>
      </c>
      <c r="B1188" s="3">
        <v>51</v>
      </c>
      <c r="C1188" s="1">
        <v>1</v>
      </c>
      <c r="D1188" s="1">
        <v>0</v>
      </c>
      <c r="E1188">
        <f t="shared" si="57"/>
        <v>51</v>
      </c>
    </row>
    <row r="1189" spans="1:5" x14ac:dyDescent="0.25">
      <c r="A1189" s="1" t="s">
        <v>711</v>
      </c>
      <c r="B1189" s="3">
        <v>1089</v>
      </c>
      <c r="C1189" s="1">
        <v>0.05</v>
      </c>
      <c r="D1189" s="1">
        <v>0</v>
      </c>
      <c r="E1189">
        <f t="shared" si="57"/>
        <v>54.45</v>
      </c>
    </row>
    <row r="1190" spans="1:5" x14ac:dyDescent="0.25">
      <c r="A1190" s="1" t="s">
        <v>91</v>
      </c>
      <c r="B1190" s="3">
        <v>2</v>
      </c>
      <c r="C1190" s="1">
        <v>1</v>
      </c>
      <c r="D1190" s="1">
        <v>0</v>
      </c>
      <c r="E1190">
        <f t="shared" si="57"/>
        <v>2</v>
      </c>
    </row>
    <row r="1191" spans="1:5" x14ac:dyDescent="0.25">
      <c r="A1191" s="1" t="s">
        <v>91</v>
      </c>
      <c r="B1191" s="3">
        <v>2</v>
      </c>
      <c r="C1191" s="1">
        <v>1</v>
      </c>
      <c r="D1191" s="1">
        <v>0</v>
      </c>
      <c r="E1191">
        <f t="shared" si="57"/>
        <v>2</v>
      </c>
    </row>
    <row r="1192" spans="1:5" x14ac:dyDescent="0.25">
      <c r="A1192" s="1" t="s">
        <v>91</v>
      </c>
      <c r="B1192" s="3">
        <v>2</v>
      </c>
      <c r="C1192" s="1">
        <v>1</v>
      </c>
      <c r="D1192" s="1">
        <v>0</v>
      </c>
      <c r="E1192">
        <f t="shared" si="57"/>
        <v>2</v>
      </c>
    </row>
    <row r="1193" spans="1:5" x14ac:dyDescent="0.25">
      <c r="A1193" s="1" t="s">
        <v>91</v>
      </c>
      <c r="B1193" s="3">
        <v>2</v>
      </c>
      <c r="C1193" s="1">
        <v>1</v>
      </c>
      <c r="D1193" s="1">
        <v>0</v>
      </c>
      <c r="E1193">
        <f t="shared" si="57"/>
        <v>2</v>
      </c>
    </row>
    <row r="1194" spans="1:5" x14ac:dyDescent="0.25">
      <c r="A1194" s="1" t="s">
        <v>91</v>
      </c>
      <c r="B1194" s="3">
        <v>2</v>
      </c>
      <c r="C1194" s="1">
        <v>1</v>
      </c>
      <c r="D1194" s="1">
        <v>0</v>
      </c>
      <c r="E1194">
        <f t="shared" si="57"/>
        <v>2</v>
      </c>
    </row>
    <row r="1195" spans="1:5" x14ac:dyDescent="0.25">
      <c r="A1195" s="1" t="s">
        <v>91</v>
      </c>
      <c r="B1195" s="3">
        <v>2</v>
      </c>
      <c r="C1195" s="1">
        <v>1</v>
      </c>
      <c r="D1195" s="1">
        <v>0</v>
      </c>
      <c r="E1195">
        <f t="shared" si="57"/>
        <v>2</v>
      </c>
    </row>
    <row r="1196" spans="1:5" x14ac:dyDescent="0.25">
      <c r="A1196" s="1" t="s">
        <v>91</v>
      </c>
      <c r="B1196" s="3">
        <v>2</v>
      </c>
      <c r="C1196" s="1">
        <v>1</v>
      </c>
      <c r="D1196" s="1">
        <v>0</v>
      </c>
      <c r="E1196">
        <f t="shared" si="57"/>
        <v>2</v>
      </c>
    </row>
    <row r="1197" spans="1:5" x14ac:dyDescent="0.25">
      <c r="A1197" s="1" t="s">
        <v>1072</v>
      </c>
      <c r="B1197" s="3">
        <v>589</v>
      </c>
      <c r="C1197" s="1">
        <v>1</v>
      </c>
      <c r="D1197" s="1">
        <v>36.39</v>
      </c>
      <c r="E1197">
        <f t="shared" si="57"/>
        <v>552.61</v>
      </c>
    </row>
    <row r="1198" spans="1:5" x14ac:dyDescent="0.25">
      <c r="A1198" s="1" t="s">
        <v>173</v>
      </c>
      <c r="B1198" s="3">
        <v>37</v>
      </c>
      <c r="C1198" s="1">
        <v>1</v>
      </c>
      <c r="D1198" s="1">
        <v>2.29</v>
      </c>
      <c r="E1198">
        <f t="shared" si="57"/>
        <v>34.71</v>
      </c>
    </row>
    <row r="1199" spans="1:5" x14ac:dyDescent="0.25">
      <c r="A1199" s="1" t="s">
        <v>173</v>
      </c>
      <c r="B1199" s="3">
        <v>37</v>
      </c>
      <c r="C1199" s="1">
        <v>1</v>
      </c>
      <c r="D1199" s="1">
        <v>0</v>
      </c>
      <c r="E1199">
        <f t="shared" si="57"/>
        <v>37</v>
      </c>
    </row>
    <row r="1200" spans="1:5" x14ac:dyDescent="0.25">
      <c r="A1200" s="1" t="s">
        <v>764</v>
      </c>
      <c r="B1200" s="3">
        <v>33</v>
      </c>
      <c r="C1200" s="1">
        <v>1</v>
      </c>
      <c r="D1200" s="1">
        <v>2.04</v>
      </c>
      <c r="E1200">
        <f t="shared" si="57"/>
        <v>30.96</v>
      </c>
    </row>
    <row r="1201" spans="1:5" x14ac:dyDescent="0.25">
      <c r="A1201" s="1" t="s">
        <v>465</v>
      </c>
      <c r="B1201" s="3">
        <v>30</v>
      </c>
      <c r="C1201" s="1">
        <v>1</v>
      </c>
      <c r="D1201" s="1">
        <v>4.67</v>
      </c>
      <c r="E1201">
        <f t="shared" si="57"/>
        <v>25.33</v>
      </c>
    </row>
    <row r="1202" spans="1:5" x14ac:dyDescent="0.25">
      <c r="A1202" s="1" t="s">
        <v>1074</v>
      </c>
      <c r="B1202" s="3">
        <v>91</v>
      </c>
      <c r="C1202" s="1">
        <v>1</v>
      </c>
      <c r="D1202" s="1">
        <v>5.62</v>
      </c>
      <c r="E1202">
        <f t="shared" si="57"/>
        <v>85.38</v>
      </c>
    </row>
    <row r="1203" spans="1:5" x14ac:dyDescent="0.25">
      <c r="A1203" s="1" t="s">
        <v>983</v>
      </c>
      <c r="B1203" s="3">
        <v>16</v>
      </c>
      <c r="C1203" s="1">
        <v>1</v>
      </c>
      <c r="D1203" s="1">
        <v>0.99</v>
      </c>
      <c r="E1203">
        <f t="shared" si="57"/>
        <v>15.01</v>
      </c>
    </row>
    <row r="1204" spans="1:5" x14ac:dyDescent="0.25">
      <c r="A1204" s="1" t="s">
        <v>555</v>
      </c>
      <c r="B1204" s="3">
        <v>476</v>
      </c>
      <c r="C1204" s="1">
        <v>1</v>
      </c>
      <c r="D1204" s="1">
        <v>0</v>
      </c>
      <c r="E1204">
        <f t="shared" si="57"/>
        <v>476</v>
      </c>
    </row>
    <row r="1205" spans="1:5" x14ac:dyDescent="0.25">
      <c r="A1205" s="1" t="s">
        <v>1076</v>
      </c>
      <c r="B1205" s="3">
        <v>1153</v>
      </c>
      <c r="C1205" s="1">
        <v>1</v>
      </c>
      <c r="D1205" s="1">
        <v>172</v>
      </c>
      <c r="E1205">
        <f t="shared" si="57"/>
        <v>981</v>
      </c>
    </row>
    <row r="1206" spans="1:5" x14ac:dyDescent="0.25">
      <c r="A1206" s="1" t="s">
        <v>1077</v>
      </c>
      <c r="B1206" s="3">
        <v>28</v>
      </c>
      <c r="C1206" s="1">
        <v>1</v>
      </c>
      <c r="D1206" s="1">
        <v>2</v>
      </c>
      <c r="E1206">
        <f t="shared" si="57"/>
        <v>26</v>
      </c>
    </row>
    <row r="1207" spans="1:5" x14ac:dyDescent="0.25">
      <c r="A1207" s="1" t="s">
        <v>1077</v>
      </c>
      <c r="B1207" s="3">
        <v>28</v>
      </c>
      <c r="C1207" s="1">
        <v>1</v>
      </c>
      <c r="D1207" s="1">
        <v>2</v>
      </c>
      <c r="E1207">
        <f t="shared" si="57"/>
        <v>26</v>
      </c>
    </row>
    <row r="1208" spans="1:5" x14ac:dyDescent="0.25">
      <c r="A1208" s="1" t="s">
        <v>614</v>
      </c>
      <c r="B1208" s="3">
        <v>25</v>
      </c>
      <c r="C1208" s="1">
        <v>1</v>
      </c>
      <c r="D1208" s="1">
        <v>0</v>
      </c>
      <c r="E1208">
        <f t="shared" si="57"/>
        <v>25</v>
      </c>
    </row>
    <row r="1209" spans="1:5" x14ac:dyDescent="0.25">
      <c r="A1209" s="1" t="s">
        <v>1078</v>
      </c>
      <c r="B1209" s="3">
        <v>539</v>
      </c>
      <c r="C1209" s="1">
        <v>0.2</v>
      </c>
      <c r="D1209" s="1">
        <v>0</v>
      </c>
      <c r="E1209">
        <f t="shared" si="57"/>
        <v>107.80000000000001</v>
      </c>
    </row>
    <row r="1210" spans="1:5" x14ac:dyDescent="0.25">
      <c r="A1210" s="1" t="s">
        <v>1080</v>
      </c>
      <c r="B1210" s="3">
        <v>66</v>
      </c>
      <c r="C1210" s="1">
        <v>1</v>
      </c>
      <c r="D1210" s="1">
        <v>0</v>
      </c>
      <c r="E1210">
        <f t="shared" si="57"/>
        <v>66</v>
      </c>
    </row>
    <row r="1211" spans="1:5" x14ac:dyDescent="0.25">
      <c r="A1211" s="1" t="s">
        <v>800</v>
      </c>
      <c r="B1211" s="3">
        <v>918</v>
      </c>
      <c r="C1211" s="1">
        <v>0.12</v>
      </c>
      <c r="D1211" s="1">
        <v>0</v>
      </c>
      <c r="E1211">
        <f t="shared" si="57"/>
        <v>110.16</v>
      </c>
    </row>
    <row r="1212" spans="1:5" x14ac:dyDescent="0.25">
      <c r="A1212" s="1" t="s">
        <v>1081</v>
      </c>
      <c r="B1212" s="3">
        <v>117</v>
      </c>
      <c r="C1212" s="1">
        <v>1</v>
      </c>
      <c r="D1212" s="1">
        <v>0</v>
      </c>
      <c r="E1212">
        <f t="shared" si="57"/>
        <v>117</v>
      </c>
    </row>
    <row r="1213" spans="1:5" x14ac:dyDescent="0.25">
      <c r="A1213" s="1" t="s">
        <v>1082</v>
      </c>
      <c r="B1213" s="3">
        <v>2029</v>
      </c>
      <c r="C1213" s="1">
        <v>0.33333332999999998</v>
      </c>
      <c r="D1213" s="1">
        <v>0</v>
      </c>
      <c r="E1213">
        <f t="shared" si="57"/>
        <v>676.33332656999994</v>
      </c>
    </row>
    <row r="1214" spans="1:5" x14ac:dyDescent="0.25">
      <c r="A1214" s="1" t="s">
        <v>238</v>
      </c>
      <c r="B1214" s="3">
        <v>183</v>
      </c>
      <c r="C1214" s="1">
        <v>1</v>
      </c>
      <c r="D1214" s="1">
        <v>12</v>
      </c>
      <c r="E1214">
        <f t="shared" si="57"/>
        <v>171</v>
      </c>
    </row>
    <row r="1215" spans="1:5" x14ac:dyDescent="0.25">
      <c r="A1215" s="1" t="s">
        <v>33</v>
      </c>
      <c r="B1215" s="3">
        <v>450</v>
      </c>
      <c r="C1215" s="1">
        <v>1</v>
      </c>
      <c r="D1215" s="1">
        <v>22</v>
      </c>
      <c r="E1215">
        <f t="shared" si="57"/>
        <v>428</v>
      </c>
    </row>
    <row r="1216" spans="1:5" x14ac:dyDescent="0.25">
      <c r="A1216" s="1" t="s">
        <v>1083</v>
      </c>
      <c r="B1216" s="3">
        <v>275</v>
      </c>
      <c r="C1216" s="1">
        <v>1</v>
      </c>
      <c r="D1216" s="1">
        <v>0</v>
      </c>
      <c r="E1216">
        <f t="shared" si="57"/>
        <v>275</v>
      </c>
    </row>
    <row r="1217" spans="1:5" x14ac:dyDescent="0.25">
      <c r="A1217" s="1" t="s">
        <v>1085</v>
      </c>
      <c r="B1217" s="3">
        <v>66</v>
      </c>
      <c r="C1217" s="1">
        <v>1</v>
      </c>
      <c r="D1217" s="1">
        <v>3</v>
      </c>
      <c r="E1217">
        <f t="shared" si="57"/>
        <v>63</v>
      </c>
    </row>
    <row r="1218" spans="1:5" x14ac:dyDescent="0.25">
      <c r="A1218" s="1" t="s">
        <v>941</v>
      </c>
      <c r="B1218" s="3">
        <v>97</v>
      </c>
      <c r="C1218" s="1">
        <v>1</v>
      </c>
      <c r="D1218" s="1">
        <v>4</v>
      </c>
      <c r="E1218">
        <f t="shared" si="57"/>
        <v>93</v>
      </c>
    </row>
    <row r="1219" spans="1:5" x14ac:dyDescent="0.25">
      <c r="A1219" s="1" t="s">
        <v>195</v>
      </c>
      <c r="B1219" s="3">
        <v>471</v>
      </c>
      <c r="C1219" s="1">
        <v>1</v>
      </c>
      <c r="D1219" s="1">
        <v>32</v>
      </c>
      <c r="E1219">
        <f t="shared" ref="E1219:E1282" si="58">C1219*B1219-D1219</f>
        <v>439</v>
      </c>
    </row>
    <row r="1220" spans="1:5" x14ac:dyDescent="0.25">
      <c r="A1220" s="1" t="s">
        <v>1086</v>
      </c>
      <c r="B1220" s="3">
        <v>36</v>
      </c>
      <c r="C1220" s="1">
        <v>1</v>
      </c>
      <c r="D1220" s="1">
        <v>0</v>
      </c>
      <c r="E1220">
        <f t="shared" si="58"/>
        <v>36</v>
      </c>
    </row>
    <row r="1221" spans="1:5" x14ac:dyDescent="0.25">
      <c r="A1221" s="1" t="s">
        <v>1086</v>
      </c>
      <c r="B1221" s="3">
        <v>36</v>
      </c>
      <c r="C1221" s="1">
        <v>1</v>
      </c>
      <c r="D1221" s="1">
        <v>0</v>
      </c>
      <c r="E1221">
        <f t="shared" si="58"/>
        <v>36</v>
      </c>
    </row>
    <row r="1222" spans="1:5" x14ac:dyDescent="0.25">
      <c r="A1222" s="1" t="s">
        <v>228</v>
      </c>
      <c r="B1222" s="3">
        <v>380</v>
      </c>
      <c r="C1222" s="1">
        <v>1</v>
      </c>
      <c r="D1222" s="1">
        <v>38</v>
      </c>
      <c r="E1222">
        <f t="shared" si="58"/>
        <v>342</v>
      </c>
    </row>
    <row r="1223" spans="1:5" x14ac:dyDescent="0.25">
      <c r="A1223" s="1" t="s">
        <v>1088</v>
      </c>
      <c r="B1223" s="3">
        <v>74</v>
      </c>
      <c r="C1223" s="1">
        <v>1</v>
      </c>
      <c r="D1223" s="1">
        <v>0</v>
      </c>
      <c r="E1223">
        <f t="shared" si="58"/>
        <v>74</v>
      </c>
    </row>
    <row r="1224" spans="1:5" x14ac:dyDescent="0.25">
      <c r="A1224" s="1" t="s">
        <v>671</v>
      </c>
      <c r="B1224" s="3">
        <v>25</v>
      </c>
      <c r="C1224" s="1">
        <v>1</v>
      </c>
      <c r="D1224" s="1">
        <v>1</v>
      </c>
      <c r="E1224">
        <f t="shared" si="58"/>
        <v>24</v>
      </c>
    </row>
    <row r="1225" spans="1:5" x14ac:dyDescent="0.25">
      <c r="A1225" s="1" t="s">
        <v>671</v>
      </c>
      <c r="B1225" s="3">
        <v>29</v>
      </c>
      <c r="C1225" s="1">
        <v>1</v>
      </c>
      <c r="D1225" s="1">
        <v>2</v>
      </c>
      <c r="E1225">
        <f t="shared" si="58"/>
        <v>27</v>
      </c>
    </row>
    <row r="1226" spans="1:5" x14ac:dyDescent="0.25">
      <c r="A1226" s="1" t="s">
        <v>995</v>
      </c>
      <c r="B1226" s="3">
        <v>481</v>
      </c>
      <c r="C1226" s="1">
        <v>1</v>
      </c>
      <c r="D1226" s="1">
        <v>0</v>
      </c>
      <c r="E1226">
        <f t="shared" si="58"/>
        <v>481</v>
      </c>
    </row>
    <row r="1227" spans="1:5" x14ac:dyDescent="0.25">
      <c r="A1227" s="1" t="s">
        <v>424</v>
      </c>
      <c r="B1227" s="3">
        <v>587</v>
      </c>
      <c r="C1227" s="1">
        <v>1</v>
      </c>
      <c r="D1227" s="1">
        <v>41</v>
      </c>
      <c r="E1227">
        <f t="shared" si="58"/>
        <v>546</v>
      </c>
    </row>
    <row r="1228" spans="1:5" x14ac:dyDescent="0.25">
      <c r="A1228" s="1" t="s">
        <v>98</v>
      </c>
      <c r="B1228" s="3">
        <v>220</v>
      </c>
      <c r="C1228" s="1">
        <v>1</v>
      </c>
      <c r="D1228" s="1">
        <v>15</v>
      </c>
      <c r="E1228">
        <f t="shared" si="58"/>
        <v>205</v>
      </c>
    </row>
    <row r="1229" spans="1:5" x14ac:dyDescent="0.25">
      <c r="A1229" s="1" t="s">
        <v>1089</v>
      </c>
      <c r="B1229" s="3">
        <v>274</v>
      </c>
      <c r="C1229" s="1">
        <v>1</v>
      </c>
      <c r="D1229" s="1">
        <v>27</v>
      </c>
      <c r="E1229">
        <f t="shared" si="58"/>
        <v>247</v>
      </c>
    </row>
    <row r="1230" spans="1:5" x14ac:dyDescent="0.25">
      <c r="A1230" s="1" t="s">
        <v>389</v>
      </c>
      <c r="B1230" s="3">
        <v>215</v>
      </c>
      <c r="C1230" s="1">
        <v>1</v>
      </c>
      <c r="D1230" s="1">
        <v>10</v>
      </c>
      <c r="E1230">
        <f t="shared" si="58"/>
        <v>205</v>
      </c>
    </row>
    <row r="1231" spans="1:5" x14ac:dyDescent="0.25">
      <c r="A1231" s="1" t="s">
        <v>389</v>
      </c>
      <c r="B1231" s="3">
        <v>215</v>
      </c>
      <c r="C1231" s="1">
        <v>1</v>
      </c>
      <c r="D1231" s="1">
        <v>10</v>
      </c>
      <c r="E1231">
        <f t="shared" si="58"/>
        <v>205</v>
      </c>
    </row>
    <row r="1232" spans="1:5" x14ac:dyDescent="0.25">
      <c r="A1232" s="1" t="s">
        <v>375</v>
      </c>
      <c r="B1232" s="3">
        <v>4</v>
      </c>
      <c r="C1232" s="1">
        <v>16</v>
      </c>
      <c r="D1232" s="1">
        <v>0</v>
      </c>
      <c r="E1232">
        <f t="shared" si="58"/>
        <v>64</v>
      </c>
    </row>
    <row r="1233" spans="1:5" x14ac:dyDescent="0.25">
      <c r="A1233" s="1" t="s">
        <v>375</v>
      </c>
      <c r="B1233" s="3">
        <v>4</v>
      </c>
      <c r="C1233" s="1">
        <v>8</v>
      </c>
      <c r="D1233" s="1">
        <v>0</v>
      </c>
      <c r="E1233">
        <f t="shared" si="58"/>
        <v>32</v>
      </c>
    </row>
    <row r="1234" spans="1:5" x14ac:dyDescent="0.25">
      <c r="A1234" s="1" t="s">
        <v>375</v>
      </c>
      <c r="B1234" s="3">
        <v>4</v>
      </c>
      <c r="C1234" s="1">
        <v>4</v>
      </c>
      <c r="D1234" s="1">
        <v>0</v>
      </c>
      <c r="E1234">
        <f t="shared" si="58"/>
        <v>16</v>
      </c>
    </row>
    <row r="1235" spans="1:5" x14ac:dyDescent="0.25">
      <c r="A1235" s="1" t="s">
        <v>1043</v>
      </c>
      <c r="B1235" s="3">
        <v>9</v>
      </c>
      <c r="C1235" s="1">
        <v>4</v>
      </c>
      <c r="D1235" s="1">
        <v>0</v>
      </c>
      <c r="E1235">
        <f t="shared" si="58"/>
        <v>36</v>
      </c>
    </row>
    <row r="1236" spans="1:5" x14ac:dyDescent="0.25">
      <c r="A1236" s="1" t="s">
        <v>802</v>
      </c>
      <c r="B1236" s="3">
        <v>259</v>
      </c>
      <c r="C1236" s="1">
        <v>1</v>
      </c>
      <c r="D1236" s="1">
        <v>0</v>
      </c>
      <c r="E1236">
        <f t="shared" si="58"/>
        <v>259</v>
      </c>
    </row>
    <row r="1237" spans="1:5" x14ac:dyDescent="0.25">
      <c r="A1237" s="1" t="s">
        <v>703</v>
      </c>
      <c r="B1237" s="3">
        <v>1133</v>
      </c>
      <c r="C1237" s="1">
        <v>1</v>
      </c>
      <c r="D1237" s="1">
        <v>33</v>
      </c>
      <c r="E1237">
        <f t="shared" si="58"/>
        <v>1100</v>
      </c>
    </row>
    <row r="1238" spans="1:5" x14ac:dyDescent="0.25">
      <c r="A1238" s="1" t="s">
        <v>366</v>
      </c>
      <c r="B1238" s="3">
        <v>60</v>
      </c>
      <c r="C1238" s="1">
        <v>1</v>
      </c>
      <c r="D1238" s="1">
        <v>4</v>
      </c>
      <c r="E1238">
        <f t="shared" si="58"/>
        <v>56</v>
      </c>
    </row>
    <row r="1239" spans="1:5" x14ac:dyDescent="0.25">
      <c r="A1239" s="1" t="s">
        <v>1091</v>
      </c>
      <c r="B1239" s="3">
        <v>101</v>
      </c>
      <c r="C1239" s="1">
        <v>1</v>
      </c>
      <c r="D1239" s="1">
        <v>7</v>
      </c>
      <c r="E1239">
        <f t="shared" si="58"/>
        <v>94</v>
      </c>
    </row>
    <row r="1240" spans="1:5" x14ac:dyDescent="0.25">
      <c r="A1240" s="1" t="s">
        <v>1092</v>
      </c>
      <c r="B1240" s="3">
        <v>298</v>
      </c>
      <c r="C1240" s="1">
        <v>1</v>
      </c>
      <c r="D1240" s="1">
        <v>20</v>
      </c>
      <c r="E1240">
        <f t="shared" si="58"/>
        <v>278</v>
      </c>
    </row>
    <row r="1241" spans="1:5" x14ac:dyDescent="0.25">
      <c r="A1241" s="1" t="s">
        <v>1093</v>
      </c>
      <c r="B1241" s="3">
        <v>658</v>
      </c>
      <c r="C1241" s="1">
        <v>1</v>
      </c>
      <c r="D1241" s="1">
        <v>19</v>
      </c>
      <c r="E1241">
        <f t="shared" si="58"/>
        <v>639</v>
      </c>
    </row>
    <row r="1242" spans="1:5" x14ac:dyDescent="0.25">
      <c r="A1242" s="1" t="s">
        <v>415</v>
      </c>
      <c r="B1242" s="3">
        <v>36</v>
      </c>
      <c r="C1242" s="1">
        <v>1</v>
      </c>
      <c r="D1242" s="1">
        <v>2</v>
      </c>
      <c r="E1242">
        <f t="shared" si="58"/>
        <v>34</v>
      </c>
    </row>
    <row r="1243" spans="1:5" x14ac:dyDescent="0.25">
      <c r="A1243" s="1" t="s">
        <v>415</v>
      </c>
      <c r="B1243" s="3">
        <v>36</v>
      </c>
      <c r="C1243" s="1">
        <v>1</v>
      </c>
      <c r="D1243" s="1">
        <v>0</v>
      </c>
      <c r="E1243">
        <f t="shared" si="58"/>
        <v>36</v>
      </c>
    </row>
    <row r="1244" spans="1:5" x14ac:dyDescent="0.25">
      <c r="A1244" s="1" t="s">
        <v>415</v>
      </c>
      <c r="B1244" s="3">
        <v>36</v>
      </c>
      <c r="C1244" s="1">
        <v>1</v>
      </c>
      <c r="D1244" s="1">
        <v>0</v>
      </c>
      <c r="E1244">
        <f t="shared" si="58"/>
        <v>36</v>
      </c>
    </row>
    <row r="1245" spans="1:5" x14ac:dyDescent="0.25">
      <c r="A1245" s="1" t="s">
        <v>1094</v>
      </c>
      <c r="B1245" s="3">
        <v>145</v>
      </c>
      <c r="C1245" s="1">
        <v>1</v>
      </c>
      <c r="D1245" s="1">
        <v>14</v>
      </c>
      <c r="E1245">
        <f t="shared" si="58"/>
        <v>131</v>
      </c>
    </row>
    <row r="1246" spans="1:5" x14ac:dyDescent="0.25">
      <c r="A1246" s="1" t="s">
        <v>1094</v>
      </c>
      <c r="B1246" s="3">
        <v>145</v>
      </c>
      <c r="C1246" s="1">
        <v>1</v>
      </c>
      <c r="D1246" s="1">
        <v>0</v>
      </c>
      <c r="E1246">
        <f t="shared" si="58"/>
        <v>145</v>
      </c>
    </row>
    <row r="1247" spans="1:5" x14ac:dyDescent="0.25">
      <c r="A1247" s="1" t="s">
        <v>514</v>
      </c>
      <c r="B1247" s="3">
        <v>123</v>
      </c>
      <c r="C1247" s="1">
        <v>1</v>
      </c>
      <c r="D1247" s="1">
        <v>8</v>
      </c>
      <c r="E1247">
        <f t="shared" si="58"/>
        <v>115</v>
      </c>
    </row>
    <row r="1248" spans="1:5" x14ac:dyDescent="0.25">
      <c r="A1248" s="1" t="s">
        <v>514</v>
      </c>
      <c r="B1248" s="3">
        <v>123</v>
      </c>
      <c r="C1248" s="1">
        <v>1</v>
      </c>
      <c r="D1248" s="1">
        <v>8</v>
      </c>
      <c r="E1248">
        <f t="shared" si="58"/>
        <v>115</v>
      </c>
    </row>
    <row r="1249" spans="1:5" x14ac:dyDescent="0.25">
      <c r="A1249" s="1" t="s">
        <v>514</v>
      </c>
      <c r="B1249" s="3">
        <v>123</v>
      </c>
      <c r="C1249" s="1">
        <v>1</v>
      </c>
      <c r="D1249" s="1">
        <v>0</v>
      </c>
      <c r="E1249">
        <f t="shared" si="58"/>
        <v>123</v>
      </c>
    </row>
    <row r="1250" spans="1:5" x14ac:dyDescent="0.25">
      <c r="A1250" s="1" t="s">
        <v>818</v>
      </c>
      <c r="B1250" s="3">
        <v>289</v>
      </c>
      <c r="C1250" s="1">
        <v>1</v>
      </c>
      <c r="D1250" s="1">
        <v>20</v>
      </c>
      <c r="E1250">
        <f t="shared" si="58"/>
        <v>269</v>
      </c>
    </row>
    <row r="1251" spans="1:5" x14ac:dyDescent="0.25">
      <c r="A1251" s="1" t="s">
        <v>818</v>
      </c>
      <c r="B1251" s="3">
        <v>289</v>
      </c>
      <c r="C1251" s="1">
        <v>1</v>
      </c>
      <c r="D1251" s="1">
        <v>20</v>
      </c>
      <c r="E1251">
        <f t="shared" si="58"/>
        <v>269</v>
      </c>
    </row>
    <row r="1252" spans="1:5" x14ac:dyDescent="0.25">
      <c r="A1252" s="1" t="s">
        <v>140</v>
      </c>
      <c r="B1252" s="3">
        <v>0.01</v>
      </c>
      <c r="C1252" s="1">
        <v>1</v>
      </c>
      <c r="D1252" s="1">
        <v>0</v>
      </c>
      <c r="E1252">
        <f t="shared" si="58"/>
        <v>0.01</v>
      </c>
    </row>
    <row r="1253" spans="1:5" x14ac:dyDescent="0.25">
      <c r="A1253" s="1" t="s">
        <v>140</v>
      </c>
      <c r="B1253" s="3">
        <v>0.01</v>
      </c>
      <c r="C1253" s="1">
        <v>1</v>
      </c>
      <c r="D1253" s="1">
        <v>0</v>
      </c>
      <c r="E1253">
        <f t="shared" si="58"/>
        <v>0.01</v>
      </c>
    </row>
    <row r="1254" spans="1:5" x14ac:dyDescent="0.25">
      <c r="A1254" s="1" t="s">
        <v>140</v>
      </c>
      <c r="B1254" s="3">
        <v>0.01</v>
      </c>
      <c r="C1254" s="1">
        <v>1</v>
      </c>
      <c r="D1254" s="1">
        <v>0</v>
      </c>
      <c r="E1254">
        <f t="shared" si="58"/>
        <v>0.01</v>
      </c>
    </row>
    <row r="1255" spans="1:5" x14ac:dyDescent="0.25">
      <c r="A1255" s="1" t="s">
        <v>882</v>
      </c>
      <c r="B1255" s="3">
        <v>88</v>
      </c>
      <c r="C1255" s="1">
        <v>1</v>
      </c>
      <c r="D1255" s="1">
        <v>6</v>
      </c>
      <c r="E1255">
        <f t="shared" si="58"/>
        <v>82</v>
      </c>
    </row>
    <row r="1256" spans="1:5" x14ac:dyDescent="0.25">
      <c r="A1256" s="1" t="s">
        <v>882</v>
      </c>
      <c r="B1256" s="3">
        <v>88</v>
      </c>
      <c r="C1256" s="1">
        <v>1</v>
      </c>
      <c r="D1256" s="1">
        <v>6</v>
      </c>
      <c r="E1256">
        <f t="shared" si="58"/>
        <v>82</v>
      </c>
    </row>
    <row r="1257" spans="1:5" x14ac:dyDescent="0.25">
      <c r="A1257" s="1" t="s">
        <v>981</v>
      </c>
      <c r="B1257" s="3">
        <v>141</v>
      </c>
      <c r="C1257" s="1">
        <v>1</v>
      </c>
      <c r="D1257" s="1">
        <v>9</v>
      </c>
      <c r="E1257">
        <f t="shared" si="58"/>
        <v>132</v>
      </c>
    </row>
    <row r="1258" spans="1:5" x14ac:dyDescent="0.25">
      <c r="A1258" s="1" t="s">
        <v>643</v>
      </c>
      <c r="B1258" s="3">
        <v>95</v>
      </c>
      <c r="C1258" s="1">
        <v>1</v>
      </c>
      <c r="D1258" s="1">
        <v>4</v>
      </c>
      <c r="E1258">
        <f t="shared" si="58"/>
        <v>91</v>
      </c>
    </row>
    <row r="1259" spans="1:5" x14ac:dyDescent="0.25">
      <c r="A1259" s="1" t="s">
        <v>251</v>
      </c>
      <c r="B1259" s="3">
        <v>53</v>
      </c>
      <c r="C1259" s="1">
        <v>1</v>
      </c>
      <c r="D1259" s="1">
        <v>2</v>
      </c>
      <c r="E1259">
        <f t="shared" si="58"/>
        <v>51</v>
      </c>
    </row>
    <row r="1260" spans="1:5" x14ac:dyDescent="0.25">
      <c r="A1260" s="1" t="s">
        <v>1050</v>
      </c>
      <c r="B1260" s="3">
        <v>20</v>
      </c>
      <c r="C1260" s="1">
        <v>1</v>
      </c>
      <c r="D1260" s="1">
        <v>1</v>
      </c>
      <c r="E1260">
        <f t="shared" si="58"/>
        <v>19</v>
      </c>
    </row>
    <row r="1261" spans="1:5" x14ac:dyDescent="0.25">
      <c r="A1261" s="1" t="s">
        <v>1096</v>
      </c>
      <c r="B1261" s="3">
        <v>653</v>
      </c>
      <c r="C1261" s="1">
        <v>1</v>
      </c>
      <c r="D1261" s="1">
        <v>91</v>
      </c>
      <c r="E1261">
        <f t="shared" si="58"/>
        <v>562</v>
      </c>
    </row>
    <row r="1262" spans="1:5" x14ac:dyDescent="0.25">
      <c r="A1262" s="1" t="s">
        <v>257</v>
      </c>
      <c r="B1262" s="3">
        <v>70</v>
      </c>
      <c r="C1262" s="1">
        <v>1</v>
      </c>
      <c r="D1262" s="1">
        <v>0</v>
      </c>
      <c r="E1262">
        <f t="shared" si="58"/>
        <v>70</v>
      </c>
    </row>
    <row r="1263" spans="1:5" x14ac:dyDescent="0.25">
      <c r="A1263" s="1" t="s">
        <v>257</v>
      </c>
      <c r="B1263" s="3">
        <v>70</v>
      </c>
      <c r="C1263" s="1">
        <v>1</v>
      </c>
      <c r="D1263" s="1">
        <v>3</v>
      </c>
      <c r="E1263">
        <f t="shared" si="58"/>
        <v>67</v>
      </c>
    </row>
    <row r="1264" spans="1:5" x14ac:dyDescent="0.25">
      <c r="A1264" s="1" t="s">
        <v>1098</v>
      </c>
      <c r="B1264" s="3">
        <v>173</v>
      </c>
      <c r="C1264" s="1">
        <v>1</v>
      </c>
      <c r="D1264" s="1">
        <v>0</v>
      </c>
      <c r="E1264">
        <f t="shared" si="58"/>
        <v>173</v>
      </c>
    </row>
    <row r="1265" spans="1:5" x14ac:dyDescent="0.25">
      <c r="A1265" s="1" t="s">
        <v>1100</v>
      </c>
      <c r="B1265" s="3">
        <v>129</v>
      </c>
      <c r="C1265" s="1">
        <v>1</v>
      </c>
      <c r="D1265" s="1">
        <v>6</v>
      </c>
      <c r="E1265">
        <f t="shared" si="58"/>
        <v>123</v>
      </c>
    </row>
    <row r="1266" spans="1:5" x14ac:dyDescent="0.25">
      <c r="A1266" s="1" t="s">
        <v>366</v>
      </c>
      <c r="B1266" s="3">
        <v>60</v>
      </c>
      <c r="C1266" s="1">
        <v>1</v>
      </c>
      <c r="D1266" s="1">
        <v>4</v>
      </c>
      <c r="E1266">
        <f t="shared" si="58"/>
        <v>56</v>
      </c>
    </row>
    <row r="1267" spans="1:5" x14ac:dyDescent="0.25">
      <c r="A1267" s="1" t="s">
        <v>1102</v>
      </c>
      <c r="B1267" s="3">
        <v>98</v>
      </c>
      <c r="C1267" s="1">
        <v>1</v>
      </c>
      <c r="D1267" s="1">
        <v>0</v>
      </c>
      <c r="E1267">
        <f t="shared" si="58"/>
        <v>98</v>
      </c>
    </row>
    <row r="1268" spans="1:5" x14ac:dyDescent="0.25">
      <c r="A1268" s="1" t="s">
        <v>518</v>
      </c>
      <c r="B1268" s="3">
        <v>73</v>
      </c>
      <c r="C1268" s="1">
        <v>1</v>
      </c>
      <c r="D1268" s="1">
        <v>0</v>
      </c>
      <c r="E1268">
        <f t="shared" si="58"/>
        <v>73</v>
      </c>
    </row>
    <row r="1269" spans="1:5" x14ac:dyDescent="0.25">
      <c r="A1269" s="1" t="s">
        <v>1104</v>
      </c>
      <c r="B1269" s="3">
        <v>254</v>
      </c>
      <c r="C1269" s="1">
        <v>1</v>
      </c>
      <c r="D1269" s="1">
        <v>12</v>
      </c>
      <c r="E1269">
        <f t="shared" si="58"/>
        <v>242</v>
      </c>
    </row>
    <row r="1270" spans="1:5" x14ac:dyDescent="0.25">
      <c r="A1270" s="1" t="s">
        <v>1105</v>
      </c>
      <c r="B1270" s="3">
        <v>122</v>
      </c>
      <c r="C1270" s="1">
        <v>1</v>
      </c>
      <c r="D1270" s="1">
        <v>0</v>
      </c>
      <c r="E1270">
        <f t="shared" si="58"/>
        <v>122</v>
      </c>
    </row>
    <row r="1271" spans="1:5" x14ac:dyDescent="0.25">
      <c r="A1271" s="1" t="s">
        <v>505</v>
      </c>
      <c r="B1271" s="3">
        <v>12</v>
      </c>
      <c r="C1271" s="1">
        <v>1</v>
      </c>
      <c r="D1271" s="1">
        <v>1</v>
      </c>
      <c r="E1271">
        <f t="shared" si="58"/>
        <v>11</v>
      </c>
    </row>
    <row r="1272" spans="1:5" x14ac:dyDescent="0.25">
      <c r="A1272" s="1" t="s">
        <v>163</v>
      </c>
      <c r="B1272" s="3">
        <v>17</v>
      </c>
      <c r="C1272" s="1">
        <v>2</v>
      </c>
      <c r="D1272" s="1">
        <v>3</v>
      </c>
      <c r="E1272">
        <f t="shared" si="58"/>
        <v>31</v>
      </c>
    </row>
    <row r="1273" spans="1:5" x14ac:dyDescent="0.25">
      <c r="A1273" s="1" t="s">
        <v>831</v>
      </c>
      <c r="B1273" s="3">
        <v>11</v>
      </c>
      <c r="C1273" s="1">
        <v>1</v>
      </c>
      <c r="D1273" s="1">
        <v>1</v>
      </c>
      <c r="E1273">
        <f t="shared" si="58"/>
        <v>10</v>
      </c>
    </row>
    <row r="1274" spans="1:5" x14ac:dyDescent="0.25">
      <c r="A1274" s="1" t="s">
        <v>366</v>
      </c>
      <c r="B1274" s="3">
        <v>60</v>
      </c>
      <c r="C1274" s="1">
        <v>1</v>
      </c>
      <c r="D1274" s="1">
        <v>0</v>
      </c>
      <c r="E1274">
        <f t="shared" si="58"/>
        <v>60</v>
      </c>
    </row>
    <row r="1275" spans="1:5" x14ac:dyDescent="0.25">
      <c r="A1275" s="1" t="s">
        <v>1107</v>
      </c>
      <c r="B1275" s="3">
        <v>16</v>
      </c>
      <c r="C1275" s="1">
        <v>1</v>
      </c>
      <c r="D1275" s="1">
        <v>1.34</v>
      </c>
      <c r="E1275">
        <f t="shared" si="58"/>
        <v>14.66</v>
      </c>
    </row>
    <row r="1276" spans="1:5" x14ac:dyDescent="0.25">
      <c r="A1276" s="1" t="s">
        <v>1107</v>
      </c>
      <c r="B1276" s="3">
        <v>16</v>
      </c>
      <c r="C1276" s="1">
        <v>2</v>
      </c>
      <c r="D1276" s="1">
        <v>2.66</v>
      </c>
      <c r="E1276">
        <f t="shared" si="58"/>
        <v>29.34</v>
      </c>
    </row>
    <row r="1277" spans="1:5" x14ac:dyDescent="0.25">
      <c r="A1277" s="1" t="s">
        <v>1107</v>
      </c>
      <c r="B1277" s="3">
        <v>15</v>
      </c>
      <c r="C1277" s="1">
        <v>2</v>
      </c>
      <c r="D1277" s="1">
        <v>3</v>
      </c>
      <c r="E1277">
        <f t="shared" si="58"/>
        <v>27</v>
      </c>
    </row>
    <row r="1278" spans="1:5" x14ac:dyDescent="0.25">
      <c r="A1278" s="1" t="s">
        <v>1108</v>
      </c>
      <c r="B1278" s="3">
        <v>336</v>
      </c>
      <c r="C1278" s="1">
        <v>1</v>
      </c>
      <c r="D1278" s="1">
        <v>36</v>
      </c>
      <c r="E1278">
        <f t="shared" si="58"/>
        <v>300</v>
      </c>
    </row>
    <row r="1279" spans="1:5" x14ac:dyDescent="0.25">
      <c r="A1279" s="1" t="s">
        <v>1109</v>
      </c>
      <c r="B1279" s="3">
        <v>221</v>
      </c>
      <c r="C1279" s="1">
        <v>1</v>
      </c>
      <c r="D1279" s="1">
        <v>15</v>
      </c>
      <c r="E1279">
        <f t="shared" si="58"/>
        <v>206</v>
      </c>
    </row>
    <row r="1280" spans="1:5" x14ac:dyDescent="0.25">
      <c r="A1280" s="1" t="s">
        <v>309</v>
      </c>
      <c r="B1280" s="3">
        <v>239</v>
      </c>
      <c r="C1280" s="1">
        <v>1</v>
      </c>
      <c r="D1280" s="1">
        <v>11</v>
      </c>
      <c r="E1280">
        <f t="shared" si="58"/>
        <v>228</v>
      </c>
    </row>
    <row r="1281" spans="1:5" x14ac:dyDescent="0.25">
      <c r="A1281" s="1" t="s">
        <v>916</v>
      </c>
      <c r="B1281" s="3">
        <v>57</v>
      </c>
      <c r="C1281" s="1">
        <v>1</v>
      </c>
      <c r="D1281" s="1">
        <v>0</v>
      </c>
      <c r="E1281">
        <f t="shared" si="58"/>
        <v>57</v>
      </c>
    </row>
    <row r="1282" spans="1:5" x14ac:dyDescent="0.25">
      <c r="A1282" s="1" t="s">
        <v>1111</v>
      </c>
      <c r="B1282" s="3">
        <v>1766</v>
      </c>
      <c r="C1282" s="1">
        <v>0.05</v>
      </c>
      <c r="D1282" s="1">
        <v>0</v>
      </c>
      <c r="E1282">
        <f t="shared" si="58"/>
        <v>88.300000000000011</v>
      </c>
    </row>
    <row r="1283" spans="1:5" x14ac:dyDescent="0.25">
      <c r="A1283" s="1" t="s">
        <v>976</v>
      </c>
      <c r="B1283" s="3">
        <v>25</v>
      </c>
      <c r="C1283" s="1">
        <v>1</v>
      </c>
      <c r="D1283" s="1">
        <v>1</v>
      </c>
      <c r="E1283">
        <f t="shared" ref="E1283:E1346" si="59">C1283*B1283-D1283</f>
        <v>24</v>
      </c>
    </row>
    <row r="1284" spans="1:5" x14ac:dyDescent="0.25">
      <c r="A1284" s="1" t="s">
        <v>976</v>
      </c>
      <c r="B1284" s="3">
        <v>25</v>
      </c>
      <c r="C1284" s="1">
        <v>1</v>
      </c>
      <c r="D1284" s="1">
        <v>1</v>
      </c>
      <c r="E1284">
        <f t="shared" si="59"/>
        <v>24</v>
      </c>
    </row>
    <row r="1285" spans="1:5" x14ac:dyDescent="0.25">
      <c r="A1285" s="1" t="s">
        <v>1112</v>
      </c>
      <c r="B1285" s="3">
        <v>107</v>
      </c>
      <c r="C1285" s="1">
        <v>1</v>
      </c>
      <c r="D1285" s="1">
        <v>10</v>
      </c>
      <c r="E1285">
        <f t="shared" si="59"/>
        <v>97</v>
      </c>
    </row>
    <row r="1286" spans="1:5" x14ac:dyDescent="0.25">
      <c r="A1286" s="1" t="s">
        <v>526</v>
      </c>
      <c r="B1286" s="3">
        <v>78</v>
      </c>
      <c r="C1286" s="1">
        <v>1</v>
      </c>
      <c r="D1286" s="1">
        <v>3</v>
      </c>
      <c r="E1286">
        <f t="shared" si="59"/>
        <v>75</v>
      </c>
    </row>
    <row r="1287" spans="1:5" x14ac:dyDescent="0.25">
      <c r="A1287" s="1" t="s">
        <v>1114</v>
      </c>
      <c r="B1287" s="3">
        <v>1150</v>
      </c>
      <c r="C1287" s="1">
        <v>1</v>
      </c>
      <c r="D1287" s="1">
        <v>80</v>
      </c>
      <c r="E1287">
        <f t="shared" si="59"/>
        <v>1070</v>
      </c>
    </row>
    <row r="1288" spans="1:5" x14ac:dyDescent="0.25">
      <c r="A1288" s="1" t="s">
        <v>1116</v>
      </c>
      <c r="B1288" s="3">
        <v>719</v>
      </c>
      <c r="C1288" s="1">
        <v>1</v>
      </c>
      <c r="D1288" s="1">
        <v>50</v>
      </c>
      <c r="E1288">
        <f t="shared" si="59"/>
        <v>669</v>
      </c>
    </row>
    <row r="1289" spans="1:5" x14ac:dyDescent="0.25">
      <c r="A1289" s="1" t="s">
        <v>278</v>
      </c>
      <c r="B1289" s="3">
        <v>100</v>
      </c>
      <c r="C1289" s="1">
        <v>1</v>
      </c>
      <c r="D1289" s="1">
        <v>5</v>
      </c>
      <c r="E1289">
        <f t="shared" si="59"/>
        <v>95</v>
      </c>
    </row>
    <row r="1290" spans="1:5" x14ac:dyDescent="0.25">
      <c r="A1290" s="1" t="s">
        <v>1117</v>
      </c>
      <c r="B1290" s="3">
        <v>773</v>
      </c>
      <c r="C1290" s="1">
        <v>1</v>
      </c>
      <c r="D1290" s="1">
        <v>23</v>
      </c>
      <c r="E1290">
        <f t="shared" si="59"/>
        <v>750</v>
      </c>
    </row>
    <row r="1291" spans="1:5" x14ac:dyDescent="0.25">
      <c r="A1291" s="1" t="s">
        <v>1119</v>
      </c>
      <c r="B1291" s="3">
        <v>288</v>
      </c>
      <c r="C1291" s="1">
        <v>1</v>
      </c>
      <c r="D1291" s="1">
        <v>20</v>
      </c>
      <c r="E1291">
        <f t="shared" si="59"/>
        <v>268</v>
      </c>
    </row>
    <row r="1292" spans="1:5" x14ac:dyDescent="0.25">
      <c r="A1292" s="1" t="s">
        <v>591</v>
      </c>
      <c r="B1292" s="3">
        <v>17</v>
      </c>
      <c r="C1292" s="1">
        <v>1</v>
      </c>
      <c r="D1292" s="1">
        <v>1</v>
      </c>
      <c r="E1292">
        <f t="shared" si="59"/>
        <v>16</v>
      </c>
    </row>
    <row r="1293" spans="1:5" x14ac:dyDescent="0.25">
      <c r="A1293" s="1" t="s">
        <v>591</v>
      </c>
      <c r="B1293" s="3">
        <v>17</v>
      </c>
      <c r="C1293" s="1">
        <v>2</v>
      </c>
      <c r="D1293" s="1">
        <v>3.34</v>
      </c>
      <c r="E1293">
        <f t="shared" si="59"/>
        <v>30.66</v>
      </c>
    </row>
    <row r="1294" spans="1:5" x14ac:dyDescent="0.25">
      <c r="A1294" s="1" t="s">
        <v>591</v>
      </c>
      <c r="B1294" s="3">
        <v>17</v>
      </c>
      <c r="C1294" s="1">
        <v>1</v>
      </c>
      <c r="D1294" s="1">
        <v>1.66</v>
      </c>
      <c r="E1294">
        <f t="shared" si="59"/>
        <v>15.34</v>
      </c>
    </row>
    <row r="1295" spans="1:5" x14ac:dyDescent="0.25">
      <c r="A1295" s="1" t="s">
        <v>591</v>
      </c>
      <c r="B1295" s="3">
        <v>17</v>
      </c>
      <c r="C1295" s="1">
        <v>1</v>
      </c>
      <c r="D1295" s="1">
        <v>0</v>
      </c>
      <c r="E1295">
        <f t="shared" si="59"/>
        <v>17</v>
      </c>
    </row>
    <row r="1296" spans="1:5" x14ac:dyDescent="0.25">
      <c r="A1296" s="1" t="s">
        <v>234</v>
      </c>
      <c r="B1296" s="3">
        <v>22</v>
      </c>
      <c r="C1296" s="1">
        <v>1</v>
      </c>
      <c r="D1296" s="1">
        <v>1</v>
      </c>
      <c r="E1296">
        <f t="shared" si="59"/>
        <v>21</v>
      </c>
    </row>
    <row r="1297" spans="1:5" x14ac:dyDescent="0.25">
      <c r="A1297" s="1" t="s">
        <v>625</v>
      </c>
      <c r="B1297" s="3">
        <v>705</v>
      </c>
      <c r="C1297" s="1">
        <v>0.2</v>
      </c>
      <c r="D1297" s="1">
        <v>9</v>
      </c>
      <c r="E1297">
        <f t="shared" si="59"/>
        <v>132</v>
      </c>
    </row>
    <row r="1298" spans="1:5" x14ac:dyDescent="0.25">
      <c r="A1298" s="1" t="s">
        <v>625</v>
      </c>
      <c r="B1298" s="3">
        <v>705</v>
      </c>
      <c r="C1298" s="1">
        <v>0.2</v>
      </c>
      <c r="D1298" s="1">
        <v>9</v>
      </c>
      <c r="E1298">
        <f t="shared" si="59"/>
        <v>132</v>
      </c>
    </row>
    <row r="1299" spans="1:5" x14ac:dyDescent="0.25">
      <c r="A1299" s="1" t="s">
        <v>1120</v>
      </c>
      <c r="B1299" s="3">
        <v>302</v>
      </c>
      <c r="C1299" s="1">
        <v>1</v>
      </c>
      <c r="D1299" s="1">
        <v>21</v>
      </c>
      <c r="E1299">
        <f t="shared" si="59"/>
        <v>281</v>
      </c>
    </row>
    <row r="1300" spans="1:5" x14ac:dyDescent="0.25">
      <c r="A1300" s="1" t="s">
        <v>1010</v>
      </c>
      <c r="B1300" s="3">
        <v>148</v>
      </c>
      <c r="C1300" s="1">
        <v>1</v>
      </c>
      <c r="D1300" s="1">
        <v>7</v>
      </c>
      <c r="E1300">
        <f t="shared" si="59"/>
        <v>141</v>
      </c>
    </row>
    <row r="1301" spans="1:5" x14ac:dyDescent="0.25">
      <c r="A1301" s="1" t="s">
        <v>1010</v>
      </c>
      <c r="B1301" s="3">
        <v>148</v>
      </c>
      <c r="C1301" s="1">
        <v>1</v>
      </c>
      <c r="D1301" s="1">
        <v>7</v>
      </c>
      <c r="E1301">
        <f t="shared" si="59"/>
        <v>141</v>
      </c>
    </row>
    <row r="1302" spans="1:5" x14ac:dyDescent="0.25">
      <c r="A1302" s="1" t="s">
        <v>803</v>
      </c>
      <c r="B1302" s="3">
        <v>281</v>
      </c>
      <c r="C1302" s="1">
        <v>1</v>
      </c>
      <c r="D1302" s="1">
        <v>14</v>
      </c>
      <c r="E1302">
        <f t="shared" si="59"/>
        <v>267</v>
      </c>
    </row>
    <row r="1303" spans="1:5" x14ac:dyDescent="0.25">
      <c r="A1303" s="1" t="s">
        <v>1122</v>
      </c>
      <c r="B1303" s="3">
        <v>782</v>
      </c>
      <c r="C1303" s="1">
        <v>1</v>
      </c>
      <c r="D1303" s="1">
        <v>54</v>
      </c>
      <c r="E1303">
        <f t="shared" si="59"/>
        <v>728</v>
      </c>
    </row>
    <row r="1304" spans="1:5" x14ac:dyDescent="0.25">
      <c r="A1304" s="1" t="s">
        <v>1123</v>
      </c>
      <c r="B1304" s="3">
        <v>402</v>
      </c>
      <c r="C1304" s="1">
        <v>1</v>
      </c>
      <c r="D1304" s="1">
        <v>28</v>
      </c>
      <c r="E1304">
        <f t="shared" si="59"/>
        <v>374</v>
      </c>
    </row>
    <row r="1305" spans="1:5" x14ac:dyDescent="0.25">
      <c r="A1305" s="1" t="s">
        <v>1124</v>
      </c>
      <c r="B1305" s="3">
        <v>89</v>
      </c>
      <c r="C1305" s="1">
        <v>1</v>
      </c>
      <c r="D1305" s="1">
        <v>8</v>
      </c>
      <c r="E1305">
        <f t="shared" si="59"/>
        <v>81</v>
      </c>
    </row>
    <row r="1306" spans="1:5" x14ac:dyDescent="0.25">
      <c r="A1306" s="1" t="s">
        <v>1125</v>
      </c>
      <c r="B1306" s="3">
        <v>423</v>
      </c>
      <c r="C1306" s="1">
        <v>1</v>
      </c>
      <c r="D1306" s="1">
        <v>29</v>
      </c>
      <c r="E1306">
        <f t="shared" si="59"/>
        <v>394</v>
      </c>
    </row>
    <row r="1307" spans="1:5" x14ac:dyDescent="0.25">
      <c r="A1307" s="1" t="s">
        <v>461</v>
      </c>
      <c r="B1307" s="3">
        <v>292</v>
      </c>
      <c r="C1307" s="1">
        <v>1</v>
      </c>
      <c r="D1307" s="1">
        <v>14</v>
      </c>
      <c r="E1307">
        <f t="shared" si="59"/>
        <v>278</v>
      </c>
    </row>
    <row r="1308" spans="1:5" x14ac:dyDescent="0.25">
      <c r="A1308" s="1" t="s">
        <v>1126</v>
      </c>
      <c r="B1308" s="3">
        <v>653</v>
      </c>
      <c r="C1308" s="1">
        <v>1</v>
      </c>
      <c r="D1308" s="1">
        <v>45</v>
      </c>
      <c r="E1308">
        <f t="shared" si="59"/>
        <v>608</v>
      </c>
    </row>
    <row r="1309" spans="1:5" x14ac:dyDescent="0.25">
      <c r="A1309" s="1" t="s">
        <v>1128</v>
      </c>
      <c r="B1309" s="3">
        <v>28</v>
      </c>
      <c r="C1309" s="1">
        <v>1</v>
      </c>
      <c r="D1309" s="1">
        <v>0</v>
      </c>
      <c r="E1309">
        <f t="shared" si="59"/>
        <v>28</v>
      </c>
    </row>
    <row r="1310" spans="1:5" x14ac:dyDescent="0.25">
      <c r="A1310" s="1" t="s">
        <v>285</v>
      </c>
      <c r="B1310" s="3">
        <v>126</v>
      </c>
      <c r="C1310" s="1">
        <v>1</v>
      </c>
      <c r="D1310" s="1">
        <v>8</v>
      </c>
      <c r="E1310">
        <f t="shared" si="59"/>
        <v>118</v>
      </c>
    </row>
    <row r="1311" spans="1:5" x14ac:dyDescent="0.25">
      <c r="A1311" s="1" t="s">
        <v>1129</v>
      </c>
      <c r="B1311" s="3">
        <v>276</v>
      </c>
      <c r="C1311" s="1">
        <v>1</v>
      </c>
      <c r="D1311" s="1">
        <v>19</v>
      </c>
      <c r="E1311">
        <f t="shared" si="59"/>
        <v>257</v>
      </c>
    </row>
    <row r="1312" spans="1:5" x14ac:dyDescent="0.25">
      <c r="A1312" s="1" t="s">
        <v>1130</v>
      </c>
      <c r="B1312" s="3">
        <v>255</v>
      </c>
      <c r="C1312" s="1">
        <v>1</v>
      </c>
      <c r="D1312" s="1">
        <v>12</v>
      </c>
      <c r="E1312">
        <f t="shared" si="59"/>
        <v>243</v>
      </c>
    </row>
    <row r="1313" spans="1:5" x14ac:dyDescent="0.25">
      <c r="A1313" s="1" t="s">
        <v>899</v>
      </c>
      <c r="B1313" s="3">
        <v>426</v>
      </c>
      <c r="C1313" s="1">
        <v>1</v>
      </c>
      <c r="D1313" s="1">
        <v>29</v>
      </c>
      <c r="E1313">
        <f t="shared" si="59"/>
        <v>397</v>
      </c>
    </row>
    <row r="1314" spans="1:5" x14ac:dyDescent="0.25">
      <c r="A1314" s="1" t="s">
        <v>416</v>
      </c>
      <c r="B1314" s="3">
        <v>8</v>
      </c>
      <c r="C1314" s="1">
        <v>2</v>
      </c>
      <c r="D1314" s="1">
        <v>0</v>
      </c>
      <c r="E1314">
        <f t="shared" si="59"/>
        <v>16</v>
      </c>
    </row>
    <row r="1315" spans="1:5" x14ac:dyDescent="0.25">
      <c r="A1315" s="1" t="s">
        <v>416</v>
      </c>
      <c r="B1315" s="3">
        <v>8</v>
      </c>
      <c r="C1315" s="1">
        <v>12</v>
      </c>
      <c r="D1315" s="1">
        <v>0</v>
      </c>
      <c r="E1315">
        <f t="shared" si="59"/>
        <v>96</v>
      </c>
    </row>
    <row r="1316" spans="1:5" x14ac:dyDescent="0.25">
      <c r="A1316" s="1" t="s">
        <v>1133</v>
      </c>
      <c r="B1316" s="3">
        <v>351</v>
      </c>
      <c r="C1316" s="1">
        <v>1</v>
      </c>
      <c r="D1316" s="1">
        <v>0</v>
      </c>
      <c r="E1316">
        <f t="shared" si="59"/>
        <v>351</v>
      </c>
    </row>
    <row r="1317" spans="1:5" x14ac:dyDescent="0.25">
      <c r="A1317" s="1" t="s">
        <v>1134</v>
      </c>
      <c r="B1317" s="3">
        <v>240</v>
      </c>
      <c r="C1317" s="1">
        <v>1</v>
      </c>
      <c r="D1317" s="1">
        <v>12</v>
      </c>
      <c r="E1317">
        <f t="shared" si="59"/>
        <v>228</v>
      </c>
    </row>
    <row r="1318" spans="1:5" x14ac:dyDescent="0.25">
      <c r="A1318" s="1" t="s">
        <v>169</v>
      </c>
      <c r="B1318" s="3">
        <v>43</v>
      </c>
      <c r="C1318" s="1">
        <v>1</v>
      </c>
      <c r="D1318" s="1">
        <v>0</v>
      </c>
      <c r="E1318">
        <f t="shared" si="59"/>
        <v>43</v>
      </c>
    </row>
    <row r="1319" spans="1:5" x14ac:dyDescent="0.25">
      <c r="A1319" s="1" t="s">
        <v>169</v>
      </c>
      <c r="B1319" s="3">
        <v>43</v>
      </c>
      <c r="C1319" s="1">
        <v>1</v>
      </c>
      <c r="D1319" s="1">
        <v>3</v>
      </c>
      <c r="E1319">
        <f t="shared" si="59"/>
        <v>40</v>
      </c>
    </row>
    <row r="1320" spans="1:5" x14ac:dyDescent="0.25">
      <c r="A1320" s="1" t="s">
        <v>169</v>
      </c>
      <c r="B1320" s="3">
        <v>43</v>
      </c>
      <c r="C1320" s="1">
        <v>1</v>
      </c>
      <c r="D1320" s="1">
        <v>3</v>
      </c>
      <c r="E1320">
        <f t="shared" si="59"/>
        <v>40</v>
      </c>
    </row>
    <row r="1321" spans="1:5" x14ac:dyDescent="0.25">
      <c r="A1321" s="1" t="s">
        <v>1136</v>
      </c>
      <c r="B1321" s="3">
        <v>49</v>
      </c>
      <c r="C1321" s="1">
        <v>1</v>
      </c>
      <c r="D1321" s="1">
        <v>0</v>
      </c>
      <c r="E1321">
        <f t="shared" si="59"/>
        <v>49</v>
      </c>
    </row>
    <row r="1322" spans="1:5" x14ac:dyDescent="0.25">
      <c r="A1322" s="1" t="s">
        <v>1137</v>
      </c>
      <c r="B1322" s="3">
        <v>155</v>
      </c>
      <c r="C1322" s="1">
        <v>1</v>
      </c>
      <c r="D1322" s="1">
        <v>0</v>
      </c>
      <c r="E1322">
        <f t="shared" si="59"/>
        <v>155</v>
      </c>
    </row>
    <row r="1323" spans="1:5" x14ac:dyDescent="0.25">
      <c r="A1323" s="1" t="s">
        <v>1138</v>
      </c>
      <c r="B1323" s="3">
        <v>52</v>
      </c>
      <c r="C1323" s="1">
        <v>1</v>
      </c>
      <c r="D1323" s="1">
        <v>0</v>
      </c>
      <c r="E1323">
        <f t="shared" si="59"/>
        <v>52</v>
      </c>
    </row>
    <row r="1324" spans="1:5" x14ac:dyDescent="0.25">
      <c r="A1324" s="1" t="s">
        <v>1139</v>
      </c>
      <c r="B1324" s="3">
        <v>103</v>
      </c>
      <c r="C1324" s="1">
        <v>1</v>
      </c>
      <c r="D1324" s="1">
        <v>0</v>
      </c>
      <c r="E1324">
        <f t="shared" si="59"/>
        <v>103</v>
      </c>
    </row>
    <row r="1325" spans="1:5" x14ac:dyDescent="0.25">
      <c r="A1325" s="1" t="s">
        <v>248</v>
      </c>
      <c r="B1325" s="3">
        <v>219</v>
      </c>
      <c r="C1325" s="1">
        <v>1</v>
      </c>
      <c r="D1325" s="1">
        <v>21</v>
      </c>
      <c r="E1325">
        <f t="shared" si="59"/>
        <v>198</v>
      </c>
    </row>
    <row r="1326" spans="1:5" x14ac:dyDescent="0.25">
      <c r="A1326" s="1" t="s">
        <v>1140</v>
      </c>
      <c r="B1326" s="3">
        <v>121</v>
      </c>
      <c r="C1326" s="1">
        <v>1</v>
      </c>
      <c r="D1326" s="1">
        <v>8.34</v>
      </c>
      <c r="E1326">
        <f t="shared" si="59"/>
        <v>112.66</v>
      </c>
    </row>
    <row r="1327" spans="1:5" x14ac:dyDescent="0.25">
      <c r="A1327" s="1" t="s">
        <v>1140</v>
      </c>
      <c r="B1327" s="3">
        <v>121</v>
      </c>
      <c r="C1327" s="1">
        <v>2</v>
      </c>
      <c r="D1327" s="1">
        <v>16.66</v>
      </c>
      <c r="E1327">
        <f t="shared" si="59"/>
        <v>225.34</v>
      </c>
    </row>
    <row r="1328" spans="1:5" x14ac:dyDescent="0.25">
      <c r="A1328" s="1" t="s">
        <v>1140</v>
      </c>
      <c r="B1328" s="3">
        <v>131</v>
      </c>
      <c r="C1328" s="1">
        <v>10</v>
      </c>
      <c r="D1328" s="1">
        <v>91</v>
      </c>
      <c r="E1328">
        <f t="shared" si="59"/>
        <v>1219</v>
      </c>
    </row>
    <row r="1329" spans="1:5" x14ac:dyDescent="0.25">
      <c r="A1329" s="1" t="s">
        <v>800</v>
      </c>
      <c r="B1329" s="3">
        <v>918</v>
      </c>
      <c r="C1329" s="1">
        <v>0.01</v>
      </c>
      <c r="D1329" s="1">
        <v>0.18</v>
      </c>
      <c r="E1329">
        <f t="shared" si="59"/>
        <v>9</v>
      </c>
    </row>
    <row r="1330" spans="1:5" x14ac:dyDescent="0.25">
      <c r="A1330" s="1" t="s">
        <v>1143</v>
      </c>
      <c r="B1330" s="3">
        <v>136</v>
      </c>
      <c r="C1330" s="1">
        <v>1</v>
      </c>
      <c r="D1330" s="1">
        <v>9</v>
      </c>
      <c r="E1330">
        <f t="shared" si="59"/>
        <v>127</v>
      </c>
    </row>
    <row r="1331" spans="1:5" x14ac:dyDescent="0.25">
      <c r="A1331" s="1" t="s">
        <v>1144</v>
      </c>
      <c r="B1331" s="3">
        <v>445</v>
      </c>
      <c r="C1331" s="1">
        <v>1</v>
      </c>
      <c r="D1331" s="1">
        <v>0</v>
      </c>
      <c r="E1331">
        <f t="shared" si="59"/>
        <v>445</v>
      </c>
    </row>
    <row r="1332" spans="1:5" x14ac:dyDescent="0.25">
      <c r="A1332" s="1" t="s">
        <v>1145</v>
      </c>
      <c r="B1332" s="3">
        <v>431</v>
      </c>
      <c r="C1332" s="1">
        <v>1</v>
      </c>
      <c r="D1332" s="1">
        <v>0</v>
      </c>
      <c r="E1332">
        <f t="shared" si="59"/>
        <v>431</v>
      </c>
    </row>
    <row r="1333" spans="1:5" x14ac:dyDescent="0.25">
      <c r="A1333" s="1" t="s">
        <v>229</v>
      </c>
      <c r="B1333" s="3">
        <v>153</v>
      </c>
      <c r="C1333" s="1">
        <v>1</v>
      </c>
      <c r="D1333" s="1">
        <v>0</v>
      </c>
      <c r="E1333">
        <f t="shared" si="59"/>
        <v>153</v>
      </c>
    </row>
    <row r="1334" spans="1:5" x14ac:dyDescent="0.25">
      <c r="A1334" s="1" t="s">
        <v>1146</v>
      </c>
      <c r="B1334" s="3">
        <v>240</v>
      </c>
      <c r="C1334" s="1">
        <v>1</v>
      </c>
      <c r="D1334" s="1">
        <v>0</v>
      </c>
      <c r="E1334">
        <f t="shared" si="59"/>
        <v>240</v>
      </c>
    </row>
    <row r="1335" spans="1:5" x14ac:dyDescent="0.25">
      <c r="A1335" s="1" t="s">
        <v>127</v>
      </c>
      <c r="B1335" s="3">
        <v>476</v>
      </c>
      <c r="C1335" s="1">
        <v>1</v>
      </c>
      <c r="D1335" s="1">
        <v>0</v>
      </c>
      <c r="E1335">
        <f t="shared" si="59"/>
        <v>476</v>
      </c>
    </row>
    <row r="1336" spans="1:5" x14ac:dyDescent="0.25">
      <c r="A1336" s="1" t="s">
        <v>232</v>
      </c>
      <c r="B1336" s="3">
        <v>145</v>
      </c>
      <c r="C1336" s="1">
        <v>1</v>
      </c>
      <c r="D1336" s="1">
        <v>0</v>
      </c>
      <c r="E1336">
        <f t="shared" si="59"/>
        <v>145</v>
      </c>
    </row>
    <row r="1337" spans="1:5" x14ac:dyDescent="0.25">
      <c r="A1337" s="1" t="s">
        <v>1147</v>
      </c>
      <c r="B1337" s="3">
        <v>101</v>
      </c>
      <c r="C1337" s="1">
        <v>1</v>
      </c>
      <c r="D1337" s="1">
        <v>0</v>
      </c>
      <c r="E1337">
        <f t="shared" si="59"/>
        <v>101</v>
      </c>
    </row>
    <row r="1338" spans="1:5" x14ac:dyDescent="0.25">
      <c r="A1338" s="1" t="s">
        <v>1148</v>
      </c>
      <c r="B1338" s="3">
        <v>219</v>
      </c>
      <c r="C1338" s="1">
        <v>1</v>
      </c>
      <c r="D1338" s="1">
        <v>0</v>
      </c>
      <c r="E1338">
        <f t="shared" si="59"/>
        <v>219</v>
      </c>
    </row>
    <row r="1339" spans="1:5" x14ac:dyDescent="0.25">
      <c r="A1339" s="1" t="s">
        <v>1150</v>
      </c>
      <c r="B1339" s="3">
        <v>580</v>
      </c>
      <c r="C1339" s="1">
        <v>1</v>
      </c>
      <c r="D1339" s="1">
        <v>0</v>
      </c>
      <c r="E1339">
        <f t="shared" si="59"/>
        <v>580</v>
      </c>
    </row>
    <row r="1340" spans="1:5" x14ac:dyDescent="0.25">
      <c r="A1340" s="1" t="s">
        <v>1150</v>
      </c>
      <c r="B1340" s="3">
        <v>580</v>
      </c>
      <c r="C1340" s="1">
        <v>1</v>
      </c>
      <c r="D1340" s="1">
        <v>40</v>
      </c>
      <c r="E1340">
        <f t="shared" si="59"/>
        <v>540</v>
      </c>
    </row>
    <row r="1341" spans="1:5" x14ac:dyDescent="0.25">
      <c r="A1341" s="1" t="s">
        <v>282</v>
      </c>
      <c r="B1341" s="3">
        <v>232</v>
      </c>
      <c r="C1341" s="1">
        <v>1</v>
      </c>
      <c r="D1341" s="1">
        <v>0</v>
      </c>
      <c r="E1341">
        <f t="shared" si="59"/>
        <v>232</v>
      </c>
    </row>
    <row r="1342" spans="1:5" x14ac:dyDescent="0.25">
      <c r="A1342" s="1" t="s">
        <v>1152</v>
      </c>
      <c r="B1342" s="3">
        <v>76</v>
      </c>
      <c r="C1342" s="1">
        <v>1</v>
      </c>
      <c r="D1342" s="1">
        <v>0</v>
      </c>
      <c r="E1342">
        <f t="shared" si="59"/>
        <v>76</v>
      </c>
    </row>
    <row r="1343" spans="1:5" x14ac:dyDescent="0.25">
      <c r="A1343" s="1" t="s">
        <v>381</v>
      </c>
      <c r="B1343" s="3">
        <v>19</v>
      </c>
      <c r="C1343" s="1">
        <v>1</v>
      </c>
      <c r="D1343" s="1">
        <v>0</v>
      </c>
      <c r="E1343">
        <f t="shared" si="59"/>
        <v>19</v>
      </c>
    </row>
    <row r="1344" spans="1:5" x14ac:dyDescent="0.25">
      <c r="A1344" s="1" t="s">
        <v>1153</v>
      </c>
      <c r="B1344" s="3">
        <v>310.5</v>
      </c>
      <c r="C1344" s="1">
        <v>1</v>
      </c>
      <c r="D1344" s="1">
        <v>0</v>
      </c>
      <c r="E1344">
        <f t="shared" si="59"/>
        <v>310.5</v>
      </c>
    </row>
    <row r="1345" spans="1:5" x14ac:dyDescent="0.25">
      <c r="A1345" s="1" t="s">
        <v>804</v>
      </c>
      <c r="B1345" s="3">
        <v>34</v>
      </c>
      <c r="C1345" s="1">
        <v>1</v>
      </c>
      <c r="D1345" s="1">
        <v>0</v>
      </c>
      <c r="E1345">
        <f t="shared" si="59"/>
        <v>34</v>
      </c>
    </row>
    <row r="1346" spans="1:5" x14ac:dyDescent="0.25">
      <c r="A1346" s="1" t="s">
        <v>1154</v>
      </c>
      <c r="B1346" s="3">
        <v>74</v>
      </c>
      <c r="C1346" s="1">
        <v>1</v>
      </c>
      <c r="D1346" s="1">
        <v>0</v>
      </c>
      <c r="E1346">
        <f t="shared" si="59"/>
        <v>74</v>
      </c>
    </row>
    <row r="1347" spans="1:5" x14ac:dyDescent="0.25">
      <c r="A1347" s="1" t="s">
        <v>1155</v>
      </c>
      <c r="B1347" s="3">
        <v>39</v>
      </c>
      <c r="C1347" s="1">
        <v>1</v>
      </c>
      <c r="D1347" s="1">
        <v>0</v>
      </c>
      <c r="E1347">
        <f t="shared" ref="E1347:E1410" si="60">C1347*B1347-D1347</f>
        <v>39</v>
      </c>
    </row>
    <row r="1348" spans="1:5" x14ac:dyDescent="0.25">
      <c r="A1348" s="1" t="s">
        <v>408</v>
      </c>
      <c r="B1348" s="3">
        <v>73</v>
      </c>
      <c r="C1348" s="1">
        <v>1</v>
      </c>
      <c r="D1348" s="1">
        <v>0</v>
      </c>
      <c r="E1348">
        <f t="shared" si="60"/>
        <v>73</v>
      </c>
    </row>
    <row r="1349" spans="1:5" x14ac:dyDescent="0.25">
      <c r="A1349" s="1" t="s">
        <v>408</v>
      </c>
      <c r="B1349" s="3">
        <v>73</v>
      </c>
      <c r="C1349" s="1">
        <v>1</v>
      </c>
      <c r="D1349" s="1">
        <v>0</v>
      </c>
      <c r="E1349">
        <f t="shared" si="60"/>
        <v>73</v>
      </c>
    </row>
    <row r="1350" spans="1:5" x14ac:dyDescent="0.25">
      <c r="A1350" s="1" t="s">
        <v>1156</v>
      </c>
      <c r="B1350" s="3">
        <v>153</v>
      </c>
      <c r="C1350" s="1">
        <v>1</v>
      </c>
      <c r="D1350" s="1">
        <v>7</v>
      </c>
      <c r="E1350">
        <f t="shared" si="60"/>
        <v>146</v>
      </c>
    </row>
    <row r="1351" spans="1:5" x14ac:dyDescent="0.25">
      <c r="A1351" s="1" t="s">
        <v>228</v>
      </c>
      <c r="B1351" s="3">
        <v>388</v>
      </c>
      <c r="C1351" s="1">
        <v>1</v>
      </c>
      <c r="D1351" s="1">
        <v>38</v>
      </c>
      <c r="E1351">
        <f t="shared" si="60"/>
        <v>350</v>
      </c>
    </row>
    <row r="1352" spans="1:5" x14ac:dyDescent="0.25">
      <c r="A1352" s="1" t="s">
        <v>719</v>
      </c>
      <c r="B1352" s="3">
        <v>75</v>
      </c>
      <c r="C1352" s="1">
        <v>1</v>
      </c>
      <c r="D1352" s="1">
        <v>3</v>
      </c>
      <c r="E1352">
        <f t="shared" si="60"/>
        <v>72</v>
      </c>
    </row>
    <row r="1353" spans="1:5" x14ac:dyDescent="0.25">
      <c r="A1353" s="1" t="s">
        <v>1158</v>
      </c>
      <c r="B1353" s="3">
        <v>40</v>
      </c>
      <c r="C1353" s="1">
        <v>1</v>
      </c>
      <c r="D1353" s="1">
        <v>2</v>
      </c>
      <c r="E1353">
        <f t="shared" si="60"/>
        <v>38</v>
      </c>
    </row>
    <row r="1354" spans="1:5" x14ac:dyDescent="0.25">
      <c r="A1354" s="1" t="s">
        <v>1159</v>
      </c>
      <c r="B1354" s="3">
        <v>59</v>
      </c>
      <c r="C1354" s="1">
        <v>1</v>
      </c>
      <c r="D1354" s="1">
        <v>5</v>
      </c>
      <c r="E1354">
        <f t="shared" si="60"/>
        <v>54</v>
      </c>
    </row>
    <row r="1355" spans="1:5" x14ac:dyDescent="0.25">
      <c r="A1355" s="1" t="s">
        <v>135</v>
      </c>
      <c r="B1355" s="3">
        <v>158</v>
      </c>
      <c r="C1355" s="1">
        <v>1</v>
      </c>
      <c r="D1355" s="1">
        <v>0</v>
      </c>
      <c r="E1355">
        <f t="shared" si="60"/>
        <v>158</v>
      </c>
    </row>
    <row r="1356" spans="1:5" x14ac:dyDescent="0.25">
      <c r="A1356" s="1" t="s">
        <v>1161</v>
      </c>
      <c r="B1356" s="3">
        <v>428</v>
      </c>
      <c r="C1356" s="1">
        <v>1</v>
      </c>
      <c r="D1356" s="1">
        <v>0</v>
      </c>
      <c r="E1356">
        <f t="shared" si="60"/>
        <v>428</v>
      </c>
    </row>
    <row r="1357" spans="1:5" x14ac:dyDescent="0.25">
      <c r="A1357" s="1" t="s">
        <v>1009</v>
      </c>
      <c r="B1357" s="3">
        <v>167</v>
      </c>
      <c r="C1357" s="1">
        <v>1</v>
      </c>
      <c r="D1357" s="1">
        <v>0</v>
      </c>
      <c r="E1357">
        <f t="shared" si="60"/>
        <v>167</v>
      </c>
    </row>
    <row r="1358" spans="1:5" x14ac:dyDescent="0.25">
      <c r="A1358" s="1" t="s">
        <v>1163</v>
      </c>
      <c r="B1358" s="3">
        <v>41</v>
      </c>
      <c r="C1358" s="1">
        <v>1</v>
      </c>
      <c r="D1358" s="1">
        <v>0</v>
      </c>
      <c r="E1358">
        <f t="shared" si="60"/>
        <v>41</v>
      </c>
    </row>
    <row r="1359" spans="1:5" x14ac:dyDescent="0.25">
      <c r="A1359" s="1" t="s">
        <v>1163</v>
      </c>
      <c r="B1359" s="3">
        <v>41</v>
      </c>
      <c r="C1359" s="1">
        <v>1</v>
      </c>
      <c r="D1359" s="1">
        <v>0</v>
      </c>
      <c r="E1359">
        <f t="shared" si="60"/>
        <v>41</v>
      </c>
    </row>
    <row r="1360" spans="1:5" x14ac:dyDescent="0.25">
      <c r="A1360" s="1" t="s">
        <v>1164</v>
      </c>
      <c r="B1360" s="3">
        <v>363</v>
      </c>
      <c r="C1360" s="1">
        <v>1</v>
      </c>
      <c r="D1360" s="1">
        <v>0</v>
      </c>
      <c r="E1360">
        <f t="shared" si="60"/>
        <v>363</v>
      </c>
    </row>
    <row r="1361" spans="1:5" x14ac:dyDescent="0.25">
      <c r="A1361" s="1" t="s">
        <v>1166</v>
      </c>
      <c r="B1361" s="3">
        <v>315</v>
      </c>
      <c r="C1361" s="1">
        <v>1</v>
      </c>
      <c r="D1361" s="1">
        <v>0</v>
      </c>
      <c r="E1361">
        <f t="shared" si="60"/>
        <v>315</v>
      </c>
    </row>
    <row r="1362" spans="1:5" x14ac:dyDescent="0.25">
      <c r="A1362" s="1" t="s">
        <v>1167</v>
      </c>
      <c r="B1362" s="3">
        <v>119</v>
      </c>
      <c r="C1362" s="1">
        <v>1</v>
      </c>
      <c r="D1362" s="1">
        <v>0</v>
      </c>
      <c r="E1362">
        <f t="shared" si="60"/>
        <v>119</v>
      </c>
    </row>
    <row r="1363" spans="1:5" x14ac:dyDescent="0.25">
      <c r="A1363" s="1" t="s">
        <v>1168</v>
      </c>
      <c r="B1363" s="3">
        <v>714</v>
      </c>
      <c r="C1363" s="1">
        <v>1</v>
      </c>
      <c r="D1363" s="1">
        <v>71</v>
      </c>
      <c r="E1363">
        <f t="shared" si="60"/>
        <v>643</v>
      </c>
    </row>
    <row r="1364" spans="1:5" x14ac:dyDescent="0.25">
      <c r="A1364" s="1" t="s">
        <v>1170</v>
      </c>
      <c r="B1364" s="3">
        <v>497</v>
      </c>
      <c r="C1364" s="1">
        <v>1</v>
      </c>
      <c r="D1364" s="1">
        <v>34</v>
      </c>
      <c r="E1364">
        <f t="shared" si="60"/>
        <v>463</v>
      </c>
    </row>
    <row r="1365" spans="1:5" x14ac:dyDescent="0.25">
      <c r="A1365" s="1" t="s">
        <v>1172</v>
      </c>
      <c r="B1365" s="3">
        <v>882</v>
      </c>
      <c r="C1365" s="1">
        <v>1</v>
      </c>
      <c r="D1365" s="1">
        <v>0</v>
      </c>
      <c r="E1365">
        <f t="shared" si="60"/>
        <v>882</v>
      </c>
    </row>
    <row r="1366" spans="1:5" x14ac:dyDescent="0.25">
      <c r="A1366" s="1" t="s">
        <v>1172</v>
      </c>
      <c r="B1366" s="3">
        <v>882</v>
      </c>
      <c r="C1366" s="1">
        <v>1</v>
      </c>
      <c r="D1366" s="1">
        <v>0</v>
      </c>
      <c r="E1366">
        <f t="shared" si="60"/>
        <v>882</v>
      </c>
    </row>
    <row r="1367" spans="1:5" x14ac:dyDescent="0.25">
      <c r="A1367" s="1" t="s">
        <v>1174</v>
      </c>
      <c r="B1367" s="3">
        <v>339</v>
      </c>
      <c r="C1367" s="1">
        <v>1</v>
      </c>
      <c r="D1367" s="1">
        <v>0</v>
      </c>
      <c r="E1367">
        <f t="shared" si="60"/>
        <v>339</v>
      </c>
    </row>
    <row r="1368" spans="1:5" x14ac:dyDescent="0.25">
      <c r="A1368" s="1" t="s">
        <v>963</v>
      </c>
      <c r="B1368" s="3">
        <v>37</v>
      </c>
      <c r="C1368" s="1">
        <v>1</v>
      </c>
      <c r="D1368" s="1">
        <v>0</v>
      </c>
      <c r="E1368">
        <f t="shared" si="60"/>
        <v>37</v>
      </c>
    </row>
    <row r="1369" spans="1:5" x14ac:dyDescent="0.25">
      <c r="A1369" s="1" t="s">
        <v>550</v>
      </c>
      <c r="B1369" s="3">
        <v>418</v>
      </c>
      <c r="C1369" s="1">
        <v>1</v>
      </c>
      <c r="D1369" s="1">
        <v>0</v>
      </c>
      <c r="E1369">
        <f t="shared" si="60"/>
        <v>418</v>
      </c>
    </row>
    <row r="1370" spans="1:5" x14ac:dyDescent="0.25">
      <c r="A1370" s="1" t="s">
        <v>366</v>
      </c>
      <c r="B1370" s="3">
        <v>60</v>
      </c>
      <c r="C1370" s="1">
        <v>1</v>
      </c>
      <c r="D1370" s="1">
        <v>0</v>
      </c>
      <c r="E1370">
        <f t="shared" si="60"/>
        <v>60</v>
      </c>
    </row>
    <row r="1371" spans="1:5" x14ac:dyDescent="0.25">
      <c r="A1371" s="1" t="s">
        <v>1175</v>
      </c>
      <c r="B1371" s="3">
        <v>218</v>
      </c>
      <c r="C1371" s="1">
        <v>1</v>
      </c>
      <c r="D1371" s="1">
        <v>15</v>
      </c>
      <c r="E1371">
        <f t="shared" si="60"/>
        <v>203</v>
      </c>
    </row>
    <row r="1372" spans="1:5" x14ac:dyDescent="0.25">
      <c r="A1372" s="1" t="s">
        <v>331</v>
      </c>
      <c r="B1372" s="3">
        <v>26</v>
      </c>
      <c r="C1372" s="1">
        <v>1</v>
      </c>
      <c r="D1372" s="1">
        <v>1</v>
      </c>
      <c r="E1372">
        <f t="shared" si="60"/>
        <v>25</v>
      </c>
    </row>
    <row r="1373" spans="1:5" x14ac:dyDescent="0.25">
      <c r="A1373" s="1" t="s">
        <v>379</v>
      </c>
      <c r="B1373" s="3">
        <v>76</v>
      </c>
      <c r="C1373" s="1">
        <v>1</v>
      </c>
      <c r="D1373" s="1">
        <v>5</v>
      </c>
      <c r="E1373">
        <f t="shared" si="60"/>
        <v>71</v>
      </c>
    </row>
    <row r="1374" spans="1:5" x14ac:dyDescent="0.25">
      <c r="A1374" s="1" t="s">
        <v>1177</v>
      </c>
      <c r="B1374" s="3">
        <v>502</v>
      </c>
      <c r="C1374" s="1">
        <v>1</v>
      </c>
      <c r="D1374" s="1">
        <v>35</v>
      </c>
      <c r="E1374">
        <f t="shared" si="60"/>
        <v>467</v>
      </c>
    </row>
    <row r="1375" spans="1:5" x14ac:dyDescent="0.25">
      <c r="A1375" s="1" t="s">
        <v>816</v>
      </c>
      <c r="B1375" s="3">
        <v>42</v>
      </c>
      <c r="C1375" s="1">
        <v>1</v>
      </c>
      <c r="D1375" s="1">
        <v>2</v>
      </c>
      <c r="E1375">
        <f t="shared" si="60"/>
        <v>40</v>
      </c>
    </row>
    <row r="1376" spans="1:5" x14ac:dyDescent="0.25">
      <c r="A1376" s="1" t="s">
        <v>816</v>
      </c>
      <c r="B1376" s="3">
        <v>42</v>
      </c>
      <c r="C1376" s="1">
        <v>1</v>
      </c>
      <c r="D1376" s="1">
        <v>0</v>
      </c>
      <c r="E1376">
        <f t="shared" si="60"/>
        <v>42</v>
      </c>
    </row>
    <row r="1377" spans="1:5" x14ac:dyDescent="0.25">
      <c r="A1377" s="1" t="s">
        <v>1178</v>
      </c>
      <c r="B1377" s="3">
        <v>102</v>
      </c>
      <c r="C1377" s="1">
        <v>1</v>
      </c>
      <c r="D1377" s="1">
        <v>10</v>
      </c>
      <c r="E1377">
        <f t="shared" si="60"/>
        <v>92</v>
      </c>
    </row>
    <row r="1378" spans="1:5" x14ac:dyDescent="0.25">
      <c r="A1378" s="1" t="s">
        <v>265</v>
      </c>
      <c r="B1378" s="3">
        <v>48</v>
      </c>
      <c r="C1378" s="1">
        <v>1</v>
      </c>
      <c r="D1378" s="1">
        <v>4</v>
      </c>
      <c r="E1378">
        <f t="shared" si="60"/>
        <v>44</v>
      </c>
    </row>
    <row r="1379" spans="1:5" x14ac:dyDescent="0.25">
      <c r="A1379" s="1" t="s">
        <v>1179</v>
      </c>
      <c r="B1379" s="3">
        <v>1839</v>
      </c>
      <c r="C1379" s="1">
        <v>0.2</v>
      </c>
      <c r="D1379" s="1">
        <v>54.8</v>
      </c>
      <c r="E1379">
        <f t="shared" si="60"/>
        <v>313</v>
      </c>
    </row>
    <row r="1380" spans="1:5" x14ac:dyDescent="0.25">
      <c r="A1380" s="1" t="s">
        <v>1181</v>
      </c>
      <c r="B1380" s="3">
        <v>798</v>
      </c>
      <c r="C1380" s="1">
        <v>1</v>
      </c>
      <c r="D1380" s="1">
        <v>119</v>
      </c>
      <c r="E1380">
        <f t="shared" si="60"/>
        <v>679</v>
      </c>
    </row>
    <row r="1381" spans="1:5" x14ac:dyDescent="0.25">
      <c r="A1381" s="1" t="s">
        <v>1182</v>
      </c>
      <c r="B1381" s="3">
        <v>188</v>
      </c>
      <c r="C1381" s="1">
        <v>1</v>
      </c>
      <c r="D1381" s="1">
        <v>18</v>
      </c>
      <c r="E1381">
        <f t="shared" si="60"/>
        <v>170</v>
      </c>
    </row>
    <row r="1382" spans="1:5" x14ac:dyDescent="0.25">
      <c r="A1382" s="1" t="s">
        <v>1098</v>
      </c>
      <c r="B1382" s="3">
        <v>163</v>
      </c>
      <c r="C1382" s="1">
        <v>1</v>
      </c>
      <c r="D1382" s="1">
        <v>0</v>
      </c>
      <c r="E1382">
        <f t="shared" si="60"/>
        <v>163</v>
      </c>
    </row>
    <row r="1383" spans="1:5" x14ac:dyDescent="0.25">
      <c r="A1383" s="1" t="s">
        <v>110</v>
      </c>
      <c r="B1383" s="3">
        <v>124</v>
      </c>
      <c r="C1383" s="1">
        <v>1</v>
      </c>
      <c r="D1383" s="1">
        <v>0</v>
      </c>
      <c r="E1383">
        <f t="shared" si="60"/>
        <v>124</v>
      </c>
    </row>
    <row r="1384" spans="1:5" x14ac:dyDescent="0.25">
      <c r="A1384" s="1" t="s">
        <v>1183</v>
      </c>
      <c r="B1384" s="3">
        <v>1945</v>
      </c>
      <c r="C1384" s="1">
        <v>0.2</v>
      </c>
      <c r="D1384" s="1">
        <v>0</v>
      </c>
      <c r="E1384">
        <f t="shared" si="60"/>
        <v>389</v>
      </c>
    </row>
    <row r="1385" spans="1:5" x14ac:dyDescent="0.25">
      <c r="A1385" s="1" t="s">
        <v>1184</v>
      </c>
      <c r="B1385" s="3">
        <v>470</v>
      </c>
      <c r="C1385" s="1">
        <v>1</v>
      </c>
      <c r="D1385" s="1">
        <v>0</v>
      </c>
      <c r="E1385">
        <f t="shared" si="60"/>
        <v>470</v>
      </c>
    </row>
    <row r="1386" spans="1:5" x14ac:dyDescent="0.25">
      <c r="A1386" s="1" t="s">
        <v>424</v>
      </c>
      <c r="B1386" s="3">
        <v>587</v>
      </c>
      <c r="C1386" s="1">
        <v>1</v>
      </c>
      <c r="D1386" s="1">
        <v>0</v>
      </c>
      <c r="E1386">
        <f t="shared" si="60"/>
        <v>587</v>
      </c>
    </row>
    <row r="1387" spans="1:5" x14ac:dyDescent="0.25">
      <c r="A1387" s="1" t="s">
        <v>482</v>
      </c>
      <c r="B1387" s="3">
        <v>159</v>
      </c>
      <c r="C1387" s="1">
        <v>1</v>
      </c>
      <c r="D1387" s="1">
        <v>0</v>
      </c>
      <c r="E1387">
        <f t="shared" si="60"/>
        <v>159</v>
      </c>
    </row>
    <row r="1388" spans="1:5" x14ac:dyDescent="0.25">
      <c r="A1388" s="1" t="s">
        <v>78</v>
      </c>
      <c r="B1388" s="3">
        <v>182</v>
      </c>
      <c r="C1388" s="1">
        <v>1</v>
      </c>
      <c r="D1388" s="1">
        <v>0</v>
      </c>
      <c r="E1388">
        <f t="shared" si="60"/>
        <v>182</v>
      </c>
    </row>
    <row r="1389" spans="1:5" x14ac:dyDescent="0.25">
      <c r="A1389" s="1" t="s">
        <v>1185</v>
      </c>
      <c r="B1389" s="3">
        <v>137</v>
      </c>
      <c r="C1389" s="1">
        <v>1</v>
      </c>
      <c r="D1389" s="1">
        <v>0</v>
      </c>
      <c r="E1389">
        <f t="shared" si="60"/>
        <v>137</v>
      </c>
    </row>
    <row r="1390" spans="1:5" x14ac:dyDescent="0.25">
      <c r="A1390" s="1" t="s">
        <v>1185</v>
      </c>
      <c r="B1390" s="3">
        <v>137</v>
      </c>
      <c r="C1390" s="1">
        <v>1</v>
      </c>
      <c r="D1390" s="1">
        <v>0</v>
      </c>
      <c r="E1390">
        <f t="shared" si="60"/>
        <v>137</v>
      </c>
    </row>
    <row r="1391" spans="1:5" x14ac:dyDescent="0.25">
      <c r="A1391" s="1" t="s">
        <v>95</v>
      </c>
      <c r="B1391" s="3">
        <v>50</v>
      </c>
      <c r="C1391" s="1">
        <v>3</v>
      </c>
      <c r="D1391" s="1">
        <v>15</v>
      </c>
      <c r="E1391">
        <f t="shared" si="60"/>
        <v>135</v>
      </c>
    </row>
    <row r="1392" spans="1:5" x14ac:dyDescent="0.25">
      <c r="A1392" s="1" t="s">
        <v>169</v>
      </c>
      <c r="B1392" s="3">
        <v>39</v>
      </c>
      <c r="C1392" s="1">
        <v>1</v>
      </c>
      <c r="D1392" s="1">
        <v>2</v>
      </c>
      <c r="E1392">
        <f t="shared" si="60"/>
        <v>37</v>
      </c>
    </row>
    <row r="1393" spans="1:5" x14ac:dyDescent="0.25">
      <c r="A1393" s="1" t="s">
        <v>825</v>
      </c>
      <c r="B1393" s="3">
        <v>123</v>
      </c>
      <c r="C1393" s="1">
        <v>1</v>
      </c>
      <c r="D1393" s="1">
        <v>8</v>
      </c>
      <c r="E1393">
        <f t="shared" si="60"/>
        <v>115</v>
      </c>
    </row>
    <row r="1394" spans="1:5" x14ac:dyDescent="0.25">
      <c r="A1394" s="1" t="s">
        <v>1186</v>
      </c>
      <c r="B1394" s="3">
        <v>500</v>
      </c>
      <c r="C1394" s="1">
        <v>1</v>
      </c>
      <c r="D1394" s="1">
        <v>0</v>
      </c>
      <c r="E1394">
        <f t="shared" si="60"/>
        <v>500</v>
      </c>
    </row>
    <row r="1395" spans="1:5" x14ac:dyDescent="0.25">
      <c r="A1395" s="1" t="s">
        <v>1188</v>
      </c>
      <c r="B1395" s="3">
        <v>175</v>
      </c>
      <c r="C1395" s="1">
        <v>1</v>
      </c>
      <c r="D1395" s="1">
        <v>0</v>
      </c>
      <c r="E1395">
        <f t="shared" si="60"/>
        <v>175</v>
      </c>
    </row>
    <row r="1396" spans="1:5" x14ac:dyDescent="0.25">
      <c r="A1396" s="1" t="s">
        <v>842</v>
      </c>
      <c r="B1396" s="3">
        <v>720</v>
      </c>
      <c r="C1396" s="1">
        <v>1</v>
      </c>
      <c r="D1396" s="1">
        <v>0</v>
      </c>
      <c r="E1396">
        <f t="shared" si="60"/>
        <v>720</v>
      </c>
    </row>
    <row r="1397" spans="1:5" x14ac:dyDescent="0.25">
      <c r="A1397" s="1" t="s">
        <v>1190</v>
      </c>
      <c r="B1397" s="3">
        <v>137</v>
      </c>
      <c r="C1397" s="1">
        <v>1</v>
      </c>
      <c r="D1397" s="1">
        <v>0</v>
      </c>
      <c r="E1397">
        <f t="shared" si="60"/>
        <v>137</v>
      </c>
    </row>
    <row r="1398" spans="1:5" x14ac:dyDescent="0.25">
      <c r="A1398" s="1" t="s">
        <v>251</v>
      </c>
      <c r="B1398" s="3">
        <v>53</v>
      </c>
      <c r="C1398" s="1">
        <v>1</v>
      </c>
      <c r="D1398" s="1">
        <v>2</v>
      </c>
      <c r="E1398">
        <f t="shared" si="60"/>
        <v>51</v>
      </c>
    </row>
    <row r="1399" spans="1:5" x14ac:dyDescent="0.25">
      <c r="A1399" s="1" t="s">
        <v>251</v>
      </c>
      <c r="B1399" s="3">
        <v>53</v>
      </c>
      <c r="C1399" s="1">
        <v>1</v>
      </c>
      <c r="D1399" s="1">
        <v>2</v>
      </c>
      <c r="E1399">
        <f t="shared" si="60"/>
        <v>51</v>
      </c>
    </row>
    <row r="1400" spans="1:5" x14ac:dyDescent="0.25">
      <c r="A1400" s="1" t="s">
        <v>1191</v>
      </c>
      <c r="B1400" s="3">
        <v>168</v>
      </c>
      <c r="C1400" s="1">
        <v>1</v>
      </c>
      <c r="D1400" s="1">
        <v>8</v>
      </c>
      <c r="E1400">
        <f t="shared" si="60"/>
        <v>160</v>
      </c>
    </row>
    <row r="1401" spans="1:5" x14ac:dyDescent="0.25">
      <c r="A1401" s="1" t="s">
        <v>1192</v>
      </c>
      <c r="B1401" s="3">
        <v>702</v>
      </c>
      <c r="C1401" s="1">
        <v>1</v>
      </c>
      <c r="D1401" s="1">
        <v>21</v>
      </c>
      <c r="E1401">
        <f t="shared" si="60"/>
        <v>681</v>
      </c>
    </row>
    <row r="1402" spans="1:5" x14ac:dyDescent="0.25">
      <c r="A1402" s="1" t="s">
        <v>1193</v>
      </c>
      <c r="B1402" s="3">
        <v>285</v>
      </c>
      <c r="C1402" s="1">
        <v>1</v>
      </c>
      <c r="D1402" s="1">
        <v>19</v>
      </c>
      <c r="E1402">
        <f t="shared" si="60"/>
        <v>266</v>
      </c>
    </row>
    <row r="1403" spans="1:5" x14ac:dyDescent="0.25">
      <c r="A1403" s="1" t="s">
        <v>1194</v>
      </c>
      <c r="B1403" s="3">
        <v>235</v>
      </c>
      <c r="C1403" s="1">
        <v>1</v>
      </c>
      <c r="D1403" s="1">
        <v>0</v>
      </c>
      <c r="E1403">
        <f t="shared" si="60"/>
        <v>235</v>
      </c>
    </row>
    <row r="1404" spans="1:5" x14ac:dyDescent="0.25">
      <c r="A1404" s="1" t="s">
        <v>393</v>
      </c>
      <c r="B1404" s="3">
        <v>106</v>
      </c>
      <c r="C1404" s="1">
        <v>1</v>
      </c>
      <c r="D1404" s="1">
        <v>7</v>
      </c>
      <c r="E1404">
        <f t="shared" si="60"/>
        <v>99</v>
      </c>
    </row>
    <row r="1405" spans="1:5" x14ac:dyDescent="0.25">
      <c r="A1405" s="1" t="s">
        <v>854</v>
      </c>
      <c r="B1405" s="3">
        <v>640</v>
      </c>
      <c r="C1405" s="1">
        <v>1</v>
      </c>
      <c r="D1405" s="1">
        <v>44</v>
      </c>
      <c r="E1405">
        <f t="shared" si="60"/>
        <v>596</v>
      </c>
    </row>
    <row r="1406" spans="1:5" x14ac:dyDescent="0.25">
      <c r="A1406" s="1" t="s">
        <v>1195</v>
      </c>
      <c r="B1406" s="3">
        <v>419</v>
      </c>
      <c r="C1406" s="1">
        <v>1</v>
      </c>
      <c r="D1406" s="1">
        <v>29</v>
      </c>
      <c r="E1406">
        <f t="shared" si="60"/>
        <v>390</v>
      </c>
    </row>
    <row r="1407" spans="1:5" x14ac:dyDescent="0.25">
      <c r="A1407" s="1" t="s">
        <v>863</v>
      </c>
      <c r="B1407" s="3">
        <v>53</v>
      </c>
      <c r="C1407" s="1">
        <v>1</v>
      </c>
      <c r="D1407" s="1">
        <v>0</v>
      </c>
      <c r="E1407">
        <f t="shared" si="60"/>
        <v>53</v>
      </c>
    </row>
    <row r="1408" spans="1:5" x14ac:dyDescent="0.25">
      <c r="A1408" s="1" t="s">
        <v>863</v>
      </c>
      <c r="B1408" s="3">
        <v>53</v>
      </c>
      <c r="C1408" s="1">
        <v>1</v>
      </c>
      <c r="D1408" s="1">
        <v>0</v>
      </c>
      <c r="E1408">
        <f t="shared" si="60"/>
        <v>53</v>
      </c>
    </row>
    <row r="1409" spans="1:5" x14ac:dyDescent="0.25">
      <c r="A1409" s="1" t="s">
        <v>87</v>
      </c>
      <c r="B1409" s="3">
        <v>53</v>
      </c>
      <c r="C1409" s="1">
        <v>1</v>
      </c>
      <c r="D1409" s="1">
        <v>0</v>
      </c>
      <c r="E1409">
        <f t="shared" si="60"/>
        <v>53</v>
      </c>
    </row>
    <row r="1410" spans="1:5" x14ac:dyDescent="0.25">
      <c r="A1410" s="1" t="s">
        <v>267</v>
      </c>
      <c r="B1410" s="3">
        <v>66</v>
      </c>
      <c r="C1410" s="1">
        <v>1</v>
      </c>
      <c r="D1410" s="1">
        <v>0</v>
      </c>
      <c r="E1410">
        <f t="shared" si="60"/>
        <v>66</v>
      </c>
    </row>
    <row r="1411" spans="1:5" x14ac:dyDescent="0.25">
      <c r="A1411" s="1" t="s">
        <v>267</v>
      </c>
      <c r="B1411" s="3">
        <v>66</v>
      </c>
      <c r="C1411" s="1">
        <v>1</v>
      </c>
      <c r="D1411" s="1">
        <v>0</v>
      </c>
      <c r="E1411">
        <f t="shared" ref="E1411:E1449" si="61">C1411*B1411-D1411</f>
        <v>66</v>
      </c>
    </row>
    <row r="1412" spans="1:5" x14ac:dyDescent="0.25">
      <c r="A1412" s="1" t="s">
        <v>118</v>
      </c>
      <c r="B1412" s="3">
        <v>25</v>
      </c>
      <c r="C1412" s="1">
        <v>1</v>
      </c>
      <c r="D1412" s="1">
        <v>0</v>
      </c>
      <c r="E1412">
        <f t="shared" si="61"/>
        <v>25</v>
      </c>
    </row>
    <row r="1413" spans="1:5" x14ac:dyDescent="0.25">
      <c r="A1413" s="1" t="s">
        <v>301</v>
      </c>
      <c r="B1413" s="3">
        <v>70</v>
      </c>
      <c r="C1413" s="1">
        <v>2</v>
      </c>
      <c r="D1413" s="1">
        <v>0</v>
      </c>
      <c r="E1413">
        <f t="shared" si="61"/>
        <v>140</v>
      </c>
    </row>
    <row r="1414" spans="1:5" x14ac:dyDescent="0.25">
      <c r="A1414" s="1" t="s">
        <v>745</v>
      </c>
      <c r="B1414" s="3">
        <v>39</v>
      </c>
      <c r="C1414" s="1">
        <v>1</v>
      </c>
      <c r="D1414" s="1">
        <v>0</v>
      </c>
      <c r="E1414">
        <f t="shared" si="61"/>
        <v>39</v>
      </c>
    </row>
    <row r="1415" spans="1:5" x14ac:dyDescent="0.25">
      <c r="A1415" s="1" t="s">
        <v>872</v>
      </c>
      <c r="B1415" s="3">
        <v>365</v>
      </c>
      <c r="C1415" s="1">
        <v>1</v>
      </c>
      <c r="D1415" s="1">
        <v>25</v>
      </c>
      <c r="E1415">
        <f t="shared" si="61"/>
        <v>340</v>
      </c>
    </row>
    <row r="1416" spans="1:5" x14ac:dyDescent="0.25">
      <c r="A1416" s="1" t="s">
        <v>1196</v>
      </c>
      <c r="B1416" s="3">
        <v>195</v>
      </c>
      <c r="C1416" s="1">
        <v>1</v>
      </c>
      <c r="D1416" s="1">
        <v>0</v>
      </c>
      <c r="E1416">
        <f t="shared" si="61"/>
        <v>195</v>
      </c>
    </row>
    <row r="1417" spans="1:5" x14ac:dyDescent="0.25">
      <c r="A1417" s="1" t="s">
        <v>1198</v>
      </c>
      <c r="B1417" s="3">
        <v>73</v>
      </c>
      <c r="C1417" s="1">
        <v>1</v>
      </c>
      <c r="D1417" s="1">
        <v>5</v>
      </c>
      <c r="E1417">
        <f t="shared" si="61"/>
        <v>68</v>
      </c>
    </row>
    <row r="1418" spans="1:5" x14ac:dyDescent="0.25">
      <c r="A1418" s="1" t="s">
        <v>672</v>
      </c>
      <c r="B1418" s="3">
        <v>28</v>
      </c>
      <c r="C1418" s="1">
        <v>1</v>
      </c>
      <c r="D1418" s="1">
        <v>2</v>
      </c>
      <c r="E1418">
        <f t="shared" si="61"/>
        <v>26</v>
      </c>
    </row>
    <row r="1419" spans="1:5" x14ac:dyDescent="0.25">
      <c r="A1419" s="1" t="s">
        <v>44</v>
      </c>
      <c r="B1419" s="3">
        <v>58</v>
      </c>
      <c r="C1419" s="1">
        <v>1</v>
      </c>
      <c r="D1419" s="1">
        <v>5</v>
      </c>
      <c r="E1419">
        <f t="shared" si="61"/>
        <v>53</v>
      </c>
    </row>
    <row r="1420" spans="1:5" x14ac:dyDescent="0.25">
      <c r="A1420" s="1" t="s">
        <v>1200</v>
      </c>
      <c r="B1420" s="3">
        <v>493</v>
      </c>
      <c r="C1420" s="1">
        <v>1</v>
      </c>
      <c r="D1420" s="1">
        <v>34</v>
      </c>
      <c r="E1420">
        <f t="shared" si="61"/>
        <v>459</v>
      </c>
    </row>
    <row r="1421" spans="1:5" x14ac:dyDescent="0.25">
      <c r="A1421" s="1" t="s">
        <v>361</v>
      </c>
      <c r="B1421" s="3">
        <v>218</v>
      </c>
      <c r="C1421" s="1">
        <v>1</v>
      </c>
      <c r="D1421" s="1">
        <v>10</v>
      </c>
      <c r="E1421">
        <f t="shared" si="61"/>
        <v>208</v>
      </c>
    </row>
    <row r="1422" spans="1:5" x14ac:dyDescent="0.25">
      <c r="A1422" s="1" t="s">
        <v>1201</v>
      </c>
      <c r="B1422" s="3">
        <v>1276</v>
      </c>
      <c r="C1422" s="1">
        <v>1</v>
      </c>
      <c r="D1422" s="1">
        <v>63</v>
      </c>
      <c r="E1422">
        <f t="shared" si="61"/>
        <v>1213</v>
      </c>
    </row>
    <row r="1423" spans="1:5" x14ac:dyDescent="0.25">
      <c r="A1423" s="1" t="s">
        <v>28</v>
      </c>
      <c r="B1423" s="3">
        <v>539</v>
      </c>
      <c r="C1423" s="1">
        <v>1</v>
      </c>
      <c r="D1423" s="1">
        <v>53</v>
      </c>
      <c r="E1423">
        <f t="shared" si="61"/>
        <v>486</v>
      </c>
    </row>
    <row r="1424" spans="1:5" x14ac:dyDescent="0.25">
      <c r="A1424" s="1" t="s">
        <v>1203</v>
      </c>
      <c r="B1424" s="3">
        <v>1115</v>
      </c>
      <c r="C1424" s="1">
        <v>1</v>
      </c>
      <c r="D1424" s="1">
        <v>78</v>
      </c>
      <c r="E1424">
        <f t="shared" si="61"/>
        <v>1037</v>
      </c>
    </row>
    <row r="1425" spans="1:5" x14ac:dyDescent="0.25">
      <c r="A1425" s="1" t="s">
        <v>1205</v>
      </c>
      <c r="B1425" s="3">
        <v>628</v>
      </c>
      <c r="C1425" s="1">
        <v>1</v>
      </c>
      <c r="D1425" s="1">
        <v>43</v>
      </c>
      <c r="E1425">
        <f t="shared" si="61"/>
        <v>585</v>
      </c>
    </row>
    <row r="1426" spans="1:5" x14ac:dyDescent="0.25">
      <c r="A1426" s="1" t="s">
        <v>681</v>
      </c>
      <c r="B1426" s="3">
        <v>226</v>
      </c>
      <c r="C1426" s="1">
        <v>1</v>
      </c>
      <c r="D1426" s="1">
        <v>0</v>
      </c>
      <c r="E1426">
        <f t="shared" si="61"/>
        <v>226</v>
      </c>
    </row>
    <row r="1427" spans="1:5" x14ac:dyDescent="0.25">
      <c r="A1427" s="1" t="s">
        <v>1206</v>
      </c>
      <c r="B1427" s="3">
        <v>472</v>
      </c>
      <c r="C1427" s="1">
        <v>1</v>
      </c>
      <c r="D1427" s="1">
        <v>0</v>
      </c>
      <c r="E1427">
        <f t="shared" si="61"/>
        <v>472</v>
      </c>
    </row>
    <row r="1428" spans="1:5" x14ac:dyDescent="0.25">
      <c r="A1428" s="1" t="s">
        <v>1208</v>
      </c>
      <c r="B1428" s="3">
        <v>298</v>
      </c>
      <c r="C1428" s="1">
        <v>1</v>
      </c>
      <c r="D1428" s="1">
        <v>0</v>
      </c>
      <c r="E1428">
        <f t="shared" si="61"/>
        <v>298</v>
      </c>
    </row>
    <row r="1429" spans="1:5" x14ac:dyDescent="0.25">
      <c r="A1429" s="1" t="s">
        <v>1209</v>
      </c>
      <c r="B1429" s="3">
        <v>177</v>
      </c>
      <c r="C1429" s="1">
        <v>1</v>
      </c>
      <c r="D1429" s="1">
        <v>0</v>
      </c>
      <c r="E1429">
        <f t="shared" si="61"/>
        <v>177</v>
      </c>
    </row>
    <row r="1430" spans="1:5" x14ac:dyDescent="0.25">
      <c r="A1430" s="1" t="s">
        <v>1001</v>
      </c>
      <c r="B1430" s="3">
        <v>59</v>
      </c>
      <c r="C1430" s="1">
        <v>1</v>
      </c>
      <c r="D1430" s="1">
        <v>0</v>
      </c>
      <c r="E1430">
        <f t="shared" si="61"/>
        <v>59</v>
      </c>
    </row>
    <row r="1431" spans="1:5" x14ac:dyDescent="0.25">
      <c r="A1431" s="1" t="s">
        <v>991</v>
      </c>
      <c r="B1431" s="3">
        <v>25</v>
      </c>
      <c r="C1431" s="1">
        <v>1</v>
      </c>
      <c r="D1431" s="1">
        <v>0</v>
      </c>
      <c r="E1431">
        <f t="shared" si="61"/>
        <v>25</v>
      </c>
    </row>
    <row r="1432" spans="1:5" x14ac:dyDescent="0.25">
      <c r="A1432" s="1" t="s">
        <v>1210</v>
      </c>
      <c r="B1432" s="3">
        <v>1812</v>
      </c>
      <c r="C1432" s="1">
        <v>1</v>
      </c>
      <c r="D1432" s="1">
        <v>0</v>
      </c>
      <c r="E1432">
        <f t="shared" si="61"/>
        <v>1812</v>
      </c>
    </row>
    <row r="1433" spans="1:5" x14ac:dyDescent="0.25">
      <c r="A1433" s="1" t="s">
        <v>567</v>
      </c>
      <c r="B1433" s="3">
        <v>239</v>
      </c>
      <c r="C1433" s="1">
        <v>1</v>
      </c>
      <c r="D1433" s="1">
        <v>23</v>
      </c>
      <c r="E1433">
        <f t="shared" si="61"/>
        <v>216</v>
      </c>
    </row>
    <row r="1434" spans="1:5" x14ac:dyDescent="0.25">
      <c r="A1434" s="1" t="s">
        <v>1212</v>
      </c>
      <c r="B1434" s="3">
        <v>30</v>
      </c>
      <c r="C1434" s="1">
        <v>1</v>
      </c>
      <c r="D1434" s="1">
        <v>1</v>
      </c>
      <c r="E1434">
        <f t="shared" si="61"/>
        <v>29</v>
      </c>
    </row>
    <row r="1435" spans="1:5" x14ac:dyDescent="0.25">
      <c r="A1435" s="1" t="s">
        <v>155</v>
      </c>
      <c r="B1435" s="3">
        <v>186</v>
      </c>
      <c r="C1435" s="1">
        <v>1</v>
      </c>
      <c r="D1435" s="1">
        <v>0</v>
      </c>
      <c r="E1435">
        <f t="shared" si="61"/>
        <v>186</v>
      </c>
    </row>
    <row r="1436" spans="1:5" x14ac:dyDescent="0.25">
      <c r="A1436" s="1" t="s">
        <v>1182</v>
      </c>
      <c r="B1436" s="3">
        <v>188</v>
      </c>
      <c r="C1436" s="1">
        <v>1</v>
      </c>
      <c r="D1436" s="1">
        <v>9</v>
      </c>
      <c r="E1436">
        <f t="shared" si="61"/>
        <v>179</v>
      </c>
    </row>
    <row r="1437" spans="1:5" x14ac:dyDescent="0.25">
      <c r="A1437" s="1" t="s">
        <v>1213</v>
      </c>
      <c r="B1437" s="3">
        <v>188</v>
      </c>
      <c r="C1437" s="1">
        <v>1</v>
      </c>
      <c r="D1437" s="1">
        <v>18</v>
      </c>
      <c r="E1437">
        <f t="shared" si="61"/>
        <v>170</v>
      </c>
    </row>
    <row r="1438" spans="1:5" x14ac:dyDescent="0.25">
      <c r="A1438" s="1" t="s">
        <v>1214</v>
      </c>
      <c r="B1438" s="3">
        <v>511</v>
      </c>
      <c r="C1438" s="1">
        <v>1</v>
      </c>
      <c r="D1438" s="1">
        <v>51</v>
      </c>
      <c r="E1438">
        <f t="shared" si="61"/>
        <v>460</v>
      </c>
    </row>
    <row r="1439" spans="1:5" x14ac:dyDescent="0.25">
      <c r="A1439" s="1" t="s">
        <v>625</v>
      </c>
      <c r="B1439" s="3">
        <v>705</v>
      </c>
      <c r="C1439" s="1">
        <v>0.2</v>
      </c>
      <c r="D1439" s="1">
        <v>0</v>
      </c>
      <c r="E1439">
        <f t="shared" si="61"/>
        <v>141</v>
      </c>
    </row>
    <row r="1440" spans="1:5" x14ac:dyDescent="0.25">
      <c r="A1440" s="1" t="s">
        <v>519</v>
      </c>
      <c r="B1440" s="3">
        <v>121</v>
      </c>
      <c r="C1440" s="1">
        <v>1</v>
      </c>
      <c r="D1440" s="1">
        <v>6</v>
      </c>
      <c r="E1440">
        <f t="shared" si="61"/>
        <v>115</v>
      </c>
    </row>
    <row r="1441" spans="1:5" x14ac:dyDescent="0.25">
      <c r="A1441" s="1" t="s">
        <v>1215</v>
      </c>
      <c r="B1441" s="3">
        <v>3066</v>
      </c>
      <c r="C1441" s="1">
        <v>0.33333332999999998</v>
      </c>
      <c r="D1441" s="1">
        <v>102</v>
      </c>
      <c r="E1441">
        <f t="shared" si="61"/>
        <v>919.99998977999996</v>
      </c>
    </row>
    <row r="1442" spans="1:5" x14ac:dyDescent="0.25">
      <c r="A1442" s="1" t="s">
        <v>1217</v>
      </c>
      <c r="B1442" s="3">
        <v>2041</v>
      </c>
      <c r="C1442" s="1">
        <v>0.33333333999999998</v>
      </c>
      <c r="D1442" s="1">
        <v>0</v>
      </c>
      <c r="E1442">
        <f t="shared" si="61"/>
        <v>680.33334693999996</v>
      </c>
    </row>
    <row r="1443" spans="1:5" x14ac:dyDescent="0.25">
      <c r="A1443" s="1" t="s">
        <v>1219</v>
      </c>
      <c r="B1443" s="3">
        <v>29.9</v>
      </c>
      <c r="C1443" s="1">
        <v>1</v>
      </c>
      <c r="D1443" s="1">
        <v>0</v>
      </c>
      <c r="E1443">
        <f t="shared" si="61"/>
        <v>29.9</v>
      </c>
    </row>
    <row r="1444" spans="1:5" x14ac:dyDescent="0.25">
      <c r="A1444" s="1" t="s">
        <v>355</v>
      </c>
      <c r="B1444" s="3">
        <v>16</v>
      </c>
      <c r="C1444" s="1">
        <v>1</v>
      </c>
      <c r="D1444" s="1">
        <v>0</v>
      </c>
      <c r="E1444">
        <f t="shared" si="61"/>
        <v>16</v>
      </c>
    </row>
    <row r="1445" spans="1:5" x14ac:dyDescent="0.25">
      <c r="A1445" s="1" t="s">
        <v>1220</v>
      </c>
      <c r="B1445" s="3">
        <v>76</v>
      </c>
      <c r="C1445" s="1">
        <v>1</v>
      </c>
      <c r="D1445" s="1">
        <v>0</v>
      </c>
      <c r="E1445">
        <f t="shared" si="61"/>
        <v>76</v>
      </c>
    </row>
    <row r="1446" spans="1:5" x14ac:dyDescent="0.25">
      <c r="A1446" s="1" t="s">
        <v>986</v>
      </c>
      <c r="B1446" s="3">
        <v>51</v>
      </c>
      <c r="C1446" s="1">
        <v>1</v>
      </c>
      <c r="D1446" s="1">
        <v>0</v>
      </c>
      <c r="E1446">
        <f t="shared" si="61"/>
        <v>51</v>
      </c>
    </row>
    <row r="1447" spans="1:5" x14ac:dyDescent="0.25">
      <c r="A1447" s="1" t="s">
        <v>1222</v>
      </c>
      <c r="B1447" s="3">
        <v>322</v>
      </c>
      <c r="C1447" s="1">
        <v>1</v>
      </c>
      <c r="D1447" s="1">
        <v>0</v>
      </c>
      <c r="E1447">
        <f t="shared" si="61"/>
        <v>322</v>
      </c>
    </row>
    <row r="1448" spans="1:5" x14ac:dyDescent="0.25">
      <c r="A1448" s="1" t="s">
        <v>1224</v>
      </c>
      <c r="B1448" s="3">
        <v>12</v>
      </c>
      <c r="C1448" s="1">
        <v>4</v>
      </c>
      <c r="D1448" s="1">
        <v>4</v>
      </c>
      <c r="E1448">
        <f t="shared" si="61"/>
        <v>44</v>
      </c>
    </row>
    <row r="1449" spans="1:5" x14ac:dyDescent="0.25">
      <c r="A1449" s="1" t="s">
        <v>1226</v>
      </c>
      <c r="B1449" s="3">
        <v>30</v>
      </c>
      <c r="C1449" s="1">
        <v>1</v>
      </c>
      <c r="D1449" s="1">
        <v>3</v>
      </c>
      <c r="E1449">
        <f t="shared" si="61"/>
        <v>27</v>
      </c>
    </row>
  </sheetData>
  <autoFilter ref="J1:K804" xr:uid="{1090F4AB-5E5A-4C44-BBD4-1089CA3A4364}">
    <sortState xmlns:xlrd2="http://schemas.microsoft.com/office/spreadsheetml/2017/richdata2" ref="J2:K804">
      <sortCondition descending="1" ref="K1:K80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9D18-DD32-4B5D-9507-30845778C3BB}">
  <dimension ref="A1:W1449"/>
  <sheetViews>
    <sheetView tabSelected="1" topLeftCell="O1" zoomScale="69" workbookViewId="0">
      <selection activeCell="S4" sqref="S4"/>
    </sheetView>
  </sheetViews>
  <sheetFormatPr defaultRowHeight="13.2" x14ac:dyDescent="0.25"/>
  <cols>
    <col min="1" max="1" width="10.109375" bestFit="1" customWidth="1"/>
    <col min="2" max="2" width="80" customWidth="1"/>
    <col min="6" max="6" width="148" bestFit="1" customWidth="1"/>
    <col min="7" max="7" width="21.44140625" bestFit="1" customWidth="1"/>
    <col min="8" max="10" width="12.5546875" bestFit="1" customWidth="1"/>
    <col min="11" max="11" width="11.5546875" bestFit="1" customWidth="1"/>
    <col min="12" max="12" width="12.5546875" bestFit="1" customWidth="1"/>
    <col min="15" max="15" width="110.21875" customWidth="1"/>
    <col min="16" max="16" width="18.5546875" customWidth="1"/>
    <col min="17" max="17" width="16.88671875" customWidth="1"/>
    <col min="22" max="22" width="91.44140625" customWidth="1"/>
  </cols>
  <sheetData>
    <row r="1" spans="1:23" x14ac:dyDescent="0.25">
      <c r="A1" s="1" t="s">
        <v>0</v>
      </c>
      <c r="B1" s="1" t="s">
        <v>9</v>
      </c>
      <c r="C1" s="1" t="s">
        <v>12</v>
      </c>
    </row>
    <row r="2" spans="1:23" x14ac:dyDescent="0.25">
      <c r="A2" s="17">
        <v>44774</v>
      </c>
      <c r="B2" s="1" t="s">
        <v>19</v>
      </c>
      <c r="C2" s="1">
        <v>1</v>
      </c>
      <c r="F2" s="8" t="s">
        <v>1229</v>
      </c>
      <c r="G2" s="8" t="s">
        <v>1241</v>
      </c>
    </row>
    <row r="3" spans="1:23" x14ac:dyDescent="0.25">
      <c r="A3" s="17">
        <v>44774</v>
      </c>
      <c r="B3" s="1" t="s">
        <v>23</v>
      </c>
      <c r="C3" s="1">
        <v>1</v>
      </c>
      <c r="F3" s="8" t="s">
        <v>1242</v>
      </c>
      <c r="G3" s="18">
        <v>44774</v>
      </c>
      <c r="H3" s="18">
        <v>44775</v>
      </c>
      <c r="I3" s="18">
        <v>44776</v>
      </c>
      <c r="J3" s="18">
        <v>44777</v>
      </c>
      <c r="K3" s="18">
        <v>44778</v>
      </c>
      <c r="L3" t="s">
        <v>1228</v>
      </c>
      <c r="O3" t="s">
        <v>1242</v>
      </c>
      <c r="P3" t="s">
        <v>1228</v>
      </c>
      <c r="Q3" s="13" t="s">
        <v>1243</v>
      </c>
    </row>
    <row r="4" spans="1:23" x14ac:dyDescent="0.25">
      <c r="A4" s="17">
        <v>44774</v>
      </c>
      <c r="B4" s="1" t="s">
        <v>25</v>
      </c>
      <c r="C4" s="1">
        <v>1</v>
      </c>
      <c r="F4" s="9" t="s">
        <v>151</v>
      </c>
      <c r="G4" s="10">
        <v>1</v>
      </c>
      <c r="H4" s="10"/>
      <c r="I4" s="10"/>
      <c r="J4" s="10"/>
      <c r="K4" s="10"/>
      <c r="L4" s="10">
        <v>1</v>
      </c>
      <c r="O4" t="s">
        <v>375</v>
      </c>
      <c r="P4">
        <v>68</v>
      </c>
      <c r="Q4">
        <f>(P4/5)*30</f>
        <v>408</v>
      </c>
      <c r="R4">
        <f>Q4/SUM($Q$4:$Q$806)</f>
        <v>4.2265927271319309E-2</v>
      </c>
      <c r="S4">
        <f>R4</f>
        <v>4.2265927271319309E-2</v>
      </c>
      <c r="T4" t="str">
        <f>IF(S4&lt;0.8,"A", IF(S4&lt;0.95,"B","C"))</f>
        <v>A</v>
      </c>
      <c r="V4" t="s">
        <v>375</v>
      </c>
      <c r="W4" t="s">
        <v>1244</v>
      </c>
    </row>
    <row r="5" spans="1:23" x14ac:dyDescent="0.25">
      <c r="A5" s="17">
        <v>44774</v>
      </c>
      <c r="B5" s="1" t="s">
        <v>28</v>
      </c>
      <c r="C5" s="1">
        <v>1</v>
      </c>
      <c r="F5" s="9" t="s">
        <v>515</v>
      </c>
      <c r="G5" s="10"/>
      <c r="H5" s="10">
        <v>1</v>
      </c>
      <c r="I5" s="10"/>
      <c r="J5" s="10"/>
      <c r="K5" s="10"/>
      <c r="L5" s="10">
        <v>1</v>
      </c>
      <c r="O5" t="s">
        <v>416</v>
      </c>
      <c r="P5">
        <v>35</v>
      </c>
      <c r="Q5">
        <f t="shared" ref="Q5:Q68" si="0">(P5/5)*30</f>
        <v>210</v>
      </c>
      <c r="R5">
        <f t="shared" ref="R5:R68" si="1">Q5/SUM($Q$4:$Q$806)</f>
        <v>2.1754521389649645E-2</v>
      </c>
      <c r="S5">
        <f>R5+S4</f>
        <v>6.4020448660968954E-2</v>
      </c>
      <c r="T5" t="str">
        <f t="shared" ref="T5:T68" si="2">IF(S5&lt;0.8,"A", IF(S5&lt;0.95,"B","C"))</f>
        <v>A</v>
      </c>
      <c r="V5" t="s">
        <v>416</v>
      </c>
      <c r="W5" t="s">
        <v>1244</v>
      </c>
    </row>
    <row r="6" spans="1:23" x14ac:dyDescent="0.25">
      <c r="A6" s="17">
        <v>44774</v>
      </c>
      <c r="B6" s="1" t="s">
        <v>30</v>
      </c>
      <c r="C6" s="1">
        <v>1</v>
      </c>
      <c r="F6" s="9" t="s">
        <v>867</v>
      </c>
      <c r="G6" s="10"/>
      <c r="H6" s="10"/>
      <c r="I6" s="10">
        <v>1</v>
      </c>
      <c r="J6" s="10"/>
      <c r="K6" s="10"/>
      <c r="L6" s="10">
        <v>1</v>
      </c>
      <c r="O6" t="s">
        <v>91</v>
      </c>
      <c r="P6">
        <v>26</v>
      </c>
      <c r="Q6">
        <f t="shared" si="0"/>
        <v>156</v>
      </c>
      <c r="R6">
        <f t="shared" si="1"/>
        <v>1.6160501603739736E-2</v>
      </c>
      <c r="S6">
        <f t="shared" ref="S6:S69" si="3">R6+S5</f>
        <v>8.0180950264708686E-2</v>
      </c>
      <c r="T6" t="str">
        <f t="shared" si="2"/>
        <v>A</v>
      </c>
      <c r="V6" t="s">
        <v>91</v>
      </c>
      <c r="W6" t="s">
        <v>1244</v>
      </c>
    </row>
    <row r="7" spans="1:23" x14ac:dyDescent="0.25">
      <c r="A7" s="17">
        <v>44774</v>
      </c>
      <c r="B7" s="1" t="s">
        <v>30</v>
      </c>
      <c r="C7" s="1">
        <v>1</v>
      </c>
      <c r="F7" s="9" t="s">
        <v>106</v>
      </c>
      <c r="G7" s="10">
        <v>1</v>
      </c>
      <c r="H7" s="10"/>
      <c r="I7" s="10"/>
      <c r="J7" s="10"/>
      <c r="K7" s="10"/>
      <c r="L7" s="10">
        <v>1</v>
      </c>
      <c r="O7" t="s">
        <v>415</v>
      </c>
      <c r="P7">
        <v>25</v>
      </c>
      <c r="Q7">
        <f t="shared" si="0"/>
        <v>150</v>
      </c>
      <c r="R7">
        <f t="shared" si="1"/>
        <v>1.5538943849749746E-2</v>
      </c>
      <c r="S7">
        <f t="shared" si="3"/>
        <v>9.5719894114458429E-2</v>
      </c>
      <c r="T7" t="str">
        <f t="shared" si="2"/>
        <v>A</v>
      </c>
      <c r="V7" t="s">
        <v>415</v>
      </c>
      <c r="W7" t="s">
        <v>1244</v>
      </c>
    </row>
    <row r="8" spans="1:23" x14ac:dyDescent="0.25">
      <c r="A8" s="17">
        <v>44774</v>
      </c>
      <c r="B8" s="1" t="s">
        <v>33</v>
      </c>
      <c r="C8" s="1">
        <v>1</v>
      </c>
      <c r="F8" s="9" t="s">
        <v>1209</v>
      </c>
      <c r="G8" s="10"/>
      <c r="H8" s="10"/>
      <c r="I8" s="10"/>
      <c r="J8" s="10"/>
      <c r="K8" s="10">
        <v>1</v>
      </c>
      <c r="L8" s="10">
        <v>1</v>
      </c>
      <c r="O8" t="s">
        <v>583</v>
      </c>
      <c r="P8">
        <v>22</v>
      </c>
      <c r="Q8">
        <f t="shared" si="0"/>
        <v>132</v>
      </c>
      <c r="R8">
        <f t="shared" si="1"/>
        <v>1.3674270587779777E-2</v>
      </c>
      <c r="S8">
        <f t="shared" si="3"/>
        <v>0.1093941647022382</v>
      </c>
      <c r="T8" t="str">
        <f t="shared" si="2"/>
        <v>A</v>
      </c>
      <c r="V8" t="s">
        <v>583</v>
      </c>
      <c r="W8" t="s">
        <v>1244</v>
      </c>
    </row>
    <row r="9" spans="1:23" x14ac:dyDescent="0.25">
      <c r="A9" s="17">
        <v>44774</v>
      </c>
      <c r="B9" s="1" t="s">
        <v>35</v>
      </c>
      <c r="C9" s="1">
        <v>1</v>
      </c>
      <c r="F9" s="9" t="s">
        <v>210</v>
      </c>
      <c r="G9" s="10">
        <v>1</v>
      </c>
      <c r="H9" s="10"/>
      <c r="I9" s="10"/>
      <c r="J9" s="10">
        <v>1</v>
      </c>
      <c r="K9" s="10"/>
      <c r="L9" s="10">
        <v>2</v>
      </c>
      <c r="O9" t="s">
        <v>163</v>
      </c>
      <c r="P9">
        <v>17</v>
      </c>
      <c r="Q9">
        <f t="shared" si="0"/>
        <v>102</v>
      </c>
      <c r="R9">
        <f t="shared" si="1"/>
        <v>1.0566481817829827E-2</v>
      </c>
      <c r="S9">
        <f t="shared" si="3"/>
        <v>0.11996064652006802</v>
      </c>
      <c r="T9" t="str">
        <f t="shared" si="2"/>
        <v>A</v>
      </c>
      <c r="V9" t="s">
        <v>163</v>
      </c>
      <c r="W9" t="s">
        <v>1244</v>
      </c>
    </row>
    <row r="10" spans="1:23" x14ac:dyDescent="0.25">
      <c r="A10" s="17">
        <v>44774</v>
      </c>
      <c r="B10" s="1" t="s">
        <v>37</v>
      </c>
      <c r="C10" s="1">
        <v>1</v>
      </c>
      <c r="F10" s="9" t="s">
        <v>177</v>
      </c>
      <c r="G10" s="10">
        <v>2</v>
      </c>
      <c r="H10" s="10"/>
      <c r="I10" s="10"/>
      <c r="J10" s="10">
        <v>1</v>
      </c>
      <c r="K10" s="10"/>
      <c r="L10" s="10">
        <v>3</v>
      </c>
      <c r="O10" t="s">
        <v>331</v>
      </c>
      <c r="P10">
        <v>14</v>
      </c>
      <c r="Q10">
        <f t="shared" si="0"/>
        <v>84</v>
      </c>
      <c r="R10">
        <f t="shared" si="1"/>
        <v>8.7018085558598583E-3</v>
      </c>
      <c r="S10">
        <f t="shared" si="3"/>
        <v>0.12866245507592788</v>
      </c>
      <c r="T10" t="str">
        <f t="shared" si="2"/>
        <v>A</v>
      </c>
      <c r="V10" t="s">
        <v>331</v>
      </c>
      <c r="W10" t="s">
        <v>1244</v>
      </c>
    </row>
    <row r="11" spans="1:23" x14ac:dyDescent="0.25">
      <c r="A11" s="17">
        <v>44774</v>
      </c>
      <c r="B11" s="1" t="s">
        <v>38</v>
      </c>
      <c r="C11" s="1">
        <v>1</v>
      </c>
      <c r="F11" s="9" t="s">
        <v>41</v>
      </c>
      <c r="G11" s="10">
        <v>1</v>
      </c>
      <c r="H11" s="10"/>
      <c r="I11" s="10"/>
      <c r="J11" s="10"/>
      <c r="K11" s="10"/>
      <c r="L11" s="10">
        <v>1</v>
      </c>
      <c r="O11" t="s">
        <v>1043</v>
      </c>
      <c r="P11">
        <v>14</v>
      </c>
      <c r="Q11">
        <f t="shared" si="0"/>
        <v>84</v>
      </c>
      <c r="R11">
        <f t="shared" si="1"/>
        <v>8.7018085558598583E-3</v>
      </c>
      <c r="S11">
        <f t="shared" si="3"/>
        <v>0.13736426363178775</v>
      </c>
      <c r="T11" t="str">
        <f t="shared" si="2"/>
        <v>A</v>
      </c>
      <c r="V11" t="s">
        <v>1043</v>
      </c>
      <c r="W11" t="s">
        <v>1244</v>
      </c>
    </row>
    <row r="12" spans="1:23" x14ac:dyDescent="0.25">
      <c r="A12" s="17">
        <v>44774</v>
      </c>
      <c r="B12" s="1" t="s">
        <v>39</v>
      </c>
      <c r="C12" s="1">
        <v>1</v>
      </c>
      <c r="F12" s="9" t="s">
        <v>763</v>
      </c>
      <c r="G12" s="10"/>
      <c r="H12" s="10"/>
      <c r="I12" s="10">
        <v>1</v>
      </c>
      <c r="J12" s="10"/>
      <c r="K12" s="10"/>
      <c r="L12" s="10">
        <v>1</v>
      </c>
      <c r="O12" t="s">
        <v>448</v>
      </c>
      <c r="P12">
        <v>13</v>
      </c>
      <c r="Q12">
        <f t="shared" si="0"/>
        <v>78</v>
      </c>
      <c r="R12">
        <f t="shared" si="1"/>
        <v>8.080250801869868E-3</v>
      </c>
      <c r="S12">
        <f t="shared" si="3"/>
        <v>0.14544451443365761</v>
      </c>
      <c r="T12" t="str">
        <f t="shared" si="2"/>
        <v>A</v>
      </c>
      <c r="V12" t="s">
        <v>448</v>
      </c>
      <c r="W12" t="s">
        <v>1244</v>
      </c>
    </row>
    <row r="13" spans="1:23" x14ac:dyDescent="0.25">
      <c r="A13" s="17">
        <v>44774</v>
      </c>
      <c r="B13" s="1" t="s">
        <v>41</v>
      </c>
      <c r="C13" s="1">
        <v>1</v>
      </c>
      <c r="F13" s="9" t="s">
        <v>502</v>
      </c>
      <c r="G13" s="10"/>
      <c r="H13" s="10">
        <v>1</v>
      </c>
      <c r="I13" s="10"/>
      <c r="J13" s="10"/>
      <c r="K13" s="10"/>
      <c r="L13" s="10">
        <v>1</v>
      </c>
      <c r="O13" t="s">
        <v>236</v>
      </c>
      <c r="P13">
        <v>13</v>
      </c>
      <c r="Q13">
        <f t="shared" si="0"/>
        <v>78</v>
      </c>
      <c r="R13">
        <f t="shared" si="1"/>
        <v>8.080250801869868E-3</v>
      </c>
      <c r="S13">
        <f t="shared" si="3"/>
        <v>0.15352476523552747</v>
      </c>
      <c r="T13" t="str">
        <f t="shared" si="2"/>
        <v>A</v>
      </c>
      <c r="V13" t="s">
        <v>236</v>
      </c>
      <c r="W13" t="s">
        <v>1244</v>
      </c>
    </row>
    <row r="14" spans="1:23" x14ac:dyDescent="0.25">
      <c r="A14" s="17">
        <v>44774</v>
      </c>
      <c r="B14" s="1" t="s">
        <v>44</v>
      </c>
      <c r="C14" s="1">
        <v>1</v>
      </c>
      <c r="F14" s="9" t="s">
        <v>868</v>
      </c>
      <c r="G14" s="10"/>
      <c r="H14" s="10"/>
      <c r="I14" s="10">
        <v>1</v>
      </c>
      <c r="J14" s="10"/>
      <c r="K14" s="10"/>
      <c r="L14" s="10">
        <v>1</v>
      </c>
      <c r="O14" t="s">
        <v>591</v>
      </c>
      <c r="P14">
        <v>13</v>
      </c>
      <c r="Q14">
        <f t="shared" si="0"/>
        <v>78</v>
      </c>
      <c r="R14">
        <f t="shared" si="1"/>
        <v>8.080250801869868E-3</v>
      </c>
      <c r="S14">
        <f t="shared" si="3"/>
        <v>0.16160501603739733</v>
      </c>
      <c r="T14" t="str">
        <f t="shared" si="2"/>
        <v>A</v>
      </c>
      <c r="V14" t="s">
        <v>591</v>
      </c>
      <c r="W14" t="s">
        <v>1244</v>
      </c>
    </row>
    <row r="15" spans="1:23" x14ac:dyDescent="0.25">
      <c r="A15" s="17">
        <v>44774</v>
      </c>
      <c r="B15" s="1" t="s">
        <v>47</v>
      </c>
      <c r="C15" s="1">
        <v>1</v>
      </c>
      <c r="F15" s="9" t="s">
        <v>83</v>
      </c>
      <c r="G15" s="10">
        <v>1</v>
      </c>
      <c r="H15" s="10">
        <v>1</v>
      </c>
      <c r="I15" s="10"/>
      <c r="J15" s="10"/>
      <c r="K15" s="10"/>
      <c r="L15" s="10">
        <v>2</v>
      </c>
      <c r="O15" t="s">
        <v>1140</v>
      </c>
      <c r="P15">
        <v>13</v>
      </c>
      <c r="Q15">
        <f t="shared" si="0"/>
        <v>78</v>
      </c>
      <c r="R15">
        <f t="shared" si="1"/>
        <v>8.080250801869868E-3</v>
      </c>
      <c r="S15">
        <f t="shared" si="3"/>
        <v>0.16968526683926718</v>
      </c>
      <c r="T15" t="str">
        <f t="shared" si="2"/>
        <v>A</v>
      </c>
      <c r="V15" t="s">
        <v>1140</v>
      </c>
      <c r="W15" t="s">
        <v>1244</v>
      </c>
    </row>
    <row r="16" spans="1:23" x14ac:dyDescent="0.25">
      <c r="A16" s="17">
        <v>44774</v>
      </c>
      <c r="B16" s="1" t="s">
        <v>47</v>
      </c>
      <c r="C16" s="1">
        <v>1</v>
      </c>
      <c r="F16" s="9" t="s">
        <v>844</v>
      </c>
      <c r="G16" s="10"/>
      <c r="H16" s="10"/>
      <c r="I16" s="10">
        <v>2</v>
      </c>
      <c r="J16" s="10"/>
      <c r="K16" s="10"/>
      <c r="L16" s="10">
        <v>2</v>
      </c>
      <c r="O16" t="s">
        <v>140</v>
      </c>
      <c r="P16">
        <v>12</v>
      </c>
      <c r="Q16">
        <f t="shared" si="0"/>
        <v>72</v>
      </c>
      <c r="R16">
        <f t="shared" si="1"/>
        <v>7.4586930478798786E-3</v>
      </c>
      <c r="S16">
        <f t="shared" si="3"/>
        <v>0.17714395988714707</v>
      </c>
      <c r="T16" t="str">
        <f t="shared" si="2"/>
        <v>A</v>
      </c>
      <c r="V16" t="s">
        <v>140</v>
      </c>
      <c r="W16" t="s">
        <v>1244</v>
      </c>
    </row>
    <row r="17" spans="1:23" x14ac:dyDescent="0.25">
      <c r="A17" s="17">
        <v>44774</v>
      </c>
      <c r="B17" s="1" t="s">
        <v>50</v>
      </c>
      <c r="C17" s="1">
        <v>1</v>
      </c>
      <c r="F17" s="9" t="s">
        <v>901</v>
      </c>
      <c r="G17" s="10"/>
      <c r="H17" s="10"/>
      <c r="I17" s="10">
        <v>1</v>
      </c>
      <c r="J17" s="10"/>
      <c r="K17" s="10"/>
      <c r="L17" s="10">
        <v>1</v>
      </c>
      <c r="O17" t="s">
        <v>222</v>
      </c>
      <c r="P17">
        <v>11</v>
      </c>
      <c r="Q17">
        <f t="shared" si="0"/>
        <v>66</v>
      </c>
      <c r="R17">
        <f t="shared" si="1"/>
        <v>6.8371352938898884E-3</v>
      </c>
      <c r="S17">
        <f t="shared" si="3"/>
        <v>0.18398109518103695</v>
      </c>
      <c r="T17" t="str">
        <f t="shared" si="2"/>
        <v>A</v>
      </c>
      <c r="V17" t="s">
        <v>222</v>
      </c>
      <c r="W17" t="s">
        <v>1244</v>
      </c>
    </row>
    <row r="18" spans="1:23" x14ac:dyDescent="0.25">
      <c r="A18" s="17">
        <v>44774</v>
      </c>
      <c r="B18" s="1" t="s">
        <v>52</v>
      </c>
      <c r="C18" s="1">
        <v>1</v>
      </c>
      <c r="F18" s="9" t="s">
        <v>999</v>
      </c>
      <c r="G18" s="10"/>
      <c r="H18" s="10"/>
      <c r="I18" s="10"/>
      <c r="J18" s="10">
        <v>1</v>
      </c>
      <c r="K18" s="10"/>
      <c r="L18" s="10">
        <v>1</v>
      </c>
      <c r="O18" t="s">
        <v>89</v>
      </c>
      <c r="P18">
        <v>11</v>
      </c>
      <c r="Q18">
        <f t="shared" si="0"/>
        <v>66</v>
      </c>
      <c r="R18">
        <f t="shared" si="1"/>
        <v>6.8371352938898884E-3</v>
      </c>
      <c r="S18">
        <f t="shared" si="3"/>
        <v>0.19081823047492683</v>
      </c>
      <c r="T18" t="str">
        <f t="shared" si="2"/>
        <v>A</v>
      </c>
      <c r="V18" t="s">
        <v>89</v>
      </c>
      <c r="W18" t="s">
        <v>1244</v>
      </c>
    </row>
    <row r="19" spans="1:23" x14ac:dyDescent="0.25">
      <c r="A19" s="17">
        <v>44774</v>
      </c>
      <c r="B19" s="1" t="s">
        <v>52</v>
      </c>
      <c r="C19" s="1">
        <v>1</v>
      </c>
      <c r="F19" s="9" t="s">
        <v>1124</v>
      </c>
      <c r="G19" s="10"/>
      <c r="H19" s="10"/>
      <c r="I19" s="10"/>
      <c r="J19" s="10"/>
      <c r="K19" s="10">
        <v>1</v>
      </c>
      <c r="L19" s="10">
        <v>1</v>
      </c>
      <c r="O19" t="s">
        <v>514</v>
      </c>
      <c r="P19">
        <v>11</v>
      </c>
      <c r="Q19">
        <f t="shared" si="0"/>
        <v>66</v>
      </c>
      <c r="R19">
        <f t="shared" si="1"/>
        <v>6.8371352938898884E-3</v>
      </c>
      <c r="S19">
        <f t="shared" si="3"/>
        <v>0.1976553657688167</v>
      </c>
      <c r="T19" t="str">
        <f t="shared" si="2"/>
        <v>A</v>
      </c>
      <c r="V19" t="s">
        <v>514</v>
      </c>
      <c r="W19" t="s">
        <v>1244</v>
      </c>
    </row>
    <row r="20" spans="1:23" x14ac:dyDescent="0.25">
      <c r="A20" s="17">
        <v>44774</v>
      </c>
      <c r="B20" s="1" t="s">
        <v>54</v>
      </c>
      <c r="C20" s="1">
        <v>1</v>
      </c>
      <c r="F20" s="9" t="s">
        <v>1196</v>
      </c>
      <c r="G20" s="10"/>
      <c r="H20" s="10"/>
      <c r="I20" s="10"/>
      <c r="J20" s="10"/>
      <c r="K20" s="10">
        <v>1</v>
      </c>
      <c r="L20" s="10">
        <v>1</v>
      </c>
      <c r="O20" t="s">
        <v>98</v>
      </c>
      <c r="P20">
        <v>10</v>
      </c>
      <c r="Q20">
        <f t="shared" si="0"/>
        <v>60</v>
      </c>
      <c r="R20">
        <f t="shared" si="1"/>
        <v>6.2155775398998981E-3</v>
      </c>
      <c r="S20">
        <f t="shared" si="3"/>
        <v>0.20387094330871661</v>
      </c>
      <c r="T20" t="str">
        <f t="shared" si="2"/>
        <v>A</v>
      </c>
      <c r="V20" t="s">
        <v>98</v>
      </c>
      <c r="W20" t="s">
        <v>1244</v>
      </c>
    </row>
    <row r="21" spans="1:23" x14ac:dyDescent="0.25">
      <c r="A21" s="17">
        <v>44774</v>
      </c>
      <c r="B21" s="1" t="s">
        <v>57</v>
      </c>
      <c r="C21" s="1">
        <v>1</v>
      </c>
      <c r="F21" s="9" t="s">
        <v>553</v>
      </c>
      <c r="G21" s="10"/>
      <c r="H21" s="10">
        <v>1</v>
      </c>
      <c r="I21" s="10"/>
      <c r="J21" s="10"/>
      <c r="K21" s="10"/>
      <c r="L21" s="10">
        <v>1</v>
      </c>
      <c r="O21" t="s">
        <v>366</v>
      </c>
      <c r="P21">
        <v>10</v>
      </c>
      <c r="Q21">
        <f t="shared" si="0"/>
        <v>60</v>
      </c>
      <c r="R21">
        <f t="shared" si="1"/>
        <v>6.2155775398998981E-3</v>
      </c>
      <c r="S21">
        <f t="shared" si="3"/>
        <v>0.21008652084861651</v>
      </c>
      <c r="T21" t="str">
        <f t="shared" si="2"/>
        <v>A</v>
      </c>
      <c r="V21" t="s">
        <v>366</v>
      </c>
      <c r="W21" t="s">
        <v>1244</v>
      </c>
    </row>
    <row r="22" spans="1:23" x14ac:dyDescent="0.25">
      <c r="A22" s="17">
        <v>44774</v>
      </c>
      <c r="B22" s="1" t="s">
        <v>60</v>
      </c>
      <c r="C22" s="1">
        <v>1</v>
      </c>
      <c r="F22" s="9" t="s">
        <v>865</v>
      </c>
      <c r="G22" s="10"/>
      <c r="H22" s="10"/>
      <c r="I22" s="10">
        <v>0.5</v>
      </c>
      <c r="J22" s="10"/>
      <c r="K22" s="10"/>
      <c r="L22" s="10">
        <v>0.5</v>
      </c>
      <c r="O22" t="s">
        <v>851</v>
      </c>
      <c r="P22">
        <v>10</v>
      </c>
      <c r="Q22">
        <f t="shared" si="0"/>
        <v>60</v>
      </c>
      <c r="R22">
        <f t="shared" si="1"/>
        <v>6.2155775398998981E-3</v>
      </c>
      <c r="S22">
        <f t="shared" si="3"/>
        <v>0.21630209838851641</v>
      </c>
      <c r="T22" t="str">
        <f t="shared" si="2"/>
        <v>A</v>
      </c>
      <c r="V22" t="s">
        <v>851</v>
      </c>
      <c r="W22" t="s">
        <v>1244</v>
      </c>
    </row>
    <row r="23" spans="1:23" x14ac:dyDescent="0.25">
      <c r="A23" s="17">
        <v>44774</v>
      </c>
      <c r="B23" s="1" t="s">
        <v>63</v>
      </c>
      <c r="C23" s="1">
        <v>1</v>
      </c>
      <c r="F23" s="9" t="s">
        <v>495</v>
      </c>
      <c r="G23" s="10"/>
      <c r="H23" s="10">
        <v>1</v>
      </c>
      <c r="I23" s="10"/>
      <c r="J23" s="10"/>
      <c r="K23" s="10"/>
      <c r="L23" s="10">
        <v>1</v>
      </c>
      <c r="O23" t="s">
        <v>153</v>
      </c>
      <c r="P23">
        <v>9</v>
      </c>
      <c r="Q23">
        <f t="shared" si="0"/>
        <v>54</v>
      </c>
      <c r="R23">
        <f t="shared" si="1"/>
        <v>5.5940197859099088E-3</v>
      </c>
      <c r="S23">
        <f t="shared" si="3"/>
        <v>0.22189611817442631</v>
      </c>
      <c r="T23" t="str">
        <f t="shared" si="2"/>
        <v>A</v>
      </c>
      <c r="V23" t="s">
        <v>153</v>
      </c>
      <c r="W23" t="s">
        <v>1244</v>
      </c>
    </row>
    <row r="24" spans="1:23" x14ac:dyDescent="0.25">
      <c r="A24" s="17">
        <v>44774</v>
      </c>
      <c r="B24" s="1" t="s">
        <v>65</v>
      </c>
      <c r="C24" s="1">
        <v>1</v>
      </c>
      <c r="F24" s="9" t="s">
        <v>864</v>
      </c>
      <c r="G24" s="10"/>
      <c r="H24" s="10"/>
      <c r="I24" s="10">
        <v>1</v>
      </c>
      <c r="J24" s="10"/>
      <c r="K24" s="10"/>
      <c r="L24" s="10">
        <v>1</v>
      </c>
      <c r="O24" t="s">
        <v>251</v>
      </c>
      <c r="P24">
        <v>9</v>
      </c>
      <c r="Q24">
        <f t="shared" si="0"/>
        <v>54</v>
      </c>
      <c r="R24">
        <f t="shared" si="1"/>
        <v>5.5940197859099088E-3</v>
      </c>
      <c r="S24">
        <f t="shared" si="3"/>
        <v>0.22749013796033621</v>
      </c>
      <c r="T24" t="str">
        <f t="shared" si="2"/>
        <v>A</v>
      </c>
      <c r="V24" t="s">
        <v>251</v>
      </c>
      <c r="W24" t="s">
        <v>1244</v>
      </c>
    </row>
    <row r="25" spans="1:23" x14ac:dyDescent="0.25">
      <c r="A25" s="17">
        <v>44774</v>
      </c>
      <c r="B25" s="1" t="s">
        <v>67</v>
      </c>
      <c r="C25" s="1">
        <v>1</v>
      </c>
      <c r="F25" s="9" t="s">
        <v>1076</v>
      </c>
      <c r="G25" s="10"/>
      <c r="H25" s="10"/>
      <c r="I25" s="10"/>
      <c r="J25" s="10"/>
      <c r="K25" s="10">
        <v>1</v>
      </c>
      <c r="L25" s="10">
        <v>1</v>
      </c>
      <c r="O25" t="s">
        <v>78</v>
      </c>
      <c r="P25">
        <v>9</v>
      </c>
      <c r="Q25">
        <f t="shared" si="0"/>
        <v>54</v>
      </c>
      <c r="R25">
        <f t="shared" si="1"/>
        <v>5.5940197859099088E-3</v>
      </c>
      <c r="S25">
        <f t="shared" si="3"/>
        <v>0.23308415774624611</v>
      </c>
      <c r="T25" t="str">
        <f t="shared" si="2"/>
        <v>A</v>
      </c>
      <c r="V25" t="s">
        <v>78</v>
      </c>
      <c r="W25" t="s">
        <v>1244</v>
      </c>
    </row>
    <row r="26" spans="1:23" x14ac:dyDescent="0.25">
      <c r="A26" s="17">
        <v>44774</v>
      </c>
      <c r="B26" s="1" t="s">
        <v>68</v>
      </c>
      <c r="C26" s="1">
        <v>2</v>
      </c>
      <c r="F26" s="9" t="s">
        <v>1179</v>
      </c>
      <c r="G26" s="10"/>
      <c r="H26" s="10"/>
      <c r="I26" s="10"/>
      <c r="J26" s="10"/>
      <c r="K26" s="10">
        <v>0.2</v>
      </c>
      <c r="L26" s="10">
        <v>0.2</v>
      </c>
      <c r="O26" t="s">
        <v>741</v>
      </c>
      <c r="P26">
        <v>9</v>
      </c>
      <c r="Q26">
        <f t="shared" si="0"/>
        <v>54</v>
      </c>
      <c r="R26">
        <f t="shared" si="1"/>
        <v>5.5940197859099088E-3</v>
      </c>
      <c r="S26">
        <f t="shared" si="3"/>
        <v>0.23867817753215601</v>
      </c>
      <c r="T26" t="str">
        <f t="shared" si="2"/>
        <v>A</v>
      </c>
      <c r="V26" t="s">
        <v>741</v>
      </c>
      <c r="W26" t="s">
        <v>1244</v>
      </c>
    </row>
    <row r="27" spans="1:23" x14ac:dyDescent="0.25">
      <c r="A27" s="17">
        <v>44774</v>
      </c>
      <c r="B27" s="1" t="s">
        <v>70</v>
      </c>
      <c r="C27" s="1">
        <v>1</v>
      </c>
      <c r="F27" s="9" t="s">
        <v>961</v>
      </c>
      <c r="G27" s="10"/>
      <c r="H27" s="10"/>
      <c r="I27" s="10"/>
      <c r="J27" s="10">
        <v>1</v>
      </c>
      <c r="K27" s="10"/>
      <c r="L27" s="10">
        <v>1</v>
      </c>
      <c r="O27" t="s">
        <v>116</v>
      </c>
      <c r="P27">
        <v>8</v>
      </c>
      <c r="Q27">
        <f t="shared" si="0"/>
        <v>48</v>
      </c>
      <c r="R27">
        <f t="shared" si="1"/>
        <v>4.9724620319199185E-3</v>
      </c>
      <c r="S27">
        <f t="shared" si="3"/>
        <v>0.24365063956407593</v>
      </c>
      <c r="T27" t="str">
        <f t="shared" si="2"/>
        <v>A</v>
      </c>
      <c r="V27" t="s">
        <v>116</v>
      </c>
      <c r="W27" t="s">
        <v>1244</v>
      </c>
    </row>
    <row r="28" spans="1:23" x14ac:dyDescent="0.25">
      <c r="A28" s="17">
        <v>44774</v>
      </c>
      <c r="B28" s="1" t="s">
        <v>72</v>
      </c>
      <c r="C28" s="1">
        <v>1</v>
      </c>
      <c r="F28" s="9" t="s">
        <v>861</v>
      </c>
      <c r="G28" s="10"/>
      <c r="H28" s="10"/>
      <c r="I28" s="10">
        <v>1</v>
      </c>
      <c r="J28" s="10"/>
      <c r="K28" s="10"/>
      <c r="L28" s="10">
        <v>1</v>
      </c>
      <c r="O28" t="s">
        <v>624</v>
      </c>
      <c r="P28">
        <v>8</v>
      </c>
      <c r="Q28">
        <f t="shared" si="0"/>
        <v>48</v>
      </c>
      <c r="R28">
        <f t="shared" si="1"/>
        <v>4.9724620319199185E-3</v>
      </c>
      <c r="S28">
        <f t="shared" si="3"/>
        <v>0.24862310159599585</v>
      </c>
      <c r="T28" t="str">
        <f t="shared" si="2"/>
        <v>A</v>
      </c>
      <c r="V28" t="s">
        <v>624</v>
      </c>
      <c r="W28" t="s">
        <v>1244</v>
      </c>
    </row>
    <row r="29" spans="1:23" x14ac:dyDescent="0.25">
      <c r="A29" s="17">
        <v>44774</v>
      </c>
      <c r="B29" s="1" t="s">
        <v>72</v>
      </c>
      <c r="C29" s="1">
        <v>1</v>
      </c>
      <c r="F29" s="9" t="s">
        <v>894</v>
      </c>
      <c r="G29" s="10"/>
      <c r="H29" s="10"/>
      <c r="I29" s="10">
        <v>1</v>
      </c>
      <c r="J29" s="10"/>
      <c r="K29" s="10"/>
      <c r="L29" s="10">
        <v>1</v>
      </c>
      <c r="O29" t="s">
        <v>466</v>
      </c>
      <c r="P29">
        <v>8</v>
      </c>
      <c r="Q29">
        <f t="shared" si="0"/>
        <v>48</v>
      </c>
      <c r="R29">
        <f t="shared" si="1"/>
        <v>4.9724620319199185E-3</v>
      </c>
      <c r="S29">
        <f t="shared" si="3"/>
        <v>0.25359556362791574</v>
      </c>
      <c r="T29" t="str">
        <f t="shared" si="2"/>
        <v>A</v>
      </c>
      <c r="V29" t="s">
        <v>466</v>
      </c>
      <c r="W29" t="s">
        <v>1244</v>
      </c>
    </row>
    <row r="30" spans="1:23" x14ac:dyDescent="0.25">
      <c r="A30" s="17">
        <v>44774</v>
      </c>
      <c r="B30" s="1" t="s">
        <v>72</v>
      </c>
      <c r="C30" s="1">
        <v>1</v>
      </c>
      <c r="F30" s="9" t="s">
        <v>541</v>
      </c>
      <c r="G30" s="10"/>
      <c r="H30" s="10">
        <v>1</v>
      </c>
      <c r="I30" s="10"/>
      <c r="J30" s="10"/>
      <c r="K30" s="10"/>
      <c r="L30" s="10">
        <v>1</v>
      </c>
      <c r="O30" t="s">
        <v>214</v>
      </c>
      <c r="P30">
        <v>7</v>
      </c>
      <c r="Q30">
        <f t="shared" si="0"/>
        <v>42</v>
      </c>
      <c r="R30">
        <f t="shared" si="1"/>
        <v>4.3509042779299291E-3</v>
      </c>
      <c r="S30">
        <f t="shared" si="3"/>
        <v>0.25794646790584569</v>
      </c>
      <c r="T30" t="str">
        <f t="shared" si="2"/>
        <v>A</v>
      </c>
      <c r="V30" t="s">
        <v>214</v>
      </c>
      <c r="W30" t="s">
        <v>1244</v>
      </c>
    </row>
    <row r="31" spans="1:23" x14ac:dyDescent="0.25">
      <c r="A31" s="17">
        <v>44774</v>
      </c>
      <c r="B31" s="1" t="s">
        <v>74</v>
      </c>
      <c r="C31" s="1">
        <v>1</v>
      </c>
      <c r="F31" s="9" t="s">
        <v>902</v>
      </c>
      <c r="G31" s="10"/>
      <c r="H31" s="10"/>
      <c r="I31" s="10">
        <v>1</v>
      </c>
      <c r="J31" s="10"/>
      <c r="K31" s="10"/>
      <c r="L31" s="10">
        <v>1</v>
      </c>
      <c r="O31" t="s">
        <v>247</v>
      </c>
      <c r="P31">
        <v>7</v>
      </c>
      <c r="Q31">
        <f t="shared" si="0"/>
        <v>42</v>
      </c>
      <c r="R31">
        <f t="shared" si="1"/>
        <v>4.3509042779299291E-3</v>
      </c>
      <c r="S31">
        <f t="shared" si="3"/>
        <v>0.26229737218377563</v>
      </c>
      <c r="T31" t="str">
        <f t="shared" si="2"/>
        <v>A</v>
      </c>
      <c r="V31" t="s">
        <v>247</v>
      </c>
      <c r="W31" t="s">
        <v>1244</v>
      </c>
    </row>
    <row r="32" spans="1:23" x14ac:dyDescent="0.25">
      <c r="A32" s="17">
        <v>44774</v>
      </c>
      <c r="B32" s="1" t="s">
        <v>76</v>
      </c>
      <c r="C32" s="1">
        <v>1</v>
      </c>
      <c r="F32" s="9" t="s">
        <v>478</v>
      </c>
      <c r="G32" s="10"/>
      <c r="H32" s="10">
        <v>1</v>
      </c>
      <c r="I32" s="10"/>
      <c r="J32" s="10"/>
      <c r="K32" s="10"/>
      <c r="L32" s="10">
        <v>1</v>
      </c>
      <c r="O32" t="s">
        <v>169</v>
      </c>
      <c r="P32">
        <v>7</v>
      </c>
      <c r="Q32">
        <f t="shared" si="0"/>
        <v>42</v>
      </c>
      <c r="R32">
        <f t="shared" si="1"/>
        <v>4.3509042779299291E-3</v>
      </c>
      <c r="S32">
        <f t="shared" si="3"/>
        <v>0.26664827646170558</v>
      </c>
      <c r="T32" t="str">
        <f t="shared" si="2"/>
        <v>A</v>
      </c>
      <c r="V32" t="s">
        <v>169</v>
      </c>
      <c r="W32" t="s">
        <v>1244</v>
      </c>
    </row>
    <row r="33" spans="1:23" x14ac:dyDescent="0.25">
      <c r="A33" s="17">
        <v>44774</v>
      </c>
      <c r="B33" s="1" t="s">
        <v>78</v>
      </c>
      <c r="C33" s="1">
        <v>1</v>
      </c>
      <c r="F33" s="9" t="s">
        <v>529</v>
      </c>
      <c r="G33" s="10"/>
      <c r="H33" s="10">
        <v>1</v>
      </c>
      <c r="I33" s="10"/>
      <c r="J33" s="10"/>
      <c r="K33" s="10"/>
      <c r="L33" s="10">
        <v>1</v>
      </c>
      <c r="O33" t="s">
        <v>465</v>
      </c>
      <c r="P33">
        <v>7</v>
      </c>
      <c r="Q33">
        <f t="shared" si="0"/>
        <v>42</v>
      </c>
      <c r="R33">
        <f t="shared" si="1"/>
        <v>4.3509042779299291E-3</v>
      </c>
      <c r="S33">
        <f t="shared" si="3"/>
        <v>0.27099918073963553</v>
      </c>
      <c r="T33" t="str">
        <f t="shared" si="2"/>
        <v>A</v>
      </c>
      <c r="V33" t="s">
        <v>465</v>
      </c>
      <c r="W33" t="s">
        <v>1244</v>
      </c>
    </row>
    <row r="34" spans="1:23" x14ac:dyDescent="0.25">
      <c r="A34" s="17">
        <v>44774</v>
      </c>
      <c r="B34" s="1" t="s">
        <v>80</v>
      </c>
      <c r="C34" s="1">
        <v>2</v>
      </c>
      <c r="F34" s="9" t="s">
        <v>1203</v>
      </c>
      <c r="G34" s="10"/>
      <c r="H34" s="10"/>
      <c r="I34" s="10"/>
      <c r="J34" s="10"/>
      <c r="K34" s="10">
        <v>1</v>
      </c>
      <c r="L34" s="10">
        <v>1</v>
      </c>
      <c r="O34" t="s">
        <v>95</v>
      </c>
      <c r="P34">
        <v>7</v>
      </c>
      <c r="Q34">
        <f t="shared" si="0"/>
        <v>42</v>
      </c>
      <c r="R34">
        <f t="shared" si="1"/>
        <v>4.3509042779299291E-3</v>
      </c>
      <c r="S34">
        <f t="shared" si="3"/>
        <v>0.27535008501756547</v>
      </c>
      <c r="T34" t="str">
        <f t="shared" si="2"/>
        <v>A</v>
      </c>
      <c r="V34" t="s">
        <v>95</v>
      </c>
      <c r="W34" t="s">
        <v>1244</v>
      </c>
    </row>
    <row r="35" spans="1:23" x14ac:dyDescent="0.25">
      <c r="A35" s="17">
        <v>44774</v>
      </c>
      <c r="B35" s="1" t="s">
        <v>83</v>
      </c>
      <c r="C35" s="1">
        <v>1</v>
      </c>
      <c r="F35" s="9" t="s">
        <v>675</v>
      </c>
      <c r="G35" s="10"/>
      <c r="H35" s="10">
        <v>1</v>
      </c>
      <c r="I35" s="10"/>
      <c r="J35" s="10"/>
      <c r="K35" s="10"/>
      <c r="L35" s="10">
        <v>1</v>
      </c>
      <c r="O35" t="s">
        <v>248</v>
      </c>
      <c r="P35">
        <v>7</v>
      </c>
      <c r="Q35">
        <f t="shared" si="0"/>
        <v>42</v>
      </c>
      <c r="R35">
        <f t="shared" si="1"/>
        <v>4.3509042779299291E-3</v>
      </c>
      <c r="S35">
        <f t="shared" si="3"/>
        <v>0.27970098929549542</v>
      </c>
      <c r="T35" t="str">
        <f t="shared" si="2"/>
        <v>A</v>
      </c>
      <c r="V35" t="s">
        <v>248</v>
      </c>
      <c r="W35" t="s">
        <v>1244</v>
      </c>
    </row>
    <row r="36" spans="1:23" x14ac:dyDescent="0.25">
      <c r="A36" s="17">
        <v>44774</v>
      </c>
      <c r="B36" s="1" t="s">
        <v>85</v>
      </c>
      <c r="C36" s="1">
        <v>1</v>
      </c>
      <c r="F36" s="9" t="s">
        <v>984</v>
      </c>
      <c r="G36" s="10"/>
      <c r="H36" s="10"/>
      <c r="I36" s="10"/>
      <c r="J36" s="10">
        <v>1</v>
      </c>
      <c r="K36" s="10"/>
      <c r="L36" s="10">
        <v>1</v>
      </c>
      <c r="O36" t="s">
        <v>355</v>
      </c>
      <c r="P36">
        <v>6</v>
      </c>
      <c r="Q36">
        <f t="shared" si="0"/>
        <v>36</v>
      </c>
      <c r="R36">
        <f t="shared" si="1"/>
        <v>3.7293465239399393E-3</v>
      </c>
      <c r="S36">
        <f t="shared" si="3"/>
        <v>0.28343033581943533</v>
      </c>
      <c r="T36" t="str">
        <f t="shared" si="2"/>
        <v>A</v>
      </c>
      <c r="V36" t="s">
        <v>355</v>
      </c>
      <c r="W36" t="s">
        <v>1244</v>
      </c>
    </row>
    <row r="37" spans="1:23" x14ac:dyDescent="0.25">
      <c r="A37" s="17">
        <v>44774</v>
      </c>
      <c r="B37" s="1" t="s">
        <v>87</v>
      </c>
      <c r="C37" s="1">
        <v>1</v>
      </c>
      <c r="F37" s="9" t="s">
        <v>618</v>
      </c>
      <c r="G37" s="10"/>
      <c r="H37" s="10">
        <v>1</v>
      </c>
      <c r="I37" s="10"/>
      <c r="J37" s="10"/>
      <c r="K37" s="10"/>
      <c r="L37" s="10">
        <v>1</v>
      </c>
      <c r="O37" t="s">
        <v>259</v>
      </c>
      <c r="P37">
        <v>6</v>
      </c>
      <c r="Q37">
        <f t="shared" si="0"/>
        <v>36</v>
      </c>
      <c r="R37">
        <f t="shared" si="1"/>
        <v>3.7293465239399393E-3</v>
      </c>
      <c r="S37">
        <f t="shared" si="3"/>
        <v>0.28715968234337524</v>
      </c>
      <c r="T37" t="str">
        <f t="shared" si="2"/>
        <v>A</v>
      </c>
      <c r="V37" t="s">
        <v>259</v>
      </c>
      <c r="W37" t="s">
        <v>1244</v>
      </c>
    </row>
    <row r="38" spans="1:23" x14ac:dyDescent="0.25">
      <c r="A38" s="17">
        <v>44774</v>
      </c>
      <c r="B38" s="1" t="s">
        <v>89</v>
      </c>
      <c r="C38" s="1">
        <v>1</v>
      </c>
      <c r="F38" s="9" t="s">
        <v>910</v>
      </c>
      <c r="G38" s="10"/>
      <c r="H38" s="10"/>
      <c r="I38" s="10">
        <v>1</v>
      </c>
      <c r="J38" s="10"/>
      <c r="K38" s="10"/>
      <c r="L38" s="10">
        <v>1</v>
      </c>
      <c r="O38" t="s">
        <v>408</v>
      </c>
      <c r="P38">
        <v>6</v>
      </c>
      <c r="Q38">
        <f t="shared" si="0"/>
        <v>36</v>
      </c>
      <c r="R38">
        <f t="shared" si="1"/>
        <v>3.7293465239399393E-3</v>
      </c>
      <c r="S38">
        <f t="shared" si="3"/>
        <v>0.29088902886731516</v>
      </c>
      <c r="T38" t="str">
        <f t="shared" si="2"/>
        <v>A</v>
      </c>
      <c r="V38" t="s">
        <v>408</v>
      </c>
      <c r="W38" t="s">
        <v>1244</v>
      </c>
    </row>
    <row r="39" spans="1:23" x14ac:dyDescent="0.25">
      <c r="A39" s="17">
        <v>44774</v>
      </c>
      <c r="B39" s="1" t="s">
        <v>89</v>
      </c>
      <c r="C39" s="1">
        <v>1</v>
      </c>
      <c r="F39" s="9" t="s">
        <v>955</v>
      </c>
      <c r="G39" s="10"/>
      <c r="H39" s="10"/>
      <c r="I39" s="10"/>
      <c r="J39" s="10">
        <v>1</v>
      </c>
      <c r="K39" s="10"/>
      <c r="L39" s="10">
        <v>1</v>
      </c>
      <c r="O39" t="s">
        <v>112</v>
      </c>
      <c r="P39">
        <v>6</v>
      </c>
      <c r="Q39">
        <f t="shared" si="0"/>
        <v>36</v>
      </c>
      <c r="R39">
        <f t="shared" si="1"/>
        <v>3.7293465239399393E-3</v>
      </c>
      <c r="S39">
        <f t="shared" si="3"/>
        <v>0.29461837539125507</v>
      </c>
      <c r="T39" t="str">
        <f t="shared" si="2"/>
        <v>A</v>
      </c>
      <c r="V39" t="s">
        <v>112</v>
      </c>
      <c r="W39" t="s">
        <v>1244</v>
      </c>
    </row>
    <row r="40" spans="1:23" x14ac:dyDescent="0.25">
      <c r="A40" s="17">
        <v>44774</v>
      </c>
      <c r="B40" s="1" t="s">
        <v>89</v>
      </c>
      <c r="C40" s="1">
        <v>1</v>
      </c>
      <c r="F40" s="9" t="s">
        <v>884</v>
      </c>
      <c r="G40" s="10"/>
      <c r="H40" s="10"/>
      <c r="I40" s="10">
        <v>1</v>
      </c>
      <c r="J40" s="10"/>
      <c r="K40" s="10"/>
      <c r="L40" s="10">
        <v>1</v>
      </c>
      <c r="O40" t="s">
        <v>825</v>
      </c>
      <c r="P40">
        <v>6</v>
      </c>
      <c r="Q40">
        <f t="shared" si="0"/>
        <v>36</v>
      </c>
      <c r="R40">
        <f t="shared" si="1"/>
        <v>3.7293465239399393E-3</v>
      </c>
      <c r="S40">
        <f t="shared" si="3"/>
        <v>0.29834772191519499</v>
      </c>
      <c r="T40" t="str">
        <f t="shared" si="2"/>
        <v>A</v>
      </c>
      <c r="V40" t="s">
        <v>825</v>
      </c>
      <c r="W40" t="s">
        <v>1244</v>
      </c>
    </row>
    <row r="41" spans="1:23" x14ac:dyDescent="0.25">
      <c r="A41" s="17">
        <v>44774</v>
      </c>
      <c r="B41" s="1" t="s">
        <v>91</v>
      </c>
      <c r="C41" s="1">
        <v>1</v>
      </c>
      <c r="F41" s="9" t="s">
        <v>475</v>
      </c>
      <c r="G41" s="10"/>
      <c r="H41" s="10">
        <v>1</v>
      </c>
      <c r="I41" s="10"/>
      <c r="J41" s="10"/>
      <c r="K41" s="10"/>
      <c r="L41" s="10">
        <v>1</v>
      </c>
      <c r="O41" t="s">
        <v>173</v>
      </c>
      <c r="P41">
        <v>6</v>
      </c>
      <c r="Q41">
        <f t="shared" si="0"/>
        <v>36</v>
      </c>
      <c r="R41">
        <f t="shared" si="1"/>
        <v>3.7293465239399393E-3</v>
      </c>
      <c r="S41">
        <f t="shared" si="3"/>
        <v>0.3020770684391349</v>
      </c>
      <c r="T41" t="str">
        <f t="shared" si="2"/>
        <v>A</v>
      </c>
      <c r="V41" t="s">
        <v>173</v>
      </c>
      <c r="W41" t="s">
        <v>1244</v>
      </c>
    </row>
    <row r="42" spans="1:23" x14ac:dyDescent="0.25">
      <c r="A42" s="17">
        <v>44774</v>
      </c>
      <c r="B42" s="1" t="s">
        <v>91</v>
      </c>
      <c r="C42" s="1">
        <v>1</v>
      </c>
      <c r="F42" s="9" t="s">
        <v>604</v>
      </c>
      <c r="G42" s="10"/>
      <c r="H42" s="10">
        <v>1</v>
      </c>
      <c r="I42" s="10"/>
      <c r="J42" s="10"/>
      <c r="K42" s="10"/>
      <c r="L42" s="10">
        <v>1</v>
      </c>
      <c r="O42" t="s">
        <v>299</v>
      </c>
      <c r="P42">
        <v>6</v>
      </c>
      <c r="Q42">
        <f t="shared" si="0"/>
        <v>36</v>
      </c>
      <c r="R42">
        <f t="shared" si="1"/>
        <v>3.7293465239399393E-3</v>
      </c>
      <c r="S42">
        <f t="shared" si="3"/>
        <v>0.30580641496307481</v>
      </c>
      <c r="T42" t="str">
        <f t="shared" si="2"/>
        <v>A</v>
      </c>
      <c r="V42" t="s">
        <v>299</v>
      </c>
      <c r="W42" t="s">
        <v>1244</v>
      </c>
    </row>
    <row r="43" spans="1:23" x14ac:dyDescent="0.25">
      <c r="A43" s="17">
        <v>44774</v>
      </c>
      <c r="B43" s="1" t="s">
        <v>91</v>
      </c>
      <c r="C43" s="1">
        <v>1</v>
      </c>
      <c r="F43" s="9" t="s">
        <v>470</v>
      </c>
      <c r="G43" s="10">
        <v>1</v>
      </c>
      <c r="H43" s="10"/>
      <c r="I43" s="10"/>
      <c r="J43" s="10"/>
      <c r="K43" s="10"/>
      <c r="L43" s="10">
        <v>1</v>
      </c>
      <c r="O43" t="s">
        <v>270</v>
      </c>
      <c r="P43">
        <v>6</v>
      </c>
      <c r="Q43">
        <f t="shared" si="0"/>
        <v>36</v>
      </c>
      <c r="R43">
        <f t="shared" si="1"/>
        <v>3.7293465239399393E-3</v>
      </c>
      <c r="S43">
        <f t="shared" si="3"/>
        <v>0.30953576148701473</v>
      </c>
      <c r="T43" t="str">
        <f t="shared" si="2"/>
        <v>A</v>
      </c>
      <c r="V43" t="s">
        <v>270</v>
      </c>
      <c r="W43" t="s">
        <v>1244</v>
      </c>
    </row>
    <row r="44" spans="1:23" x14ac:dyDescent="0.25">
      <c r="A44" s="17">
        <v>44774</v>
      </c>
      <c r="B44" s="1" t="s">
        <v>91</v>
      </c>
      <c r="C44" s="1">
        <v>1</v>
      </c>
      <c r="F44" s="9" t="s">
        <v>737</v>
      </c>
      <c r="G44" s="10"/>
      <c r="H44" s="10"/>
      <c r="I44" s="10">
        <v>1</v>
      </c>
      <c r="J44" s="10"/>
      <c r="K44" s="10"/>
      <c r="L44" s="10">
        <v>1</v>
      </c>
      <c r="O44" t="s">
        <v>267</v>
      </c>
      <c r="P44">
        <v>6</v>
      </c>
      <c r="Q44">
        <f t="shared" si="0"/>
        <v>36</v>
      </c>
      <c r="R44">
        <f t="shared" si="1"/>
        <v>3.7293465239399393E-3</v>
      </c>
      <c r="S44">
        <f t="shared" si="3"/>
        <v>0.31326510801095464</v>
      </c>
      <c r="T44" t="str">
        <f t="shared" si="2"/>
        <v>A</v>
      </c>
      <c r="V44" t="s">
        <v>267</v>
      </c>
      <c r="W44" t="s">
        <v>1244</v>
      </c>
    </row>
    <row r="45" spans="1:23" x14ac:dyDescent="0.25">
      <c r="A45" s="17">
        <v>44774</v>
      </c>
      <c r="B45" s="1" t="s">
        <v>91</v>
      </c>
      <c r="C45" s="1">
        <v>1</v>
      </c>
      <c r="F45" s="9" t="s">
        <v>441</v>
      </c>
      <c r="G45" s="10">
        <v>1</v>
      </c>
      <c r="H45" s="10"/>
      <c r="I45" s="10"/>
      <c r="J45" s="10"/>
      <c r="K45" s="10"/>
      <c r="L45" s="10">
        <v>1</v>
      </c>
      <c r="O45" t="s">
        <v>212</v>
      </c>
      <c r="P45">
        <v>6</v>
      </c>
      <c r="Q45">
        <f t="shared" si="0"/>
        <v>36</v>
      </c>
      <c r="R45">
        <f t="shared" si="1"/>
        <v>3.7293465239399393E-3</v>
      </c>
      <c r="S45">
        <f t="shared" si="3"/>
        <v>0.31699445453489455</v>
      </c>
      <c r="T45" t="str">
        <f t="shared" si="2"/>
        <v>A</v>
      </c>
      <c r="V45" t="s">
        <v>212</v>
      </c>
      <c r="W45" t="s">
        <v>1244</v>
      </c>
    </row>
    <row r="46" spans="1:23" x14ac:dyDescent="0.25">
      <c r="A46" s="17">
        <v>44774</v>
      </c>
      <c r="B46" s="1" t="s">
        <v>91</v>
      </c>
      <c r="C46" s="1">
        <v>1</v>
      </c>
      <c r="F46" s="9" t="s">
        <v>1167</v>
      </c>
      <c r="G46" s="10"/>
      <c r="H46" s="10"/>
      <c r="I46" s="10"/>
      <c r="J46" s="10"/>
      <c r="K46" s="10">
        <v>1</v>
      </c>
      <c r="L46" s="10">
        <v>1</v>
      </c>
      <c r="O46" t="s">
        <v>195</v>
      </c>
      <c r="P46">
        <v>5</v>
      </c>
      <c r="Q46">
        <f t="shared" si="0"/>
        <v>30</v>
      </c>
      <c r="R46">
        <f t="shared" si="1"/>
        <v>3.1077887699499491E-3</v>
      </c>
      <c r="S46">
        <f t="shared" si="3"/>
        <v>0.32010224330484449</v>
      </c>
      <c r="T46" t="str">
        <f t="shared" si="2"/>
        <v>A</v>
      </c>
      <c r="V46" t="s">
        <v>195</v>
      </c>
      <c r="W46" t="s">
        <v>1244</v>
      </c>
    </row>
    <row r="47" spans="1:23" x14ac:dyDescent="0.25">
      <c r="A47" s="17">
        <v>44774</v>
      </c>
      <c r="B47" s="1" t="s">
        <v>91</v>
      </c>
      <c r="C47" s="1">
        <v>1</v>
      </c>
      <c r="F47" s="9" t="s">
        <v>727</v>
      </c>
      <c r="G47" s="10"/>
      <c r="H47" s="10"/>
      <c r="I47" s="10">
        <v>1</v>
      </c>
      <c r="J47" s="10"/>
      <c r="K47" s="10"/>
      <c r="L47" s="10">
        <v>1</v>
      </c>
      <c r="O47" t="s">
        <v>719</v>
      </c>
      <c r="P47">
        <v>5</v>
      </c>
      <c r="Q47">
        <f t="shared" si="0"/>
        <v>30</v>
      </c>
      <c r="R47">
        <f t="shared" si="1"/>
        <v>3.1077887699499491E-3</v>
      </c>
      <c r="S47">
        <f t="shared" si="3"/>
        <v>0.32321003207479443</v>
      </c>
      <c r="T47" t="str">
        <f t="shared" si="2"/>
        <v>A</v>
      </c>
      <c r="V47" t="s">
        <v>719</v>
      </c>
      <c r="W47" t="s">
        <v>1244</v>
      </c>
    </row>
    <row r="48" spans="1:23" x14ac:dyDescent="0.25">
      <c r="A48" s="17">
        <v>44774</v>
      </c>
      <c r="B48" s="1" t="s">
        <v>91</v>
      </c>
      <c r="C48" s="1">
        <v>1</v>
      </c>
      <c r="F48" s="9" t="s">
        <v>504</v>
      </c>
      <c r="G48" s="10"/>
      <c r="H48" s="10">
        <v>1</v>
      </c>
      <c r="I48" s="10"/>
      <c r="J48" s="10"/>
      <c r="K48" s="10"/>
      <c r="L48" s="10">
        <v>1</v>
      </c>
      <c r="O48" t="s">
        <v>671</v>
      </c>
      <c r="P48">
        <v>5</v>
      </c>
      <c r="Q48">
        <f t="shared" si="0"/>
        <v>30</v>
      </c>
      <c r="R48">
        <f t="shared" si="1"/>
        <v>3.1077887699499491E-3</v>
      </c>
      <c r="S48">
        <f t="shared" si="3"/>
        <v>0.32631782084474437</v>
      </c>
      <c r="T48" t="str">
        <f t="shared" si="2"/>
        <v>A</v>
      </c>
      <c r="V48" t="s">
        <v>671</v>
      </c>
      <c r="W48" t="s">
        <v>1244</v>
      </c>
    </row>
    <row r="49" spans="1:23" x14ac:dyDescent="0.25">
      <c r="A49" s="17">
        <v>44774</v>
      </c>
      <c r="B49" s="1" t="s">
        <v>91</v>
      </c>
      <c r="C49" s="1">
        <v>1</v>
      </c>
      <c r="F49" s="9" t="s">
        <v>596</v>
      </c>
      <c r="G49" s="10"/>
      <c r="H49" s="10">
        <v>1</v>
      </c>
      <c r="I49" s="10"/>
      <c r="J49" s="10"/>
      <c r="K49" s="10"/>
      <c r="L49" s="10">
        <v>1</v>
      </c>
      <c r="O49" t="s">
        <v>667</v>
      </c>
      <c r="P49">
        <v>5</v>
      </c>
      <c r="Q49">
        <f t="shared" si="0"/>
        <v>30</v>
      </c>
      <c r="R49">
        <f t="shared" si="1"/>
        <v>3.1077887699499491E-3</v>
      </c>
      <c r="S49">
        <f t="shared" si="3"/>
        <v>0.3294256096146943</v>
      </c>
      <c r="T49" t="str">
        <f t="shared" si="2"/>
        <v>A</v>
      </c>
      <c r="V49" t="s">
        <v>667</v>
      </c>
      <c r="W49" t="s">
        <v>1244</v>
      </c>
    </row>
    <row r="50" spans="1:23" x14ac:dyDescent="0.25">
      <c r="A50" s="17">
        <v>44774</v>
      </c>
      <c r="B50" s="1" t="s">
        <v>91</v>
      </c>
      <c r="C50" s="1">
        <v>1</v>
      </c>
      <c r="F50" s="9" t="s">
        <v>674</v>
      </c>
      <c r="G50" s="10"/>
      <c r="H50" s="10">
        <v>1</v>
      </c>
      <c r="I50" s="10"/>
      <c r="J50" s="10"/>
      <c r="K50" s="10"/>
      <c r="L50" s="10">
        <v>1</v>
      </c>
      <c r="O50" t="s">
        <v>257</v>
      </c>
      <c r="P50">
        <v>5</v>
      </c>
      <c r="Q50">
        <f t="shared" si="0"/>
        <v>30</v>
      </c>
      <c r="R50">
        <f t="shared" si="1"/>
        <v>3.1077887699499491E-3</v>
      </c>
      <c r="S50">
        <f t="shared" si="3"/>
        <v>0.33253339838464424</v>
      </c>
      <c r="T50" t="str">
        <f t="shared" si="2"/>
        <v>A</v>
      </c>
      <c r="V50" t="s">
        <v>257</v>
      </c>
      <c r="W50" t="s">
        <v>1244</v>
      </c>
    </row>
    <row r="51" spans="1:23" x14ac:dyDescent="0.25">
      <c r="A51" s="17">
        <v>44774</v>
      </c>
      <c r="B51" s="1" t="s">
        <v>93</v>
      </c>
      <c r="C51" s="1">
        <v>2</v>
      </c>
      <c r="F51" s="9" t="s">
        <v>607</v>
      </c>
      <c r="G51" s="10"/>
      <c r="H51" s="10">
        <v>1</v>
      </c>
      <c r="I51" s="10"/>
      <c r="J51" s="10">
        <v>2</v>
      </c>
      <c r="K51" s="10"/>
      <c r="L51" s="10">
        <v>3</v>
      </c>
      <c r="O51" t="s">
        <v>517</v>
      </c>
      <c r="P51">
        <v>5</v>
      </c>
      <c r="Q51">
        <f t="shared" si="0"/>
        <v>30</v>
      </c>
      <c r="R51">
        <f t="shared" si="1"/>
        <v>3.1077887699499491E-3</v>
      </c>
      <c r="S51">
        <f t="shared" si="3"/>
        <v>0.33564118715459418</v>
      </c>
      <c r="T51" t="str">
        <f t="shared" si="2"/>
        <v>A</v>
      </c>
      <c r="V51" t="s">
        <v>517</v>
      </c>
      <c r="W51" t="s">
        <v>1244</v>
      </c>
    </row>
    <row r="52" spans="1:23" x14ac:dyDescent="0.25">
      <c r="A52" s="17">
        <v>44774</v>
      </c>
      <c r="B52" s="1" t="s">
        <v>95</v>
      </c>
      <c r="C52" s="1">
        <v>2</v>
      </c>
      <c r="F52" s="9" t="s">
        <v>686</v>
      </c>
      <c r="G52" s="10"/>
      <c r="H52" s="10">
        <v>2</v>
      </c>
      <c r="I52" s="10"/>
      <c r="J52" s="10"/>
      <c r="K52" s="10"/>
      <c r="L52" s="10">
        <v>2</v>
      </c>
      <c r="O52" t="s">
        <v>1107</v>
      </c>
      <c r="P52">
        <v>5</v>
      </c>
      <c r="Q52">
        <f t="shared" si="0"/>
        <v>30</v>
      </c>
      <c r="R52">
        <f t="shared" si="1"/>
        <v>3.1077887699499491E-3</v>
      </c>
      <c r="S52">
        <f t="shared" si="3"/>
        <v>0.33874897592454412</v>
      </c>
      <c r="T52" t="str">
        <f t="shared" si="2"/>
        <v>A</v>
      </c>
      <c r="V52" t="s">
        <v>1107</v>
      </c>
      <c r="W52" t="s">
        <v>1244</v>
      </c>
    </row>
    <row r="53" spans="1:23" x14ac:dyDescent="0.25">
      <c r="A53" s="17">
        <v>44774</v>
      </c>
      <c r="B53" s="1" t="s">
        <v>97</v>
      </c>
      <c r="C53" s="1">
        <v>1</v>
      </c>
      <c r="F53" s="9" t="s">
        <v>938</v>
      </c>
      <c r="G53" s="10"/>
      <c r="H53" s="10"/>
      <c r="I53" s="10"/>
      <c r="J53" s="10">
        <v>1</v>
      </c>
      <c r="K53" s="10"/>
      <c r="L53" s="10">
        <v>1</v>
      </c>
      <c r="O53" t="s">
        <v>976</v>
      </c>
      <c r="P53">
        <v>5</v>
      </c>
      <c r="Q53">
        <f t="shared" si="0"/>
        <v>30</v>
      </c>
      <c r="R53">
        <f t="shared" si="1"/>
        <v>3.1077887699499491E-3</v>
      </c>
      <c r="S53">
        <f t="shared" si="3"/>
        <v>0.34185676469449405</v>
      </c>
      <c r="T53" t="str">
        <f t="shared" si="2"/>
        <v>A</v>
      </c>
      <c r="V53" t="s">
        <v>976</v>
      </c>
      <c r="W53" t="s">
        <v>1244</v>
      </c>
    </row>
    <row r="54" spans="1:23" x14ac:dyDescent="0.25">
      <c r="A54" s="17">
        <v>44774</v>
      </c>
      <c r="B54" s="1" t="s">
        <v>98</v>
      </c>
      <c r="C54" s="1">
        <v>1</v>
      </c>
      <c r="F54" s="9" t="s">
        <v>254</v>
      </c>
      <c r="G54" s="10">
        <v>3</v>
      </c>
      <c r="H54" s="10"/>
      <c r="I54" s="10"/>
      <c r="J54" s="10"/>
      <c r="K54" s="10"/>
      <c r="L54" s="10">
        <v>3</v>
      </c>
      <c r="O54" t="s">
        <v>552</v>
      </c>
      <c r="P54">
        <v>5</v>
      </c>
      <c r="Q54">
        <f t="shared" si="0"/>
        <v>30</v>
      </c>
      <c r="R54">
        <f t="shared" si="1"/>
        <v>3.1077887699499491E-3</v>
      </c>
      <c r="S54">
        <f t="shared" si="3"/>
        <v>0.34496455346444399</v>
      </c>
      <c r="T54" t="str">
        <f t="shared" si="2"/>
        <v>A</v>
      </c>
      <c r="V54" t="s">
        <v>552</v>
      </c>
      <c r="W54" t="s">
        <v>1244</v>
      </c>
    </row>
    <row r="55" spans="1:23" x14ac:dyDescent="0.25">
      <c r="A55" s="17">
        <v>44774</v>
      </c>
      <c r="B55" s="1" t="s">
        <v>98</v>
      </c>
      <c r="C55" s="1">
        <v>1</v>
      </c>
      <c r="F55" s="9" t="s">
        <v>419</v>
      </c>
      <c r="G55" s="10">
        <v>1</v>
      </c>
      <c r="H55" s="10"/>
      <c r="I55" s="10"/>
      <c r="J55" s="10"/>
      <c r="K55" s="10"/>
      <c r="L55" s="10">
        <v>1</v>
      </c>
      <c r="O55" t="s">
        <v>492</v>
      </c>
      <c r="P55">
        <v>5</v>
      </c>
      <c r="Q55">
        <f t="shared" si="0"/>
        <v>30</v>
      </c>
      <c r="R55">
        <f t="shared" si="1"/>
        <v>3.1077887699499491E-3</v>
      </c>
      <c r="S55">
        <f t="shared" si="3"/>
        <v>0.34807234223439393</v>
      </c>
      <c r="T55" t="str">
        <f t="shared" si="2"/>
        <v>A</v>
      </c>
      <c r="V55" t="s">
        <v>492</v>
      </c>
      <c r="W55" t="s">
        <v>1244</v>
      </c>
    </row>
    <row r="56" spans="1:23" x14ac:dyDescent="0.25">
      <c r="A56" s="17">
        <v>44774</v>
      </c>
      <c r="B56" s="1" t="s">
        <v>99</v>
      </c>
      <c r="C56" s="1">
        <v>1</v>
      </c>
      <c r="F56" s="9" t="s">
        <v>369</v>
      </c>
      <c r="G56" s="10">
        <v>1</v>
      </c>
      <c r="H56" s="10"/>
      <c r="I56" s="10"/>
      <c r="J56" s="10"/>
      <c r="K56" s="10"/>
      <c r="L56" s="10">
        <v>1</v>
      </c>
      <c r="O56" t="s">
        <v>592</v>
      </c>
      <c r="P56">
        <v>5</v>
      </c>
      <c r="Q56">
        <f t="shared" si="0"/>
        <v>30</v>
      </c>
      <c r="R56">
        <f t="shared" si="1"/>
        <v>3.1077887699499491E-3</v>
      </c>
      <c r="S56">
        <f t="shared" si="3"/>
        <v>0.35118013100434387</v>
      </c>
      <c r="T56" t="str">
        <f t="shared" si="2"/>
        <v>A</v>
      </c>
      <c r="V56" t="s">
        <v>592</v>
      </c>
      <c r="W56" t="s">
        <v>1244</v>
      </c>
    </row>
    <row r="57" spans="1:23" x14ac:dyDescent="0.25">
      <c r="A57" s="17">
        <v>44774</v>
      </c>
      <c r="B57" s="1" t="s">
        <v>100</v>
      </c>
      <c r="C57" s="1">
        <v>1</v>
      </c>
      <c r="F57" s="9" t="s">
        <v>513</v>
      </c>
      <c r="G57" s="10"/>
      <c r="H57" s="10">
        <v>1</v>
      </c>
      <c r="I57" s="10"/>
      <c r="J57" s="10"/>
      <c r="K57" s="10"/>
      <c r="L57" s="10">
        <v>1</v>
      </c>
      <c r="O57" t="s">
        <v>863</v>
      </c>
      <c r="P57">
        <v>5</v>
      </c>
      <c r="Q57">
        <f t="shared" si="0"/>
        <v>30</v>
      </c>
      <c r="R57">
        <f t="shared" si="1"/>
        <v>3.1077887699499491E-3</v>
      </c>
      <c r="S57">
        <f t="shared" si="3"/>
        <v>0.3542879197742938</v>
      </c>
      <c r="T57" t="str">
        <f t="shared" si="2"/>
        <v>A</v>
      </c>
      <c r="V57" t="s">
        <v>863</v>
      </c>
      <c r="W57" t="s">
        <v>1244</v>
      </c>
    </row>
    <row r="58" spans="1:23" x14ac:dyDescent="0.25">
      <c r="A58" s="17">
        <v>44774</v>
      </c>
      <c r="B58" s="1" t="s">
        <v>102</v>
      </c>
      <c r="C58" s="1">
        <v>1</v>
      </c>
      <c r="F58" s="9" t="s">
        <v>456</v>
      </c>
      <c r="G58" s="10">
        <v>1</v>
      </c>
      <c r="H58" s="10"/>
      <c r="I58" s="10"/>
      <c r="J58" s="10"/>
      <c r="K58" s="10"/>
      <c r="L58" s="10">
        <v>1</v>
      </c>
      <c r="O58" t="s">
        <v>226</v>
      </c>
      <c r="P58">
        <v>5</v>
      </c>
      <c r="Q58">
        <f t="shared" si="0"/>
        <v>30</v>
      </c>
      <c r="R58">
        <f t="shared" si="1"/>
        <v>3.1077887699499491E-3</v>
      </c>
      <c r="S58">
        <f t="shared" si="3"/>
        <v>0.35739570854424374</v>
      </c>
      <c r="T58" t="str">
        <f t="shared" si="2"/>
        <v>A</v>
      </c>
      <c r="V58" t="s">
        <v>226</v>
      </c>
      <c r="W58" t="s">
        <v>1244</v>
      </c>
    </row>
    <row r="59" spans="1:23" x14ac:dyDescent="0.25">
      <c r="A59" s="17">
        <v>44774</v>
      </c>
      <c r="B59" s="1" t="s">
        <v>104</v>
      </c>
      <c r="C59" s="1">
        <v>1</v>
      </c>
      <c r="F59" s="9" t="s">
        <v>832</v>
      </c>
      <c r="G59" s="10"/>
      <c r="H59" s="10"/>
      <c r="I59" s="10">
        <v>1</v>
      </c>
      <c r="J59" s="10"/>
      <c r="K59" s="10"/>
      <c r="L59" s="10">
        <v>1</v>
      </c>
      <c r="O59" t="s">
        <v>28</v>
      </c>
      <c r="P59">
        <v>4</v>
      </c>
      <c r="Q59">
        <f t="shared" si="0"/>
        <v>24</v>
      </c>
      <c r="R59">
        <f t="shared" si="1"/>
        <v>2.4862310159599593E-3</v>
      </c>
      <c r="S59">
        <f t="shared" si="3"/>
        <v>0.3598819395602037</v>
      </c>
      <c r="T59" t="str">
        <f t="shared" si="2"/>
        <v>A</v>
      </c>
      <c r="V59" t="s">
        <v>28</v>
      </c>
      <c r="W59" t="s">
        <v>1244</v>
      </c>
    </row>
    <row r="60" spans="1:23" x14ac:dyDescent="0.25">
      <c r="A60" s="17">
        <v>44774</v>
      </c>
      <c r="B60" s="1" t="s">
        <v>106</v>
      </c>
      <c r="C60" s="1">
        <v>1</v>
      </c>
      <c r="F60" s="9" t="s">
        <v>545</v>
      </c>
      <c r="G60" s="10"/>
      <c r="H60" s="10">
        <v>1</v>
      </c>
      <c r="I60" s="10"/>
      <c r="J60" s="10"/>
      <c r="K60" s="10"/>
      <c r="L60" s="10">
        <v>1</v>
      </c>
      <c r="O60" t="s">
        <v>983</v>
      </c>
      <c r="P60">
        <v>4</v>
      </c>
      <c r="Q60">
        <f t="shared" si="0"/>
        <v>24</v>
      </c>
      <c r="R60">
        <f t="shared" si="1"/>
        <v>2.4862310159599593E-3</v>
      </c>
      <c r="S60">
        <f t="shared" si="3"/>
        <v>0.36236817057616366</v>
      </c>
      <c r="T60" t="str">
        <f t="shared" si="2"/>
        <v>A</v>
      </c>
      <c r="V60" t="s">
        <v>983</v>
      </c>
      <c r="W60" t="s">
        <v>1244</v>
      </c>
    </row>
    <row r="61" spans="1:23" x14ac:dyDescent="0.25">
      <c r="A61" s="17">
        <v>44774</v>
      </c>
      <c r="B61" s="1" t="s">
        <v>108</v>
      </c>
      <c r="C61" s="1">
        <v>1</v>
      </c>
      <c r="F61" s="9" t="s">
        <v>524</v>
      </c>
      <c r="G61" s="10"/>
      <c r="H61" s="10">
        <v>1</v>
      </c>
      <c r="I61" s="10"/>
      <c r="J61" s="10"/>
      <c r="K61" s="10"/>
      <c r="L61" s="10">
        <v>1</v>
      </c>
      <c r="O61" t="s">
        <v>831</v>
      </c>
      <c r="P61">
        <v>4</v>
      </c>
      <c r="Q61">
        <f t="shared" si="0"/>
        <v>24</v>
      </c>
      <c r="R61">
        <f t="shared" si="1"/>
        <v>2.4862310159599593E-3</v>
      </c>
      <c r="S61">
        <f t="shared" si="3"/>
        <v>0.36485440159212362</v>
      </c>
      <c r="T61" t="str">
        <f t="shared" si="2"/>
        <v>A</v>
      </c>
      <c r="V61" t="s">
        <v>831</v>
      </c>
      <c r="W61" t="s">
        <v>1244</v>
      </c>
    </row>
    <row r="62" spans="1:23" x14ac:dyDescent="0.25">
      <c r="A62" s="17">
        <v>44774</v>
      </c>
      <c r="B62" s="1" t="s">
        <v>110</v>
      </c>
      <c r="C62" s="1">
        <v>1</v>
      </c>
      <c r="F62" s="9" t="s">
        <v>28</v>
      </c>
      <c r="G62" s="10">
        <v>1</v>
      </c>
      <c r="H62" s="10">
        <v>2</v>
      </c>
      <c r="I62" s="10"/>
      <c r="J62" s="10"/>
      <c r="K62" s="10">
        <v>1</v>
      </c>
      <c r="L62" s="10">
        <v>4</v>
      </c>
      <c r="O62" t="s">
        <v>381</v>
      </c>
      <c r="P62">
        <v>4</v>
      </c>
      <c r="Q62">
        <f t="shared" si="0"/>
        <v>24</v>
      </c>
      <c r="R62">
        <f t="shared" si="1"/>
        <v>2.4862310159599593E-3</v>
      </c>
      <c r="S62">
        <f t="shared" si="3"/>
        <v>0.36734063260808358</v>
      </c>
      <c r="T62" t="str">
        <f t="shared" si="2"/>
        <v>A</v>
      </c>
      <c r="V62" t="s">
        <v>381</v>
      </c>
      <c r="W62" t="s">
        <v>1244</v>
      </c>
    </row>
    <row r="63" spans="1:23" x14ac:dyDescent="0.25">
      <c r="A63" s="17">
        <v>44774</v>
      </c>
      <c r="B63" s="1" t="s">
        <v>112</v>
      </c>
      <c r="C63" s="1">
        <v>2</v>
      </c>
      <c r="F63" s="9" t="s">
        <v>167</v>
      </c>
      <c r="G63" s="10">
        <v>1</v>
      </c>
      <c r="H63" s="10"/>
      <c r="I63" s="10"/>
      <c r="J63" s="10"/>
      <c r="K63" s="10"/>
      <c r="L63" s="10">
        <v>1</v>
      </c>
      <c r="O63" t="s">
        <v>742</v>
      </c>
      <c r="P63">
        <v>4</v>
      </c>
      <c r="Q63">
        <f t="shared" si="0"/>
        <v>24</v>
      </c>
      <c r="R63">
        <f t="shared" si="1"/>
        <v>2.4862310159599593E-3</v>
      </c>
      <c r="S63">
        <f t="shared" si="3"/>
        <v>0.36982686362404354</v>
      </c>
      <c r="T63" t="str">
        <f t="shared" si="2"/>
        <v>A</v>
      </c>
      <c r="V63" t="s">
        <v>742</v>
      </c>
      <c r="W63" t="s">
        <v>1244</v>
      </c>
    </row>
    <row r="64" spans="1:23" x14ac:dyDescent="0.25">
      <c r="A64" s="17">
        <v>44774</v>
      </c>
      <c r="B64" s="1" t="s">
        <v>113</v>
      </c>
      <c r="C64" s="1">
        <v>1</v>
      </c>
      <c r="F64" s="9" t="s">
        <v>767</v>
      </c>
      <c r="G64" s="10"/>
      <c r="H64" s="10"/>
      <c r="I64" s="10">
        <v>1</v>
      </c>
      <c r="J64" s="10"/>
      <c r="K64" s="10"/>
      <c r="L64" s="10">
        <v>1</v>
      </c>
      <c r="O64" t="s">
        <v>804</v>
      </c>
      <c r="P64">
        <v>4</v>
      </c>
      <c r="Q64">
        <f t="shared" si="0"/>
        <v>24</v>
      </c>
      <c r="R64">
        <f t="shared" si="1"/>
        <v>2.4862310159599593E-3</v>
      </c>
      <c r="S64">
        <f t="shared" si="3"/>
        <v>0.37231309464000351</v>
      </c>
      <c r="T64" t="str">
        <f t="shared" si="2"/>
        <v>A</v>
      </c>
      <c r="V64" t="s">
        <v>804</v>
      </c>
      <c r="W64" t="s">
        <v>1244</v>
      </c>
    </row>
    <row r="65" spans="1:23" x14ac:dyDescent="0.25">
      <c r="A65" s="17">
        <v>44774</v>
      </c>
      <c r="B65" s="1" t="s">
        <v>116</v>
      </c>
      <c r="C65" s="1">
        <v>1</v>
      </c>
      <c r="F65" s="9" t="s">
        <v>284</v>
      </c>
      <c r="G65" s="10">
        <v>1</v>
      </c>
      <c r="H65" s="10"/>
      <c r="I65" s="10"/>
      <c r="J65" s="10"/>
      <c r="K65" s="10"/>
      <c r="L65" s="10">
        <v>1</v>
      </c>
      <c r="O65" t="s">
        <v>759</v>
      </c>
      <c r="P65">
        <v>4</v>
      </c>
      <c r="Q65">
        <f t="shared" si="0"/>
        <v>24</v>
      </c>
      <c r="R65">
        <f t="shared" si="1"/>
        <v>2.4862310159599593E-3</v>
      </c>
      <c r="S65">
        <f t="shared" si="3"/>
        <v>0.37479932565596347</v>
      </c>
      <c r="T65" t="str">
        <f t="shared" si="2"/>
        <v>A</v>
      </c>
      <c r="V65" t="s">
        <v>759</v>
      </c>
      <c r="W65" t="s">
        <v>1244</v>
      </c>
    </row>
    <row r="66" spans="1:23" x14ac:dyDescent="0.25">
      <c r="A66" s="17">
        <v>44774</v>
      </c>
      <c r="B66" s="1" t="s">
        <v>116</v>
      </c>
      <c r="C66" s="1">
        <v>1</v>
      </c>
      <c r="F66" s="9" t="s">
        <v>116</v>
      </c>
      <c r="G66" s="10">
        <v>2</v>
      </c>
      <c r="H66" s="10"/>
      <c r="I66" s="10">
        <v>5</v>
      </c>
      <c r="J66" s="10">
        <v>1</v>
      </c>
      <c r="K66" s="10"/>
      <c r="L66" s="10">
        <v>8</v>
      </c>
      <c r="O66" t="s">
        <v>986</v>
      </c>
      <c r="P66">
        <v>4</v>
      </c>
      <c r="Q66">
        <f t="shared" si="0"/>
        <v>24</v>
      </c>
      <c r="R66">
        <f t="shared" si="1"/>
        <v>2.4862310159599593E-3</v>
      </c>
      <c r="S66">
        <f t="shared" si="3"/>
        <v>0.37728555667192343</v>
      </c>
      <c r="T66" t="str">
        <f t="shared" si="2"/>
        <v>A</v>
      </c>
      <c r="V66" t="s">
        <v>986</v>
      </c>
      <c r="W66" t="s">
        <v>1244</v>
      </c>
    </row>
    <row r="67" spans="1:23" x14ac:dyDescent="0.25">
      <c r="A67" s="17">
        <v>44774</v>
      </c>
      <c r="B67" s="1" t="s">
        <v>118</v>
      </c>
      <c r="C67" s="1">
        <v>1</v>
      </c>
      <c r="F67" s="9" t="s">
        <v>355</v>
      </c>
      <c r="G67" s="10">
        <v>1</v>
      </c>
      <c r="H67" s="10">
        <v>1</v>
      </c>
      <c r="I67" s="10">
        <v>1</v>
      </c>
      <c r="J67" s="10">
        <v>2</v>
      </c>
      <c r="K67" s="10">
        <v>1</v>
      </c>
      <c r="L67" s="10">
        <v>6</v>
      </c>
      <c r="O67" t="s">
        <v>238</v>
      </c>
      <c r="P67">
        <v>4</v>
      </c>
      <c r="Q67">
        <f t="shared" si="0"/>
        <v>24</v>
      </c>
      <c r="R67">
        <f t="shared" si="1"/>
        <v>2.4862310159599593E-3</v>
      </c>
      <c r="S67">
        <f t="shared" si="3"/>
        <v>0.37977178768788339</v>
      </c>
      <c r="T67" t="str">
        <f t="shared" si="2"/>
        <v>A</v>
      </c>
      <c r="V67" t="s">
        <v>238</v>
      </c>
      <c r="W67" t="s">
        <v>1244</v>
      </c>
    </row>
    <row r="68" spans="1:23" x14ac:dyDescent="0.25">
      <c r="A68" s="17">
        <v>44774</v>
      </c>
      <c r="B68" s="1" t="s">
        <v>118</v>
      </c>
      <c r="C68" s="1">
        <v>1</v>
      </c>
      <c r="F68" s="9" t="s">
        <v>983</v>
      </c>
      <c r="G68" s="10"/>
      <c r="H68" s="10"/>
      <c r="I68" s="10"/>
      <c r="J68" s="10">
        <v>3</v>
      </c>
      <c r="K68" s="10">
        <v>1</v>
      </c>
      <c r="L68" s="10">
        <v>4</v>
      </c>
      <c r="O68" t="s">
        <v>33</v>
      </c>
      <c r="P68">
        <v>4</v>
      </c>
      <c r="Q68">
        <f t="shared" si="0"/>
        <v>24</v>
      </c>
      <c r="R68">
        <f t="shared" si="1"/>
        <v>2.4862310159599593E-3</v>
      </c>
      <c r="S68">
        <f t="shared" si="3"/>
        <v>0.38225801870384335</v>
      </c>
      <c r="T68" t="str">
        <f t="shared" si="2"/>
        <v>A</v>
      </c>
      <c r="V68" t="s">
        <v>33</v>
      </c>
      <c r="W68" t="s">
        <v>1244</v>
      </c>
    </row>
    <row r="69" spans="1:23" x14ac:dyDescent="0.25">
      <c r="A69" s="17">
        <v>44774</v>
      </c>
      <c r="B69" s="1" t="s">
        <v>119</v>
      </c>
      <c r="C69" s="1">
        <v>1</v>
      </c>
      <c r="F69" s="9" t="s">
        <v>307</v>
      </c>
      <c r="G69" s="10">
        <v>2</v>
      </c>
      <c r="H69" s="10"/>
      <c r="I69" s="10"/>
      <c r="J69" s="10"/>
      <c r="K69" s="10"/>
      <c r="L69" s="10">
        <v>2</v>
      </c>
      <c r="O69" t="s">
        <v>265</v>
      </c>
      <c r="P69">
        <v>4</v>
      </c>
      <c r="Q69">
        <f t="shared" ref="Q69:Q132" si="4">(P69/5)*30</f>
        <v>24</v>
      </c>
      <c r="R69">
        <f t="shared" ref="R69:R132" si="5">Q69/SUM($Q$4:$Q$806)</f>
        <v>2.4862310159599593E-3</v>
      </c>
      <c r="S69">
        <f t="shared" si="3"/>
        <v>0.38474424971980331</v>
      </c>
      <c r="T69" t="str">
        <f t="shared" ref="T69:T132" si="6">IF(S69&lt;0.8,"A", IF(S69&lt;0.95,"B","C"))</f>
        <v>A</v>
      </c>
      <c r="V69" t="s">
        <v>265</v>
      </c>
      <c r="W69" t="s">
        <v>1244</v>
      </c>
    </row>
    <row r="70" spans="1:23" x14ac:dyDescent="0.25">
      <c r="A70" s="17">
        <v>44774</v>
      </c>
      <c r="B70" s="1" t="s">
        <v>121</v>
      </c>
      <c r="C70" s="1">
        <v>1</v>
      </c>
      <c r="F70" s="9" t="s">
        <v>1147</v>
      </c>
      <c r="G70" s="10"/>
      <c r="H70" s="10"/>
      <c r="I70" s="10"/>
      <c r="J70" s="10"/>
      <c r="K70" s="10">
        <v>1</v>
      </c>
      <c r="L70" s="10">
        <v>1</v>
      </c>
      <c r="O70" t="s">
        <v>65</v>
      </c>
      <c r="P70">
        <v>4</v>
      </c>
      <c r="Q70">
        <f t="shared" si="4"/>
        <v>24</v>
      </c>
      <c r="R70">
        <f t="shared" si="5"/>
        <v>2.4862310159599593E-3</v>
      </c>
      <c r="S70">
        <f t="shared" ref="S70:S133" si="7">R70+S69</f>
        <v>0.38723048073576327</v>
      </c>
      <c r="T70" t="str">
        <f t="shared" si="6"/>
        <v>A</v>
      </c>
      <c r="V70" t="s">
        <v>65</v>
      </c>
      <c r="W70" t="s">
        <v>1244</v>
      </c>
    </row>
    <row r="71" spans="1:23" x14ac:dyDescent="0.25">
      <c r="A71" s="17">
        <v>44774</v>
      </c>
      <c r="B71" s="1" t="s">
        <v>123</v>
      </c>
      <c r="C71" s="1">
        <v>1</v>
      </c>
      <c r="F71" s="9" t="s">
        <v>831</v>
      </c>
      <c r="G71" s="10"/>
      <c r="H71" s="10"/>
      <c r="I71" s="10">
        <v>1</v>
      </c>
      <c r="J71" s="10">
        <v>2</v>
      </c>
      <c r="K71" s="10">
        <v>1</v>
      </c>
      <c r="L71" s="10">
        <v>4</v>
      </c>
      <c r="O71" t="s">
        <v>1224</v>
      </c>
      <c r="P71">
        <v>4</v>
      </c>
      <c r="Q71">
        <f t="shared" si="4"/>
        <v>24</v>
      </c>
      <c r="R71">
        <f t="shared" si="5"/>
        <v>2.4862310159599593E-3</v>
      </c>
      <c r="S71">
        <f t="shared" si="7"/>
        <v>0.38971671175172323</v>
      </c>
      <c r="T71" t="str">
        <f t="shared" si="6"/>
        <v>A</v>
      </c>
      <c r="V71" t="s">
        <v>1224</v>
      </c>
      <c r="W71" t="s">
        <v>1244</v>
      </c>
    </row>
    <row r="72" spans="1:23" x14ac:dyDescent="0.25">
      <c r="A72" s="17">
        <v>44774</v>
      </c>
      <c r="B72" s="1" t="s">
        <v>125</v>
      </c>
      <c r="C72" s="1">
        <v>1</v>
      </c>
      <c r="F72" s="9" t="s">
        <v>505</v>
      </c>
      <c r="G72" s="10"/>
      <c r="H72" s="10">
        <v>1</v>
      </c>
      <c r="I72" s="10">
        <v>1</v>
      </c>
      <c r="J72" s="10"/>
      <c r="K72" s="10">
        <v>1</v>
      </c>
      <c r="L72" s="10">
        <v>3</v>
      </c>
      <c r="O72" t="s">
        <v>639</v>
      </c>
      <c r="P72">
        <v>4</v>
      </c>
      <c r="Q72">
        <f t="shared" si="4"/>
        <v>24</v>
      </c>
      <c r="R72">
        <f t="shared" si="5"/>
        <v>2.4862310159599593E-3</v>
      </c>
      <c r="S72">
        <f t="shared" si="7"/>
        <v>0.39220294276768319</v>
      </c>
      <c r="T72" t="str">
        <f t="shared" si="6"/>
        <v>A</v>
      </c>
      <c r="V72" t="s">
        <v>639</v>
      </c>
      <c r="W72" t="s">
        <v>1244</v>
      </c>
    </row>
    <row r="73" spans="1:23" x14ac:dyDescent="0.25">
      <c r="A73" s="17">
        <v>44774</v>
      </c>
      <c r="B73" s="1" t="s">
        <v>127</v>
      </c>
      <c r="C73" s="1">
        <v>1</v>
      </c>
      <c r="F73" s="9" t="s">
        <v>915</v>
      </c>
      <c r="G73" s="10"/>
      <c r="H73" s="10"/>
      <c r="I73" s="10">
        <v>1</v>
      </c>
      <c r="J73" s="10"/>
      <c r="K73" s="10"/>
      <c r="L73" s="10">
        <v>1</v>
      </c>
      <c r="O73" t="s">
        <v>424</v>
      </c>
      <c r="P73">
        <v>4</v>
      </c>
      <c r="Q73">
        <f t="shared" si="4"/>
        <v>24</v>
      </c>
      <c r="R73">
        <f t="shared" si="5"/>
        <v>2.4862310159599593E-3</v>
      </c>
      <c r="S73">
        <f t="shared" si="7"/>
        <v>0.39468917378364315</v>
      </c>
      <c r="T73" t="str">
        <f t="shared" si="6"/>
        <v>A</v>
      </c>
      <c r="V73" t="s">
        <v>424</v>
      </c>
      <c r="W73" t="s">
        <v>1244</v>
      </c>
    </row>
    <row r="74" spans="1:23" x14ac:dyDescent="0.25">
      <c r="A74" s="17">
        <v>44774</v>
      </c>
      <c r="B74" s="1" t="s">
        <v>129</v>
      </c>
      <c r="C74" s="1">
        <v>1</v>
      </c>
      <c r="F74" s="9" t="s">
        <v>259</v>
      </c>
      <c r="G74" s="10">
        <v>1</v>
      </c>
      <c r="H74" s="10">
        <v>3</v>
      </c>
      <c r="I74" s="10"/>
      <c r="J74" s="10">
        <v>2</v>
      </c>
      <c r="K74" s="10"/>
      <c r="L74" s="10">
        <v>6</v>
      </c>
      <c r="O74" t="s">
        <v>228</v>
      </c>
      <c r="P74">
        <v>4</v>
      </c>
      <c r="Q74">
        <f t="shared" si="4"/>
        <v>24</v>
      </c>
      <c r="R74">
        <f t="shared" si="5"/>
        <v>2.4862310159599593E-3</v>
      </c>
      <c r="S74">
        <f t="shared" si="7"/>
        <v>0.39717540479960312</v>
      </c>
      <c r="T74" t="str">
        <f t="shared" si="6"/>
        <v>A</v>
      </c>
      <c r="V74" t="s">
        <v>228</v>
      </c>
      <c r="W74" t="s">
        <v>1244</v>
      </c>
    </row>
    <row r="75" spans="1:23" x14ac:dyDescent="0.25">
      <c r="A75" s="17">
        <v>44774</v>
      </c>
      <c r="B75" s="1" t="s">
        <v>131</v>
      </c>
      <c r="C75" s="1">
        <v>1</v>
      </c>
      <c r="F75" s="9" t="s">
        <v>182</v>
      </c>
      <c r="G75" s="10">
        <v>1</v>
      </c>
      <c r="H75" s="10"/>
      <c r="I75" s="10">
        <v>1</v>
      </c>
      <c r="J75" s="10"/>
      <c r="K75" s="10"/>
      <c r="L75" s="10">
        <v>2</v>
      </c>
      <c r="O75" t="s">
        <v>118</v>
      </c>
      <c r="P75">
        <v>4</v>
      </c>
      <c r="Q75">
        <f t="shared" si="4"/>
        <v>24</v>
      </c>
      <c r="R75">
        <f t="shared" si="5"/>
        <v>2.4862310159599593E-3</v>
      </c>
      <c r="S75">
        <f t="shared" si="7"/>
        <v>0.39966163581556308</v>
      </c>
      <c r="T75" t="str">
        <f t="shared" si="6"/>
        <v>A</v>
      </c>
      <c r="V75" t="s">
        <v>118</v>
      </c>
      <c r="W75" t="s">
        <v>1244</v>
      </c>
    </row>
    <row r="76" spans="1:23" x14ac:dyDescent="0.25">
      <c r="A76" s="17">
        <v>44774</v>
      </c>
      <c r="B76" s="1" t="s">
        <v>133</v>
      </c>
      <c r="C76" s="1">
        <v>1</v>
      </c>
      <c r="F76" s="9" t="s">
        <v>1105</v>
      </c>
      <c r="G76" s="10"/>
      <c r="H76" s="10"/>
      <c r="I76" s="10"/>
      <c r="J76" s="10"/>
      <c r="K76" s="10">
        <v>1</v>
      </c>
      <c r="L76" s="10">
        <v>1</v>
      </c>
      <c r="O76" t="s">
        <v>764</v>
      </c>
      <c r="P76">
        <v>4</v>
      </c>
      <c r="Q76">
        <f t="shared" si="4"/>
        <v>24</v>
      </c>
      <c r="R76">
        <f t="shared" si="5"/>
        <v>2.4862310159599593E-3</v>
      </c>
      <c r="S76">
        <f t="shared" si="7"/>
        <v>0.40214786683152304</v>
      </c>
      <c r="T76" t="str">
        <f t="shared" si="6"/>
        <v>A</v>
      </c>
      <c r="V76" t="s">
        <v>764</v>
      </c>
      <c r="W76" t="s">
        <v>1244</v>
      </c>
    </row>
    <row r="77" spans="1:23" x14ac:dyDescent="0.25">
      <c r="A77" s="17">
        <v>44774</v>
      </c>
      <c r="B77" s="1" t="s">
        <v>135</v>
      </c>
      <c r="C77" s="1">
        <v>1</v>
      </c>
      <c r="F77" s="9" t="s">
        <v>477</v>
      </c>
      <c r="G77" s="10"/>
      <c r="H77" s="10">
        <v>2</v>
      </c>
      <c r="I77" s="10"/>
      <c r="J77" s="10"/>
      <c r="K77" s="10"/>
      <c r="L77" s="10">
        <v>2</v>
      </c>
      <c r="O77" t="s">
        <v>157</v>
      </c>
      <c r="P77">
        <v>4</v>
      </c>
      <c r="Q77">
        <f t="shared" si="4"/>
        <v>24</v>
      </c>
      <c r="R77">
        <f t="shared" si="5"/>
        <v>2.4862310159599593E-3</v>
      </c>
      <c r="S77">
        <f t="shared" si="7"/>
        <v>0.404634097847483</v>
      </c>
      <c r="T77" t="str">
        <f t="shared" si="6"/>
        <v>A</v>
      </c>
      <c r="V77" t="s">
        <v>157</v>
      </c>
      <c r="W77" t="s">
        <v>1244</v>
      </c>
    </row>
    <row r="78" spans="1:23" x14ac:dyDescent="0.25">
      <c r="A78" s="17">
        <v>44774</v>
      </c>
      <c r="B78" s="1" t="s">
        <v>137</v>
      </c>
      <c r="C78" s="1">
        <v>1</v>
      </c>
      <c r="F78" s="9" t="s">
        <v>457</v>
      </c>
      <c r="G78" s="10">
        <v>1</v>
      </c>
      <c r="H78" s="10"/>
      <c r="I78" s="10"/>
      <c r="J78" s="10">
        <v>1</v>
      </c>
      <c r="K78" s="10"/>
      <c r="L78" s="10">
        <v>2</v>
      </c>
      <c r="O78" t="s">
        <v>44</v>
      </c>
      <c r="P78">
        <v>4</v>
      </c>
      <c r="Q78">
        <f t="shared" si="4"/>
        <v>24</v>
      </c>
      <c r="R78">
        <f t="shared" si="5"/>
        <v>2.4862310159599593E-3</v>
      </c>
      <c r="S78">
        <f t="shared" si="7"/>
        <v>0.40712032886344296</v>
      </c>
      <c r="T78" t="str">
        <f t="shared" si="6"/>
        <v>A</v>
      </c>
      <c r="V78" t="s">
        <v>44</v>
      </c>
      <c r="W78" t="s">
        <v>1244</v>
      </c>
    </row>
    <row r="79" spans="1:23" x14ac:dyDescent="0.25">
      <c r="A79" s="17">
        <v>44774</v>
      </c>
      <c r="B79" s="1" t="s">
        <v>140</v>
      </c>
      <c r="C79" s="1">
        <v>1</v>
      </c>
      <c r="F79" s="9" t="s">
        <v>834</v>
      </c>
      <c r="G79" s="10"/>
      <c r="H79" s="10"/>
      <c r="I79" s="10">
        <v>1</v>
      </c>
      <c r="J79" s="10"/>
      <c r="K79" s="10"/>
      <c r="L79" s="10">
        <v>1</v>
      </c>
      <c r="O79" t="s">
        <v>664</v>
      </c>
      <c r="P79">
        <v>4</v>
      </c>
      <c r="Q79">
        <f t="shared" si="4"/>
        <v>24</v>
      </c>
      <c r="R79">
        <f t="shared" si="5"/>
        <v>2.4862310159599593E-3</v>
      </c>
      <c r="S79">
        <f t="shared" si="7"/>
        <v>0.40960655987940292</v>
      </c>
      <c r="T79" t="str">
        <f t="shared" si="6"/>
        <v>A</v>
      </c>
      <c r="V79" t="s">
        <v>664</v>
      </c>
      <c r="W79" t="s">
        <v>1244</v>
      </c>
    </row>
    <row r="80" spans="1:23" x14ac:dyDescent="0.25">
      <c r="A80" s="17">
        <v>44774</v>
      </c>
      <c r="B80" s="1" t="s">
        <v>140</v>
      </c>
      <c r="C80" s="1">
        <v>1</v>
      </c>
      <c r="F80" s="9" t="s">
        <v>835</v>
      </c>
      <c r="G80" s="10"/>
      <c r="H80" s="10"/>
      <c r="I80" s="10">
        <v>1</v>
      </c>
      <c r="J80" s="10"/>
      <c r="K80" s="10"/>
      <c r="L80" s="10">
        <v>1</v>
      </c>
      <c r="O80" t="s">
        <v>72</v>
      </c>
      <c r="P80">
        <v>4</v>
      </c>
      <c r="Q80">
        <f t="shared" si="4"/>
        <v>24</v>
      </c>
      <c r="R80">
        <f t="shared" si="5"/>
        <v>2.4862310159599593E-3</v>
      </c>
      <c r="S80">
        <f t="shared" si="7"/>
        <v>0.41209279089536288</v>
      </c>
      <c r="T80" t="str">
        <f t="shared" si="6"/>
        <v>A</v>
      </c>
      <c r="V80" t="s">
        <v>72</v>
      </c>
      <c r="W80" t="s">
        <v>1244</v>
      </c>
    </row>
    <row r="81" spans="1:23" x14ac:dyDescent="0.25">
      <c r="A81" s="17">
        <v>44774</v>
      </c>
      <c r="B81" s="1" t="s">
        <v>140</v>
      </c>
      <c r="C81" s="1">
        <v>1</v>
      </c>
      <c r="F81" s="9" t="s">
        <v>802</v>
      </c>
      <c r="G81" s="10"/>
      <c r="H81" s="10"/>
      <c r="I81" s="10">
        <v>1</v>
      </c>
      <c r="J81" s="10"/>
      <c r="K81" s="10">
        <v>1</v>
      </c>
      <c r="L81" s="10">
        <v>2</v>
      </c>
      <c r="O81" t="s">
        <v>177</v>
      </c>
      <c r="P81">
        <v>3</v>
      </c>
      <c r="Q81">
        <f t="shared" si="4"/>
        <v>18</v>
      </c>
      <c r="R81">
        <f t="shared" si="5"/>
        <v>1.8646732619699697E-3</v>
      </c>
      <c r="S81">
        <f t="shared" si="7"/>
        <v>0.41395746415733287</v>
      </c>
      <c r="T81" t="str">
        <f t="shared" si="6"/>
        <v>A</v>
      </c>
      <c r="V81" t="s">
        <v>177</v>
      </c>
      <c r="W81" t="s">
        <v>1244</v>
      </c>
    </row>
    <row r="82" spans="1:23" x14ac:dyDescent="0.25">
      <c r="A82" s="17">
        <v>44774</v>
      </c>
      <c r="B82" s="1" t="s">
        <v>142</v>
      </c>
      <c r="C82" s="1">
        <v>1</v>
      </c>
      <c r="F82" s="9" t="s">
        <v>784</v>
      </c>
      <c r="G82" s="10"/>
      <c r="H82" s="10"/>
      <c r="I82" s="10">
        <v>1</v>
      </c>
      <c r="J82" s="10"/>
      <c r="K82" s="10"/>
      <c r="L82" s="10">
        <v>1</v>
      </c>
      <c r="O82" t="s">
        <v>607</v>
      </c>
      <c r="P82">
        <v>3</v>
      </c>
      <c r="Q82">
        <f t="shared" si="4"/>
        <v>18</v>
      </c>
      <c r="R82">
        <f t="shared" si="5"/>
        <v>1.8646732619699697E-3</v>
      </c>
      <c r="S82">
        <f t="shared" si="7"/>
        <v>0.41582213741930285</v>
      </c>
      <c r="T82" t="str">
        <f t="shared" si="6"/>
        <v>A</v>
      </c>
      <c r="V82" t="s">
        <v>607</v>
      </c>
      <c r="W82" t="s">
        <v>1244</v>
      </c>
    </row>
    <row r="83" spans="1:23" x14ac:dyDescent="0.25">
      <c r="A83" s="17">
        <v>44774</v>
      </c>
      <c r="B83" s="1" t="s">
        <v>144</v>
      </c>
      <c r="C83" s="1">
        <v>1</v>
      </c>
      <c r="F83" s="9" t="s">
        <v>701</v>
      </c>
      <c r="G83" s="10"/>
      <c r="H83" s="10">
        <v>1</v>
      </c>
      <c r="I83" s="10"/>
      <c r="J83" s="10"/>
      <c r="K83" s="10"/>
      <c r="L83" s="10">
        <v>1</v>
      </c>
      <c r="O83" t="s">
        <v>254</v>
      </c>
      <c r="P83">
        <v>3</v>
      </c>
      <c r="Q83">
        <f t="shared" si="4"/>
        <v>18</v>
      </c>
      <c r="R83">
        <f t="shared" si="5"/>
        <v>1.8646732619699697E-3</v>
      </c>
      <c r="S83">
        <f t="shared" si="7"/>
        <v>0.41768681068127284</v>
      </c>
      <c r="T83" t="str">
        <f t="shared" si="6"/>
        <v>A</v>
      </c>
      <c r="V83" t="s">
        <v>254</v>
      </c>
      <c r="W83" t="s">
        <v>1244</v>
      </c>
    </row>
    <row r="84" spans="1:23" x14ac:dyDescent="0.25">
      <c r="A84" s="17">
        <v>44774</v>
      </c>
      <c r="B84" s="1" t="s">
        <v>146</v>
      </c>
      <c r="C84" s="1">
        <v>1</v>
      </c>
      <c r="F84" s="9" t="s">
        <v>37</v>
      </c>
      <c r="G84" s="10">
        <v>1</v>
      </c>
      <c r="H84" s="10">
        <v>1</v>
      </c>
      <c r="I84" s="10"/>
      <c r="J84" s="10"/>
      <c r="K84" s="10"/>
      <c r="L84" s="10">
        <v>2</v>
      </c>
      <c r="O84" t="s">
        <v>505</v>
      </c>
      <c r="P84">
        <v>3</v>
      </c>
      <c r="Q84">
        <f t="shared" si="4"/>
        <v>18</v>
      </c>
      <c r="R84">
        <f t="shared" si="5"/>
        <v>1.8646732619699697E-3</v>
      </c>
      <c r="S84">
        <f t="shared" si="7"/>
        <v>0.41955148394324282</v>
      </c>
      <c r="T84" t="str">
        <f t="shared" si="6"/>
        <v>A</v>
      </c>
      <c r="V84" t="s">
        <v>505</v>
      </c>
      <c r="W84" t="s">
        <v>1244</v>
      </c>
    </row>
    <row r="85" spans="1:23" x14ac:dyDescent="0.25">
      <c r="A85" s="17">
        <v>44774</v>
      </c>
      <c r="B85" s="1" t="s">
        <v>146</v>
      </c>
      <c r="C85" s="1">
        <v>1</v>
      </c>
      <c r="F85" s="9" t="s">
        <v>38</v>
      </c>
      <c r="G85" s="10">
        <v>1</v>
      </c>
      <c r="H85" s="10"/>
      <c r="I85" s="10"/>
      <c r="J85" s="10"/>
      <c r="K85" s="10"/>
      <c r="L85" s="10">
        <v>1</v>
      </c>
      <c r="O85" t="s">
        <v>346</v>
      </c>
      <c r="P85">
        <v>3</v>
      </c>
      <c r="Q85">
        <f t="shared" si="4"/>
        <v>18</v>
      </c>
      <c r="R85">
        <f t="shared" si="5"/>
        <v>1.8646732619699697E-3</v>
      </c>
      <c r="S85">
        <f t="shared" si="7"/>
        <v>0.4214161572052128</v>
      </c>
      <c r="T85" t="str">
        <f t="shared" si="6"/>
        <v>A</v>
      </c>
      <c r="V85" t="s">
        <v>346</v>
      </c>
      <c r="W85" t="s">
        <v>1244</v>
      </c>
    </row>
    <row r="86" spans="1:23" x14ac:dyDescent="0.25">
      <c r="A86" s="17">
        <v>44774</v>
      </c>
      <c r="B86" s="1" t="s">
        <v>147</v>
      </c>
      <c r="C86" s="1">
        <v>1</v>
      </c>
      <c r="F86" s="9" t="s">
        <v>562</v>
      </c>
      <c r="G86" s="10"/>
      <c r="H86" s="10">
        <v>1</v>
      </c>
      <c r="I86" s="10"/>
      <c r="J86" s="10"/>
      <c r="K86" s="10"/>
      <c r="L86" s="10">
        <v>1</v>
      </c>
      <c r="O86" t="s">
        <v>1010</v>
      </c>
      <c r="P86">
        <v>3</v>
      </c>
      <c r="Q86">
        <f t="shared" si="4"/>
        <v>18</v>
      </c>
      <c r="R86">
        <f t="shared" si="5"/>
        <v>1.8646732619699697E-3</v>
      </c>
      <c r="S86">
        <f t="shared" si="7"/>
        <v>0.42328083046718279</v>
      </c>
      <c r="T86" t="str">
        <f t="shared" si="6"/>
        <v>A</v>
      </c>
      <c r="V86" t="s">
        <v>1010</v>
      </c>
      <c r="W86" t="s">
        <v>1244</v>
      </c>
    </row>
    <row r="87" spans="1:23" x14ac:dyDescent="0.25">
      <c r="A87" s="17">
        <v>44774</v>
      </c>
      <c r="B87" s="1" t="s">
        <v>149</v>
      </c>
      <c r="C87" s="1">
        <v>1</v>
      </c>
      <c r="F87" s="9" t="s">
        <v>708</v>
      </c>
      <c r="G87" s="10"/>
      <c r="H87" s="10"/>
      <c r="I87" s="10">
        <v>1</v>
      </c>
      <c r="J87" s="10"/>
      <c r="K87" s="10"/>
      <c r="L87" s="10">
        <v>1</v>
      </c>
      <c r="O87" t="s">
        <v>704</v>
      </c>
      <c r="P87">
        <v>3</v>
      </c>
      <c r="Q87">
        <f t="shared" si="4"/>
        <v>18</v>
      </c>
      <c r="R87">
        <f t="shared" si="5"/>
        <v>1.8646732619699697E-3</v>
      </c>
      <c r="S87">
        <f t="shared" si="7"/>
        <v>0.42514550372915277</v>
      </c>
      <c r="T87" t="str">
        <f t="shared" si="6"/>
        <v>A</v>
      </c>
      <c r="V87" t="s">
        <v>704</v>
      </c>
      <c r="W87" t="s">
        <v>1244</v>
      </c>
    </row>
    <row r="88" spans="1:23" x14ac:dyDescent="0.25">
      <c r="A88" s="17">
        <v>44774</v>
      </c>
      <c r="B88" s="1" t="s">
        <v>151</v>
      </c>
      <c r="C88" s="1">
        <v>1</v>
      </c>
      <c r="F88" s="9" t="s">
        <v>142</v>
      </c>
      <c r="G88" s="10">
        <v>1</v>
      </c>
      <c r="H88" s="10"/>
      <c r="I88" s="10"/>
      <c r="J88" s="10"/>
      <c r="K88" s="10"/>
      <c r="L88" s="10">
        <v>1</v>
      </c>
      <c r="O88" t="s">
        <v>615</v>
      </c>
      <c r="P88">
        <v>3</v>
      </c>
      <c r="Q88">
        <f t="shared" si="4"/>
        <v>18</v>
      </c>
      <c r="R88">
        <f t="shared" si="5"/>
        <v>1.8646732619699697E-3</v>
      </c>
      <c r="S88">
        <f t="shared" si="7"/>
        <v>0.42701017699112276</v>
      </c>
      <c r="T88" t="str">
        <f t="shared" si="6"/>
        <v>A</v>
      </c>
      <c r="V88" t="s">
        <v>615</v>
      </c>
      <c r="W88" t="s">
        <v>1244</v>
      </c>
    </row>
    <row r="89" spans="1:23" x14ac:dyDescent="0.25">
      <c r="A89" s="17">
        <v>44774</v>
      </c>
      <c r="B89" s="1" t="s">
        <v>153</v>
      </c>
      <c r="C89" s="1">
        <v>1</v>
      </c>
      <c r="F89" s="9" t="s">
        <v>346</v>
      </c>
      <c r="G89" s="10">
        <v>3</v>
      </c>
      <c r="H89" s="10"/>
      <c r="I89" s="10"/>
      <c r="J89" s="10"/>
      <c r="K89" s="10"/>
      <c r="L89" s="10">
        <v>3</v>
      </c>
      <c r="O89" t="s">
        <v>941</v>
      </c>
      <c r="P89">
        <v>3</v>
      </c>
      <c r="Q89">
        <f t="shared" si="4"/>
        <v>18</v>
      </c>
      <c r="R89">
        <f t="shared" si="5"/>
        <v>1.8646732619699697E-3</v>
      </c>
      <c r="S89">
        <f t="shared" si="7"/>
        <v>0.42887485025309274</v>
      </c>
      <c r="T89" t="str">
        <f t="shared" si="6"/>
        <v>A</v>
      </c>
      <c r="V89" t="s">
        <v>941</v>
      </c>
      <c r="W89" t="s">
        <v>1244</v>
      </c>
    </row>
    <row r="90" spans="1:23" x14ac:dyDescent="0.25">
      <c r="A90" s="17">
        <v>44774</v>
      </c>
      <c r="B90" s="1" t="s">
        <v>153</v>
      </c>
      <c r="C90" s="1">
        <v>1</v>
      </c>
      <c r="F90" s="9" t="s">
        <v>452</v>
      </c>
      <c r="G90" s="10">
        <v>2</v>
      </c>
      <c r="H90" s="10"/>
      <c r="I90" s="10"/>
      <c r="J90" s="10"/>
      <c r="K90" s="10"/>
      <c r="L90" s="10">
        <v>2</v>
      </c>
      <c r="O90" t="s">
        <v>104</v>
      </c>
      <c r="P90">
        <v>3</v>
      </c>
      <c r="Q90">
        <f t="shared" si="4"/>
        <v>18</v>
      </c>
      <c r="R90">
        <f t="shared" si="5"/>
        <v>1.8646732619699697E-3</v>
      </c>
      <c r="S90">
        <f t="shared" si="7"/>
        <v>0.43073952351506273</v>
      </c>
      <c r="T90" t="str">
        <f t="shared" si="6"/>
        <v>A</v>
      </c>
      <c r="V90" t="s">
        <v>104</v>
      </c>
      <c r="W90" t="s">
        <v>1244</v>
      </c>
    </row>
    <row r="91" spans="1:23" x14ac:dyDescent="0.25">
      <c r="A91" s="17">
        <v>44774</v>
      </c>
      <c r="B91" s="1" t="s">
        <v>155</v>
      </c>
      <c r="C91" s="1">
        <v>1</v>
      </c>
      <c r="F91" s="9" t="s">
        <v>734</v>
      </c>
      <c r="G91" s="10"/>
      <c r="H91" s="10"/>
      <c r="I91" s="10">
        <v>1</v>
      </c>
      <c r="J91" s="10"/>
      <c r="K91" s="10"/>
      <c r="L91" s="10">
        <v>1</v>
      </c>
      <c r="O91" t="s">
        <v>882</v>
      </c>
      <c r="P91">
        <v>3</v>
      </c>
      <c r="Q91">
        <f t="shared" si="4"/>
        <v>18</v>
      </c>
      <c r="R91">
        <f t="shared" si="5"/>
        <v>1.8646732619699697E-3</v>
      </c>
      <c r="S91">
        <f t="shared" si="7"/>
        <v>0.43260419677703271</v>
      </c>
      <c r="T91" t="str">
        <f t="shared" si="6"/>
        <v>A</v>
      </c>
      <c r="V91" t="s">
        <v>882</v>
      </c>
      <c r="W91" t="s">
        <v>1244</v>
      </c>
    </row>
    <row r="92" spans="1:23" x14ac:dyDescent="0.25">
      <c r="A92" s="17">
        <v>44774</v>
      </c>
      <c r="B92" s="1" t="s">
        <v>157</v>
      </c>
      <c r="C92" s="1">
        <v>1</v>
      </c>
      <c r="F92" s="9" t="s">
        <v>1128</v>
      </c>
      <c r="G92" s="10"/>
      <c r="H92" s="10"/>
      <c r="I92" s="10"/>
      <c r="J92" s="10"/>
      <c r="K92" s="10">
        <v>1</v>
      </c>
      <c r="L92" s="10">
        <v>1</v>
      </c>
      <c r="O92" t="s">
        <v>389</v>
      </c>
      <c r="P92">
        <v>3</v>
      </c>
      <c r="Q92">
        <f t="shared" si="4"/>
        <v>18</v>
      </c>
      <c r="R92">
        <f t="shared" si="5"/>
        <v>1.8646732619699697E-3</v>
      </c>
      <c r="S92">
        <f t="shared" si="7"/>
        <v>0.4344688700390027</v>
      </c>
      <c r="T92" t="str">
        <f t="shared" si="6"/>
        <v>A</v>
      </c>
      <c r="V92" t="s">
        <v>389</v>
      </c>
      <c r="W92" t="s">
        <v>1244</v>
      </c>
    </row>
    <row r="93" spans="1:23" x14ac:dyDescent="0.25">
      <c r="A93" s="17">
        <v>44774</v>
      </c>
      <c r="B93" s="1" t="s">
        <v>157</v>
      </c>
      <c r="C93" s="1">
        <v>1</v>
      </c>
      <c r="F93" s="9" t="s">
        <v>195</v>
      </c>
      <c r="G93" s="10">
        <v>1</v>
      </c>
      <c r="H93" s="10">
        <v>1</v>
      </c>
      <c r="I93" s="10"/>
      <c r="J93" s="10">
        <v>2</v>
      </c>
      <c r="K93" s="10">
        <v>1</v>
      </c>
      <c r="L93" s="10">
        <v>5</v>
      </c>
      <c r="O93" t="s">
        <v>780</v>
      </c>
      <c r="P93">
        <v>3</v>
      </c>
      <c r="Q93">
        <f t="shared" si="4"/>
        <v>18</v>
      </c>
      <c r="R93">
        <f t="shared" si="5"/>
        <v>1.8646732619699697E-3</v>
      </c>
      <c r="S93">
        <f t="shared" si="7"/>
        <v>0.43633354330097268</v>
      </c>
      <c r="T93" t="str">
        <f t="shared" si="6"/>
        <v>A</v>
      </c>
      <c r="V93" t="s">
        <v>780</v>
      </c>
      <c r="W93" t="s">
        <v>1244</v>
      </c>
    </row>
    <row r="94" spans="1:23" x14ac:dyDescent="0.25">
      <c r="A94" s="17">
        <v>44774</v>
      </c>
      <c r="B94" s="1" t="s">
        <v>159</v>
      </c>
      <c r="C94" s="1">
        <v>1</v>
      </c>
      <c r="F94" s="9" t="s">
        <v>1045</v>
      </c>
      <c r="G94" s="10"/>
      <c r="H94" s="10"/>
      <c r="I94" s="10"/>
      <c r="J94" s="10">
        <v>1</v>
      </c>
      <c r="K94" s="10"/>
      <c r="L94" s="10">
        <v>1</v>
      </c>
      <c r="O94" t="s">
        <v>135</v>
      </c>
      <c r="P94">
        <v>3</v>
      </c>
      <c r="Q94">
        <f t="shared" si="4"/>
        <v>18</v>
      </c>
      <c r="R94">
        <f t="shared" si="5"/>
        <v>1.8646732619699697E-3</v>
      </c>
      <c r="S94">
        <f t="shared" si="7"/>
        <v>0.43819821656294267</v>
      </c>
      <c r="T94" t="str">
        <f t="shared" si="6"/>
        <v>A</v>
      </c>
      <c r="V94" t="s">
        <v>135</v>
      </c>
      <c r="W94" t="s">
        <v>1244</v>
      </c>
    </row>
    <row r="95" spans="1:23" x14ac:dyDescent="0.25">
      <c r="A95" s="17">
        <v>44774</v>
      </c>
      <c r="B95" s="1" t="s">
        <v>161</v>
      </c>
      <c r="C95" s="1">
        <v>1</v>
      </c>
      <c r="F95" s="9" t="s">
        <v>381</v>
      </c>
      <c r="G95" s="10">
        <v>1</v>
      </c>
      <c r="H95" s="10">
        <v>1</v>
      </c>
      <c r="I95" s="10">
        <v>1</v>
      </c>
      <c r="J95" s="10"/>
      <c r="K95" s="10">
        <v>1</v>
      </c>
      <c r="L95" s="10">
        <v>4</v>
      </c>
      <c r="O95" t="s">
        <v>361</v>
      </c>
      <c r="P95">
        <v>3</v>
      </c>
      <c r="Q95">
        <f t="shared" si="4"/>
        <v>18</v>
      </c>
      <c r="R95">
        <f t="shared" si="5"/>
        <v>1.8646732619699697E-3</v>
      </c>
      <c r="S95">
        <f t="shared" si="7"/>
        <v>0.44006288982491265</v>
      </c>
      <c r="T95" t="str">
        <f t="shared" si="6"/>
        <v>A</v>
      </c>
      <c r="V95" t="s">
        <v>361</v>
      </c>
      <c r="W95" t="s">
        <v>1244</v>
      </c>
    </row>
    <row r="96" spans="1:23" x14ac:dyDescent="0.25">
      <c r="A96" s="17">
        <v>44774</v>
      </c>
      <c r="B96" s="1" t="s">
        <v>163</v>
      </c>
      <c r="C96" s="1">
        <v>2</v>
      </c>
      <c r="F96" s="9" t="s">
        <v>656</v>
      </c>
      <c r="G96" s="10"/>
      <c r="H96" s="10">
        <v>2</v>
      </c>
      <c r="I96" s="10"/>
      <c r="J96" s="10"/>
      <c r="K96" s="10"/>
      <c r="L96" s="10">
        <v>2</v>
      </c>
      <c r="O96" t="s">
        <v>309</v>
      </c>
      <c r="P96">
        <v>3</v>
      </c>
      <c r="Q96">
        <f t="shared" si="4"/>
        <v>18</v>
      </c>
      <c r="R96">
        <f t="shared" si="5"/>
        <v>1.8646732619699697E-3</v>
      </c>
      <c r="S96">
        <f t="shared" si="7"/>
        <v>0.44192756308688264</v>
      </c>
      <c r="T96" t="str">
        <f t="shared" si="6"/>
        <v>A</v>
      </c>
      <c r="V96" t="s">
        <v>309</v>
      </c>
      <c r="W96" t="s">
        <v>1244</v>
      </c>
    </row>
    <row r="97" spans="1:23" x14ac:dyDescent="0.25">
      <c r="A97" s="17">
        <v>44774</v>
      </c>
      <c r="B97" s="1" t="s">
        <v>163</v>
      </c>
      <c r="C97" s="1">
        <v>1</v>
      </c>
      <c r="F97" s="9" t="s">
        <v>990</v>
      </c>
      <c r="G97" s="10"/>
      <c r="H97" s="10"/>
      <c r="I97" s="10"/>
      <c r="J97" s="10">
        <v>2</v>
      </c>
      <c r="K97" s="10"/>
      <c r="L97" s="10">
        <v>2</v>
      </c>
      <c r="O97" t="s">
        <v>550</v>
      </c>
      <c r="P97">
        <v>3</v>
      </c>
      <c r="Q97">
        <f t="shared" si="4"/>
        <v>18</v>
      </c>
      <c r="R97">
        <f t="shared" si="5"/>
        <v>1.8646732619699697E-3</v>
      </c>
      <c r="S97">
        <f t="shared" si="7"/>
        <v>0.44379223634885262</v>
      </c>
      <c r="T97" t="str">
        <f t="shared" si="6"/>
        <v>A</v>
      </c>
      <c r="V97" t="s">
        <v>550</v>
      </c>
      <c r="W97" t="s">
        <v>1244</v>
      </c>
    </row>
    <row r="98" spans="1:23" x14ac:dyDescent="0.25">
      <c r="A98" s="17">
        <v>44774</v>
      </c>
      <c r="B98" s="1" t="s">
        <v>165</v>
      </c>
      <c r="C98" s="1">
        <v>1</v>
      </c>
      <c r="F98" s="9" t="s">
        <v>719</v>
      </c>
      <c r="G98" s="10"/>
      <c r="H98" s="10"/>
      <c r="I98" s="10">
        <v>2</v>
      </c>
      <c r="J98" s="10">
        <v>2</v>
      </c>
      <c r="K98" s="10">
        <v>1</v>
      </c>
      <c r="L98" s="10">
        <v>5</v>
      </c>
      <c r="O98" t="s">
        <v>548</v>
      </c>
      <c r="P98">
        <v>3</v>
      </c>
      <c r="Q98">
        <f t="shared" si="4"/>
        <v>18</v>
      </c>
      <c r="R98">
        <f t="shared" si="5"/>
        <v>1.8646732619699697E-3</v>
      </c>
      <c r="S98">
        <f t="shared" si="7"/>
        <v>0.4456569096108226</v>
      </c>
      <c r="T98" t="str">
        <f t="shared" si="6"/>
        <v>A</v>
      </c>
      <c r="V98" t="s">
        <v>548</v>
      </c>
      <c r="W98" t="s">
        <v>1244</v>
      </c>
    </row>
    <row r="99" spans="1:23" x14ac:dyDescent="0.25">
      <c r="A99" s="17">
        <v>44774</v>
      </c>
      <c r="B99" s="1" t="s">
        <v>165</v>
      </c>
      <c r="C99" s="1">
        <v>1</v>
      </c>
      <c r="F99" s="9" t="s">
        <v>959</v>
      </c>
      <c r="G99" s="10"/>
      <c r="H99" s="10"/>
      <c r="I99" s="10"/>
      <c r="J99" s="10">
        <v>1</v>
      </c>
      <c r="K99" s="10"/>
      <c r="L99" s="10">
        <v>1</v>
      </c>
      <c r="O99" t="s">
        <v>330</v>
      </c>
      <c r="P99">
        <v>3</v>
      </c>
      <c r="Q99">
        <f t="shared" si="4"/>
        <v>18</v>
      </c>
      <c r="R99">
        <f t="shared" si="5"/>
        <v>1.8646732619699697E-3</v>
      </c>
      <c r="S99">
        <f t="shared" si="7"/>
        <v>0.44752158287279259</v>
      </c>
      <c r="T99" t="str">
        <f t="shared" si="6"/>
        <v>A</v>
      </c>
      <c r="V99" t="s">
        <v>330</v>
      </c>
      <c r="W99" t="s">
        <v>1244</v>
      </c>
    </row>
    <row r="100" spans="1:23" x14ac:dyDescent="0.25">
      <c r="A100" s="17">
        <v>44774</v>
      </c>
      <c r="B100" s="1" t="s">
        <v>167</v>
      </c>
      <c r="C100" s="1">
        <v>1</v>
      </c>
      <c r="F100" s="9" t="s">
        <v>715</v>
      </c>
      <c r="G100" s="10"/>
      <c r="H100" s="10"/>
      <c r="I100" s="10">
        <v>0.66666665999999997</v>
      </c>
      <c r="J100" s="10"/>
      <c r="K100" s="10"/>
      <c r="L100" s="10">
        <v>0.66666665999999997</v>
      </c>
      <c r="O100" t="s">
        <v>125</v>
      </c>
      <c r="P100">
        <v>3</v>
      </c>
      <c r="Q100">
        <f t="shared" si="4"/>
        <v>18</v>
      </c>
      <c r="R100">
        <f t="shared" si="5"/>
        <v>1.8646732619699697E-3</v>
      </c>
      <c r="S100">
        <f t="shared" si="7"/>
        <v>0.44938625613476257</v>
      </c>
      <c r="T100" t="str">
        <f t="shared" si="6"/>
        <v>A</v>
      </c>
      <c r="V100" t="s">
        <v>125</v>
      </c>
      <c r="W100" t="s">
        <v>1244</v>
      </c>
    </row>
    <row r="101" spans="1:23" x14ac:dyDescent="0.25">
      <c r="A101" s="17">
        <v>44774</v>
      </c>
      <c r="B101" s="1" t="s">
        <v>169</v>
      </c>
      <c r="C101" s="1">
        <v>1</v>
      </c>
      <c r="F101" s="9" t="s">
        <v>1152</v>
      </c>
      <c r="G101" s="10"/>
      <c r="H101" s="10"/>
      <c r="I101" s="10"/>
      <c r="J101" s="10"/>
      <c r="K101" s="10">
        <v>1</v>
      </c>
      <c r="L101" s="10">
        <v>1</v>
      </c>
      <c r="O101" t="s">
        <v>518</v>
      </c>
      <c r="P101">
        <v>3</v>
      </c>
      <c r="Q101">
        <f t="shared" si="4"/>
        <v>18</v>
      </c>
      <c r="R101">
        <f t="shared" si="5"/>
        <v>1.8646732619699697E-3</v>
      </c>
      <c r="S101">
        <f t="shared" si="7"/>
        <v>0.45125092939673256</v>
      </c>
      <c r="T101" t="str">
        <f t="shared" si="6"/>
        <v>A</v>
      </c>
      <c r="V101" t="s">
        <v>518</v>
      </c>
      <c r="W101" t="s">
        <v>1244</v>
      </c>
    </row>
    <row r="102" spans="1:23" x14ac:dyDescent="0.25">
      <c r="A102" s="17">
        <v>44774</v>
      </c>
      <c r="B102" s="1" t="s">
        <v>169</v>
      </c>
      <c r="C102" s="1">
        <v>1</v>
      </c>
      <c r="F102" s="9" t="s">
        <v>755</v>
      </c>
      <c r="G102" s="10"/>
      <c r="H102" s="10"/>
      <c r="I102" s="10">
        <v>1</v>
      </c>
      <c r="J102" s="10"/>
      <c r="K102" s="10"/>
      <c r="L102" s="10">
        <v>1</v>
      </c>
      <c r="O102" t="s">
        <v>334</v>
      </c>
      <c r="P102">
        <v>3</v>
      </c>
      <c r="Q102">
        <f t="shared" si="4"/>
        <v>18</v>
      </c>
      <c r="R102">
        <f t="shared" si="5"/>
        <v>1.8646732619699697E-3</v>
      </c>
      <c r="S102">
        <f t="shared" si="7"/>
        <v>0.45311560265870254</v>
      </c>
      <c r="T102" t="str">
        <f t="shared" si="6"/>
        <v>A</v>
      </c>
      <c r="V102" t="s">
        <v>334</v>
      </c>
      <c r="W102" t="s">
        <v>1244</v>
      </c>
    </row>
    <row r="103" spans="1:23" x14ac:dyDescent="0.25">
      <c r="A103" s="17">
        <v>44774</v>
      </c>
      <c r="B103" s="1" t="s">
        <v>169</v>
      </c>
      <c r="C103" s="1">
        <v>1</v>
      </c>
      <c r="F103" s="9" t="s">
        <v>801</v>
      </c>
      <c r="G103" s="10"/>
      <c r="H103" s="10"/>
      <c r="I103" s="10">
        <v>0.1</v>
      </c>
      <c r="J103" s="10"/>
      <c r="K103" s="10"/>
      <c r="L103" s="10">
        <v>0.1</v>
      </c>
      <c r="O103" t="s">
        <v>220</v>
      </c>
      <c r="P103">
        <v>3</v>
      </c>
      <c r="Q103">
        <f t="shared" si="4"/>
        <v>18</v>
      </c>
      <c r="R103">
        <f t="shared" si="5"/>
        <v>1.8646732619699697E-3</v>
      </c>
      <c r="S103">
        <f t="shared" si="7"/>
        <v>0.45498027592067253</v>
      </c>
      <c r="T103" t="str">
        <f t="shared" si="6"/>
        <v>A</v>
      </c>
      <c r="V103" t="s">
        <v>220</v>
      </c>
      <c r="W103" t="s">
        <v>1244</v>
      </c>
    </row>
    <row r="104" spans="1:23" x14ac:dyDescent="0.25">
      <c r="A104" s="17">
        <v>44774</v>
      </c>
      <c r="B104" s="1" t="s">
        <v>171</v>
      </c>
      <c r="C104" s="1">
        <v>1</v>
      </c>
      <c r="F104" s="9" t="s">
        <v>634</v>
      </c>
      <c r="G104" s="10"/>
      <c r="H104" s="10">
        <v>1</v>
      </c>
      <c r="I104" s="10"/>
      <c r="J104" s="10"/>
      <c r="K104" s="10"/>
      <c r="L104" s="10">
        <v>1</v>
      </c>
      <c r="O104" t="s">
        <v>321</v>
      </c>
      <c r="P104">
        <v>3</v>
      </c>
      <c r="Q104">
        <f t="shared" si="4"/>
        <v>18</v>
      </c>
      <c r="R104">
        <f t="shared" si="5"/>
        <v>1.8646732619699697E-3</v>
      </c>
      <c r="S104">
        <f t="shared" si="7"/>
        <v>0.45684494918264251</v>
      </c>
      <c r="T104" t="str">
        <f t="shared" si="6"/>
        <v>A</v>
      </c>
      <c r="V104" t="s">
        <v>321</v>
      </c>
      <c r="W104" t="s">
        <v>1244</v>
      </c>
    </row>
    <row r="105" spans="1:23" x14ac:dyDescent="0.25">
      <c r="A105" s="17">
        <v>44774</v>
      </c>
      <c r="B105" s="1" t="s">
        <v>173</v>
      </c>
      <c r="C105" s="1">
        <v>1</v>
      </c>
      <c r="F105" s="9" t="s">
        <v>908</v>
      </c>
      <c r="G105" s="10"/>
      <c r="H105" s="10"/>
      <c r="I105" s="10">
        <v>1</v>
      </c>
      <c r="J105" s="10"/>
      <c r="K105" s="10"/>
      <c r="L105" s="10">
        <v>1</v>
      </c>
      <c r="O105" t="s">
        <v>392</v>
      </c>
      <c r="P105">
        <v>3</v>
      </c>
      <c r="Q105">
        <f t="shared" si="4"/>
        <v>18</v>
      </c>
      <c r="R105">
        <f t="shared" si="5"/>
        <v>1.8646732619699697E-3</v>
      </c>
      <c r="S105">
        <f t="shared" si="7"/>
        <v>0.4587096224446125</v>
      </c>
      <c r="T105" t="str">
        <f t="shared" si="6"/>
        <v>A</v>
      </c>
      <c r="V105" t="s">
        <v>392</v>
      </c>
      <c r="W105" t="s">
        <v>1244</v>
      </c>
    </row>
    <row r="106" spans="1:23" x14ac:dyDescent="0.25">
      <c r="A106" s="17">
        <v>44774</v>
      </c>
      <c r="B106" s="1" t="s">
        <v>89</v>
      </c>
      <c r="C106" s="1">
        <v>1</v>
      </c>
      <c r="F106" s="9" t="s">
        <v>1126</v>
      </c>
      <c r="G106" s="10"/>
      <c r="H106" s="10"/>
      <c r="I106" s="10"/>
      <c r="J106" s="10"/>
      <c r="K106" s="10">
        <v>1</v>
      </c>
      <c r="L106" s="10">
        <v>1</v>
      </c>
      <c r="O106" t="s">
        <v>304</v>
      </c>
      <c r="P106">
        <v>3</v>
      </c>
      <c r="Q106">
        <f t="shared" si="4"/>
        <v>18</v>
      </c>
      <c r="R106">
        <f t="shared" si="5"/>
        <v>1.8646732619699697E-3</v>
      </c>
      <c r="S106">
        <f t="shared" si="7"/>
        <v>0.46057429570658248</v>
      </c>
      <c r="T106" t="str">
        <f t="shared" si="6"/>
        <v>A</v>
      </c>
      <c r="V106" t="s">
        <v>304</v>
      </c>
      <c r="W106" t="s">
        <v>1244</v>
      </c>
    </row>
    <row r="107" spans="1:23" x14ac:dyDescent="0.25">
      <c r="A107" s="17">
        <v>44774</v>
      </c>
      <c r="B107" s="1" t="s">
        <v>89</v>
      </c>
      <c r="C107" s="1">
        <v>1</v>
      </c>
      <c r="F107" s="9" t="s">
        <v>261</v>
      </c>
      <c r="G107" s="10">
        <v>1</v>
      </c>
      <c r="H107" s="10">
        <v>1</v>
      </c>
      <c r="I107" s="10"/>
      <c r="J107" s="10"/>
      <c r="K107" s="10"/>
      <c r="L107" s="10">
        <v>2</v>
      </c>
      <c r="O107" t="s">
        <v>430</v>
      </c>
      <c r="P107">
        <v>3</v>
      </c>
      <c r="Q107">
        <f t="shared" si="4"/>
        <v>18</v>
      </c>
      <c r="R107">
        <f t="shared" si="5"/>
        <v>1.8646732619699697E-3</v>
      </c>
      <c r="S107">
        <f t="shared" si="7"/>
        <v>0.46243896896855247</v>
      </c>
      <c r="T107" t="str">
        <f t="shared" si="6"/>
        <v>A</v>
      </c>
      <c r="V107" t="s">
        <v>430</v>
      </c>
      <c r="W107" t="s">
        <v>1244</v>
      </c>
    </row>
    <row r="108" spans="1:23" x14ac:dyDescent="0.25">
      <c r="A108" s="17">
        <v>44774</v>
      </c>
      <c r="B108" s="1" t="s">
        <v>89</v>
      </c>
      <c r="C108" s="1">
        <v>1</v>
      </c>
      <c r="F108" s="9" t="s">
        <v>730</v>
      </c>
      <c r="G108" s="10"/>
      <c r="H108" s="10"/>
      <c r="I108" s="10">
        <v>1</v>
      </c>
      <c r="J108" s="10"/>
      <c r="K108" s="10"/>
      <c r="L108" s="10">
        <v>1</v>
      </c>
      <c r="O108" t="s">
        <v>526</v>
      </c>
      <c r="P108">
        <v>3</v>
      </c>
      <c r="Q108">
        <f t="shared" si="4"/>
        <v>18</v>
      </c>
      <c r="R108">
        <f t="shared" si="5"/>
        <v>1.8646732619699697E-3</v>
      </c>
      <c r="S108">
        <f t="shared" si="7"/>
        <v>0.46430364223052245</v>
      </c>
      <c r="T108" t="str">
        <f t="shared" si="6"/>
        <v>A</v>
      </c>
      <c r="V108" t="s">
        <v>526</v>
      </c>
      <c r="W108" t="s">
        <v>1244</v>
      </c>
    </row>
    <row r="109" spans="1:23" x14ac:dyDescent="0.25">
      <c r="A109" s="17">
        <v>44774</v>
      </c>
      <c r="B109" s="1" t="s">
        <v>89</v>
      </c>
      <c r="C109" s="1">
        <v>1</v>
      </c>
      <c r="F109" s="9" t="s">
        <v>1010</v>
      </c>
      <c r="G109" s="10"/>
      <c r="H109" s="10"/>
      <c r="I109" s="10"/>
      <c r="J109" s="10">
        <v>1</v>
      </c>
      <c r="K109" s="10">
        <v>2</v>
      </c>
      <c r="L109" s="10">
        <v>3</v>
      </c>
      <c r="O109" t="s">
        <v>826</v>
      </c>
      <c r="P109">
        <v>3</v>
      </c>
      <c r="Q109">
        <f t="shared" si="4"/>
        <v>18</v>
      </c>
      <c r="R109">
        <f t="shared" si="5"/>
        <v>1.8646732619699697E-3</v>
      </c>
      <c r="S109">
        <f t="shared" si="7"/>
        <v>0.46616831549249244</v>
      </c>
      <c r="T109" t="str">
        <f t="shared" si="6"/>
        <v>A</v>
      </c>
      <c r="V109" t="s">
        <v>826</v>
      </c>
      <c r="W109" t="s">
        <v>1244</v>
      </c>
    </row>
    <row r="110" spans="1:23" x14ac:dyDescent="0.25">
      <c r="A110" s="17">
        <v>44774</v>
      </c>
      <c r="B110" s="1" t="s">
        <v>89</v>
      </c>
      <c r="C110" s="1">
        <v>1</v>
      </c>
      <c r="F110" s="9" t="s">
        <v>390</v>
      </c>
      <c r="G110" s="10">
        <v>1</v>
      </c>
      <c r="H110" s="10"/>
      <c r="I110" s="10"/>
      <c r="J110" s="10"/>
      <c r="K110" s="10"/>
      <c r="L110" s="10">
        <v>1</v>
      </c>
      <c r="O110" t="s">
        <v>816</v>
      </c>
      <c r="P110">
        <v>3</v>
      </c>
      <c r="Q110">
        <f t="shared" si="4"/>
        <v>18</v>
      </c>
      <c r="R110">
        <f t="shared" si="5"/>
        <v>1.8646732619699697E-3</v>
      </c>
      <c r="S110">
        <f t="shared" si="7"/>
        <v>0.46803298875446242</v>
      </c>
      <c r="T110" t="str">
        <f t="shared" si="6"/>
        <v>A</v>
      </c>
      <c r="V110" t="s">
        <v>816</v>
      </c>
      <c r="W110" t="s">
        <v>1244</v>
      </c>
    </row>
    <row r="111" spans="1:23" x14ac:dyDescent="0.25">
      <c r="A111" s="17">
        <v>44774</v>
      </c>
      <c r="B111" s="1" t="s">
        <v>175</v>
      </c>
      <c r="C111" s="1">
        <v>1</v>
      </c>
      <c r="F111" s="9" t="s">
        <v>979</v>
      </c>
      <c r="G111" s="10"/>
      <c r="H111" s="10"/>
      <c r="I111" s="10"/>
      <c r="J111" s="10">
        <v>1</v>
      </c>
      <c r="K111" s="10"/>
      <c r="L111" s="10">
        <v>1</v>
      </c>
      <c r="O111" t="s">
        <v>589</v>
      </c>
      <c r="P111">
        <v>3</v>
      </c>
      <c r="Q111">
        <f t="shared" si="4"/>
        <v>18</v>
      </c>
      <c r="R111">
        <f t="shared" si="5"/>
        <v>1.8646732619699697E-3</v>
      </c>
      <c r="S111">
        <f t="shared" si="7"/>
        <v>0.4698976620164324</v>
      </c>
      <c r="T111" t="str">
        <f t="shared" si="6"/>
        <v>A</v>
      </c>
      <c r="V111" t="s">
        <v>589</v>
      </c>
      <c r="W111" t="s">
        <v>1244</v>
      </c>
    </row>
    <row r="112" spans="1:23" x14ac:dyDescent="0.25">
      <c r="A112" s="17">
        <v>44774</v>
      </c>
      <c r="B112" s="1" t="s">
        <v>177</v>
      </c>
      <c r="C112" s="1">
        <v>1</v>
      </c>
      <c r="F112" s="9" t="s">
        <v>953</v>
      </c>
      <c r="G112" s="10"/>
      <c r="H112" s="10"/>
      <c r="I112" s="10"/>
      <c r="J112" s="10">
        <v>1</v>
      </c>
      <c r="K112" s="10"/>
      <c r="L112" s="10">
        <v>1</v>
      </c>
      <c r="O112" t="s">
        <v>1069</v>
      </c>
      <c r="P112">
        <v>3</v>
      </c>
      <c r="Q112">
        <f t="shared" si="4"/>
        <v>18</v>
      </c>
      <c r="R112">
        <f t="shared" si="5"/>
        <v>1.8646732619699697E-3</v>
      </c>
      <c r="S112">
        <f t="shared" si="7"/>
        <v>0.47176233527840239</v>
      </c>
      <c r="T112" t="str">
        <f t="shared" si="6"/>
        <v>A</v>
      </c>
      <c r="V112" t="s">
        <v>1069</v>
      </c>
      <c r="W112" t="s">
        <v>1244</v>
      </c>
    </row>
    <row r="113" spans="1:23" x14ac:dyDescent="0.25">
      <c r="A113" s="17">
        <v>44774</v>
      </c>
      <c r="B113" s="1" t="s">
        <v>177</v>
      </c>
      <c r="C113" s="1">
        <v>1</v>
      </c>
      <c r="F113" s="9" t="s">
        <v>853</v>
      </c>
      <c r="G113" s="10"/>
      <c r="H113" s="10"/>
      <c r="I113" s="10">
        <v>1</v>
      </c>
      <c r="J113" s="10"/>
      <c r="K113" s="10"/>
      <c r="L113" s="10">
        <v>1</v>
      </c>
      <c r="O113" t="s">
        <v>386</v>
      </c>
      <c r="P113">
        <v>3</v>
      </c>
      <c r="Q113">
        <f t="shared" si="4"/>
        <v>18</v>
      </c>
      <c r="R113">
        <f t="shared" si="5"/>
        <v>1.8646732619699697E-3</v>
      </c>
      <c r="S113">
        <f t="shared" si="7"/>
        <v>0.47362700854037237</v>
      </c>
      <c r="T113" t="str">
        <f t="shared" si="6"/>
        <v>A</v>
      </c>
      <c r="V113" t="s">
        <v>386</v>
      </c>
      <c r="W113" t="s">
        <v>1244</v>
      </c>
    </row>
    <row r="114" spans="1:23" x14ac:dyDescent="0.25">
      <c r="A114" s="17">
        <v>44774</v>
      </c>
      <c r="B114" s="1" t="s">
        <v>178</v>
      </c>
      <c r="C114" s="1">
        <v>1</v>
      </c>
      <c r="F114" s="9" t="s">
        <v>968</v>
      </c>
      <c r="G114" s="10"/>
      <c r="H114" s="10"/>
      <c r="I114" s="10"/>
      <c r="J114" s="10">
        <v>1</v>
      </c>
      <c r="K114" s="10"/>
      <c r="L114" s="10">
        <v>1</v>
      </c>
      <c r="O114" t="s">
        <v>382</v>
      </c>
      <c r="P114">
        <v>3</v>
      </c>
      <c r="Q114">
        <f t="shared" si="4"/>
        <v>18</v>
      </c>
      <c r="R114">
        <f t="shared" si="5"/>
        <v>1.8646732619699697E-3</v>
      </c>
      <c r="S114">
        <f t="shared" si="7"/>
        <v>0.47549168180234236</v>
      </c>
      <c r="T114" t="str">
        <f t="shared" si="6"/>
        <v>A</v>
      </c>
      <c r="V114" t="s">
        <v>382</v>
      </c>
      <c r="W114" t="s">
        <v>1244</v>
      </c>
    </row>
    <row r="115" spans="1:23" x14ac:dyDescent="0.25">
      <c r="A115" s="17">
        <v>44774</v>
      </c>
      <c r="B115" s="1" t="s">
        <v>180</v>
      </c>
      <c r="C115" s="1">
        <v>1</v>
      </c>
      <c r="F115" s="9" t="s">
        <v>275</v>
      </c>
      <c r="G115" s="10">
        <v>1</v>
      </c>
      <c r="H115" s="10"/>
      <c r="I115" s="10"/>
      <c r="J115" s="10"/>
      <c r="K115" s="10"/>
      <c r="L115" s="10">
        <v>1</v>
      </c>
      <c r="O115" t="s">
        <v>288</v>
      </c>
      <c r="P115">
        <v>3</v>
      </c>
      <c r="Q115">
        <f t="shared" si="4"/>
        <v>18</v>
      </c>
      <c r="R115">
        <f t="shared" si="5"/>
        <v>1.8646732619699697E-3</v>
      </c>
      <c r="S115">
        <f t="shared" si="7"/>
        <v>0.47735635506431234</v>
      </c>
      <c r="T115" t="str">
        <f t="shared" si="6"/>
        <v>A</v>
      </c>
      <c r="V115" t="s">
        <v>288</v>
      </c>
      <c r="W115" t="s">
        <v>1244</v>
      </c>
    </row>
    <row r="116" spans="1:23" x14ac:dyDescent="0.25">
      <c r="A116" s="17">
        <v>44774</v>
      </c>
      <c r="B116" s="1" t="s">
        <v>182</v>
      </c>
      <c r="C116" s="1">
        <v>1</v>
      </c>
      <c r="F116" s="9" t="s">
        <v>486</v>
      </c>
      <c r="G116" s="10"/>
      <c r="H116" s="10">
        <v>1</v>
      </c>
      <c r="I116" s="10"/>
      <c r="J116" s="10"/>
      <c r="K116" s="10"/>
      <c r="L116" s="10">
        <v>1</v>
      </c>
      <c r="O116" t="s">
        <v>519</v>
      </c>
      <c r="P116">
        <v>3</v>
      </c>
      <c r="Q116">
        <f t="shared" si="4"/>
        <v>18</v>
      </c>
      <c r="R116">
        <f t="shared" si="5"/>
        <v>1.8646732619699697E-3</v>
      </c>
      <c r="S116">
        <f t="shared" si="7"/>
        <v>0.47922102832628233</v>
      </c>
      <c r="T116" t="str">
        <f t="shared" si="6"/>
        <v>A</v>
      </c>
      <c r="V116" t="s">
        <v>519</v>
      </c>
      <c r="W116" t="s">
        <v>1244</v>
      </c>
    </row>
    <row r="117" spans="1:23" x14ac:dyDescent="0.25">
      <c r="A117" s="17">
        <v>44774</v>
      </c>
      <c r="B117" s="1" t="s">
        <v>184</v>
      </c>
      <c r="C117" s="1">
        <v>1</v>
      </c>
      <c r="F117" s="9" t="s">
        <v>97</v>
      </c>
      <c r="G117" s="10">
        <v>1</v>
      </c>
      <c r="H117" s="10"/>
      <c r="I117" s="10"/>
      <c r="J117" s="10"/>
      <c r="K117" s="10"/>
      <c r="L117" s="10">
        <v>1</v>
      </c>
      <c r="O117" t="s">
        <v>147</v>
      </c>
      <c r="P117">
        <v>3</v>
      </c>
      <c r="Q117">
        <f t="shared" si="4"/>
        <v>18</v>
      </c>
      <c r="R117">
        <f t="shared" si="5"/>
        <v>1.8646732619699697E-3</v>
      </c>
      <c r="S117">
        <f t="shared" si="7"/>
        <v>0.48108570158825231</v>
      </c>
      <c r="T117" t="str">
        <f t="shared" si="6"/>
        <v>A</v>
      </c>
      <c r="V117" t="s">
        <v>147</v>
      </c>
      <c r="W117" t="s">
        <v>1244</v>
      </c>
    </row>
    <row r="118" spans="1:23" x14ac:dyDescent="0.25">
      <c r="A118" s="17">
        <v>44774</v>
      </c>
      <c r="B118" s="1" t="s">
        <v>186</v>
      </c>
      <c r="C118" s="1">
        <v>1</v>
      </c>
      <c r="F118" s="9" t="s">
        <v>860</v>
      </c>
      <c r="G118" s="10"/>
      <c r="H118" s="10"/>
      <c r="I118" s="10">
        <v>1</v>
      </c>
      <c r="J118" s="10"/>
      <c r="K118" s="10"/>
      <c r="L118" s="10">
        <v>1</v>
      </c>
      <c r="O118" t="s">
        <v>995</v>
      </c>
      <c r="P118">
        <v>3</v>
      </c>
      <c r="Q118">
        <f t="shared" si="4"/>
        <v>18</v>
      </c>
      <c r="R118">
        <f t="shared" si="5"/>
        <v>1.8646732619699697E-3</v>
      </c>
      <c r="S118">
        <f t="shared" si="7"/>
        <v>0.4829503748502223</v>
      </c>
      <c r="T118" t="str">
        <f t="shared" si="6"/>
        <v>A</v>
      </c>
      <c r="V118" t="s">
        <v>995</v>
      </c>
      <c r="W118" t="s">
        <v>1244</v>
      </c>
    </row>
    <row r="119" spans="1:23" x14ac:dyDescent="0.25">
      <c r="A119" s="17">
        <v>44774</v>
      </c>
      <c r="B119" s="1" t="s">
        <v>188</v>
      </c>
      <c r="C119" s="1">
        <v>1</v>
      </c>
      <c r="F119" s="9" t="s">
        <v>704</v>
      </c>
      <c r="G119" s="10"/>
      <c r="H119" s="10"/>
      <c r="I119" s="10">
        <v>1</v>
      </c>
      <c r="J119" s="10"/>
      <c r="K119" s="10">
        <v>2</v>
      </c>
      <c r="L119" s="10">
        <v>3</v>
      </c>
      <c r="O119" t="s">
        <v>285</v>
      </c>
      <c r="P119">
        <v>3</v>
      </c>
      <c r="Q119">
        <f t="shared" si="4"/>
        <v>18</v>
      </c>
      <c r="R119">
        <f t="shared" si="5"/>
        <v>1.8646732619699697E-3</v>
      </c>
      <c r="S119">
        <f t="shared" si="7"/>
        <v>0.48481504811219228</v>
      </c>
      <c r="T119" t="str">
        <f t="shared" si="6"/>
        <v>A</v>
      </c>
      <c r="V119" t="s">
        <v>285</v>
      </c>
      <c r="W119" t="s">
        <v>1244</v>
      </c>
    </row>
    <row r="120" spans="1:23" x14ac:dyDescent="0.25">
      <c r="A120" s="17">
        <v>44774</v>
      </c>
      <c r="B120" s="1" t="s">
        <v>190</v>
      </c>
      <c r="C120" s="1">
        <v>1</v>
      </c>
      <c r="F120" s="9" t="s">
        <v>1060</v>
      </c>
      <c r="G120" s="10"/>
      <c r="H120" s="10"/>
      <c r="I120" s="10"/>
      <c r="J120" s="10">
        <v>1</v>
      </c>
      <c r="K120" s="10"/>
      <c r="L120" s="10">
        <v>1</v>
      </c>
      <c r="O120" t="s">
        <v>587</v>
      </c>
      <c r="P120">
        <v>3</v>
      </c>
      <c r="Q120">
        <f t="shared" si="4"/>
        <v>18</v>
      </c>
      <c r="R120">
        <f t="shared" si="5"/>
        <v>1.8646732619699697E-3</v>
      </c>
      <c r="S120">
        <f t="shared" si="7"/>
        <v>0.48667972137416227</v>
      </c>
      <c r="T120" t="str">
        <f t="shared" si="6"/>
        <v>A</v>
      </c>
      <c r="V120" t="s">
        <v>587</v>
      </c>
      <c r="W120" t="s">
        <v>1244</v>
      </c>
    </row>
    <row r="121" spans="1:23" x14ac:dyDescent="0.25">
      <c r="A121" s="17">
        <v>44774</v>
      </c>
      <c r="B121" s="1" t="s">
        <v>191</v>
      </c>
      <c r="C121" s="1">
        <v>1</v>
      </c>
      <c r="F121" s="9" t="s">
        <v>581</v>
      </c>
      <c r="G121" s="10"/>
      <c r="H121" s="10">
        <v>1</v>
      </c>
      <c r="I121" s="10"/>
      <c r="J121" s="10"/>
      <c r="K121" s="10"/>
      <c r="L121" s="10">
        <v>1</v>
      </c>
      <c r="O121" t="s">
        <v>52</v>
      </c>
      <c r="P121">
        <v>3</v>
      </c>
      <c r="Q121">
        <f t="shared" si="4"/>
        <v>18</v>
      </c>
      <c r="R121">
        <f t="shared" si="5"/>
        <v>1.8646732619699697E-3</v>
      </c>
      <c r="S121">
        <f t="shared" si="7"/>
        <v>0.48854439463613225</v>
      </c>
      <c r="T121" t="str">
        <f t="shared" si="6"/>
        <v>A</v>
      </c>
      <c r="V121" t="s">
        <v>52</v>
      </c>
      <c r="W121" t="s">
        <v>1244</v>
      </c>
    </row>
    <row r="122" spans="1:23" x14ac:dyDescent="0.25">
      <c r="A122" s="17">
        <v>44774</v>
      </c>
      <c r="B122" s="1" t="s">
        <v>191</v>
      </c>
      <c r="C122" s="1">
        <v>1</v>
      </c>
      <c r="F122" s="9" t="s">
        <v>326</v>
      </c>
      <c r="G122" s="10">
        <v>1</v>
      </c>
      <c r="H122" s="10"/>
      <c r="I122" s="10"/>
      <c r="J122" s="10"/>
      <c r="K122" s="10"/>
      <c r="L122" s="10">
        <v>1</v>
      </c>
      <c r="O122" t="s">
        <v>614</v>
      </c>
      <c r="P122">
        <v>3</v>
      </c>
      <c r="Q122">
        <f t="shared" si="4"/>
        <v>18</v>
      </c>
      <c r="R122">
        <f t="shared" si="5"/>
        <v>1.8646732619699697E-3</v>
      </c>
      <c r="S122">
        <f t="shared" si="7"/>
        <v>0.49040906789810224</v>
      </c>
      <c r="T122" t="str">
        <f t="shared" si="6"/>
        <v>A</v>
      </c>
      <c r="V122" t="s">
        <v>614</v>
      </c>
      <c r="W122" t="s">
        <v>1244</v>
      </c>
    </row>
    <row r="123" spans="1:23" x14ac:dyDescent="0.25">
      <c r="A123" s="17">
        <v>44774</v>
      </c>
      <c r="B123" s="1" t="s">
        <v>193</v>
      </c>
      <c r="C123" s="1">
        <v>1</v>
      </c>
      <c r="F123" s="9" t="s">
        <v>615</v>
      </c>
      <c r="G123" s="10"/>
      <c r="H123" s="10">
        <v>3</v>
      </c>
      <c r="I123" s="10"/>
      <c r="J123" s="10"/>
      <c r="K123" s="10"/>
      <c r="L123" s="10">
        <v>3</v>
      </c>
      <c r="O123" t="s">
        <v>673</v>
      </c>
      <c r="P123">
        <v>3</v>
      </c>
      <c r="Q123">
        <f t="shared" si="4"/>
        <v>18</v>
      </c>
      <c r="R123">
        <f t="shared" si="5"/>
        <v>1.8646732619699697E-3</v>
      </c>
      <c r="S123">
        <f t="shared" si="7"/>
        <v>0.49227374116007222</v>
      </c>
      <c r="T123" t="str">
        <f t="shared" si="6"/>
        <v>A</v>
      </c>
      <c r="V123" t="s">
        <v>673</v>
      </c>
      <c r="W123" t="s">
        <v>1244</v>
      </c>
    </row>
    <row r="124" spans="1:23" x14ac:dyDescent="0.25">
      <c r="A124" s="17">
        <v>44774</v>
      </c>
      <c r="B124" s="1" t="s">
        <v>195</v>
      </c>
      <c r="C124" s="1">
        <v>1</v>
      </c>
      <c r="F124" s="9" t="s">
        <v>642</v>
      </c>
      <c r="G124" s="10"/>
      <c r="H124" s="10">
        <v>1</v>
      </c>
      <c r="I124" s="10"/>
      <c r="J124" s="10"/>
      <c r="K124" s="10"/>
      <c r="L124" s="10">
        <v>1</v>
      </c>
      <c r="O124" t="s">
        <v>278</v>
      </c>
      <c r="P124">
        <v>3</v>
      </c>
      <c r="Q124">
        <f t="shared" si="4"/>
        <v>18</v>
      </c>
      <c r="R124">
        <f t="shared" si="5"/>
        <v>1.8646732619699697E-3</v>
      </c>
      <c r="S124">
        <f t="shared" si="7"/>
        <v>0.4941384144220422</v>
      </c>
      <c r="T124" t="str">
        <f t="shared" si="6"/>
        <v>A</v>
      </c>
      <c r="V124" t="s">
        <v>278</v>
      </c>
      <c r="W124" t="s">
        <v>1244</v>
      </c>
    </row>
    <row r="125" spans="1:23" x14ac:dyDescent="0.25">
      <c r="A125" s="17">
        <v>44774</v>
      </c>
      <c r="B125" s="1" t="s">
        <v>196</v>
      </c>
      <c r="C125" s="1">
        <v>1</v>
      </c>
      <c r="F125" s="9" t="s">
        <v>696</v>
      </c>
      <c r="G125" s="10"/>
      <c r="H125" s="10">
        <v>1</v>
      </c>
      <c r="I125" s="10"/>
      <c r="J125" s="10"/>
      <c r="K125" s="10"/>
      <c r="L125" s="10">
        <v>1</v>
      </c>
      <c r="O125" t="s">
        <v>146</v>
      </c>
      <c r="P125">
        <v>3</v>
      </c>
      <c r="Q125">
        <f t="shared" si="4"/>
        <v>18</v>
      </c>
      <c r="R125">
        <f t="shared" si="5"/>
        <v>1.8646732619699697E-3</v>
      </c>
      <c r="S125">
        <f t="shared" si="7"/>
        <v>0.49600308768401219</v>
      </c>
      <c r="T125" t="str">
        <f t="shared" si="6"/>
        <v>A</v>
      </c>
      <c r="V125" t="s">
        <v>146</v>
      </c>
      <c r="W125" t="s">
        <v>1244</v>
      </c>
    </row>
    <row r="126" spans="1:23" x14ac:dyDescent="0.25">
      <c r="A126" s="17">
        <v>44774</v>
      </c>
      <c r="B126" s="1" t="s">
        <v>196</v>
      </c>
      <c r="C126" s="1">
        <v>1</v>
      </c>
      <c r="F126" s="9" t="s">
        <v>941</v>
      </c>
      <c r="G126" s="10"/>
      <c r="H126" s="10"/>
      <c r="I126" s="10"/>
      <c r="J126" s="10">
        <v>2</v>
      </c>
      <c r="K126" s="10">
        <v>1</v>
      </c>
      <c r="L126" s="10">
        <v>3</v>
      </c>
      <c r="O126" t="s">
        <v>301</v>
      </c>
      <c r="P126">
        <v>3</v>
      </c>
      <c r="Q126">
        <f t="shared" si="4"/>
        <v>18</v>
      </c>
      <c r="R126">
        <f t="shared" si="5"/>
        <v>1.8646732619699697E-3</v>
      </c>
      <c r="S126">
        <f t="shared" si="7"/>
        <v>0.49786776094598217</v>
      </c>
      <c r="T126" t="str">
        <f t="shared" si="6"/>
        <v>A</v>
      </c>
      <c r="V126" t="s">
        <v>301</v>
      </c>
      <c r="W126" t="s">
        <v>1244</v>
      </c>
    </row>
    <row r="127" spans="1:23" x14ac:dyDescent="0.25">
      <c r="A127" s="17">
        <v>44774</v>
      </c>
      <c r="B127" s="1" t="s">
        <v>198</v>
      </c>
      <c r="C127" s="1">
        <v>1</v>
      </c>
      <c r="F127" s="9" t="s">
        <v>155</v>
      </c>
      <c r="G127" s="10">
        <v>1</v>
      </c>
      <c r="H127" s="10"/>
      <c r="I127" s="10"/>
      <c r="J127" s="10"/>
      <c r="K127" s="10">
        <v>1</v>
      </c>
      <c r="L127" s="10">
        <v>2</v>
      </c>
      <c r="O127" t="s">
        <v>234</v>
      </c>
      <c r="P127">
        <v>3</v>
      </c>
      <c r="Q127">
        <f t="shared" si="4"/>
        <v>18</v>
      </c>
      <c r="R127">
        <f t="shared" si="5"/>
        <v>1.8646732619699697E-3</v>
      </c>
      <c r="S127">
        <f t="shared" si="7"/>
        <v>0.49973243420795216</v>
      </c>
      <c r="T127" t="str">
        <f t="shared" si="6"/>
        <v>A</v>
      </c>
      <c r="V127" t="s">
        <v>234</v>
      </c>
      <c r="W127" t="s">
        <v>1244</v>
      </c>
    </row>
    <row r="128" spans="1:23" x14ac:dyDescent="0.25">
      <c r="A128" s="17">
        <v>44774</v>
      </c>
      <c r="B128" s="1" t="s">
        <v>198</v>
      </c>
      <c r="C128" s="1">
        <v>1</v>
      </c>
      <c r="F128" s="9" t="s">
        <v>442</v>
      </c>
      <c r="G128" s="10">
        <v>1</v>
      </c>
      <c r="H128" s="10"/>
      <c r="I128" s="10"/>
      <c r="J128" s="10">
        <v>1</v>
      </c>
      <c r="K128" s="10"/>
      <c r="L128" s="10">
        <v>2</v>
      </c>
      <c r="O128" t="s">
        <v>638</v>
      </c>
      <c r="P128">
        <v>3</v>
      </c>
      <c r="Q128">
        <f t="shared" si="4"/>
        <v>18</v>
      </c>
      <c r="R128">
        <f t="shared" si="5"/>
        <v>1.8646732619699697E-3</v>
      </c>
      <c r="S128">
        <f t="shared" si="7"/>
        <v>0.50159710746992214</v>
      </c>
      <c r="T128" t="str">
        <f t="shared" si="6"/>
        <v>A</v>
      </c>
      <c r="V128" t="s">
        <v>638</v>
      </c>
      <c r="W128" t="s">
        <v>1244</v>
      </c>
    </row>
    <row r="129" spans="1:23" x14ac:dyDescent="0.25">
      <c r="A129" s="17">
        <v>44774</v>
      </c>
      <c r="B129" s="1" t="s">
        <v>200</v>
      </c>
      <c r="C129" s="1">
        <v>0.21428570999999999</v>
      </c>
      <c r="F129" s="9" t="s">
        <v>643</v>
      </c>
      <c r="G129" s="10"/>
      <c r="H129" s="10">
        <v>1</v>
      </c>
      <c r="I129" s="10"/>
      <c r="J129" s="10"/>
      <c r="K129" s="10">
        <v>1</v>
      </c>
      <c r="L129" s="10">
        <v>2</v>
      </c>
      <c r="O129" t="s">
        <v>431</v>
      </c>
      <c r="P129">
        <v>3</v>
      </c>
      <c r="Q129">
        <f t="shared" si="4"/>
        <v>18</v>
      </c>
      <c r="R129">
        <f t="shared" si="5"/>
        <v>1.8646732619699697E-3</v>
      </c>
      <c r="S129">
        <f t="shared" si="7"/>
        <v>0.50346178073189207</v>
      </c>
      <c r="T129" t="str">
        <f t="shared" si="6"/>
        <v>A</v>
      </c>
      <c r="V129" t="s">
        <v>431</v>
      </c>
      <c r="W129" t="s">
        <v>1244</v>
      </c>
    </row>
    <row r="130" spans="1:23" x14ac:dyDescent="0.25">
      <c r="A130" s="17">
        <v>44774</v>
      </c>
      <c r="B130" s="1" t="s">
        <v>202</v>
      </c>
      <c r="C130" s="1">
        <v>1</v>
      </c>
      <c r="F130" s="9" t="s">
        <v>1205</v>
      </c>
      <c r="G130" s="10"/>
      <c r="H130" s="10"/>
      <c r="I130" s="10"/>
      <c r="J130" s="10"/>
      <c r="K130" s="10">
        <v>1</v>
      </c>
      <c r="L130" s="10">
        <v>1</v>
      </c>
      <c r="O130" t="s">
        <v>1071</v>
      </c>
      <c r="P130">
        <v>3</v>
      </c>
      <c r="Q130">
        <f t="shared" si="4"/>
        <v>18</v>
      </c>
      <c r="R130">
        <f t="shared" si="5"/>
        <v>1.8646732619699697E-3</v>
      </c>
      <c r="S130">
        <f t="shared" si="7"/>
        <v>0.505326453993862</v>
      </c>
      <c r="T130" t="str">
        <f t="shared" si="6"/>
        <v>A</v>
      </c>
      <c r="V130" t="s">
        <v>1071</v>
      </c>
      <c r="W130" t="s">
        <v>1244</v>
      </c>
    </row>
    <row r="131" spans="1:23" x14ac:dyDescent="0.25">
      <c r="A131" s="17">
        <v>44774</v>
      </c>
      <c r="B131" s="1" t="s">
        <v>204</v>
      </c>
      <c r="C131" s="1">
        <v>1</v>
      </c>
      <c r="F131" s="9" t="s">
        <v>791</v>
      </c>
      <c r="G131" s="10"/>
      <c r="H131" s="10"/>
      <c r="I131" s="10">
        <v>2</v>
      </c>
      <c r="J131" s="10"/>
      <c r="K131" s="10"/>
      <c r="L131" s="10">
        <v>2</v>
      </c>
      <c r="O131" t="s">
        <v>290</v>
      </c>
      <c r="P131">
        <v>3</v>
      </c>
      <c r="Q131">
        <f t="shared" si="4"/>
        <v>18</v>
      </c>
      <c r="R131">
        <f t="shared" si="5"/>
        <v>1.8646732619699697E-3</v>
      </c>
      <c r="S131">
        <f t="shared" si="7"/>
        <v>0.50719112725583193</v>
      </c>
      <c r="T131" t="str">
        <f t="shared" si="6"/>
        <v>A</v>
      </c>
      <c r="V131" t="s">
        <v>290</v>
      </c>
      <c r="W131" t="s">
        <v>1244</v>
      </c>
    </row>
    <row r="132" spans="1:23" x14ac:dyDescent="0.25">
      <c r="A132" s="17">
        <v>44774</v>
      </c>
      <c r="B132" s="1" t="s">
        <v>206</v>
      </c>
      <c r="C132" s="1">
        <v>1</v>
      </c>
      <c r="F132" s="9" t="s">
        <v>70</v>
      </c>
      <c r="G132" s="10">
        <v>1</v>
      </c>
      <c r="H132" s="10"/>
      <c r="I132" s="10"/>
      <c r="J132" s="10"/>
      <c r="K132" s="10"/>
      <c r="L132" s="10">
        <v>1</v>
      </c>
      <c r="O132" t="s">
        <v>571</v>
      </c>
      <c r="P132">
        <v>3</v>
      </c>
      <c r="Q132">
        <f t="shared" si="4"/>
        <v>18</v>
      </c>
      <c r="R132">
        <f t="shared" si="5"/>
        <v>1.8646732619699697E-3</v>
      </c>
      <c r="S132">
        <f t="shared" si="7"/>
        <v>0.50905580051780186</v>
      </c>
      <c r="T132" t="str">
        <f t="shared" si="6"/>
        <v>A</v>
      </c>
      <c r="V132" t="s">
        <v>571</v>
      </c>
      <c r="W132" t="s">
        <v>1244</v>
      </c>
    </row>
    <row r="133" spans="1:23" x14ac:dyDescent="0.25">
      <c r="A133" s="17">
        <v>44774</v>
      </c>
      <c r="B133" s="1" t="s">
        <v>208</v>
      </c>
      <c r="C133" s="1">
        <v>1</v>
      </c>
      <c r="F133" s="9" t="s">
        <v>774</v>
      </c>
      <c r="G133" s="10"/>
      <c r="H133" s="10"/>
      <c r="I133" s="10">
        <v>1</v>
      </c>
      <c r="J133" s="10"/>
      <c r="K133" s="10"/>
      <c r="L133" s="10">
        <v>1</v>
      </c>
      <c r="O133" t="s">
        <v>568</v>
      </c>
      <c r="P133">
        <v>3</v>
      </c>
      <c r="Q133">
        <f t="shared" ref="Q133:Q196" si="8">(P133/5)*30</f>
        <v>18</v>
      </c>
      <c r="R133">
        <f t="shared" ref="R133:R196" si="9">Q133/SUM($Q$4:$Q$806)</f>
        <v>1.8646732619699697E-3</v>
      </c>
      <c r="S133">
        <f t="shared" si="7"/>
        <v>0.51092047377977179</v>
      </c>
      <c r="T133" t="str">
        <f t="shared" ref="T133:T196" si="10">IF(S133&lt;0.8,"A", IF(S133&lt;0.95,"B","C"))</f>
        <v>A</v>
      </c>
      <c r="V133" t="s">
        <v>568</v>
      </c>
      <c r="W133" t="s">
        <v>1244</v>
      </c>
    </row>
    <row r="134" spans="1:23" x14ac:dyDescent="0.25">
      <c r="A134" s="17">
        <v>44774</v>
      </c>
      <c r="B134" s="1" t="s">
        <v>210</v>
      </c>
      <c r="C134" s="1">
        <v>1</v>
      </c>
      <c r="F134" s="9" t="s">
        <v>613</v>
      </c>
      <c r="G134" s="10"/>
      <c r="H134" s="10">
        <v>1</v>
      </c>
      <c r="I134" s="10"/>
      <c r="J134" s="10"/>
      <c r="K134" s="10"/>
      <c r="L134" s="10">
        <v>1</v>
      </c>
      <c r="O134" t="s">
        <v>232</v>
      </c>
      <c r="P134">
        <v>3</v>
      </c>
      <c r="Q134">
        <f t="shared" si="8"/>
        <v>18</v>
      </c>
      <c r="R134">
        <f t="shared" si="9"/>
        <v>1.8646732619699697E-3</v>
      </c>
      <c r="S134">
        <f t="shared" ref="S134:S197" si="11">R134+S133</f>
        <v>0.51278514704174172</v>
      </c>
      <c r="T134" t="str">
        <f t="shared" si="10"/>
        <v>A</v>
      </c>
      <c r="V134" t="s">
        <v>232</v>
      </c>
      <c r="W134" t="s">
        <v>1244</v>
      </c>
    </row>
    <row r="135" spans="1:23" x14ac:dyDescent="0.25">
      <c r="A135" s="17">
        <v>44774</v>
      </c>
      <c r="B135" s="1" t="s">
        <v>212</v>
      </c>
      <c r="C135" s="1">
        <v>1</v>
      </c>
      <c r="F135" s="9" t="s">
        <v>880</v>
      </c>
      <c r="G135" s="10"/>
      <c r="H135" s="10"/>
      <c r="I135" s="10">
        <v>1</v>
      </c>
      <c r="J135" s="10"/>
      <c r="K135" s="10"/>
      <c r="L135" s="10">
        <v>1</v>
      </c>
      <c r="O135" t="s">
        <v>712</v>
      </c>
      <c r="P135">
        <v>3</v>
      </c>
      <c r="Q135">
        <f t="shared" si="8"/>
        <v>18</v>
      </c>
      <c r="R135">
        <f t="shared" si="9"/>
        <v>1.8646732619699697E-3</v>
      </c>
      <c r="S135">
        <f t="shared" si="11"/>
        <v>0.51464982030371165</v>
      </c>
      <c r="T135" t="str">
        <f t="shared" si="10"/>
        <v>A</v>
      </c>
      <c r="V135" t="s">
        <v>712</v>
      </c>
      <c r="W135" t="s">
        <v>1244</v>
      </c>
    </row>
    <row r="136" spans="1:23" x14ac:dyDescent="0.25">
      <c r="A136" s="17">
        <v>44774</v>
      </c>
      <c r="B136" s="1" t="s">
        <v>212</v>
      </c>
      <c r="C136" s="1">
        <v>1</v>
      </c>
      <c r="F136" s="9" t="s">
        <v>583</v>
      </c>
      <c r="G136" s="10"/>
      <c r="H136" s="10">
        <v>22</v>
      </c>
      <c r="I136" s="10"/>
      <c r="J136" s="10"/>
      <c r="K136" s="10"/>
      <c r="L136" s="10">
        <v>22</v>
      </c>
      <c r="O136" t="s">
        <v>405</v>
      </c>
      <c r="P136">
        <v>3</v>
      </c>
      <c r="Q136">
        <f t="shared" si="8"/>
        <v>18</v>
      </c>
      <c r="R136">
        <f t="shared" si="9"/>
        <v>1.8646732619699697E-3</v>
      </c>
      <c r="S136">
        <f t="shared" si="11"/>
        <v>0.51651449356568158</v>
      </c>
      <c r="T136" t="str">
        <f t="shared" si="10"/>
        <v>A</v>
      </c>
      <c r="V136" t="s">
        <v>405</v>
      </c>
      <c r="W136" t="s">
        <v>1244</v>
      </c>
    </row>
    <row r="137" spans="1:23" x14ac:dyDescent="0.25">
      <c r="A137" s="17">
        <v>44774</v>
      </c>
      <c r="B137" s="1" t="s">
        <v>214</v>
      </c>
      <c r="C137" s="1">
        <v>1</v>
      </c>
      <c r="F137" s="9" t="s">
        <v>246</v>
      </c>
      <c r="G137" s="10">
        <v>2</v>
      </c>
      <c r="H137" s="10"/>
      <c r="I137" s="10"/>
      <c r="J137" s="10"/>
      <c r="K137" s="10"/>
      <c r="L137" s="10">
        <v>2</v>
      </c>
      <c r="O137" t="s">
        <v>1001</v>
      </c>
      <c r="P137">
        <v>3</v>
      </c>
      <c r="Q137">
        <f t="shared" si="8"/>
        <v>18</v>
      </c>
      <c r="R137">
        <f t="shared" si="9"/>
        <v>1.8646732619699697E-3</v>
      </c>
      <c r="S137">
        <f t="shared" si="11"/>
        <v>0.51837916682765151</v>
      </c>
      <c r="T137" t="str">
        <f t="shared" si="10"/>
        <v>A</v>
      </c>
      <c r="V137" t="s">
        <v>1001</v>
      </c>
      <c r="W137" t="s">
        <v>1244</v>
      </c>
    </row>
    <row r="138" spans="1:23" x14ac:dyDescent="0.25">
      <c r="A138" s="17">
        <v>44774</v>
      </c>
      <c r="B138" s="1" t="s">
        <v>214</v>
      </c>
      <c r="C138" s="1">
        <v>1</v>
      </c>
      <c r="F138" s="9" t="s">
        <v>981</v>
      </c>
      <c r="G138" s="10"/>
      <c r="H138" s="10"/>
      <c r="I138" s="10"/>
      <c r="J138" s="10">
        <v>1</v>
      </c>
      <c r="K138" s="10">
        <v>1</v>
      </c>
      <c r="L138" s="10">
        <v>2</v>
      </c>
      <c r="O138" t="s">
        <v>818</v>
      </c>
      <c r="P138">
        <v>3</v>
      </c>
      <c r="Q138">
        <f t="shared" si="8"/>
        <v>18</v>
      </c>
      <c r="R138">
        <f t="shared" si="9"/>
        <v>1.8646732619699697E-3</v>
      </c>
      <c r="S138">
        <f t="shared" si="11"/>
        <v>0.52024384008962143</v>
      </c>
      <c r="T138" t="str">
        <f t="shared" si="10"/>
        <v>A</v>
      </c>
      <c r="V138" t="s">
        <v>818</v>
      </c>
      <c r="W138" t="s">
        <v>1244</v>
      </c>
    </row>
    <row r="139" spans="1:23" x14ac:dyDescent="0.25">
      <c r="A139" s="17">
        <v>44774</v>
      </c>
      <c r="B139" s="1" t="s">
        <v>214</v>
      </c>
      <c r="C139" s="1">
        <v>1</v>
      </c>
      <c r="F139" s="9" t="s">
        <v>231</v>
      </c>
      <c r="G139" s="10">
        <v>1</v>
      </c>
      <c r="H139" s="10"/>
      <c r="I139" s="10"/>
      <c r="J139" s="10"/>
      <c r="K139" s="10"/>
      <c r="L139" s="10">
        <v>1</v>
      </c>
      <c r="O139" t="s">
        <v>210</v>
      </c>
      <c r="P139">
        <v>2</v>
      </c>
      <c r="Q139">
        <f t="shared" si="8"/>
        <v>12</v>
      </c>
      <c r="R139">
        <f t="shared" si="9"/>
        <v>1.2431155079799796E-3</v>
      </c>
      <c r="S139">
        <f t="shared" si="11"/>
        <v>0.52148695559760139</v>
      </c>
      <c r="T139" t="str">
        <f t="shared" si="10"/>
        <v>A</v>
      </c>
      <c r="V139" t="s">
        <v>210</v>
      </c>
      <c r="W139" t="s">
        <v>1244</v>
      </c>
    </row>
    <row r="140" spans="1:23" x14ac:dyDescent="0.25">
      <c r="A140" s="17">
        <v>44774</v>
      </c>
      <c r="B140" s="1" t="s">
        <v>214</v>
      </c>
      <c r="C140" s="1">
        <v>1</v>
      </c>
      <c r="F140" s="9" t="s">
        <v>671</v>
      </c>
      <c r="G140" s="10"/>
      <c r="H140" s="10">
        <v>1</v>
      </c>
      <c r="I140" s="10">
        <v>2</v>
      </c>
      <c r="J140" s="10"/>
      <c r="K140" s="10">
        <v>2</v>
      </c>
      <c r="L140" s="10">
        <v>5</v>
      </c>
      <c r="O140" t="s">
        <v>83</v>
      </c>
      <c r="P140">
        <v>2</v>
      </c>
      <c r="Q140">
        <f t="shared" si="8"/>
        <v>12</v>
      </c>
      <c r="R140">
        <f t="shared" si="9"/>
        <v>1.2431155079799796E-3</v>
      </c>
      <c r="S140">
        <f t="shared" si="11"/>
        <v>0.52273007110558134</v>
      </c>
      <c r="T140" t="str">
        <f t="shared" si="10"/>
        <v>A</v>
      </c>
      <c r="V140" t="s">
        <v>83</v>
      </c>
      <c r="W140" t="s">
        <v>1244</v>
      </c>
    </row>
    <row r="141" spans="1:23" x14ac:dyDescent="0.25">
      <c r="A141" s="17">
        <v>44774</v>
      </c>
      <c r="B141" s="1" t="s">
        <v>214</v>
      </c>
      <c r="C141" s="1">
        <v>1</v>
      </c>
      <c r="F141" s="9" t="s">
        <v>1057</v>
      </c>
      <c r="G141" s="10"/>
      <c r="H141" s="10"/>
      <c r="I141" s="10"/>
      <c r="J141" s="10">
        <v>1</v>
      </c>
      <c r="K141" s="10"/>
      <c r="L141" s="10">
        <v>1</v>
      </c>
      <c r="O141" t="s">
        <v>844</v>
      </c>
      <c r="P141">
        <v>2</v>
      </c>
      <c r="Q141">
        <f t="shared" si="8"/>
        <v>12</v>
      </c>
      <c r="R141">
        <f t="shared" si="9"/>
        <v>1.2431155079799796E-3</v>
      </c>
      <c r="S141">
        <f t="shared" si="11"/>
        <v>0.52397318661356129</v>
      </c>
      <c r="T141" t="str">
        <f t="shared" si="10"/>
        <v>A</v>
      </c>
      <c r="V141" t="s">
        <v>844</v>
      </c>
      <c r="W141" t="s">
        <v>1244</v>
      </c>
    </row>
    <row r="142" spans="1:23" x14ac:dyDescent="0.25">
      <c r="A142" s="17">
        <v>44774</v>
      </c>
      <c r="B142" s="1" t="s">
        <v>214</v>
      </c>
      <c r="C142" s="1">
        <v>1</v>
      </c>
      <c r="F142" s="9" t="s">
        <v>935</v>
      </c>
      <c r="G142" s="10"/>
      <c r="H142" s="10"/>
      <c r="I142" s="10"/>
      <c r="J142" s="10">
        <v>1</v>
      </c>
      <c r="K142" s="10"/>
      <c r="L142" s="10">
        <v>1</v>
      </c>
      <c r="O142" t="s">
        <v>686</v>
      </c>
      <c r="P142">
        <v>2</v>
      </c>
      <c r="Q142">
        <f t="shared" si="8"/>
        <v>12</v>
      </c>
      <c r="R142">
        <f t="shared" si="9"/>
        <v>1.2431155079799796E-3</v>
      </c>
      <c r="S142">
        <f t="shared" si="11"/>
        <v>0.52521630212154125</v>
      </c>
      <c r="T142" t="str">
        <f t="shared" si="10"/>
        <v>A</v>
      </c>
      <c r="V142" t="s">
        <v>686</v>
      </c>
      <c r="W142" t="s">
        <v>1244</v>
      </c>
    </row>
    <row r="143" spans="1:23" x14ac:dyDescent="0.25">
      <c r="A143" s="17">
        <v>44774</v>
      </c>
      <c r="B143" s="1" t="s">
        <v>216</v>
      </c>
      <c r="C143" s="1">
        <v>1</v>
      </c>
      <c r="F143" s="9" t="s">
        <v>797</v>
      </c>
      <c r="G143" s="10"/>
      <c r="H143" s="10"/>
      <c r="I143" s="10">
        <v>2</v>
      </c>
      <c r="J143" s="10"/>
      <c r="K143" s="10"/>
      <c r="L143" s="10">
        <v>2</v>
      </c>
      <c r="O143" t="s">
        <v>307</v>
      </c>
      <c r="P143">
        <v>2</v>
      </c>
      <c r="Q143">
        <f t="shared" si="8"/>
        <v>12</v>
      </c>
      <c r="R143">
        <f t="shared" si="9"/>
        <v>1.2431155079799796E-3</v>
      </c>
      <c r="S143">
        <f t="shared" si="11"/>
        <v>0.5264594176295212</v>
      </c>
      <c r="T143" t="str">
        <f t="shared" si="10"/>
        <v>A</v>
      </c>
      <c r="V143" t="s">
        <v>307</v>
      </c>
      <c r="W143" t="s">
        <v>1244</v>
      </c>
    </row>
    <row r="144" spans="1:23" x14ac:dyDescent="0.25">
      <c r="A144" s="17">
        <v>44774</v>
      </c>
      <c r="B144" s="1" t="s">
        <v>218</v>
      </c>
      <c r="C144" s="1">
        <v>1</v>
      </c>
      <c r="F144" s="9" t="s">
        <v>1143</v>
      </c>
      <c r="G144" s="10"/>
      <c r="H144" s="10"/>
      <c r="I144" s="10"/>
      <c r="J144" s="10"/>
      <c r="K144" s="10">
        <v>1</v>
      </c>
      <c r="L144" s="10">
        <v>1</v>
      </c>
      <c r="O144" t="s">
        <v>182</v>
      </c>
      <c r="P144">
        <v>2</v>
      </c>
      <c r="Q144">
        <f t="shared" si="8"/>
        <v>12</v>
      </c>
      <c r="R144">
        <f t="shared" si="9"/>
        <v>1.2431155079799796E-3</v>
      </c>
      <c r="S144">
        <f t="shared" si="11"/>
        <v>0.52770253313750115</v>
      </c>
      <c r="T144" t="str">
        <f t="shared" si="10"/>
        <v>A</v>
      </c>
      <c r="V144" t="s">
        <v>182</v>
      </c>
      <c r="W144" t="s">
        <v>1244</v>
      </c>
    </row>
    <row r="145" spans="1:23" x14ac:dyDescent="0.25">
      <c r="A145" s="17">
        <v>44774</v>
      </c>
      <c r="B145" s="1" t="s">
        <v>220</v>
      </c>
      <c r="C145" s="1">
        <v>1</v>
      </c>
      <c r="F145" s="9" t="s">
        <v>793</v>
      </c>
      <c r="G145" s="10"/>
      <c r="H145" s="10"/>
      <c r="I145" s="10">
        <v>1</v>
      </c>
      <c r="J145" s="10"/>
      <c r="K145" s="10"/>
      <c r="L145" s="10">
        <v>1</v>
      </c>
      <c r="O145" t="s">
        <v>477</v>
      </c>
      <c r="P145">
        <v>2</v>
      </c>
      <c r="Q145">
        <f t="shared" si="8"/>
        <v>12</v>
      </c>
      <c r="R145">
        <f t="shared" si="9"/>
        <v>1.2431155079799796E-3</v>
      </c>
      <c r="S145">
        <f t="shared" si="11"/>
        <v>0.5289456486454811</v>
      </c>
      <c r="T145" t="str">
        <f t="shared" si="10"/>
        <v>A</v>
      </c>
      <c r="V145" t="s">
        <v>477</v>
      </c>
      <c r="W145" t="s">
        <v>1244</v>
      </c>
    </row>
    <row r="146" spans="1:23" x14ac:dyDescent="0.25">
      <c r="A146" s="17">
        <v>44774</v>
      </c>
      <c r="B146" s="1" t="s">
        <v>220</v>
      </c>
      <c r="C146" s="1">
        <v>2</v>
      </c>
      <c r="F146" s="9" t="s">
        <v>371</v>
      </c>
      <c r="G146" s="10">
        <v>1</v>
      </c>
      <c r="H146" s="10"/>
      <c r="I146" s="10"/>
      <c r="J146" s="10"/>
      <c r="K146" s="10"/>
      <c r="L146" s="10">
        <v>1</v>
      </c>
      <c r="O146" t="s">
        <v>457</v>
      </c>
      <c r="P146">
        <v>2</v>
      </c>
      <c r="Q146">
        <f t="shared" si="8"/>
        <v>12</v>
      </c>
      <c r="R146">
        <f t="shared" si="9"/>
        <v>1.2431155079799796E-3</v>
      </c>
      <c r="S146">
        <f t="shared" si="11"/>
        <v>0.53018876415346106</v>
      </c>
      <c r="T146" t="str">
        <f t="shared" si="10"/>
        <v>A</v>
      </c>
      <c r="V146" t="s">
        <v>457</v>
      </c>
      <c r="W146" t="s">
        <v>1244</v>
      </c>
    </row>
    <row r="147" spans="1:23" x14ac:dyDescent="0.25">
      <c r="A147" s="17">
        <v>44774</v>
      </c>
      <c r="B147" s="1" t="s">
        <v>222</v>
      </c>
      <c r="C147" s="1">
        <v>1</v>
      </c>
      <c r="F147" s="9" t="s">
        <v>963</v>
      </c>
      <c r="G147" s="10"/>
      <c r="H147" s="10"/>
      <c r="I147" s="10"/>
      <c r="J147" s="10">
        <v>1</v>
      </c>
      <c r="K147" s="10">
        <v>1</v>
      </c>
      <c r="L147" s="10">
        <v>2</v>
      </c>
      <c r="O147" t="s">
        <v>802</v>
      </c>
      <c r="P147">
        <v>2</v>
      </c>
      <c r="Q147">
        <f t="shared" si="8"/>
        <v>12</v>
      </c>
      <c r="R147">
        <f t="shared" si="9"/>
        <v>1.2431155079799796E-3</v>
      </c>
      <c r="S147">
        <f t="shared" si="11"/>
        <v>0.53143187966144101</v>
      </c>
      <c r="T147" t="str">
        <f t="shared" si="10"/>
        <v>A</v>
      </c>
      <c r="V147" t="s">
        <v>802</v>
      </c>
      <c r="W147" t="s">
        <v>1244</v>
      </c>
    </row>
    <row r="148" spans="1:23" x14ac:dyDescent="0.25">
      <c r="A148" s="17">
        <v>44774</v>
      </c>
      <c r="B148" s="1" t="s">
        <v>224</v>
      </c>
      <c r="C148" s="1">
        <v>1</v>
      </c>
      <c r="F148" s="9" t="s">
        <v>322</v>
      </c>
      <c r="G148" s="10">
        <v>2</v>
      </c>
      <c r="H148" s="10"/>
      <c r="I148" s="10"/>
      <c r="J148" s="10"/>
      <c r="K148" s="10"/>
      <c r="L148" s="10">
        <v>2</v>
      </c>
      <c r="O148" t="s">
        <v>37</v>
      </c>
      <c r="P148">
        <v>2</v>
      </c>
      <c r="Q148">
        <f t="shared" si="8"/>
        <v>12</v>
      </c>
      <c r="R148">
        <f t="shared" si="9"/>
        <v>1.2431155079799796E-3</v>
      </c>
      <c r="S148">
        <f t="shared" si="11"/>
        <v>0.53267499516942096</v>
      </c>
      <c r="T148" t="str">
        <f t="shared" si="10"/>
        <v>A</v>
      </c>
      <c r="V148" t="s">
        <v>37</v>
      </c>
      <c r="W148" t="s">
        <v>1244</v>
      </c>
    </row>
    <row r="149" spans="1:23" x14ac:dyDescent="0.25">
      <c r="A149" s="17">
        <v>44774</v>
      </c>
      <c r="B149" s="1" t="s">
        <v>226</v>
      </c>
      <c r="C149" s="1">
        <v>1</v>
      </c>
      <c r="F149" s="9" t="s">
        <v>1175</v>
      </c>
      <c r="G149" s="10"/>
      <c r="H149" s="10"/>
      <c r="I149" s="10"/>
      <c r="J149" s="10"/>
      <c r="K149" s="10">
        <v>1</v>
      </c>
      <c r="L149" s="10">
        <v>1</v>
      </c>
      <c r="O149" t="s">
        <v>452</v>
      </c>
      <c r="P149">
        <v>2</v>
      </c>
      <c r="Q149">
        <f t="shared" si="8"/>
        <v>12</v>
      </c>
      <c r="R149">
        <f t="shared" si="9"/>
        <v>1.2431155079799796E-3</v>
      </c>
      <c r="S149">
        <f t="shared" si="11"/>
        <v>0.53391811067740091</v>
      </c>
      <c r="T149" t="str">
        <f t="shared" si="10"/>
        <v>A</v>
      </c>
      <c r="V149" t="s">
        <v>452</v>
      </c>
      <c r="W149" t="s">
        <v>1244</v>
      </c>
    </row>
    <row r="150" spans="1:23" x14ac:dyDescent="0.25">
      <c r="A150" s="17">
        <v>44774</v>
      </c>
      <c r="B150" s="1" t="s">
        <v>228</v>
      </c>
      <c r="C150" s="1">
        <v>1</v>
      </c>
      <c r="F150" s="9" t="s">
        <v>196</v>
      </c>
      <c r="G150" s="10">
        <v>2</v>
      </c>
      <c r="H150" s="10"/>
      <c r="I150" s="10"/>
      <c r="J150" s="10"/>
      <c r="K150" s="10"/>
      <c r="L150" s="10">
        <v>2</v>
      </c>
      <c r="O150" t="s">
        <v>656</v>
      </c>
      <c r="P150">
        <v>2</v>
      </c>
      <c r="Q150">
        <f t="shared" si="8"/>
        <v>12</v>
      </c>
      <c r="R150">
        <f t="shared" si="9"/>
        <v>1.2431155079799796E-3</v>
      </c>
      <c r="S150">
        <f t="shared" si="11"/>
        <v>0.53516122618538087</v>
      </c>
      <c r="T150" t="str">
        <f t="shared" si="10"/>
        <v>A</v>
      </c>
      <c r="V150" t="s">
        <v>656</v>
      </c>
      <c r="W150" t="s">
        <v>1244</v>
      </c>
    </row>
    <row r="151" spans="1:23" x14ac:dyDescent="0.25">
      <c r="A151" s="17">
        <v>44774</v>
      </c>
      <c r="B151" s="1" t="s">
        <v>229</v>
      </c>
      <c r="C151" s="1">
        <v>1</v>
      </c>
      <c r="F151" s="9" t="s">
        <v>624</v>
      </c>
      <c r="G151" s="10"/>
      <c r="H151" s="10">
        <v>2</v>
      </c>
      <c r="I151" s="10">
        <v>1</v>
      </c>
      <c r="J151" s="10">
        <v>2</v>
      </c>
      <c r="K151" s="10">
        <v>3</v>
      </c>
      <c r="L151" s="10">
        <v>8</v>
      </c>
      <c r="O151" t="s">
        <v>990</v>
      </c>
      <c r="P151">
        <v>2</v>
      </c>
      <c r="Q151">
        <f t="shared" si="8"/>
        <v>12</v>
      </c>
      <c r="R151">
        <f t="shared" si="9"/>
        <v>1.2431155079799796E-3</v>
      </c>
      <c r="S151">
        <f t="shared" si="11"/>
        <v>0.53640434169336082</v>
      </c>
      <c r="T151" t="str">
        <f t="shared" si="10"/>
        <v>A</v>
      </c>
      <c r="V151" t="s">
        <v>990</v>
      </c>
      <c r="W151" t="s">
        <v>1244</v>
      </c>
    </row>
    <row r="152" spans="1:23" x14ac:dyDescent="0.25">
      <c r="A152" s="17">
        <v>44774</v>
      </c>
      <c r="B152" s="1" t="s">
        <v>231</v>
      </c>
      <c r="C152" s="1">
        <v>1</v>
      </c>
      <c r="F152" s="9" t="s">
        <v>1198</v>
      </c>
      <c r="G152" s="10"/>
      <c r="H152" s="10"/>
      <c r="I152" s="10"/>
      <c r="J152" s="10"/>
      <c r="K152" s="10">
        <v>1</v>
      </c>
      <c r="L152" s="10">
        <v>1</v>
      </c>
      <c r="O152" t="s">
        <v>261</v>
      </c>
      <c r="P152">
        <v>2</v>
      </c>
      <c r="Q152">
        <f t="shared" si="8"/>
        <v>12</v>
      </c>
      <c r="R152">
        <f t="shared" si="9"/>
        <v>1.2431155079799796E-3</v>
      </c>
      <c r="S152">
        <f t="shared" si="11"/>
        <v>0.53764745720134077</v>
      </c>
      <c r="T152" t="str">
        <f t="shared" si="10"/>
        <v>A</v>
      </c>
      <c r="V152" t="s">
        <v>261</v>
      </c>
      <c r="W152" t="s">
        <v>1244</v>
      </c>
    </row>
    <row r="153" spans="1:23" x14ac:dyDescent="0.25">
      <c r="A153" s="17">
        <v>44774</v>
      </c>
      <c r="B153" s="1" t="s">
        <v>232</v>
      </c>
      <c r="C153" s="1">
        <v>1</v>
      </c>
      <c r="F153" s="9" t="s">
        <v>667</v>
      </c>
      <c r="G153" s="10"/>
      <c r="H153" s="10">
        <v>5</v>
      </c>
      <c r="I153" s="10"/>
      <c r="J153" s="10"/>
      <c r="K153" s="10"/>
      <c r="L153" s="10">
        <v>5</v>
      </c>
      <c r="O153" t="s">
        <v>155</v>
      </c>
      <c r="P153">
        <v>2</v>
      </c>
      <c r="Q153">
        <f t="shared" si="8"/>
        <v>12</v>
      </c>
      <c r="R153">
        <f t="shared" si="9"/>
        <v>1.2431155079799796E-3</v>
      </c>
      <c r="S153">
        <f t="shared" si="11"/>
        <v>0.53889057270932073</v>
      </c>
      <c r="T153" t="str">
        <f t="shared" si="10"/>
        <v>A</v>
      </c>
      <c r="V153" t="s">
        <v>155</v>
      </c>
      <c r="W153" t="s">
        <v>1244</v>
      </c>
    </row>
    <row r="154" spans="1:23" x14ac:dyDescent="0.25">
      <c r="A154" s="17">
        <v>44774</v>
      </c>
      <c r="B154" s="1" t="s">
        <v>234</v>
      </c>
      <c r="C154" s="1">
        <v>1</v>
      </c>
      <c r="F154" s="9" t="s">
        <v>415</v>
      </c>
      <c r="G154" s="10">
        <v>2</v>
      </c>
      <c r="H154" s="10">
        <v>5</v>
      </c>
      <c r="I154" s="10">
        <v>4</v>
      </c>
      <c r="J154" s="10">
        <v>11</v>
      </c>
      <c r="K154" s="10">
        <v>3</v>
      </c>
      <c r="L154" s="10">
        <v>25</v>
      </c>
      <c r="O154" t="s">
        <v>442</v>
      </c>
      <c r="P154">
        <v>2</v>
      </c>
      <c r="Q154">
        <f t="shared" si="8"/>
        <v>12</v>
      </c>
      <c r="R154">
        <f t="shared" si="9"/>
        <v>1.2431155079799796E-3</v>
      </c>
      <c r="S154">
        <f t="shared" si="11"/>
        <v>0.54013368821730068</v>
      </c>
      <c r="T154" t="str">
        <f t="shared" si="10"/>
        <v>A</v>
      </c>
      <c r="V154" t="s">
        <v>442</v>
      </c>
      <c r="W154" t="s">
        <v>1244</v>
      </c>
    </row>
    <row r="155" spans="1:23" x14ac:dyDescent="0.25">
      <c r="A155" s="17">
        <v>44774</v>
      </c>
      <c r="B155" s="1" t="s">
        <v>234</v>
      </c>
      <c r="C155" s="1">
        <v>1</v>
      </c>
      <c r="F155" s="9" t="s">
        <v>104</v>
      </c>
      <c r="G155" s="10">
        <v>1</v>
      </c>
      <c r="H155" s="10"/>
      <c r="I155" s="10"/>
      <c r="J155" s="10">
        <v>2</v>
      </c>
      <c r="K155" s="10"/>
      <c r="L155" s="10">
        <v>3</v>
      </c>
      <c r="O155" t="s">
        <v>643</v>
      </c>
      <c r="P155">
        <v>2</v>
      </c>
      <c r="Q155">
        <f t="shared" si="8"/>
        <v>12</v>
      </c>
      <c r="R155">
        <f t="shared" si="9"/>
        <v>1.2431155079799796E-3</v>
      </c>
      <c r="S155">
        <f t="shared" si="11"/>
        <v>0.54137680372528063</v>
      </c>
      <c r="T155" t="str">
        <f t="shared" si="10"/>
        <v>A</v>
      </c>
      <c r="V155" t="s">
        <v>643</v>
      </c>
      <c r="W155" t="s">
        <v>1244</v>
      </c>
    </row>
    <row r="156" spans="1:23" x14ac:dyDescent="0.25">
      <c r="A156" s="17">
        <v>44774</v>
      </c>
      <c r="B156" s="1" t="s">
        <v>236</v>
      </c>
      <c r="C156" s="1">
        <v>1</v>
      </c>
      <c r="F156" s="9" t="s">
        <v>882</v>
      </c>
      <c r="G156" s="10"/>
      <c r="H156" s="10"/>
      <c r="I156" s="10">
        <v>1</v>
      </c>
      <c r="J156" s="10"/>
      <c r="K156" s="10">
        <v>2</v>
      </c>
      <c r="L156" s="10">
        <v>3</v>
      </c>
      <c r="O156" t="s">
        <v>791</v>
      </c>
      <c r="P156">
        <v>2</v>
      </c>
      <c r="Q156">
        <f t="shared" si="8"/>
        <v>12</v>
      </c>
      <c r="R156">
        <f t="shared" si="9"/>
        <v>1.2431155079799796E-3</v>
      </c>
      <c r="S156">
        <f t="shared" si="11"/>
        <v>0.54261991923326058</v>
      </c>
      <c r="T156" t="str">
        <f t="shared" si="10"/>
        <v>A</v>
      </c>
      <c r="V156" t="s">
        <v>791</v>
      </c>
      <c r="W156" t="s">
        <v>1244</v>
      </c>
    </row>
    <row r="157" spans="1:23" x14ac:dyDescent="0.25">
      <c r="A157" s="17">
        <v>44774</v>
      </c>
      <c r="B157" s="1" t="s">
        <v>236</v>
      </c>
      <c r="C157" s="1">
        <v>1</v>
      </c>
      <c r="F157" s="9" t="s">
        <v>1125</v>
      </c>
      <c r="G157" s="10"/>
      <c r="H157" s="10"/>
      <c r="I157" s="10"/>
      <c r="J157" s="10"/>
      <c r="K157" s="10">
        <v>1</v>
      </c>
      <c r="L157" s="10">
        <v>1</v>
      </c>
      <c r="O157" t="s">
        <v>246</v>
      </c>
      <c r="P157">
        <v>2</v>
      </c>
      <c r="Q157">
        <f t="shared" si="8"/>
        <v>12</v>
      </c>
      <c r="R157">
        <f t="shared" si="9"/>
        <v>1.2431155079799796E-3</v>
      </c>
      <c r="S157">
        <f t="shared" si="11"/>
        <v>0.54386303474124054</v>
      </c>
      <c r="T157" t="str">
        <f t="shared" si="10"/>
        <v>A</v>
      </c>
      <c r="V157" t="s">
        <v>246</v>
      </c>
      <c r="W157" t="s">
        <v>1244</v>
      </c>
    </row>
    <row r="158" spans="1:23" x14ac:dyDescent="0.25">
      <c r="A158" s="17">
        <v>44774</v>
      </c>
      <c r="B158" s="1" t="s">
        <v>236</v>
      </c>
      <c r="C158" s="1">
        <v>1</v>
      </c>
      <c r="F158" s="9" t="s">
        <v>783</v>
      </c>
      <c r="G158" s="10"/>
      <c r="H158" s="10"/>
      <c r="I158" s="10">
        <v>1</v>
      </c>
      <c r="J158" s="10"/>
      <c r="K158" s="10"/>
      <c r="L158" s="10">
        <v>1</v>
      </c>
      <c r="O158" t="s">
        <v>981</v>
      </c>
      <c r="P158">
        <v>2</v>
      </c>
      <c r="Q158">
        <f t="shared" si="8"/>
        <v>12</v>
      </c>
      <c r="R158">
        <f t="shared" si="9"/>
        <v>1.2431155079799796E-3</v>
      </c>
      <c r="S158">
        <f t="shared" si="11"/>
        <v>0.54510615024922049</v>
      </c>
      <c r="T158" t="str">
        <f t="shared" si="10"/>
        <v>A</v>
      </c>
      <c r="V158" t="s">
        <v>981</v>
      </c>
      <c r="W158" t="s">
        <v>1244</v>
      </c>
    </row>
    <row r="159" spans="1:23" x14ac:dyDescent="0.25">
      <c r="A159" s="17">
        <v>44774</v>
      </c>
      <c r="B159" s="1" t="s">
        <v>236</v>
      </c>
      <c r="C159" s="1">
        <v>1</v>
      </c>
      <c r="F159" s="9" t="s">
        <v>1117</v>
      </c>
      <c r="G159" s="10"/>
      <c r="H159" s="10"/>
      <c r="I159" s="10"/>
      <c r="J159" s="10"/>
      <c r="K159" s="10">
        <v>1</v>
      </c>
      <c r="L159" s="10">
        <v>1</v>
      </c>
      <c r="O159" t="s">
        <v>797</v>
      </c>
      <c r="P159">
        <v>2</v>
      </c>
      <c r="Q159">
        <f t="shared" si="8"/>
        <v>12</v>
      </c>
      <c r="R159">
        <f t="shared" si="9"/>
        <v>1.2431155079799796E-3</v>
      </c>
      <c r="S159">
        <f t="shared" si="11"/>
        <v>0.54634926575720044</v>
      </c>
      <c r="T159" t="str">
        <f t="shared" si="10"/>
        <v>A</v>
      </c>
      <c r="V159" t="s">
        <v>797</v>
      </c>
      <c r="W159" t="s">
        <v>1244</v>
      </c>
    </row>
    <row r="160" spans="1:23" x14ac:dyDescent="0.25">
      <c r="A160" s="17">
        <v>44774</v>
      </c>
      <c r="B160" s="1" t="s">
        <v>237</v>
      </c>
      <c r="C160" s="1">
        <v>1</v>
      </c>
      <c r="F160" s="9" t="s">
        <v>1156</v>
      </c>
      <c r="G160" s="10"/>
      <c r="H160" s="10"/>
      <c r="I160" s="10"/>
      <c r="J160" s="10"/>
      <c r="K160" s="10">
        <v>1</v>
      </c>
      <c r="L160" s="10">
        <v>1</v>
      </c>
      <c r="O160" t="s">
        <v>963</v>
      </c>
      <c r="P160">
        <v>2</v>
      </c>
      <c r="Q160">
        <f t="shared" si="8"/>
        <v>12</v>
      </c>
      <c r="R160">
        <f t="shared" si="9"/>
        <v>1.2431155079799796E-3</v>
      </c>
      <c r="S160">
        <f t="shared" si="11"/>
        <v>0.54759238126518039</v>
      </c>
      <c r="T160" t="str">
        <f t="shared" si="10"/>
        <v>A</v>
      </c>
      <c r="V160" t="s">
        <v>963</v>
      </c>
      <c r="W160" t="s">
        <v>1244</v>
      </c>
    </row>
    <row r="161" spans="1:23" x14ac:dyDescent="0.25">
      <c r="A161" s="17">
        <v>44774</v>
      </c>
      <c r="B161" s="1" t="s">
        <v>238</v>
      </c>
      <c r="C161" s="1">
        <v>1</v>
      </c>
      <c r="F161" s="9" t="s">
        <v>1085</v>
      </c>
      <c r="G161" s="10"/>
      <c r="H161" s="10"/>
      <c r="I161" s="10"/>
      <c r="J161" s="10"/>
      <c r="K161" s="10">
        <v>1</v>
      </c>
      <c r="L161" s="10">
        <v>1</v>
      </c>
      <c r="O161" t="s">
        <v>322</v>
      </c>
      <c r="P161">
        <v>2</v>
      </c>
      <c r="Q161">
        <f t="shared" si="8"/>
        <v>12</v>
      </c>
      <c r="R161">
        <f t="shared" si="9"/>
        <v>1.2431155079799796E-3</v>
      </c>
      <c r="S161">
        <f t="shared" si="11"/>
        <v>0.54883549677316035</v>
      </c>
      <c r="T161" t="str">
        <f t="shared" si="10"/>
        <v>A</v>
      </c>
      <c r="V161" t="s">
        <v>322</v>
      </c>
      <c r="W161" t="s">
        <v>1244</v>
      </c>
    </row>
    <row r="162" spans="1:23" x14ac:dyDescent="0.25">
      <c r="A162" s="17">
        <v>44774</v>
      </c>
      <c r="B162" s="1" t="s">
        <v>239</v>
      </c>
      <c r="C162" s="1">
        <v>1</v>
      </c>
      <c r="F162" s="9" t="s">
        <v>191</v>
      </c>
      <c r="G162" s="10">
        <v>2</v>
      </c>
      <c r="H162" s="10"/>
      <c r="I162" s="10"/>
      <c r="J162" s="10"/>
      <c r="K162" s="10"/>
      <c r="L162" s="10">
        <v>2</v>
      </c>
      <c r="O162" t="s">
        <v>196</v>
      </c>
      <c r="P162">
        <v>2</v>
      </c>
      <c r="Q162">
        <f t="shared" si="8"/>
        <v>12</v>
      </c>
      <c r="R162">
        <f t="shared" si="9"/>
        <v>1.2431155079799796E-3</v>
      </c>
      <c r="S162">
        <f t="shared" si="11"/>
        <v>0.5500786122811403</v>
      </c>
      <c r="T162" t="str">
        <f t="shared" si="10"/>
        <v>A</v>
      </c>
      <c r="V162" t="s">
        <v>196</v>
      </c>
      <c r="W162" t="s">
        <v>1244</v>
      </c>
    </row>
    <row r="163" spans="1:23" x14ac:dyDescent="0.25">
      <c r="A163" s="17">
        <v>44774</v>
      </c>
      <c r="B163" s="1" t="s">
        <v>240</v>
      </c>
      <c r="C163" s="1">
        <v>1</v>
      </c>
      <c r="F163" s="9" t="s">
        <v>389</v>
      </c>
      <c r="G163" s="10">
        <v>1</v>
      </c>
      <c r="H163" s="10"/>
      <c r="I163" s="10"/>
      <c r="J163" s="10"/>
      <c r="K163" s="10">
        <v>2</v>
      </c>
      <c r="L163" s="10">
        <v>3</v>
      </c>
      <c r="O163" t="s">
        <v>191</v>
      </c>
      <c r="P163">
        <v>2</v>
      </c>
      <c r="Q163">
        <f t="shared" si="8"/>
        <v>12</v>
      </c>
      <c r="R163">
        <f t="shared" si="9"/>
        <v>1.2431155079799796E-3</v>
      </c>
      <c r="S163">
        <f t="shared" si="11"/>
        <v>0.55132172778912025</v>
      </c>
      <c r="T163" t="str">
        <f t="shared" si="10"/>
        <v>A</v>
      </c>
      <c r="V163" t="s">
        <v>191</v>
      </c>
      <c r="W163" t="s">
        <v>1244</v>
      </c>
    </row>
    <row r="164" spans="1:23" x14ac:dyDescent="0.25">
      <c r="A164" s="17">
        <v>44774</v>
      </c>
      <c r="B164" s="1" t="s">
        <v>242</v>
      </c>
      <c r="C164" s="1">
        <v>1</v>
      </c>
      <c r="F164" s="9" t="s">
        <v>785</v>
      </c>
      <c r="G164" s="10"/>
      <c r="H164" s="10"/>
      <c r="I164" s="10">
        <v>1</v>
      </c>
      <c r="J164" s="10"/>
      <c r="K164" s="10"/>
      <c r="L164" s="10">
        <v>1</v>
      </c>
      <c r="O164" t="s">
        <v>462</v>
      </c>
      <c r="P164">
        <v>2</v>
      </c>
      <c r="Q164">
        <f t="shared" si="8"/>
        <v>12</v>
      </c>
      <c r="R164">
        <f t="shared" si="9"/>
        <v>1.2431155079799796E-3</v>
      </c>
      <c r="S164">
        <f t="shared" si="11"/>
        <v>0.55256484329710021</v>
      </c>
      <c r="T164" t="str">
        <f t="shared" si="10"/>
        <v>A</v>
      </c>
      <c r="V164" t="s">
        <v>462</v>
      </c>
      <c r="W164" t="s">
        <v>1244</v>
      </c>
    </row>
    <row r="165" spans="1:23" x14ac:dyDescent="0.25">
      <c r="A165" s="17">
        <v>44774</v>
      </c>
      <c r="B165" s="1" t="s">
        <v>244</v>
      </c>
      <c r="C165" s="1">
        <v>1</v>
      </c>
      <c r="F165" s="9" t="s">
        <v>1002</v>
      </c>
      <c r="G165" s="10"/>
      <c r="H165" s="10"/>
      <c r="I165" s="10"/>
      <c r="J165" s="10">
        <v>1</v>
      </c>
      <c r="K165" s="10"/>
      <c r="L165" s="10">
        <v>1</v>
      </c>
      <c r="O165" t="s">
        <v>110</v>
      </c>
      <c r="P165">
        <v>2</v>
      </c>
      <c r="Q165">
        <f t="shared" si="8"/>
        <v>12</v>
      </c>
      <c r="R165">
        <f t="shared" si="9"/>
        <v>1.2431155079799796E-3</v>
      </c>
      <c r="S165">
        <f t="shared" si="11"/>
        <v>0.55380795880508016</v>
      </c>
      <c r="T165" t="str">
        <f t="shared" si="10"/>
        <v>A</v>
      </c>
      <c r="V165" t="s">
        <v>110</v>
      </c>
      <c r="W165" t="s">
        <v>1244</v>
      </c>
    </row>
    <row r="166" spans="1:23" x14ac:dyDescent="0.25">
      <c r="A166" s="17">
        <v>44774</v>
      </c>
      <c r="B166" s="1" t="s">
        <v>246</v>
      </c>
      <c r="C166" s="1">
        <v>1</v>
      </c>
      <c r="F166" s="9" t="s">
        <v>575</v>
      </c>
      <c r="G166" s="10"/>
      <c r="H166" s="10">
        <v>1</v>
      </c>
      <c r="I166" s="10"/>
      <c r="J166" s="10"/>
      <c r="K166" s="10"/>
      <c r="L166" s="10">
        <v>1</v>
      </c>
      <c r="O166" t="s">
        <v>899</v>
      </c>
      <c r="P166">
        <v>2</v>
      </c>
      <c r="Q166">
        <f t="shared" si="8"/>
        <v>12</v>
      </c>
      <c r="R166">
        <f t="shared" si="9"/>
        <v>1.2431155079799796E-3</v>
      </c>
      <c r="S166">
        <f t="shared" si="11"/>
        <v>0.55505107431306011</v>
      </c>
      <c r="T166" t="str">
        <f t="shared" si="10"/>
        <v>A</v>
      </c>
      <c r="V166" t="s">
        <v>899</v>
      </c>
      <c r="W166" t="s">
        <v>1244</v>
      </c>
    </row>
    <row r="167" spans="1:23" x14ac:dyDescent="0.25">
      <c r="A167" s="17">
        <v>44774</v>
      </c>
      <c r="B167" s="1" t="s">
        <v>246</v>
      </c>
      <c r="C167" s="1">
        <v>1</v>
      </c>
      <c r="F167" s="9" t="s">
        <v>1201</v>
      </c>
      <c r="G167" s="10"/>
      <c r="H167" s="10"/>
      <c r="I167" s="10"/>
      <c r="J167" s="10"/>
      <c r="K167" s="10">
        <v>1</v>
      </c>
      <c r="L167" s="10">
        <v>1</v>
      </c>
      <c r="O167" t="s">
        <v>1077</v>
      </c>
      <c r="P167">
        <v>2</v>
      </c>
      <c r="Q167">
        <f t="shared" si="8"/>
        <v>12</v>
      </c>
      <c r="R167">
        <f t="shared" si="9"/>
        <v>1.2431155079799796E-3</v>
      </c>
      <c r="S167">
        <f t="shared" si="11"/>
        <v>0.55629418982104006</v>
      </c>
      <c r="T167" t="str">
        <f t="shared" si="10"/>
        <v>A</v>
      </c>
      <c r="V167" t="s">
        <v>1077</v>
      </c>
      <c r="W167" t="s">
        <v>1244</v>
      </c>
    </row>
    <row r="168" spans="1:23" x14ac:dyDescent="0.25">
      <c r="A168" s="17">
        <v>44774</v>
      </c>
      <c r="B168" s="1" t="s">
        <v>247</v>
      </c>
      <c r="C168" s="1">
        <v>1</v>
      </c>
      <c r="F168" s="9" t="s">
        <v>1159</v>
      </c>
      <c r="G168" s="10"/>
      <c r="H168" s="10"/>
      <c r="I168" s="10"/>
      <c r="J168" s="10"/>
      <c r="K168" s="10">
        <v>1</v>
      </c>
      <c r="L168" s="10">
        <v>1</v>
      </c>
      <c r="O168" t="s">
        <v>900</v>
      </c>
      <c r="P168">
        <v>2</v>
      </c>
      <c r="Q168">
        <f t="shared" si="8"/>
        <v>12</v>
      </c>
      <c r="R168">
        <f t="shared" si="9"/>
        <v>1.2431155079799796E-3</v>
      </c>
      <c r="S168">
        <f t="shared" si="11"/>
        <v>0.55753730532902002</v>
      </c>
      <c r="T168" t="str">
        <f t="shared" si="10"/>
        <v>A</v>
      </c>
      <c r="V168" t="s">
        <v>900</v>
      </c>
      <c r="W168" t="s">
        <v>1244</v>
      </c>
    </row>
    <row r="169" spans="1:23" x14ac:dyDescent="0.25">
      <c r="A169" s="17">
        <v>44774</v>
      </c>
      <c r="B169" s="1" t="s">
        <v>247</v>
      </c>
      <c r="C169" s="1">
        <v>1</v>
      </c>
      <c r="F169" s="9" t="s">
        <v>305</v>
      </c>
      <c r="G169" s="10">
        <v>1</v>
      </c>
      <c r="H169" s="10"/>
      <c r="I169" s="10"/>
      <c r="J169" s="10"/>
      <c r="K169" s="10"/>
      <c r="L169" s="10">
        <v>1</v>
      </c>
      <c r="O169" t="s">
        <v>293</v>
      </c>
      <c r="P169">
        <v>2</v>
      </c>
      <c r="Q169">
        <f t="shared" si="8"/>
        <v>12</v>
      </c>
      <c r="R169">
        <f t="shared" si="9"/>
        <v>1.2431155079799796E-3</v>
      </c>
      <c r="S169">
        <f t="shared" si="11"/>
        <v>0.55878042083699997</v>
      </c>
      <c r="T169" t="str">
        <f t="shared" si="10"/>
        <v>A</v>
      </c>
      <c r="V169" t="s">
        <v>293</v>
      </c>
      <c r="W169" t="s">
        <v>1244</v>
      </c>
    </row>
    <row r="170" spans="1:23" x14ac:dyDescent="0.25">
      <c r="A170" s="17">
        <v>44774</v>
      </c>
      <c r="B170" s="1" t="s">
        <v>248</v>
      </c>
      <c r="C170" s="1">
        <v>1</v>
      </c>
      <c r="F170" s="9" t="s">
        <v>668</v>
      </c>
      <c r="G170" s="10"/>
      <c r="H170" s="10">
        <v>1</v>
      </c>
      <c r="I170" s="10"/>
      <c r="J170" s="10"/>
      <c r="K170" s="10"/>
      <c r="L170" s="10">
        <v>1</v>
      </c>
      <c r="O170" t="s">
        <v>510</v>
      </c>
      <c r="P170">
        <v>2</v>
      </c>
      <c r="Q170">
        <f t="shared" si="8"/>
        <v>12</v>
      </c>
      <c r="R170">
        <f t="shared" si="9"/>
        <v>1.2431155079799796E-3</v>
      </c>
      <c r="S170">
        <f t="shared" si="11"/>
        <v>0.56002353634497992</v>
      </c>
      <c r="T170" t="str">
        <f t="shared" si="10"/>
        <v>A</v>
      </c>
      <c r="V170" t="s">
        <v>510</v>
      </c>
      <c r="W170" t="s">
        <v>1244</v>
      </c>
    </row>
    <row r="171" spans="1:23" x14ac:dyDescent="0.25">
      <c r="A171" s="17">
        <v>44774</v>
      </c>
      <c r="B171" s="1" t="s">
        <v>251</v>
      </c>
      <c r="C171" s="1">
        <v>1</v>
      </c>
      <c r="F171" s="9" t="s">
        <v>462</v>
      </c>
      <c r="G171" s="10">
        <v>1</v>
      </c>
      <c r="H171" s="10"/>
      <c r="I171" s="10"/>
      <c r="J171" s="10">
        <v>1</v>
      </c>
      <c r="K171" s="10"/>
      <c r="L171" s="10">
        <v>2</v>
      </c>
      <c r="O171" t="s">
        <v>916</v>
      </c>
      <c r="P171">
        <v>2</v>
      </c>
      <c r="Q171">
        <f t="shared" si="8"/>
        <v>12</v>
      </c>
      <c r="R171">
        <f t="shared" si="9"/>
        <v>1.2431155079799796E-3</v>
      </c>
      <c r="S171">
        <f t="shared" si="11"/>
        <v>0.56126665185295987</v>
      </c>
      <c r="T171" t="str">
        <f t="shared" si="10"/>
        <v>A</v>
      </c>
      <c r="V171" t="s">
        <v>916</v>
      </c>
      <c r="W171" t="s">
        <v>1244</v>
      </c>
    </row>
    <row r="172" spans="1:23" x14ac:dyDescent="0.25">
      <c r="A172" s="17">
        <v>44774</v>
      </c>
      <c r="B172" s="1" t="s">
        <v>251</v>
      </c>
      <c r="C172" s="1">
        <v>1</v>
      </c>
      <c r="F172" s="9" t="s">
        <v>761</v>
      </c>
      <c r="G172" s="10"/>
      <c r="H172" s="10"/>
      <c r="I172" s="10">
        <v>1</v>
      </c>
      <c r="J172" s="10"/>
      <c r="K172" s="10"/>
      <c r="L172" s="10">
        <v>1</v>
      </c>
      <c r="O172" t="s">
        <v>333</v>
      </c>
      <c r="P172">
        <v>2</v>
      </c>
      <c r="Q172">
        <f t="shared" si="8"/>
        <v>12</v>
      </c>
      <c r="R172">
        <f t="shared" si="9"/>
        <v>1.2431155079799796E-3</v>
      </c>
      <c r="S172">
        <f t="shared" si="11"/>
        <v>0.56250976736093983</v>
      </c>
      <c r="T172" t="str">
        <f t="shared" si="10"/>
        <v>A</v>
      </c>
      <c r="V172" t="s">
        <v>333</v>
      </c>
      <c r="W172" t="s">
        <v>1244</v>
      </c>
    </row>
    <row r="173" spans="1:23" x14ac:dyDescent="0.25">
      <c r="A173" s="17">
        <v>44774</v>
      </c>
      <c r="B173" s="1" t="s">
        <v>253</v>
      </c>
      <c r="C173" s="1">
        <v>1</v>
      </c>
      <c r="F173" s="9" t="s">
        <v>710</v>
      </c>
      <c r="G173" s="10"/>
      <c r="H173" s="10"/>
      <c r="I173" s="10">
        <v>1</v>
      </c>
      <c r="J173" s="10"/>
      <c r="K173" s="10"/>
      <c r="L173" s="10">
        <v>1</v>
      </c>
      <c r="O173" t="s">
        <v>1150</v>
      </c>
      <c r="P173">
        <v>2</v>
      </c>
      <c r="Q173">
        <f t="shared" si="8"/>
        <v>12</v>
      </c>
      <c r="R173">
        <f t="shared" si="9"/>
        <v>1.2431155079799796E-3</v>
      </c>
      <c r="S173">
        <f t="shared" si="11"/>
        <v>0.56375288286891978</v>
      </c>
      <c r="T173" t="str">
        <f t="shared" si="10"/>
        <v>A</v>
      </c>
      <c r="V173" t="s">
        <v>1150</v>
      </c>
      <c r="W173" t="s">
        <v>1244</v>
      </c>
    </row>
    <row r="174" spans="1:23" x14ac:dyDescent="0.25">
      <c r="A174" s="17">
        <v>44774</v>
      </c>
      <c r="B174" s="1" t="s">
        <v>254</v>
      </c>
      <c r="C174" s="1">
        <v>1</v>
      </c>
      <c r="F174" s="9" t="s">
        <v>742</v>
      </c>
      <c r="G174" s="10"/>
      <c r="H174" s="10"/>
      <c r="I174" s="10">
        <v>4</v>
      </c>
      <c r="J174" s="10"/>
      <c r="K174" s="10"/>
      <c r="L174" s="10">
        <v>4</v>
      </c>
      <c r="O174" t="s">
        <v>845</v>
      </c>
      <c r="P174">
        <v>2</v>
      </c>
      <c r="Q174">
        <f t="shared" si="8"/>
        <v>12</v>
      </c>
      <c r="R174">
        <f t="shared" si="9"/>
        <v>1.2431155079799796E-3</v>
      </c>
      <c r="S174">
        <f t="shared" si="11"/>
        <v>0.56499599837689973</v>
      </c>
      <c r="T174" t="str">
        <f t="shared" si="10"/>
        <v>A</v>
      </c>
      <c r="V174" t="s">
        <v>845</v>
      </c>
      <c r="W174" t="s">
        <v>1244</v>
      </c>
    </row>
    <row r="175" spans="1:23" x14ac:dyDescent="0.25">
      <c r="A175" s="17">
        <v>44774</v>
      </c>
      <c r="B175" s="1" t="s">
        <v>255</v>
      </c>
      <c r="C175" s="1">
        <v>1</v>
      </c>
      <c r="F175" s="9" t="s">
        <v>110</v>
      </c>
      <c r="G175" s="10">
        <v>1</v>
      </c>
      <c r="H175" s="10"/>
      <c r="I175" s="10"/>
      <c r="J175" s="10"/>
      <c r="K175" s="10">
        <v>1</v>
      </c>
      <c r="L175" s="10">
        <v>2</v>
      </c>
      <c r="O175" t="s">
        <v>814</v>
      </c>
      <c r="P175">
        <v>2</v>
      </c>
      <c r="Q175">
        <f t="shared" si="8"/>
        <v>12</v>
      </c>
      <c r="R175">
        <f t="shared" si="9"/>
        <v>1.2431155079799796E-3</v>
      </c>
      <c r="S175">
        <f t="shared" si="11"/>
        <v>0.56623911388487969</v>
      </c>
      <c r="T175" t="str">
        <f t="shared" si="10"/>
        <v>A</v>
      </c>
      <c r="V175" t="s">
        <v>814</v>
      </c>
      <c r="W175" t="s">
        <v>1244</v>
      </c>
    </row>
    <row r="176" spans="1:23" x14ac:dyDescent="0.25">
      <c r="A176" s="17">
        <v>44774</v>
      </c>
      <c r="B176" s="1" t="s">
        <v>257</v>
      </c>
      <c r="C176" s="1">
        <v>1</v>
      </c>
      <c r="F176" s="9" t="s">
        <v>683</v>
      </c>
      <c r="G176" s="10"/>
      <c r="H176" s="10">
        <v>1</v>
      </c>
      <c r="I176" s="10"/>
      <c r="J176" s="10"/>
      <c r="K176" s="10"/>
      <c r="L176" s="10">
        <v>1</v>
      </c>
      <c r="O176" t="s">
        <v>286</v>
      </c>
      <c r="P176">
        <v>2</v>
      </c>
      <c r="Q176">
        <f t="shared" si="8"/>
        <v>12</v>
      </c>
      <c r="R176">
        <f t="shared" si="9"/>
        <v>1.2431155079799796E-3</v>
      </c>
      <c r="S176">
        <f t="shared" si="11"/>
        <v>0.56748222939285964</v>
      </c>
      <c r="T176" t="str">
        <f t="shared" si="10"/>
        <v>A</v>
      </c>
      <c r="V176" t="s">
        <v>286</v>
      </c>
      <c r="W176" t="s">
        <v>1244</v>
      </c>
    </row>
    <row r="177" spans="1:23" x14ac:dyDescent="0.25">
      <c r="A177" s="17">
        <v>44774</v>
      </c>
      <c r="B177" s="1" t="s">
        <v>259</v>
      </c>
      <c r="C177" s="1">
        <v>1</v>
      </c>
      <c r="F177" s="9" t="s">
        <v>291</v>
      </c>
      <c r="G177" s="10">
        <v>1</v>
      </c>
      <c r="H177" s="10"/>
      <c r="I177" s="10"/>
      <c r="J177" s="10"/>
      <c r="K177" s="10"/>
      <c r="L177" s="10">
        <v>1</v>
      </c>
      <c r="O177" t="s">
        <v>745</v>
      </c>
      <c r="P177">
        <v>2</v>
      </c>
      <c r="Q177">
        <f t="shared" si="8"/>
        <v>12</v>
      </c>
      <c r="R177">
        <f t="shared" si="9"/>
        <v>1.2431155079799796E-3</v>
      </c>
      <c r="S177">
        <f t="shared" si="11"/>
        <v>0.56872534490083959</v>
      </c>
      <c r="T177" t="str">
        <f t="shared" si="10"/>
        <v>A</v>
      </c>
      <c r="V177" t="s">
        <v>745</v>
      </c>
      <c r="W177" t="s">
        <v>1244</v>
      </c>
    </row>
    <row r="178" spans="1:23" x14ac:dyDescent="0.25">
      <c r="A178" s="17">
        <v>44774</v>
      </c>
      <c r="B178" s="1" t="s">
        <v>212</v>
      </c>
      <c r="C178" s="1">
        <v>1</v>
      </c>
      <c r="F178" s="9" t="s">
        <v>19</v>
      </c>
      <c r="G178" s="10">
        <v>1</v>
      </c>
      <c r="H178" s="10"/>
      <c r="I178" s="10"/>
      <c r="J178" s="10"/>
      <c r="K178" s="10"/>
      <c r="L178" s="10">
        <v>1</v>
      </c>
      <c r="O178" t="s">
        <v>461</v>
      </c>
      <c r="P178">
        <v>2</v>
      </c>
      <c r="Q178">
        <f t="shared" si="8"/>
        <v>12</v>
      </c>
      <c r="R178">
        <f t="shared" si="9"/>
        <v>1.2431155079799796E-3</v>
      </c>
      <c r="S178">
        <f t="shared" si="11"/>
        <v>0.56996846040881954</v>
      </c>
      <c r="T178" t="str">
        <f t="shared" si="10"/>
        <v>A</v>
      </c>
      <c r="V178" t="s">
        <v>461</v>
      </c>
      <c r="W178" t="s">
        <v>1244</v>
      </c>
    </row>
    <row r="179" spans="1:23" x14ac:dyDescent="0.25">
      <c r="A179" s="17">
        <v>44774</v>
      </c>
      <c r="B179" s="1" t="s">
        <v>212</v>
      </c>
      <c r="C179" s="1">
        <v>1</v>
      </c>
      <c r="F179" s="9" t="s">
        <v>821</v>
      </c>
      <c r="G179" s="10"/>
      <c r="H179" s="10"/>
      <c r="I179" s="10">
        <v>1</v>
      </c>
      <c r="J179" s="10"/>
      <c r="K179" s="10"/>
      <c r="L179" s="10">
        <v>1</v>
      </c>
      <c r="O179" t="s">
        <v>681</v>
      </c>
      <c r="P179">
        <v>2</v>
      </c>
      <c r="Q179">
        <f t="shared" si="8"/>
        <v>12</v>
      </c>
      <c r="R179">
        <f t="shared" si="9"/>
        <v>1.2431155079799796E-3</v>
      </c>
      <c r="S179">
        <f t="shared" si="11"/>
        <v>0.5712115759167995</v>
      </c>
      <c r="T179" t="str">
        <f t="shared" si="10"/>
        <v>A</v>
      </c>
      <c r="V179" t="s">
        <v>681</v>
      </c>
      <c r="W179" t="s">
        <v>1244</v>
      </c>
    </row>
    <row r="180" spans="1:23" x14ac:dyDescent="0.25">
      <c r="A180" s="17">
        <v>44774</v>
      </c>
      <c r="B180" s="1" t="s">
        <v>260</v>
      </c>
      <c r="C180" s="1">
        <v>1</v>
      </c>
      <c r="F180" s="9" t="s">
        <v>899</v>
      </c>
      <c r="G180" s="10"/>
      <c r="H180" s="10"/>
      <c r="I180" s="10">
        <v>1</v>
      </c>
      <c r="J180" s="10"/>
      <c r="K180" s="10">
        <v>1</v>
      </c>
      <c r="L180" s="10">
        <v>2</v>
      </c>
      <c r="O180" t="s">
        <v>127</v>
      </c>
      <c r="P180">
        <v>2</v>
      </c>
      <c r="Q180">
        <f t="shared" si="8"/>
        <v>12</v>
      </c>
      <c r="R180">
        <f t="shared" si="9"/>
        <v>1.2431155079799796E-3</v>
      </c>
      <c r="S180">
        <f t="shared" si="11"/>
        <v>0.57245469142477945</v>
      </c>
      <c r="T180" t="str">
        <f t="shared" si="10"/>
        <v>A</v>
      </c>
      <c r="V180" t="s">
        <v>127</v>
      </c>
      <c r="W180" t="s">
        <v>1244</v>
      </c>
    </row>
    <row r="181" spans="1:23" x14ac:dyDescent="0.25">
      <c r="A181" s="17">
        <v>44774</v>
      </c>
      <c r="B181" s="1" t="s">
        <v>261</v>
      </c>
      <c r="C181" s="1">
        <v>1</v>
      </c>
      <c r="F181" s="9" t="s">
        <v>144</v>
      </c>
      <c r="G181" s="10">
        <v>1</v>
      </c>
      <c r="H181" s="10"/>
      <c r="I181" s="10"/>
      <c r="J181" s="10"/>
      <c r="K181" s="10"/>
      <c r="L181" s="10">
        <v>1</v>
      </c>
      <c r="O181" t="s">
        <v>1012</v>
      </c>
      <c r="P181">
        <v>2</v>
      </c>
      <c r="Q181">
        <f t="shared" si="8"/>
        <v>12</v>
      </c>
      <c r="R181">
        <f t="shared" si="9"/>
        <v>1.2431155079799796E-3</v>
      </c>
      <c r="S181">
        <f t="shared" si="11"/>
        <v>0.5736978069327594</v>
      </c>
      <c r="T181" t="str">
        <f t="shared" si="10"/>
        <v>A</v>
      </c>
      <c r="V181" t="s">
        <v>1012</v>
      </c>
      <c r="W181" t="s">
        <v>1244</v>
      </c>
    </row>
    <row r="182" spans="1:23" x14ac:dyDescent="0.25">
      <c r="A182" s="17">
        <v>44774</v>
      </c>
      <c r="B182" s="1" t="s">
        <v>262</v>
      </c>
      <c r="C182" s="1">
        <v>1</v>
      </c>
      <c r="F182" s="9" t="s">
        <v>1166</v>
      </c>
      <c r="G182" s="10"/>
      <c r="H182" s="10"/>
      <c r="I182" s="10"/>
      <c r="J182" s="10"/>
      <c r="K182" s="10">
        <v>1</v>
      </c>
      <c r="L182" s="10">
        <v>1</v>
      </c>
      <c r="O182" t="s">
        <v>387</v>
      </c>
      <c r="P182">
        <v>2</v>
      </c>
      <c r="Q182">
        <f t="shared" si="8"/>
        <v>12</v>
      </c>
      <c r="R182">
        <f t="shared" si="9"/>
        <v>1.2431155079799796E-3</v>
      </c>
      <c r="S182">
        <f t="shared" si="11"/>
        <v>0.57494092244073935</v>
      </c>
      <c r="T182" t="str">
        <f t="shared" si="10"/>
        <v>A</v>
      </c>
      <c r="V182" t="s">
        <v>387</v>
      </c>
      <c r="W182" t="s">
        <v>1244</v>
      </c>
    </row>
    <row r="183" spans="1:23" x14ac:dyDescent="0.25">
      <c r="A183" s="17">
        <v>44774</v>
      </c>
      <c r="B183" s="1" t="s">
        <v>264</v>
      </c>
      <c r="C183" s="1">
        <v>2</v>
      </c>
      <c r="F183" s="9" t="s">
        <v>608</v>
      </c>
      <c r="G183" s="10"/>
      <c r="H183" s="10">
        <v>1</v>
      </c>
      <c r="I183" s="10"/>
      <c r="J183" s="10"/>
      <c r="K183" s="10"/>
      <c r="L183" s="10">
        <v>1</v>
      </c>
      <c r="O183" t="s">
        <v>376</v>
      </c>
      <c r="P183">
        <v>2</v>
      </c>
      <c r="Q183">
        <f t="shared" si="8"/>
        <v>12</v>
      </c>
      <c r="R183">
        <f t="shared" si="9"/>
        <v>1.2431155079799796E-3</v>
      </c>
      <c r="S183">
        <f t="shared" si="11"/>
        <v>0.57618403794871931</v>
      </c>
      <c r="T183" t="str">
        <f t="shared" si="10"/>
        <v>A</v>
      </c>
      <c r="V183" t="s">
        <v>376</v>
      </c>
      <c r="W183" t="s">
        <v>1244</v>
      </c>
    </row>
    <row r="184" spans="1:23" x14ac:dyDescent="0.25">
      <c r="A184" s="17">
        <v>44774</v>
      </c>
      <c r="B184" s="1" t="s">
        <v>265</v>
      </c>
      <c r="C184" s="1">
        <v>1</v>
      </c>
      <c r="F184" s="9" t="s">
        <v>57</v>
      </c>
      <c r="G184" s="10">
        <v>1</v>
      </c>
      <c r="H184" s="10"/>
      <c r="I184" s="10"/>
      <c r="J184" s="10"/>
      <c r="K184" s="10"/>
      <c r="L184" s="10">
        <v>1</v>
      </c>
      <c r="O184" t="s">
        <v>425</v>
      </c>
      <c r="P184">
        <v>2</v>
      </c>
      <c r="Q184">
        <f t="shared" si="8"/>
        <v>12</v>
      </c>
      <c r="R184">
        <f t="shared" si="9"/>
        <v>1.2431155079799796E-3</v>
      </c>
      <c r="S184">
        <f t="shared" si="11"/>
        <v>0.57742715345669926</v>
      </c>
      <c r="T184" t="str">
        <f t="shared" si="10"/>
        <v>A</v>
      </c>
      <c r="V184" t="s">
        <v>425</v>
      </c>
      <c r="W184" t="s">
        <v>1244</v>
      </c>
    </row>
    <row r="185" spans="1:23" x14ac:dyDescent="0.25">
      <c r="A185" s="17">
        <v>44774</v>
      </c>
      <c r="B185" s="1" t="s">
        <v>267</v>
      </c>
      <c r="C185" s="1">
        <v>1</v>
      </c>
      <c r="F185" s="9" t="s">
        <v>163</v>
      </c>
      <c r="G185" s="10">
        <v>3</v>
      </c>
      <c r="H185" s="10">
        <v>3</v>
      </c>
      <c r="I185" s="10">
        <v>6</v>
      </c>
      <c r="J185" s="10">
        <v>3</v>
      </c>
      <c r="K185" s="10">
        <v>2</v>
      </c>
      <c r="L185" s="10">
        <v>17</v>
      </c>
      <c r="O185" t="s">
        <v>87</v>
      </c>
      <c r="P185">
        <v>2</v>
      </c>
      <c r="Q185">
        <f t="shared" si="8"/>
        <v>12</v>
      </c>
      <c r="R185">
        <f t="shared" si="9"/>
        <v>1.2431155079799796E-3</v>
      </c>
      <c r="S185">
        <f t="shared" si="11"/>
        <v>0.57867026896467921</v>
      </c>
      <c r="T185" t="str">
        <f t="shared" si="10"/>
        <v>A</v>
      </c>
      <c r="V185" t="s">
        <v>87</v>
      </c>
      <c r="W185" t="s">
        <v>1244</v>
      </c>
    </row>
    <row r="186" spans="1:23" x14ac:dyDescent="0.25">
      <c r="A186" s="17">
        <v>44774</v>
      </c>
      <c r="B186" s="1" t="s">
        <v>267</v>
      </c>
      <c r="C186" s="1">
        <v>1</v>
      </c>
      <c r="F186" s="9" t="s">
        <v>1226</v>
      </c>
      <c r="G186" s="10"/>
      <c r="H186" s="10"/>
      <c r="I186" s="10"/>
      <c r="J186" s="10"/>
      <c r="K186" s="10">
        <v>1</v>
      </c>
      <c r="L186" s="10">
        <v>1</v>
      </c>
      <c r="O186" t="s">
        <v>379</v>
      </c>
      <c r="P186">
        <v>2</v>
      </c>
      <c r="Q186">
        <f t="shared" si="8"/>
        <v>12</v>
      </c>
      <c r="R186">
        <f t="shared" si="9"/>
        <v>1.2431155079799796E-3</v>
      </c>
      <c r="S186">
        <f t="shared" si="11"/>
        <v>0.57991338447265917</v>
      </c>
      <c r="T186" t="str">
        <f t="shared" si="10"/>
        <v>A</v>
      </c>
      <c r="V186" t="s">
        <v>379</v>
      </c>
      <c r="W186" t="s">
        <v>1244</v>
      </c>
    </row>
    <row r="187" spans="1:23" x14ac:dyDescent="0.25">
      <c r="A187" s="17">
        <v>44774</v>
      </c>
      <c r="B187" s="1" t="s">
        <v>267</v>
      </c>
      <c r="C187" s="1">
        <v>1</v>
      </c>
      <c r="F187" s="9" t="s">
        <v>780</v>
      </c>
      <c r="G187" s="10"/>
      <c r="H187" s="10"/>
      <c r="I187" s="10">
        <v>3</v>
      </c>
      <c r="J187" s="10"/>
      <c r="K187" s="10"/>
      <c r="L187" s="10">
        <v>3</v>
      </c>
      <c r="O187" t="s">
        <v>137</v>
      </c>
      <c r="P187">
        <v>2</v>
      </c>
      <c r="Q187">
        <f t="shared" si="8"/>
        <v>12</v>
      </c>
      <c r="R187">
        <f t="shared" si="9"/>
        <v>1.2431155079799796E-3</v>
      </c>
      <c r="S187">
        <f t="shared" si="11"/>
        <v>0.58115649998063912</v>
      </c>
      <c r="T187" t="str">
        <f t="shared" si="10"/>
        <v>A</v>
      </c>
      <c r="V187" t="s">
        <v>137</v>
      </c>
      <c r="W187" t="s">
        <v>1244</v>
      </c>
    </row>
    <row r="188" spans="1:23" x14ac:dyDescent="0.25">
      <c r="A188" s="17">
        <v>44774</v>
      </c>
      <c r="B188" s="1" t="s">
        <v>267</v>
      </c>
      <c r="C188" s="1">
        <v>1</v>
      </c>
      <c r="F188" s="9" t="s">
        <v>962</v>
      </c>
      <c r="G188" s="10"/>
      <c r="H188" s="10"/>
      <c r="I188" s="10"/>
      <c r="J188" s="10">
        <v>1</v>
      </c>
      <c r="K188" s="10"/>
      <c r="L188" s="10">
        <v>1</v>
      </c>
      <c r="O188" t="s">
        <v>1182</v>
      </c>
      <c r="P188">
        <v>2</v>
      </c>
      <c r="Q188">
        <f t="shared" si="8"/>
        <v>12</v>
      </c>
      <c r="R188">
        <f t="shared" si="9"/>
        <v>1.2431155079799796E-3</v>
      </c>
      <c r="S188">
        <f t="shared" si="11"/>
        <v>0.58239961548861907</v>
      </c>
      <c r="T188" t="str">
        <f t="shared" si="10"/>
        <v>A</v>
      </c>
      <c r="V188" t="s">
        <v>1182</v>
      </c>
      <c r="W188" t="s">
        <v>1244</v>
      </c>
    </row>
    <row r="189" spans="1:23" x14ac:dyDescent="0.25">
      <c r="A189" s="17">
        <v>44774</v>
      </c>
      <c r="B189" s="1" t="s">
        <v>268</v>
      </c>
      <c r="C189" s="1">
        <v>1</v>
      </c>
      <c r="F189" s="9" t="s">
        <v>1190</v>
      </c>
      <c r="G189" s="10"/>
      <c r="H189" s="10"/>
      <c r="I189" s="10"/>
      <c r="J189" s="10"/>
      <c r="K189" s="10">
        <v>1</v>
      </c>
      <c r="L189" s="10">
        <v>1</v>
      </c>
      <c r="O189" t="s">
        <v>1185</v>
      </c>
      <c r="P189">
        <v>2</v>
      </c>
      <c r="Q189">
        <f t="shared" si="8"/>
        <v>12</v>
      </c>
      <c r="R189">
        <f t="shared" si="9"/>
        <v>1.2431155079799796E-3</v>
      </c>
      <c r="S189">
        <f t="shared" si="11"/>
        <v>0.58364273099659902</v>
      </c>
      <c r="T189" t="str">
        <f t="shared" si="10"/>
        <v>A</v>
      </c>
      <c r="V189" t="s">
        <v>1185</v>
      </c>
      <c r="W189" t="s">
        <v>1244</v>
      </c>
    </row>
    <row r="190" spans="1:23" x14ac:dyDescent="0.25">
      <c r="A190" s="17">
        <v>44774</v>
      </c>
      <c r="B190" s="1" t="s">
        <v>270</v>
      </c>
      <c r="C190" s="1">
        <v>1</v>
      </c>
      <c r="F190" s="9" t="s">
        <v>1077</v>
      </c>
      <c r="G190" s="10"/>
      <c r="H190" s="10"/>
      <c r="I190" s="10"/>
      <c r="J190" s="10"/>
      <c r="K190" s="10">
        <v>2</v>
      </c>
      <c r="L190" s="10">
        <v>2</v>
      </c>
      <c r="O190" t="s">
        <v>378</v>
      </c>
      <c r="P190">
        <v>2</v>
      </c>
      <c r="Q190">
        <f t="shared" si="8"/>
        <v>12</v>
      </c>
      <c r="R190">
        <f t="shared" si="9"/>
        <v>1.2431155079799796E-3</v>
      </c>
      <c r="S190">
        <f t="shared" si="11"/>
        <v>0.58488584650457898</v>
      </c>
      <c r="T190" t="str">
        <f t="shared" si="10"/>
        <v>A</v>
      </c>
      <c r="V190" t="s">
        <v>378</v>
      </c>
      <c r="W190" t="s">
        <v>1244</v>
      </c>
    </row>
    <row r="191" spans="1:23" x14ac:dyDescent="0.25">
      <c r="A191" s="17">
        <v>44774</v>
      </c>
      <c r="B191" s="1" t="s">
        <v>270</v>
      </c>
      <c r="C191" s="1">
        <v>1</v>
      </c>
      <c r="F191" s="9" t="s">
        <v>900</v>
      </c>
      <c r="G191" s="10"/>
      <c r="H191" s="10"/>
      <c r="I191" s="10">
        <v>2</v>
      </c>
      <c r="J191" s="10"/>
      <c r="K191" s="10"/>
      <c r="L191" s="10">
        <v>2</v>
      </c>
      <c r="O191" t="s">
        <v>854</v>
      </c>
      <c r="P191">
        <v>2</v>
      </c>
      <c r="Q191">
        <f t="shared" si="8"/>
        <v>12</v>
      </c>
      <c r="R191">
        <f t="shared" si="9"/>
        <v>1.2431155079799796E-3</v>
      </c>
      <c r="S191">
        <f t="shared" si="11"/>
        <v>0.58612896201255893</v>
      </c>
      <c r="T191" t="str">
        <f t="shared" si="10"/>
        <v>A</v>
      </c>
      <c r="V191" t="s">
        <v>854</v>
      </c>
      <c r="W191" t="s">
        <v>1244</v>
      </c>
    </row>
    <row r="192" spans="1:23" x14ac:dyDescent="0.25">
      <c r="A192" s="17">
        <v>44774</v>
      </c>
      <c r="B192" s="1" t="s">
        <v>272</v>
      </c>
      <c r="C192" s="1">
        <v>1</v>
      </c>
      <c r="F192" s="9" t="s">
        <v>930</v>
      </c>
      <c r="G192" s="10"/>
      <c r="H192" s="10"/>
      <c r="I192" s="10"/>
      <c r="J192" s="10">
        <v>1</v>
      </c>
      <c r="K192" s="10"/>
      <c r="L192" s="10">
        <v>1</v>
      </c>
      <c r="O192" t="s">
        <v>779</v>
      </c>
      <c r="P192">
        <v>2</v>
      </c>
      <c r="Q192">
        <f t="shared" si="8"/>
        <v>12</v>
      </c>
      <c r="R192">
        <f t="shared" si="9"/>
        <v>1.2431155079799796E-3</v>
      </c>
      <c r="S192">
        <f t="shared" si="11"/>
        <v>0.58737207752053888</v>
      </c>
      <c r="T192" t="str">
        <f t="shared" si="10"/>
        <v>A</v>
      </c>
      <c r="V192" t="s">
        <v>779</v>
      </c>
      <c r="W192" t="s">
        <v>1244</v>
      </c>
    </row>
    <row r="193" spans="1:23" x14ac:dyDescent="0.25">
      <c r="A193" s="17">
        <v>44774</v>
      </c>
      <c r="B193" s="1" t="s">
        <v>274</v>
      </c>
      <c r="C193" s="1">
        <v>1</v>
      </c>
      <c r="F193" s="9" t="s">
        <v>224</v>
      </c>
      <c r="G193" s="10">
        <v>1</v>
      </c>
      <c r="H193" s="10"/>
      <c r="I193" s="10"/>
      <c r="J193" s="10"/>
      <c r="K193" s="10"/>
      <c r="L193" s="10">
        <v>1</v>
      </c>
      <c r="O193" t="s">
        <v>972</v>
      </c>
      <c r="P193">
        <v>2</v>
      </c>
      <c r="Q193">
        <f t="shared" si="8"/>
        <v>12</v>
      </c>
      <c r="R193">
        <f t="shared" si="9"/>
        <v>1.2431155079799796E-3</v>
      </c>
      <c r="S193">
        <f t="shared" si="11"/>
        <v>0.58861519302851883</v>
      </c>
      <c r="T193" t="str">
        <f t="shared" si="10"/>
        <v>A</v>
      </c>
      <c r="V193" t="s">
        <v>972</v>
      </c>
      <c r="W193" t="s">
        <v>1244</v>
      </c>
    </row>
    <row r="194" spans="1:23" x14ac:dyDescent="0.25">
      <c r="A194" s="17">
        <v>44774</v>
      </c>
      <c r="B194" s="1" t="s">
        <v>275</v>
      </c>
      <c r="C194" s="1">
        <v>1</v>
      </c>
      <c r="F194" s="9" t="s">
        <v>293</v>
      </c>
      <c r="G194" s="10">
        <v>1</v>
      </c>
      <c r="H194" s="10"/>
      <c r="I194" s="10">
        <v>1</v>
      </c>
      <c r="J194" s="10"/>
      <c r="K194" s="10"/>
      <c r="L194" s="10">
        <v>2</v>
      </c>
      <c r="O194" t="s">
        <v>198</v>
      </c>
      <c r="P194">
        <v>2</v>
      </c>
      <c r="Q194">
        <f t="shared" si="8"/>
        <v>12</v>
      </c>
      <c r="R194">
        <f t="shared" si="9"/>
        <v>1.2431155079799796E-3</v>
      </c>
      <c r="S194">
        <f t="shared" si="11"/>
        <v>0.58985830853649879</v>
      </c>
      <c r="T194" t="str">
        <f t="shared" si="10"/>
        <v>A</v>
      </c>
      <c r="V194" t="s">
        <v>198</v>
      </c>
      <c r="W194" t="s">
        <v>1244</v>
      </c>
    </row>
    <row r="195" spans="1:23" x14ac:dyDescent="0.25">
      <c r="A195" s="17">
        <v>44774</v>
      </c>
      <c r="B195" s="1" t="s">
        <v>277</v>
      </c>
      <c r="C195" s="1">
        <v>1</v>
      </c>
      <c r="F195" s="9" t="s">
        <v>847</v>
      </c>
      <c r="G195" s="10"/>
      <c r="H195" s="10"/>
      <c r="I195" s="10">
        <v>1</v>
      </c>
      <c r="J195" s="10"/>
      <c r="K195" s="10"/>
      <c r="L195" s="10">
        <v>1</v>
      </c>
      <c r="O195" t="s">
        <v>991</v>
      </c>
      <c r="P195">
        <v>2</v>
      </c>
      <c r="Q195">
        <f t="shared" si="8"/>
        <v>12</v>
      </c>
      <c r="R195">
        <f t="shared" si="9"/>
        <v>1.2431155079799796E-3</v>
      </c>
      <c r="S195">
        <f t="shared" si="11"/>
        <v>0.59110142404447874</v>
      </c>
      <c r="T195" t="str">
        <f t="shared" si="10"/>
        <v>A</v>
      </c>
      <c r="V195" t="s">
        <v>991</v>
      </c>
      <c r="W195" t="s">
        <v>1244</v>
      </c>
    </row>
    <row r="196" spans="1:23" x14ac:dyDescent="0.25">
      <c r="A196" s="17">
        <v>44774</v>
      </c>
      <c r="B196" s="1" t="s">
        <v>278</v>
      </c>
      <c r="C196" s="1">
        <v>1</v>
      </c>
      <c r="F196" s="9" t="s">
        <v>510</v>
      </c>
      <c r="G196" s="10"/>
      <c r="H196" s="10">
        <v>1</v>
      </c>
      <c r="I196" s="10">
        <v>1</v>
      </c>
      <c r="J196" s="10"/>
      <c r="K196" s="10"/>
      <c r="L196" s="10">
        <v>2</v>
      </c>
      <c r="O196" t="s">
        <v>858</v>
      </c>
      <c r="P196">
        <v>2</v>
      </c>
      <c r="Q196">
        <f t="shared" si="8"/>
        <v>12</v>
      </c>
      <c r="R196">
        <f t="shared" si="9"/>
        <v>1.2431155079799796E-3</v>
      </c>
      <c r="S196">
        <f t="shared" si="11"/>
        <v>0.59234453955245869</v>
      </c>
      <c r="T196" t="str">
        <f t="shared" si="10"/>
        <v>A</v>
      </c>
      <c r="V196" t="s">
        <v>858</v>
      </c>
      <c r="W196" t="s">
        <v>1244</v>
      </c>
    </row>
    <row r="197" spans="1:23" x14ac:dyDescent="0.25">
      <c r="A197" s="17">
        <v>44774</v>
      </c>
      <c r="B197" s="1" t="s">
        <v>279</v>
      </c>
      <c r="C197" s="1">
        <v>1</v>
      </c>
      <c r="F197" s="9" t="s">
        <v>257</v>
      </c>
      <c r="G197" s="10">
        <v>1</v>
      </c>
      <c r="H197" s="10">
        <v>1</v>
      </c>
      <c r="I197" s="10">
        <v>1</v>
      </c>
      <c r="J197" s="10"/>
      <c r="K197" s="10">
        <v>2</v>
      </c>
      <c r="L197" s="10">
        <v>5</v>
      </c>
      <c r="O197" t="s">
        <v>689</v>
      </c>
      <c r="P197">
        <v>2</v>
      </c>
      <c r="Q197">
        <f t="shared" ref="Q197:Q260" si="12">(P197/5)*30</f>
        <v>12</v>
      </c>
      <c r="R197">
        <f t="shared" ref="R197:R260" si="13">Q197/SUM($Q$4:$Q$806)</f>
        <v>1.2431155079799796E-3</v>
      </c>
      <c r="S197">
        <f t="shared" si="11"/>
        <v>0.59358765506043865</v>
      </c>
      <c r="T197" t="str">
        <f t="shared" ref="T197:T260" si="14">IF(S197&lt;0.8,"A", IF(S197&lt;0.95,"B","C"))</f>
        <v>A</v>
      </c>
      <c r="V197" t="s">
        <v>689</v>
      </c>
      <c r="W197" t="s">
        <v>1244</v>
      </c>
    </row>
    <row r="198" spans="1:23" x14ac:dyDescent="0.25">
      <c r="A198" s="17">
        <v>44774</v>
      </c>
      <c r="B198" s="1" t="s">
        <v>280</v>
      </c>
      <c r="C198" s="1">
        <v>1</v>
      </c>
      <c r="F198" s="9" t="s">
        <v>804</v>
      </c>
      <c r="G198" s="10"/>
      <c r="H198" s="10"/>
      <c r="I198" s="10">
        <v>2</v>
      </c>
      <c r="J198" s="10">
        <v>1</v>
      </c>
      <c r="K198" s="10">
        <v>1</v>
      </c>
      <c r="L198" s="10">
        <v>4</v>
      </c>
      <c r="O198" t="s">
        <v>277</v>
      </c>
      <c r="P198">
        <v>2</v>
      </c>
      <c r="Q198">
        <f t="shared" si="12"/>
        <v>12</v>
      </c>
      <c r="R198">
        <f t="shared" si="13"/>
        <v>1.2431155079799796E-3</v>
      </c>
      <c r="S198">
        <f t="shared" ref="S198:S261" si="15">R198+S197</f>
        <v>0.5948307705684186</v>
      </c>
      <c r="T198" t="str">
        <f t="shared" si="14"/>
        <v>A</v>
      </c>
      <c r="V198" t="s">
        <v>277</v>
      </c>
      <c r="W198" t="s">
        <v>1244</v>
      </c>
    </row>
    <row r="199" spans="1:23" x14ac:dyDescent="0.25">
      <c r="A199" s="17">
        <v>44774</v>
      </c>
      <c r="B199" s="1" t="s">
        <v>282</v>
      </c>
      <c r="C199" s="1">
        <v>1</v>
      </c>
      <c r="F199" s="9" t="s">
        <v>543</v>
      </c>
      <c r="G199" s="10"/>
      <c r="H199" s="10">
        <v>1</v>
      </c>
      <c r="I199" s="10"/>
      <c r="J199" s="10"/>
      <c r="K199" s="10"/>
      <c r="L199" s="10">
        <v>1</v>
      </c>
      <c r="O199" t="s">
        <v>437</v>
      </c>
      <c r="P199">
        <v>2</v>
      </c>
      <c r="Q199">
        <f t="shared" si="12"/>
        <v>12</v>
      </c>
      <c r="R199">
        <f t="shared" si="13"/>
        <v>1.2431155079799796E-3</v>
      </c>
      <c r="S199">
        <f t="shared" si="15"/>
        <v>0.59607388607639855</v>
      </c>
      <c r="T199" t="str">
        <f t="shared" si="14"/>
        <v>A</v>
      </c>
      <c r="V199" t="s">
        <v>437</v>
      </c>
      <c r="W199" t="s">
        <v>1244</v>
      </c>
    </row>
    <row r="200" spans="1:23" x14ac:dyDescent="0.25">
      <c r="A200" s="17">
        <v>44774</v>
      </c>
      <c r="B200" s="1" t="s">
        <v>284</v>
      </c>
      <c r="C200" s="1">
        <v>1</v>
      </c>
      <c r="F200" s="9" t="s">
        <v>1020</v>
      </c>
      <c r="G200" s="10"/>
      <c r="H200" s="10"/>
      <c r="I200" s="10"/>
      <c r="J200" s="10">
        <v>1</v>
      </c>
      <c r="K200" s="10"/>
      <c r="L200" s="10">
        <v>1</v>
      </c>
      <c r="O200" t="s">
        <v>721</v>
      </c>
      <c r="P200">
        <v>2</v>
      </c>
      <c r="Q200">
        <f t="shared" si="12"/>
        <v>12</v>
      </c>
      <c r="R200">
        <f t="shared" si="13"/>
        <v>1.2431155079799796E-3</v>
      </c>
      <c r="S200">
        <f t="shared" si="15"/>
        <v>0.5973170015843785</v>
      </c>
      <c r="T200" t="str">
        <f t="shared" si="14"/>
        <v>A</v>
      </c>
      <c r="V200" t="s">
        <v>721</v>
      </c>
      <c r="W200" t="s">
        <v>1244</v>
      </c>
    </row>
    <row r="201" spans="1:23" x14ac:dyDescent="0.25">
      <c r="A201" s="17">
        <v>44774</v>
      </c>
      <c r="B201" s="1" t="s">
        <v>285</v>
      </c>
      <c r="C201" s="1">
        <v>1</v>
      </c>
      <c r="F201" s="9" t="s">
        <v>916</v>
      </c>
      <c r="G201" s="10"/>
      <c r="H201" s="10"/>
      <c r="I201" s="10">
        <v>1</v>
      </c>
      <c r="J201" s="10"/>
      <c r="K201" s="10">
        <v>1</v>
      </c>
      <c r="L201" s="10">
        <v>2</v>
      </c>
      <c r="O201" t="s">
        <v>339</v>
      </c>
      <c r="P201">
        <v>2</v>
      </c>
      <c r="Q201">
        <f t="shared" si="12"/>
        <v>12</v>
      </c>
      <c r="R201">
        <f t="shared" si="13"/>
        <v>1.2431155079799796E-3</v>
      </c>
      <c r="S201">
        <f t="shared" si="15"/>
        <v>0.59856011709235846</v>
      </c>
      <c r="T201" t="str">
        <f t="shared" si="14"/>
        <v>A</v>
      </c>
      <c r="V201" t="s">
        <v>339</v>
      </c>
      <c r="W201" t="s">
        <v>1244</v>
      </c>
    </row>
    <row r="202" spans="1:23" x14ac:dyDescent="0.25">
      <c r="A202" s="17">
        <v>44774</v>
      </c>
      <c r="B202" s="1" t="s">
        <v>285</v>
      </c>
      <c r="C202" s="1">
        <v>1</v>
      </c>
      <c r="F202" s="9" t="s">
        <v>662</v>
      </c>
      <c r="G202" s="10"/>
      <c r="H202" s="10">
        <v>7.1428400000000003E-2</v>
      </c>
      <c r="I202" s="10"/>
      <c r="J202" s="10"/>
      <c r="K202" s="10"/>
      <c r="L202" s="10">
        <v>7.1428400000000003E-2</v>
      </c>
      <c r="O202" t="s">
        <v>76</v>
      </c>
      <c r="P202">
        <v>2</v>
      </c>
      <c r="Q202">
        <f t="shared" si="12"/>
        <v>12</v>
      </c>
      <c r="R202">
        <f t="shared" si="13"/>
        <v>1.2431155079799796E-3</v>
      </c>
      <c r="S202">
        <f t="shared" si="15"/>
        <v>0.59980323260033841</v>
      </c>
      <c r="T202" t="str">
        <f t="shared" si="14"/>
        <v>A</v>
      </c>
      <c r="V202" t="s">
        <v>76</v>
      </c>
      <c r="W202" t="s">
        <v>1244</v>
      </c>
    </row>
    <row r="203" spans="1:23" x14ac:dyDescent="0.25">
      <c r="A203" s="17">
        <v>44774</v>
      </c>
      <c r="B203" s="1" t="s">
        <v>286</v>
      </c>
      <c r="C203" s="1">
        <v>1</v>
      </c>
      <c r="F203" s="9" t="s">
        <v>333</v>
      </c>
      <c r="G203" s="10">
        <v>2</v>
      </c>
      <c r="H203" s="10"/>
      <c r="I203" s="10"/>
      <c r="J203" s="10"/>
      <c r="K203" s="10"/>
      <c r="L203" s="10">
        <v>2</v>
      </c>
      <c r="O203" t="s">
        <v>318</v>
      </c>
      <c r="P203">
        <v>2</v>
      </c>
      <c r="Q203">
        <f t="shared" si="12"/>
        <v>12</v>
      </c>
      <c r="R203">
        <f t="shared" si="13"/>
        <v>1.2431155079799796E-3</v>
      </c>
      <c r="S203">
        <f t="shared" si="15"/>
        <v>0.60104634810831836</v>
      </c>
      <c r="T203" t="str">
        <f t="shared" si="14"/>
        <v>A</v>
      </c>
      <c r="V203" t="s">
        <v>318</v>
      </c>
      <c r="W203" t="s">
        <v>1244</v>
      </c>
    </row>
    <row r="204" spans="1:23" x14ac:dyDescent="0.25">
      <c r="A204" s="17">
        <v>44774</v>
      </c>
      <c r="B204" s="1" t="s">
        <v>287</v>
      </c>
      <c r="C204" s="1">
        <v>1</v>
      </c>
      <c r="F204" s="9" t="s">
        <v>789</v>
      </c>
      <c r="G204" s="10"/>
      <c r="H204" s="10"/>
      <c r="I204" s="10">
        <v>1</v>
      </c>
      <c r="J204" s="10"/>
      <c r="K204" s="10"/>
      <c r="L204" s="10">
        <v>1</v>
      </c>
      <c r="O204" t="s">
        <v>1050</v>
      </c>
      <c r="P204">
        <v>2</v>
      </c>
      <c r="Q204">
        <f t="shared" si="12"/>
        <v>12</v>
      </c>
      <c r="R204">
        <f t="shared" si="13"/>
        <v>1.2431155079799796E-3</v>
      </c>
      <c r="S204">
        <f t="shared" si="15"/>
        <v>0.60228946361629832</v>
      </c>
      <c r="T204" t="str">
        <f t="shared" si="14"/>
        <v>A</v>
      </c>
      <c r="V204" t="s">
        <v>1050</v>
      </c>
      <c r="W204" t="s">
        <v>1244</v>
      </c>
    </row>
    <row r="205" spans="1:23" x14ac:dyDescent="0.25">
      <c r="A205" s="17">
        <v>44774</v>
      </c>
      <c r="B205" s="1" t="s">
        <v>288</v>
      </c>
      <c r="C205" s="1">
        <v>1</v>
      </c>
      <c r="F205" s="9" t="s">
        <v>598</v>
      </c>
      <c r="G205" s="10"/>
      <c r="H205" s="10">
        <v>1</v>
      </c>
      <c r="I205" s="10"/>
      <c r="J205" s="10"/>
      <c r="K205" s="10"/>
      <c r="L205" s="10">
        <v>1</v>
      </c>
      <c r="O205" t="s">
        <v>1163</v>
      </c>
      <c r="P205">
        <v>2</v>
      </c>
      <c r="Q205">
        <f t="shared" si="12"/>
        <v>12</v>
      </c>
      <c r="R205">
        <f t="shared" si="13"/>
        <v>1.2431155079799796E-3</v>
      </c>
      <c r="S205">
        <f t="shared" si="15"/>
        <v>0.60353257912427827</v>
      </c>
      <c r="T205" t="str">
        <f t="shared" si="14"/>
        <v>A</v>
      </c>
      <c r="V205" t="s">
        <v>1163</v>
      </c>
      <c r="W205" t="s">
        <v>1244</v>
      </c>
    </row>
    <row r="206" spans="1:23" x14ac:dyDescent="0.25">
      <c r="A206" s="17">
        <v>44774</v>
      </c>
      <c r="B206" s="1" t="s">
        <v>288</v>
      </c>
      <c r="C206" s="1">
        <v>1</v>
      </c>
      <c r="F206" s="9" t="s">
        <v>605</v>
      </c>
      <c r="G206" s="10"/>
      <c r="H206" s="10">
        <v>1</v>
      </c>
      <c r="I206" s="10"/>
      <c r="J206" s="10"/>
      <c r="K206" s="10"/>
      <c r="L206" s="10">
        <v>1</v>
      </c>
      <c r="O206" t="s">
        <v>1094</v>
      </c>
      <c r="P206">
        <v>2</v>
      </c>
      <c r="Q206">
        <f t="shared" si="12"/>
        <v>12</v>
      </c>
      <c r="R206">
        <f t="shared" si="13"/>
        <v>1.2431155079799796E-3</v>
      </c>
      <c r="S206">
        <f t="shared" si="15"/>
        <v>0.60477569463225822</v>
      </c>
      <c r="T206" t="str">
        <f t="shared" si="14"/>
        <v>A</v>
      </c>
      <c r="V206" t="s">
        <v>1094</v>
      </c>
      <c r="W206" t="s">
        <v>1244</v>
      </c>
    </row>
    <row r="207" spans="1:23" x14ac:dyDescent="0.25">
      <c r="A207" s="17">
        <v>44774</v>
      </c>
      <c r="B207" s="1" t="s">
        <v>290</v>
      </c>
      <c r="C207" s="1">
        <v>1</v>
      </c>
      <c r="F207" s="9" t="s">
        <v>1048</v>
      </c>
      <c r="G207" s="10"/>
      <c r="H207" s="10"/>
      <c r="I207" s="10"/>
      <c r="J207" s="10">
        <v>1</v>
      </c>
      <c r="K207" s="10"/>
      <c r="L207" s="10">
        <v>1</v>
      </c>
      <c r="O207" t="s">
        <v>672</v>
      </c>
      <c r="P207">
        <v>2</v>
      </c>
      <c r="Q207">
        <f t="shared" si="12"/>
        <v>12</v>
      </c>
      <c r="R207">
        <f t="shared" si="13"/>
        <v>1.2431155079799796E-3</v>
      </c>
      <c r="S207">
        <f t="shared" si="15"/>
        <v>0.60601881014023817</v>
      </c>
      <c r="T207" t="str">
        <f t="shared" si="14"/>
        <v>A</v>
      </c>
      <c r="V207" t="s">
        <v>672</v>
      </c>
      <c r="W207" t="s">
        <v>1244</v>
      </c>
    </row>
    <row r="208" spans="1:23" x14ac:dyDescent="0.25">
      <c r="A208" s="17">
        <v>44774</v>
      </c>
      <c r="B208" s="1" t="s">
        <v>291</v>
      </c>
      <c r="C208" s="1">
        <v>1</v>
      </c>
      <c r="F208" s="9" t="s">
        <v>1150</v>
      </c>
      <c r="G208" s="10"/>
      <c r="H208" s="10"/>
      <c r="I208" s="10"/>
      <c r="J208" s="10"/>
      <c r="K208" s="10">
        <v>2</v>
      </c>
      <c r="L208" s="10">
        <v>2</v>
      </c>
      <c r="O208" t="s">
        <v>451</v>
      </c>
      <c r="P208">
        <v>2</v>
      </c>
      <c r="Q208">
        <f t="shared" si="12"/>
        <v>12</v>
      </c>
      <c r="R208">
        <f t="shared" si="13"/>
        <v>1.2431155079799796E-3</v>
      </c>
      <c r="S208">
        <f t="shared" si="15"/>
        <v>0.60726192564821813</v>
      </c>
      <c r="T208" t="str">
        <f t="shared" si="14"/>
        <v>A</v>
      </c>
      <c r="V208" t="s">
        <v>451</v>
      </c>
      <c r="W208" t="s">
        <v>1244</v>
      </c>
    </row>
    <row r="209" spans="1:23" x14ac:dyDescent="0.25">
      <c r="A209" s="17">
        <v>44774</v>
      </c>
      <c r="B209" s="1" t="s">
        <v>293</v>
      </c>
      <c r="C209" s="1">
        <v>1</v>
      </c>
      <c r="F209" s="9" t="s">
        <v>100</v>
      </c>
      <c r="G209" s="10">
        <v>1</v>
      </c>
      <c r="H209" s="10"/>
      <c r="I209" s="10"/>
      <c r="J209" s="10"/>
      <c r="K209" s="10"/>
      <c r="L209" s="10">
        <v>1</v>
      </c>
      <c r="O209" t="s">
        <v>395</v>
      </c>
      <c r="P209">
        <v>2</v>
      </c>
      <c r="Q209">
        <f t="shared" si="12"/>
        <v>12</v>
      </c>
      <c r="R209">
        <f t="shared" si="13"/>
        <v>1.2431155079799796E-3</v>
      </c>
      <c r="S209">
        <f t="shared" si="15"/>
        <v>0.60850504115619808</v>
      </c>
      <c r="T209" t="str">
        <f t="shared" si="14"/>
        <v>A</v>
      </c>
      <c r="V209" t="s">
        <v>395</v>
      </c>
      <c r="W209" t="s">
        <v>1244</v>
      </c>
    </row>
    <row r="210" spans="1:23" x14ac:dyDescent="0.25">
      <c r="A210" s="17">
        <v>44774</v>
      </c>
      <c r="B210" s="1" t="s">
        <v>295</v>
      </c>
      <c r="C210" s="1">
        <v>1</v>
      </c>
      <c r="F210" s="9" t="s">
        <v>242</v>
      </c>
      <c r="G210" s="10">
        <v>1</v>
      </c>
      <c r="H210" s="10"/>
      <c r="I210" s="10"/>
      <c r="J210" s="10"/>
      <c r="K210" s="10"/>
      <c r="L210" s="10">
        <v>1</v>
      </c>
      <c r="O210" t="s">
        <v>709</v>
      </c>
      <c r="P210">
        <v>2</v>
      </c>
      <c r="Q210">
        <f t="shared" si="12"/>
        <v>12</v>
      </c>
      <c r="R210">
        <f t="shared" si="13"/>
        <v>1.2431155079799796E-3</v>
      </c>
      <c r="S210">
        <f t="shared" si="15"/>
        <v>0.60974815666417803</v>
      </c>
      <c r="T210" t="str">
        <f t="shared" si="14"/>
        <v>A</v>
      </c>
      <c r="V210" t="s">
        <v>709</v>
      </c>
      <c r="W210" t="s">
        <v>1244</v>
      </c>
    </row>
    <row r="211" spans="1:23" x14ac:dyDescent="0.25">
      <c r="A211" s="17">
        <v>44774</v>
      </c>
      <c r="B211" s="1" t="s">
        <v>297</v>
      </c>
      <c r="C211" s="1">
        <v>1</v>
      </c>
      <c r="F211" s="9" t="s">
        <v>121</v>
      </c>
      <c r="G211" s="10">
        <v>1</v>
      </c>
      <c r="H211" s="10"/>
      <c r="I211" s="10"/>
      <c r="J211" s="10"/>
      <c r="K211" s="10"/>
      <c r="L211" s="10">
        <v>1</v>
      </c>
      <c r="O211" t="s">
        <v>940</v>
      </c>
      <c r="P211">
        <v>2</v>
      </c>
      <c r="Q211">
        <f t="shared" si="12"/>
        <v>12</v>
      </c>
      <c r="R211">
        <f t="shared" si="13"/>
        <v>1.2431155079799796E-3</v>
      </c>
      <c r="S211">
        <f t="shared" si="15"/>
        <v>0.61099127217215798</v>
      </c>
      <c r="T211" t="str">
        <f t="shared" si="14"/>
        <v>A</v>
      </c>
      <c r="V211" t="s">
        <v>940</v>
      </c>
      <c r="W211" t="s">
        <v>1244</v>
      </c>
    </row>
    <row r="212" spans="1:23" x14ac:dyDescent="0.25">
      <c r="A212" s="17">
        <v>44774</v>
      </c>
      <c r="B212" s="1" t="s">
        <v>299</v>
      </c>
      <c r="C212" s="1">
        <v>1</v>
      </c>
      <c r="F212" s="9" t="s">
        <v>830</v>
      </c>
      <c r="G212" s="10"/>
      <c r="H212" s="10"/>
      <c r="I212" s="10">
        <v>1</v>
      </c>
      <c r="J212" s="10"/>
      <c r="K212" s="10"/>
      <c r="L212" s="10">
        <v>1</v>
      </c>
      <c r="O212" t="s">
        <v>63</v>
      </c>
      <c r="P212">
        <v>2</v>
      </c>
      <c r="Q212">
        <f t="shared" si="12"/>
        <v>12</v>
      </c>
      <c r="R212">
        <f t="shared" si="13"/>
        <v>1.2431155079799796E-3</v>
      </c>
      <c r="S212">
        <f t="shared" si="15"/>
        <v>0.61223438768013794</v>
      </c>
      <c r="T212" t="str">
        <f t="shared" si="14"/>
        <v>A</v>
      </c>
      <c r="V212" t="s">
        <v>63</v>
      </c>
      <c r="W212" t="s">
        <v>1244</v>
      </c>
    </row>
    <row r="213" spans="1:23" x14ac:dyDescent="0.25">
      <c r="A213" s="17">
        <v>44774</v>
      </c>
      <c r="B213" s="1" t="s">
        <v>299</v>
      </c>
      <c r="C213" s="1">
        <v>1</v>
      </c>
      <c r="F213" s="9" t="s">
        <v>1096</v>
      </c>
      <c r="G213" s="10"/>
      <c r="H213" s="10"/>
      <c r="I213" s="10"/>
      <c r="J213" s="10"/>
      <c r="K213" s="10">
        <v>1</v>
      </c>
      <c r="L213" s="10">
        <v>1</v>
      </c>
      <c r="O213" t="s">
        <v>735</v>
      </c>
      <c r="P213">
        <v>2</v>
      </c>
      <c r="Q213">
        <f t="shared" si="12"/>
        <v>12</v>
      </c>
      <c r="R213">
        <f t="shared" si="13"/>
        <v>1.2431155079799796E-3</v>
      </c>
      <c r="S213">
        <f t="shared" si="15"/>
        <v>0.61347750318811789</v>
      </c>
      <c r="T213" t="str">
        <f t="shared" si="14"/>
        <v>A</v>
      </c>
      <c r="V213" t="s">
        <v>735</v>
      </c>
      <c r="W213" t="s">
        <v>1244</v>
      </c>
    </row>
    <row r="214" spans="1:23" x14ac:dyDescent="0.25">
      <c r="A214" s="17">
        <v>44774</v>
      </c>
      <c r="B214" s="1" t="s">
        <v>301</v>
      </c>
      <c r="C214" s="1">
        <v>1</v>
      </c>
      <c r="F214" s="9" t="s">
        <v>135</v>
      </c>
      <c r="G214" s="10">
        <v>1</v>
      </c>
      <c r="H214" s="10">
        <v>1</v>
      </c>
      <c r="I214" s="10"/>
      <c r="J214" s="10"/>
      <c r="K214" s="10">
        <v>1</v>
      </c>
      <c r="L214" s="10">
        <v>3</v>
      </c>
      <c r="O214" t="s">
        <v>522</v>
      </c>
      <c r="P214">
        <v>2</v>
      </c>
      <c r="Q214">
        <f t="shared" si="12"/>
        <v>12</v>
      </c>
      <c r="R214">
        <f t="shared" si="13"/>
        <v>1.2431155079799796E-3</v>
      </c>
      <c r="S214">
        <f t="shared" si="15"/>
        <v>0.61472061869609784</v>
      </c>
      <c r="T214" t="str">
        <f t="shared" si="14"/>
        <v>A</v>
      </c>
      <c r="V214" t="s">
        <v>522</v>
      </c>
      <c r="W214" t="s">
        <v>1244</v>
      </c>
    </row>
    <row r="215" spans="1:23" x14ac:dyDescent="0.25">
      <c r="A215" s="17">
        <v>44774</v>
      </c>
      <c r="B215" s="1" t="s">
        <v>302</v>
      </c>
      <c r="C215" s="1">
        <v>1</v>
      </c>
      <c r="F215" s="9" t="s">
        <v>771</v>
      </c>
      <c r="G215" s="10"/>
      <c r="H215" s="10"/>
      <c r="I215" s="10">
        <v>1</v>
      </c>
      <c r="J215" s="10"/>
      <c r="K215" s="10"/>
      <c r="L215" s="10">
        <v>1</v>
      </c>
      <c r="O215" t="s">
        <v>472</v>
      </c>
      <c r="P215">
        <v>2</v>
      </c>
      <c r="Q215">
        <f t="shared" si="12"/>
        <v>12</v>
      </c>
      <c r="R215">
        <f t="shared" si="13"/>
        <v>1.2431155079799796E-3</v>
      </c>
      <c r="S215">
        <f t="shared" si="15"/>
        <v>0.6159637342040778</v>
      </c>
      <c r="T215" t="str">
        <f t="shared" si="14"/>
        <v>A</v>
      </c>
      <c r="V215" t="s">
        <v>472</v>
      </c>
      <c r="W215" t="s">
        <v>1244</v>
      </c>
    </row>
    <row r="216" spans="1:23" x14ac:dyDescent="0.25">
      <c r="A216" s="17">
        <v>44774</v>
      </c>
      <c r="B216" s="1" t="s">
        <v>304</v>
      </c>
      <c r="C216" s="1">
        <v>1</v>
      </c>
      <c r="F216" s="9" t="s">
        <v>773</v>
      </c>
      <c r="G216" s="10"/>
      <c r="H216" s="10"/>
      <c r="I216" s="10">
        <v>1</v>
      </c>
      <c r="J216" s="10"/>
      <c r="K216" s="10"/>
      <c r="L216" s="10">
        <v>1</v>
      </c>
      <c r="O216" t="s">
        <v>487</v>
      </c>
      <c r="P216">
        <v>2</v>
      </c>
      <c r="Q216">
        <f t="shared" si="12"/>
        <v>12</v>
      </c>
      <c r="R216">
        <f t="shared" si="13"/>
        <v>1.2431155079799796E-3</v>
      </c>
      <c r="S216">
        <f t="shared" si="15"/>
        <v>0.61720684971205775</v>
      </c>
      <c r="T216" t="str">
        <f t="shared" si="14"/>
        <v>A</v>
      </c>
      <c r="V216" t="s">
        <v>487</v>
      </c>
      <c r="W216" t="s">
        <v>1244</v>
      </c>
    </row>
    <row r="217" spans="1:23" x14ac:dyDescent="0.25">
      <c r="A217" s="17">
        <v>44774</v>
      </c>
      <c r="B217" s="1" t="s">
        <v>305</v>
      </c>
      <c r="C217" s="1">
        <v>1</v>
      </c>
      <c r="F217" s="9" t="s">
        <v>869</v>
      </c>
      <c r="G217" s="10"/>
      <c r="H217" s="10"/>
      <c r="I217" s="10">
        <v>1</v>
      </c>
      <c r="J217" s="10"/>
      <c r="K217" s="10"/>
      <c r="L217" s="10">
        <v>1</v>
      </c>
      <c r="O217" t="s">
        <v>555</v>
      </c>
      <c r="P217">
        <v>2</v>
      </c>
      <c r="Q217">
        <f t="shared" si="12"/>
        <v>12</v>
      </c>
      <c r="R217">
        <f t="shared" si="13"/>
        <v>1.2431155079799796E-3</v>
      </c>
      <c r="S217">
        <f t="shared" si="15"/>
        <v>0.6184499652200377</v>
      </c>
      <c r="T217" t="str">
        <f t="shared" si="14"/>
        <v>A</v>
      </c>
      <c r="V217" t="s">
        <v>555</v>
      </c>
      <c r="W217" t="s">
        <v>1244</v>
      </c>
    </row>
    <row r="218" spans="1:23" x14ac:dyDescent="0.25">
      <c r="A218" s="17">
        <v>44774</v>
      </c>
      <c r="B218" s="1" t="s">
        <v>307</v>
      </c>
      <c r="C218" s="1">
        <v>1</v>
      </c>
      <c r="F218" s="9" t="s">
        <v>1041</v>
      </c>
      <c r="G218" s="10"/>
      <c r="H218" s="10"/>
      <c r="I218" s="10"/>
      <c r="J218" s="10">
        <v>1</v>
      </c>
      <c r="K218" s="10"/>
      <c r="L218" s="10">
        <v>1</v>
      </c>
      <c r="O218" t="s">
        <v>878</v>
      </c>
      <c r="P218">
        <v>2</v>
      </c>
      <c r="Q218">
        <f t="shared" si="12"/>
        <v>12</v>
      </c>
      <c r="R218">
        <f t="shared" si="13"/>
        <v>1.2431155079799796E-3</v>
      </c>
      <c r="S218">
        <f t="shared" si="15"/>
        <v>0.61969308072801765</v>
      </c>
      <c r="T218" t="str">
        <f t="shared" si="14"/>
        <v>A</v>
      </c>
      <c r="V218" t="s">
        <v>878</v>
      </c>
      <c r="W218" t="s">
        <v>1244</v>
      </c>
    </row>
    <row r="219" spans="1:23" x14ac:dyDescent="0.25">
      <c r="A219" s="17">
        <v>44774</v>
      </c>
      <c r="B219" s="1" t="s">
        <v>307</v>
      </c>
      <c r="C219" s="1">
        <v>1</v>
      </c>
      <c r="F219" s="9" t="s">
        <v>421</v>
      </c>
      <c r="G219" s="10">
        <v>0.2</v>
      </c>
      <c r="H219" s="10"/>
      <c r="I219" s="10"/>
      <c r="J219" s="10"/>
      <c r="K219" s="10"/>
      <c r="L219" s="10">
        <v>0.2</v>
      </c>
      <c r="O219" t="s">
        <v>803</v>
      </c>
      <c r="P219">
        <v>2</v>
      </c>
      <c r="Q219">
        <f t="shared" si="12"/>
        <v>12</v>
      </c>
      <c r="R219">
        <f t="shared" si="13"/>
        <v>1.2431155079799796E-3</v>
      </c>
      <c r="S219">
        <f t="shared" si="15"/>
        <v>0.62093619623599761</v>
      </c>
      <c r="T219" t="str">
        <f t="shared" si="14"/>
        <v>A</v>
      </c>
      <c r="V219" t="s">
        <v>803</v>
      </c>
      <c r="W219" t="s">
        <v>1244</v>
      </c>
    </row>
    <row r="220" spans="1:23" x14ac:dyDescent="0.25">
      <c r="A220" s="17">
        <v>44774</v>
      </c>
      <c r="B220" s="1" t="s">
        <v>308</v>
      </c>
      <c r="C220" s="1">
        <v>1</v>
      </c>
      <c r="F220" s="9" t="s">
        <v>732</v>
      </c>
      <c r="G220" s="10"/>
      <c r="H220" s="10"/>
      <c r="I220" s="10">
        <v>1</v>
      </c>
      <c r="J220" s="10"/>
      <c r="K220" s="10"/>
      <c r="L220" s="10">
        <v>1</v>
      </c>
      <c r="O220" t="s">
        <v>566</v>
      </c>
      <c r="P220">
        <v>2</v>
      </c>
      <c r="Q220">
        <f t="shared" si="12"/>
        <v>12</v>
      </c>
      <c r="R220">
        <f t="shared" si="13"/>
        <v>1.2431155079799796E-3</v>
      </c>
      <c r="S220">
        <f t="shared" si="15"/>
        <v>0.62217931174397756</v>
      </c>
      <c r="T220" t="str">
        <f t="shared" si="14"/>
        <v>A</v>
      </c>
      <c r="V220" t="s">
        <v>566</v>
      </c>
      <c r="W220" t="s">
        <v>1244</v>
      </c>
    </row>
    <row r="221" spans="1:23" x14ac:dyDescent="0.25">
      <c r="A221" s="17">
        <v>44774</v>
      </c>
      <c r="B221" s="1" t="s">
        <v>309</v>
      </c>
      <c r="C221" s="1">
        <v>1</v>
      </c>
      <c r="F221" s="9" t="s">
        <v>695</v>
      </c>
      <c r="G221" s="10"/>
      <c r="H221" s="10">
        <v>1</v>
      </c>
      <c r="I221" s="10"/>
      <c r="J221" s="10"/>
      <c r="K221" s="10"/>
      <c r="L221" s="10">
        <v>1</v>
      </c>
      <c r="O221" t="s">
        <v>282</v>
      </c>
      <c r="P221">
        <v>2</v>
      </c>
      <c r="Q221">
        <f t="shared" si="12"/>
        <v>12</v>
      </c>
      <c r="R221">
        <f t="shared" si="13"/>
        <v>1.2431155079799796E-3</v>
      </c>
      <c r="S221">
        <f t="shared" si="15"/>
        <v>0.62342242725195751</v>
      </c>
      <c r="T221" t="str">
        <f t="shared" si="14"/>
        <v>A</v>
      </c>
      <c r="V221" t="s">
        <v>282</v>
      </c>
      <c r="W221" t="s">
        <v>1244</v>
      </c>
    </row>
    <row r="222" spans="1:23" x14ac:dyDescent="0.25">
      <c r="A222" s="17">
        <v>44774</v>
      </c>
      <c r="B222" s="1" t="s">
        <v>311</v>
      </c>
      <c r="C222" s="1">
        <v>1</v>
      </c>
      <c r="F222" s="9" t="s">
        <v>585</v>
      </c>
      <c r="G222" s="10"/>
      <c r="H222" s="10">
        <v>1</v>
      </c>
      <c r="I222" s="10"/>
      <c r="J222" s="10"/>
      <c r="K222" s="10"/>
      <c r="L222" s="10">
        <v>1</v>
      </c>
      <c r="O222" t="s">
        <v>397</v>
      </c>
      <c r="P222">
        <v>2</v>
      </c>
      <c r="Q222">
        <f t="shared" si="12"/>
        <v>12</v>
      </c>
      <c r="R222">
        <f t="shared" si="13"/>
        <v>1.2431155079799796E-3</v>
      </c>
      <c r="S222">
        <f t="shared" si="15"/>
        <v>0.62466554275993746</v>
      </c>
      <c r="T222" t="str">
        <f t="shared" si="14"/>
        <v>A</v>
      </c>
      <c r="V222" t="s">
        <v>397</v>
      </c>
      <c r="W222" t="s">
        <v>1244</v>
      </c>
    </row>
    <row r="223" spans="1:23" x14ac:dyDescent="0.25">
      <c r="A223" s="17">
        <v>44774</v>
      </c>
      <c r="B223" s="1" t="s">
        <v>313</v>
      </c>
      <c r="C223" s="1">
        <v>1</v>
      </c>
      <c r="F223" s="9" t="s">
        <v>406</v>
      </c>
      <c r="G223" s="10">
        <v>1</v>
      </c>
      <c r="H223" s="10"/>
      <c r="I223" s="10"/>
      <c r="J223" s="10"/>
      <c r="K223" s="10"/>
      <c r="L223" s="10">
        <v>1</v>
      </c>
      <c r="O223" t="s">
        <v>432</v>
      </c>
      <c r="P223">
        <v>2</v>
      </c>
      <c r="Q223">
        <f t="shared" si="12"/>
        <v>12</v>
      </c>
      <c r="R223">
        <f t="shared" si="13"/>
        <v>1.2431155079799796E-3</v>
      </c>
      <c r="S223">
        <f t="shared" si="15"/>
        <v>0.62590865826791742</v>
      </c>
      <c r="T223" t="str">
        <f t="shared" si="14"/>
        <v>A</v>
      </c>
      <c r="V223" t="s">
        <v>432</v>
      </c>
      <c r="W223" t="s">
        <v>1244</v>
      </c>
    </row>
    <row r="224" spans="1:23" x14ac:dyDescent="0.25">
      <c r="A224" s="17">
        <v>44774</v>
      </c>
      <c r="B224" s="1" t="s">
        <v>314</v>
      </c>
      <c r="C224" s="1">
        <v>0.14285713999999999</v>
      </c>
      <c r="F224" s="9" t="s">
        <v>759</v>
      </c>
      <c r="G224" s="10"/>
      <c r="H224" s="10"/>
      <c r="I224" s="10">
        <v>3</v>
      </c>
      <c r="J224" s="10">
        <v>1</v>
      </c>
      <c r="K224" s="10"/>
      <c r="L224" s="10">
        <v>4</v>
      </c>
      <c r="O224" t="s">
        <v>482</v>
      </c>
      <c r="P224">
        <v>2</v>
      </c>
      <c r="Q224">
        <f t="shared" si="12"/>
        <v>12</v>
      </c>
      <c r="R224">
        <f t="shared" si="13"/>
        <v>1.2431155079799796E-3</v>
      </c>
      <c r="S224">
        <f t="shared" si="15"/>
        <v>0.62715177377589737</v>
      </c>
      <c r="T224" t="str">
        <f t="shared" si="14"/>
        <v>A</v>
      </c>
      <c r="V224" t="s">
        <v>482</v>
      </c>
      <c r="W224" t="s">
        <v>1244</v>
      </c>
    </row>
    <row r="225" spans="1:23" x14ac:dyDescent="0.25">
      <c r="A225" s="17">
        <v>44774</v>
      </c>
      <c r="B225" s="1" t="s">
        <v>316</v>
      </c>
      <c r="C225" s="1">
        <v>2</v>
      </c>
      <c r="F225" s="9" t="s">
        <v>178</v>
      </c>
      <c r="G225" s="10">
        <v>1</v>
      </c>
      <c r="H225" s="10"/>
      <c r="I225" s="10"/>
      <c r="J225" s="10"/>
      <c r="K225" s="10"/>
      <c r="L225" s="10">
        <v>1</v>
      </c>
      <c r="O225" t="s">
        <v>872</v>
      </c>
      <c r="P225">
        <v>2</v>
      </c>
      <c r="Q225">
        <f t="shared" si="12"/>
        <v>12</v>
      </c>
      <c r="R225">
        <f t="shared" si="13"/>
        <v>1.2431155079799796E-3</v>
      </c>
      <c r="S225">
        <f t="shared" si="15"/>
        <v>0.62839488928387732</v>
      </c>
      <c r="T225" t="str">
        <f t="shared" si="14"/>
        <v>A</v>
      </c>
      <c r="V225" t="s">
        <v>872</v>
      </c>
      <c r="W225" t="s">
        <v>1244</v>
      </c>
    </row>
    <row r="226" spans="1:23" x14ac:dyDescent="0.25">
      <c r="A226" s="17">
        <v>44774</v>
      </c>
      <c r="B226" s="1" t="s">
        <v>318</v>
      </c>
      <c r="C226" s="1">
        <v>1</v>
      </c>
      <c r="F226" s="9" t="s">
        <v>845</v>
      </c>
      <c r="G226" s="10"/>
      <c r="H226" s="10"/>
      <c r="I226" s="10">
        <v>1</v>
      </c>
      <c r="J226" s="10">
        <v>1</v>
      </c>
      <c r="K226" s="10"/>
      <c r="L226" s="10">
        <v>2</v>
      </c>
      <c r="O226" t="s">
        <v>622</v>
      </c>
      <c r="P226">
        <v>2</v>
      </c>
      <c r="Q226">
        <f t="shared" si="12"/>
        <v>12</v>
      </c>
      <c r="R226">
        <f t="shared" si="13"/>
        <v>1.2431155079799796E-3</v>
      </c>
      <c r="S226">
        <f t="shared" si="15"/>
        <v>0.62963800479185728</v>
      </c>
      <c r="T226" t="str">
        <f t="shared" si="14"/>
        <v>A</v>
      </c>
      <c r="V226" t="s">
        <v>622</v>
      </c>
      <c r="W226" t="s">
        <v>1244</v>
      </c>
    </row>
    <row r="227" spans="1:23" x14ac:dyDescent="0.25">
      <c r="A227" s="17">
        <v>44774</v>
      </c>
      <c r="B227" s="1" t="s">
        <v>318</v>
      </c>
      <c r="C227" s="1">
        <v>1</v>
      </c>
      <c r="F227" s="9" t="s">
        <v>361</v>
      </c>
      <c r="G227" s="10">
        <v>2</v>
      </c>
      <c r="H227" s="10"/>
      <c r="I227" s="10"/>
      <c r="J227" s="10"/>
      <c r="K227" s="10">
        <v>1</v>
      </c>
      <c r="L227" s="10">
        <v>3</v>
      </c>
      <c r="O227" t="s">
        <v>1009</v>
      </c>
      <c r="P227">
        <v>2</v>
      </c>
      <c r="Q227">
        <f t="shared" si="12"/>
        <v>12</v>
      </c>
      <c r="R227">
        <f t="shared" si="13"/>
        <v>1.2431155079799796E-3</v>
      </c>
      <c r="S227">
        <f t="shared" si="15"/>
        <v>0.63088112029983723</v>
      </c>
      <c r="T227" t="str">
        <f t="shared" si="14"/>
        <v>A</v>
      </c>
      <c r="V227" t="s">
        <v>1009</v>
      </c>
      <c r="W227" t="s">
        <v>1244</v>
      </c>
    </row>
    <row r="228" spans="1:23" x14ac:dyDescent="0.25">
      <c r="A228" s="17">
        <v>44774</v>
      </c>
      <c r="B228" s="1" t="s">
        <v>320</v>
      </c>
      <c r="C228" s="1">
        <v>1</v>
      </c>
      <c r="F228" s="9" t="s">
        <v>1213</v>
      </c>
      <c r="G228" s="10"/>
      <c r="H228" s="10"/>
      <c r="I228" s="10"/>
      <c r="J228" s="10"/>
      <c r="K228" s="10">
        <v>1</v>
      </c>
      <c r="L228" s="10">
        <v>1</v>
      </c>
      <c r="O228" t="s">
        <v>443</v>
      </c>
      <c r="P228">
        <v>2</v>
      </c>
      <c r="Q228">
        <f t="shared" si="12"/>
        <v>12</v>
      </c>
      <c r="R228">
        <f t="shared" si="13"/>
        <v>1.2431155079799796E-3</v>
      </c>
      <c r="S228">
        <f t="shared" si="15"/>
        <v>0.63212423580781718</v>
      </c>
      <c r="T228" t="str">
        <f t="shared" si="14"/>
        <v>A</v>
      </c>
      <c r="V228" t="s">
        <v>443</v>
      </c>
      <c r="W228" t="s">
        <v>1244</v>
      </c>
    </row>
    <row r="229" spans="1:23" x14ac:dyDescent="0.25">
      <c r="A229" s="17">
        <v>44774</v>
      </c>
      <c r="B229" s="1" t="s">
        <v>321</v>
      </c>
      <c r="C229" s="1">
        <v>2</v>
      </c>
      <c r="F229" s="9" t="s">
        <v>814</v>
      </c>
      <c r="G229" s="10"/>
      <c r="H229" s="10"/>
      <c r="I229" s="10">
        <v>2</v>
      </c>
      <c r="J229" s="10"/>
      <c r="K229" s="10"/>
      <c r="L229" s="10">
        <v>2</v>
      </c>
      <c r="O229" t="s">
        <v>917</v>
      </c>
      <c r="P229">
        <v>2</v>
      </c>
      <c r="Q229">
        <f t="shared" si="12"/>
        <v>12</v>
      </c>
      <c r="R229">
        <f t="shared" si="13"/>
        <v>1.2431155079799796E-3</v>
      </c>
      <c r="S229">
        <f t="shared" si="15"/>
        <v>0.63336735131579713</v>
      </c>
      <c r="T229" t="str">
        <f t="shared" si="14"/>
        <v>A</v>
      </c>
      <c r="V229" t="s">
        <v>917</v>
      </c>
      <c r="W229" t="s">
        <v>1244</v>
      </c>
    </row>
    <row r="230" spans="1:23" x14ac:dyDescent="0.25">
      <c r="A230" s="17">
        <v>44774</v>
      </c>
      <c r="B230" s="1" t="s">
        <v>322</v>
      </c>
      <c r="C230" s="1">
        <v>1</v>
      </c>
      <c r="F230" s="9" t="s">
        <v>1063</v>
      </c>
      <c r="G230" s="10"/>
      <c r="H230" s="10"/>
      <c r="I230" s="10"/>
      <c r="J230" s="10">
        <v>1</v>
      </c>
      <c r="K230" s="10"/>
      <c r="L230" s="10">
        <v>1</v>
      </c>
      <c r="O230" t="s">
        <v>47</v>
      </c>
      <c r="P230">
        <v>2</v>
      </c>
      <c r="Q230">
        <f t="shared" si="12"/>
        <v>12</v>
      </c>
      <c r="R230">
        <f t="shared" si="13"/>
        <v>1.2431155079799796E-3</v>
      </c>
      <c r="S230">
        <f t="shared" si="15"/>
        <v>0.63461046682377709</v>
      </c>
      <c r="T230" t="str">
        <f t="shared" si="14"/>
        <v>A</v>
      </c>
      <c r="V230" t="s">
        <v>47</v>
      </c>
      <c r="W230" t="s">
        <v>1244</v>
      </c>
    </row>
    <row r="231" spans="1:23" x14ac:dyDescent="0.25">
      <c r="A231" s="17">
        <v>44774</v>
      </c>
      <c r="B231" s="1" t="s">
        <v>322</v>
      </c>
      <c r="C231" s="1">
        <v>1</v>
      </c>
      <c r="F231" s="9" t="s">
        <v>483</v>
      </c>
      <c r="G231" s="10"/>
      <c r="H231" s="10">
        <v>1</v>
      </c>
      <c r="I231" s="10"/>
      <c r="J231" s="10"/>
      <c r="K231" s="10"/>
      <c r="L231" s="10">
        <v>1</v>
      </c>
      <c r="O231" t="s">
        <v>93</v>
      </c>
      <c r="P231">
        <v>2</v>
      </c>
      <c r="Q231">
        <f t="shared" si="12"/>
        <v>12</v>
      </c>
      <c r="R231">
        <f t="shared" si="13"/>
        <v>1.2431155079799796E-3</v>
      </c>
      <c r="S231">
        <f t="shared" si="15"/>
        <v>0.63585358233175704</v>
      </c>
      <c r="T231" t="str">
        <f t="shared" si="14"/>
        <v>A</v>
      </c>
      <c r="V231" t="s">
        <v>93</v>
      </c>
      <c r="W231" t="s">
        <v>1244</v>
      </c>
    </row>
    <row r="232" spans="1:23" x14ac:dyDescent="0.25">
      <c r="A232" s="17">
        <v>44774</v>
      </c>
      <c r="B232" s="1" t="s">
        <v>324</v>
      </c>
      <c r="C232" s="1">
        <v>1</v>
      </c>
      <c r="F232" s="9" t="s">
        <v>1011</v>
      </c>
      <c r="G232" s="10"/>
      <c r="H232" s="10"/>
      <c r="I232" s="10"/>
      <c r="J232" s="10">
        <v>1</v>
      </c>
      <c r="K232" s="10"/>
      <c r="L232" s="10">
        <v>1</v>
      </c>
      <c r="O232" t="s">
        <v>1005</v>
      </c>
      <c r="P232">
        <v>2</v>
      </c>
      <c r="Q232">
        <f t="shared" si="12"/>
        <v>12</v>
      </c>
      <c r="R232">
        <f t="shared" si="13"/>
        <v>1.2431155079799796E-3</v>
      </c>
      <c r="S232">
        <f t="shared" si="15"/>
        <v>0.63709669783973699</v>
      </c>
      <c r="T232" t="str">
        <f t="shared" si="14"/>
        <v>A</v>
      </c>
      <c r="V232" t="s">
        <v>1005</v>
      </c>
      <c r="W232" t="s">
        <v>1244</v>
      </c>
    </row>
    <row r="233" spans="1:23" x14ac:dyDescent="0.25">
      <c r="A233" s="17">
        <v>44774</v>
      </c>
      <c r="B233" s="1" t="s">
        <v>326</v>
      </c>
      <c r="C233" s="1">
        <v>1</v>
      </c>
      <c r="F233" s="9" t="s">
        <v>1109</v>
      </c>
      <c r="G233" s="10"/>
      <c r="H233" s="10"/>
      <c r="I233" s="10"/>
      <c r="J233" s="10"/>
      <c r="K233" s="10">
        <v>1</v>
      </c>
      <c r="L233" s="10">
        <v>1</v>
      </c>
      <c r="O233" t="s">
        <v>702</v>
      </c>
      <c r="P233">
        <v>2</v>
      </c>
      <c r="Q233">
        <f t="shared" si="12"/>
        <v>12</v>
      </c>
      <c r="R233">
        <f t="shared" si="13"/>
        <v>1.2431155079799796E-3</v>
      </c>
      <c r="S233">
        <f t="shared" si="15"/>
        <v>0.63833981334771694</v>
      </c>
      <c r="T233" t="str">
        <f t="shared" si="14"/>
        <v>A</v>
      </c>
      <c r="V233" t="s">
        <v>702</v>
      </c>
      <c r="W233" t="s">
        <v>1244</v>
      </c>
    </row>
    <row r="234" spans="1:23" x14ac:dyDescent="0.25">
      <c r="A234" s="17">
        <v>44774</v>
      </c>
      <c r="B234" s="1" t="s">
        <v>328</v>
      </c>
      <c r="C234" s="1">
        <v>0.1071429</v>
      </c>
      <c r="F234" s="9" t="s">
        <v>287</v>
      </c>
      <c r="G234" s="10">
        <v>1</v>
      </c>
      <c r="H234" s="10"/>
      <c r="I234" s="10"/>
      <c r="J234" s="10"/>
      <c r="K234" s="10"/>
      <c r="L234" s="10">
        <v>1</v>
      </c>
      <c r="O234" t="s">
        <v>434</v>
      </c>
      <c r="P234">
        <v>2</v>
      </c>
      <c r="Q234">
        <f t="shared" si="12"/>
        <v>12</v>
      </c>
      <c r="R234">
        <f t="shared" si="13"/>
        <v>1.2431155079799796E-3</v>
      </c>
      <c r="S234">
        <f t="shared" si="15"/>
        <v>0.6395829288556969</v>
      </c>
      <c r="T234" t="str">
        <f t="shared" si="14"/>
        <v>A</v>
      </c>
      <c r="V234" t="s">
        <v>434</v>
      </c>
      <c r="W234" t="s">
        <v>1244</v>
      </c>
    </row>
    <row r="235" spans="1:23" x14ac:dyDescent="0.25">
      <c r="A235" s="17">
        <v>44774</v>
      </c>
      <c r="B235" s="1" t="s">
        <v>330</v>
      </c>
      <c r="C235" s="1">
        <v>1</v>
      </c>
      <c r="F235" s="9" t="s">
        <v>286</v>
      </c>
      <c r="G235" s="10">
        <v>1</v>
      </c>
      <c r="H235" s="10"/>
      <c r="I235" s="10"/>
      <c r="J235" s="10">
        <v>1</v>
      </c>
      <c r="K235" s="10"/>
      <c r="L235" s="10">
        <v>2</v>
      </c>
      <c r="O235" t="s">
        <v>964</v>
      </c>
      <c r="P235">
        <v>2</v>
      </c>
      <c r="Q235">
        <f t="shared" si="12"/>
        <v>12</v>
      </c>
      <c r="R235">
        <f t="shared" si="13"/>
        <v>1.2431155079799796E-3</v>
      </c>
      <c r="S235">
        <f t="shared" si="15"/>
        <v>0.64082604436367685</v>
      </c>
      <c r="T235" t="str">
        <f t="shared" si="14"/>
        <v>A</v>
      </c>
      <c r="V235" t="s">
        <v>964</v>
      </c>
      <c r="W235" t="s">
        <v>1244</v>
      </c>
    </row>
    <row r="236" spans="1:23" x14ac:dyDescent="0.25">
      <c r="A236" s="17">
        <v>44774</v>
      </c>
      <c r="B236" s="1" t="s">
        <v>330</v>
      </c>
      <c r="C236" s="1">
        <v>1</v>
      </c>
      <c r="F236" s="9" t="s">
        <v>986</v>
      </c>
      <c r="G236" s="10"/>
      <c r="H236" s="10"/>
      <c r="I236" s="10"/>
      <c r="J236" s="10">
        <v>2</v>
      </c>
      <c r="K236" s="10">
        <v>2</v>
      </c>
      <c r="L236" s="10">
        <v>4</v>
      </c>
      <c r="O236" t="s">
        <v>896</v>
      </c>
      <c r="P236">
        <v>2</v>
      </c>
      <c r="Q236">
        <f t="shared" si="12"/>
        <v>12</v>
      </c>
      <c r="R236">
        <f t="shared" si="13"/>
        <v>1.2431155079799796E-3</v>
      </c>
      <c r="S236">
        <f t="shared" si="15"/>
        <v>0.6420691598716568</v>
      </c>
      <c r="T236" t="str">
        <f t="shared" si="14"/>
        <v>A</v>
      </c>
      <c r="V236" t="s">
        <v>896</v>
      </c>
      <c r="W236" t="s">
        <v>1244</v>
      </c>
    </row>
    <row r="237" spans="1:23" x14ac:dyDescent="0.25">
      <c r="A237" s="17">
        <v>44774</v>
      </c>
      <c r="B237" s="1" t="s">
        <v>331</v>
      </c>
      <c r="C237" s="1">
        <v>1</v>
      </c>
      <c r="F237" s="9" t="s">
        <v>745</v>
      </c>
      <c r="G237" s="10"/>
      <c r="H237" s="10"/>
      <c r="I237" s="10">
        <v>1</v>
      </c>
      <c r="J237" s="10"/>
      <c r="K237" s="10">
        <v>1</v>
      </c>
      <c r="L237" s="10">
        <v>2</v>
      </c>
      <c r="O237" t="s">
        <v>159</v>
      </c>
      <c r="P237">
        <v>2</v>
      </c>
      <c r="Q237">
        <f t="shared" si="12"/>
        <v>12</v>
      </c>
      <c r="R237">
        <f t="shared" si="13"/>
        <v>1.2431155079799796E-3</v>
      </c>
      <c r="S237">
        <f t="shared" si="15"/>
        <v>0.64331227537963676</v>
      </c>
      <c r="T237" t="str">
        <f t="shared" si="14"/>
        <v>A</v>
      </c>
      <c r="V237" t="s">
        <v>159</v>
      </c>
      <c r="W237" t="s">
        <v>1244</v>
      </c>
    </row>
    <row r="238" spans="1:23" x14ac:dyDescent="0.25">
      <c r="A238" s="17">
        <v>44774</v>
      </c>
      <c r="B238" s="1" t="s">
        <v>333</v>
      </c>
      <c r="C238" s="1">
        <v>1</v>
      </c>
      <c r="F238" s="9" t="s">
        <v>677</v>
      </c>
      <c r="G238" s="10"/>
      <c r="H238" s="10">
        <v>1</v>
      </c>
      <c r="I238" s="10"/>
      <c r="J238" s="10"/>
      <c r="K238" s="10"/>
      <c r="L238" s="10">
        <v>1</v>
      </c>
      <c r="O238" t="s">
        <v>612</v>
      </c>
      <c r="P238">
        <v>2</v>
      </c>
      <c r="Q238">
        <f t="shared" si="12"/>
        <v>12</v>
      </c>
      <c r="R238">
        <f t="shared" si="13"/>
        <v>1.2431155079799796E-3</v>
      </c>
      <c r="S238">
        <f t="shared" si="15"/>
        <v>0.64455539088761671</v>
      </c>
      <c r="T238" t="str">
        <f t="shared" si="14"/>
        <v>A</v>
      </c>
      <c r="V238" t="s">
        <v>612</v>
      </c>
      <c r="W238" t="s">
        <v>1244</v>
      </c>
    </row>
    <row r="239" spans="1:23" x14ac:dyDescent="0.25">
      <c r="A239" s="17">
        <v>44774</v>
      </c>
      <c r="B239" s="1" t="s">
        <v>333</v>
      </c>
      <c r="C239" s="1">
        <v>1</v>
      </c>
      <c r="F239" s="9" t="s">
        <v>969</v>
      </c>
      <c r="G239" s="10"/>
      <c r="H239" s="10"/>
      <c r="I239" s="10"/>
      <c r="J239" s="10">
        <v>1</v>
      </c>
      <c r="K239" s="10"/>
      <c r="L239" s="10">
        <v>1</v>
      </c>
      <c r="O239" t="s">
        <v>781</v>
      </c>
      <c r="P239">
        <v>2</v>
      </c>
      <c r="Q239">
        <f t="shared" si="12"/>
        <v>12</v>
      </c>
      <c r="R239">
        <f t="shared" si="13"/>
        <v>1.2431155079799796E-3</v>
      </c>
      <c r="S239">
        <f t="shared" si="15"/>
        <v>0.64579850639559666</v>
      </c>
      <c r="T239" t="str">
        <f t="shared" si="14"/>
        <v>A</v>
      </c>
      <c r="V239" t="s">
        <v>781</v>
      </c>
      <c r="W239" t="s">
        <v>1244</v>
      </c>
    </row>
    <row r="240" spans="1:23" x14ac:dyDescent="0.25">
      <c r="A240" s="17">
        <v>44774</v>
      </c>
      <c r="B240" s="1" t="s">
        <v>334</v>
      </c>
      <c r="C240" s="1">
        <v>3</v>
      </c>
      <c r="F240" s="9" t="s">
        <v>1212</v>
      </c>
      <c r="G240" s="10"/>
      <c r="H240" s="10"/>
      <c r="I240" s="10"/>
      <c r="J240" s="10"/>
      <c r="K240" s="10">
        <v>1</v>
      </c>
      <c r="L240" s="10">
        <v>1</v>
      </c>
      <c r="O240" t="s">
        <v>1098</v>
      </c>
      <c r="P240">
        <v>2</v>
      </c>
      <c r="Q240">
        <f t="shared" si="12"/>
        <v>12</v>
      </c>
      <c r="R240">
        <f t="shared" si="13"/>
        <v>1.2431155079799796E-3</v>
      </c>
      <c r="S240">
        <f t="shared" si="15"/>
        <v>0.64704162190357661</v>
      </c>
      <c r="T240" t="str">
        <f t="shared" si="14"/>
        <v>A</v>
      </c>
      <c r="V240" t="s">
        <v>1098</v>
      </c>
      <c r="W240" t="s">
        <v>1244</v>
      </c>
    </row>
    <row r="241" spans="1:23" x14ac:dyDescent="0.25">
      <c r="A241" s="17">
        <v>44774</v>
      </c>
      <c r="B241" s="1" t="s">
        <v>336</v>
      </c>
      <c r="C241" s="1">
        <v>1</v>
      </c>
      <c r="F241" s="9" t="s">
        <v>417</v>
      </c>
      <c r="G241" s="10">
        <v>1</v>
      </c>
      <c r="H241" s="10"/>
      <c r="I241" s="10"/>
      <c r="J241" s="10"/>
      <c r="K241" s="10"/>
      <c r="L241" s="10">
        <v>1</v>
      </c>
      <c r="O241" t="s">
        <v>1172</v>
      </c>
      <c r="P241">
        <v>2</v>
      </c>
      <c r="Q241">
        <f t="shared" si="12"/>
        <v>12</v>
      </c>
      <c r="R241">
        <f t="shared" si="13"/>
        <v>1.2431155079799796E-3</v>
      </c>
      <c r="S241">
        <f t="shared" si="15"/>
        <v>0.64828473741155657</v>
      </c>
      <c r="T241" t="str">
        <f t="shared" si="14"/>
        <v>A</v>
      </c>
      <c r="V241" t="s">
        <v>1172</v>
      </c>
      <c r="W241" t="s">
        <v>1244</v>
      </c>
    </row>
    <row r="242" spans="1:23" x14ac:dyDescent="0.25">
      <c r="A242" s="17">
        <v>44774</v>
      </c>
      <c r="B242" s="1" t="s">
        <v>337</v>
      </c>
      <c r="C242" s="1">
        <v>1</v>
      </c>
      <c r="F242" s="9" t="s">
        <v>649</v>
      </c>
      <c r="G242" s="10"/>
      <c r="H242" s="10">
        <v>0.1</v>
      </c>
      <c r="I242" s="10"/>
      <c r="J242" s="10"/>
      <c r="K242" s="10"/>
      <c r="L242" s="10">
        <v>0.1</v>
      </c>
      <c r="O242" t="s">
        <v>1017</v>
      </c>
      <c r="P242">
        <v>2</v>
      </c>
      <c r="Q242">
        <f t="shared" si="12"/>
        <v>12</v>
      </c>
      <c r="R242">
        <f t="shared" si="13"/>
        <v>1.2431155079799796E-3</v>
      </c>
      <c r="S242">
        <f t="shared" si="15"/>
        <v>0.64952785291953652</v>
      </c>
      <c r="T242" t="str">
        <f t="shared" si="14"/>
        <v>A</v>
      </c>
      <c r="V242" t="s">
        <v>1017</v>
      </c>
      <c r="W242" t="s">
        <v>1244</v>
      </c>
    </row>
    <row r="243" spans="1:23" x14ac:dyDescent="0.25">
      <c r="A243" s="17">
        <v>44774</v>
      </c>
      <c r="B243" s="1" t="s">
        <v>339</v>
      </c>
      <c r="C243" s="1">
        <v>1</v>
      </c>
      <c r="F243" s="9" t="s">
        <v>944</v>
      </c>
      <c r="G243" s="10"/>
      <c r="H243" s="10"/>
      <c r="I243" s="10"/>
      <c r="J243" s="10">
        <v>1</v>
      </c>
      <c r="K243" s="10"/>
      <c r="L243" s="10">
        <v>1</v>
      </c>
      <c r="O243" t="s">
        <v>264</v>
      </c>
      <c r="P243">
        <v>2</v>
      </c>
      <c r="Q243">
        <f t="shared" si="12"/>
        <v>12</v>
      </c>
      <c r="R243">
        <f t="shared" si="13"/>
        <v>1.2431155079799796E-3</v>
      </c>
      <c r="S243">
        <f t="shared" si="15"/>
        <v>0.65077096842751647</v>
      </c>
      <c r="T243" t="str">
        <f t="shared" si="14"/>
        <v>A</v>
      </c>
      <c r="V243" t="s">
        <v>264</v>
      </c>
      <c r="W243" t="s">
        <v>1244</v>
      </c>
    </row>
    <row r="244" spans="1:23" x14ac:dyDescent="0.25">
      <c r="A244" s="17">
        <v>44774</v>
      </c>
      <c r="B244" s="1" t="s">
        <v>341</v>
      </c>
      <c r="C244" s="1">
        <v>1</v>
      </c>
      <c r="F244" s="9" t="s">
        <v>461</v>
      </c>
      <c r="G244" s="10">
        <v>1</v>
      </c>
      <c r="H244" s="10"/>
      <c r="I244" s="10"/>
      <c r="J244" s="10"/>
      <c r="K244" s="10">
        <v>1</v>
      </c>
      <c r="L244" s="10">
        <v>2</v>
      </c>
      <c r="O244" t="s">
        <v>994</v>
      </c>
      <c r="P244">
        <v>2</v>
      </c>
      <c r="Q244">
        <f t="shared" si="12"/>
        <v>12</v>
      </c>
      <c r="R244">
        <f t="shared" si="13"/>
        <v>1.2431155079799796E-3</v>
      </c>
      <c r="S244">
        <f t="shared" si="15"/>
        <v>0.65201408393549642</v>
      </c>
      <c r="T244" t="str">
        <f t="shared" si="14"/>
        <v>A</v>
      </c>
      <c r="V244" t="s">
        <v>994</v>
      </c>
      <c r="W244" t="s">
        <v>1244</v>
      </c>
    </row>
    <row r="245" spans="1:23" x14ac:dyDescent="0.25">
      <c r="A245" s="17">
        <v>44774</v>
      </c>
      <c r="B245" s="1" t="s">
        <v>343</v>
      </c>
      <c r="C245" s="1">
        <v>1</v>
      </c>
      <c r="F245" s="9" t="s">
        <v>631</v>
      </c>
      <c r="G245" s="10"/>
      <c r="H245" s="10">
        <v>1</v>
      </c>
      <c r="I245" s="10"/>
      <c r="J245" s="10"/>
      <c r="K245" s="10"/>
      <c r="L245" s="10">
        <v>1</v>
      </c>
      <c r="O245" t="s">
        <v>1086</v>
      </c>
      <c r="P245">
        <v>2</v>
      </c>
      <c r="Q245">
        <f t="shared" si="12"/>
        <v>12</v>
      </c>
      <c r="R245">
        <f t="shared" si="13"/>
        <v>1.2431155079799796E-3</v>
      </c>
      <c r="S245">
        <f t="shared" si="15"/>
        <v>0.65325719944347638</v>
      </c>
      <c r="T245" t="str">
        <f t="shared" si="14"/>
        <v>A</v>
      </c>
      <c r="V245" t="s">
        <v>1086</v>
      </c>
      <c r="W245" t="s">
        <v>1244</v>
      </c>
    </row>
    <row r="246" spans="1:23" x14ac:dyDescent="0.25">
      <c r="A246" s="17">
        <v>44774</v>
      </c>
      <c r="B246" s="1" t="s">
        <v>344</v>
      </c>
      <c r="C246" s="1">
        <v>1</v>
      </c>
      <c r="F246" s="9" t="s">
        <v>517</v>
      </c>
      <c r="G246" s="10"/>
      <c r="H246" s="10">
        <v>2</v>
      </c>
      <c r="I246" s="10"/>
      <c r="J246" s="10">
        <v>3</v>
      </c>
      <c r="K246" s="10"/>
      <c r="L246" s="10">
        <v>5</v>
      </c>
      <c r="O246" t="s">
        <v>337</v>
      </c>
      <c r="P246">
        <v>2</v>
      </c>
      <c r="Q246">
        <f t="shared" si="12"/>
        <v>12</v>
      </c>
      <c r="R246">
        <f t="shared" si="13"/>
        <v>1.2431155079799796E-3</v>
      </c>
      <c r="S246">
        <f t="shared" si="15"/>
        <v>0.65450031495145633</v>
      </c>
      <c r="T246" t="str">
        <f t="shared" si="14"/>
        <v>A</v>
      </c>
      <c r="V246" t="s">
        <v>337</v>
      </c>
      <c r="W246" t="s">
        <v>1244</v>
      </c>
    </row>
    <row r="247" spans="1:23" x14ac:dyDescent="0.25">
      <c r="A247" s="17">
        <v>44774</v>
      </c>
      <c r="B247" s="1" t="s">
        <v>346</v>
      </c>
      <c r="C247" s="1">
        <v>1</v>
      </c>
      <c r="F247" s="9" t="s">
        <v>1107</v>
      </c>
      <c r="G247" s="10"/>
      <c r="H247" s="10"/>
      <c r="I247" s="10"/>
      <c r="J247" s="10"/>
      <c r="K247" s="10">
        <v>5</v>
      </c>
      <c r="L247" s="10">
        <v>5</v>
      </c>
      <c r="O247" t="s">
        <v>356</v>
      </c>
      <c r="P247">
        <v>2</v>
      </c>
      <c r="Q247">
        <f t="shared" si="12"/>
        <v>12</v>
      </c>
      <c r="R247">
        <f t="shared" si="13"/>
        <v>1.2431155079799796E-3</v>
      </c>
      <c r="S247">
        <f t="shared" si="15"/>
        <v>0.65574343045943628</v>
      </c>
      <c r="T247" t="str">
        <f t="shared" si="14"/>
        <v>A</v>
      </c>
      <c r="V247" t="s">
        <v>356</v>
      </c>
      <c r="W247" t="s">
        <v>1244</v>
      </c>
    </row>
    <row r="248" spans="1:23" x14ac:dyDescent="0.25">
      <c r="A248" s="17">
        <v>44774</v>
      </c>
      <c r="B248" s="1" t="s">
        <v>346</v>
      </c>
      <c r="C248" s="1">
        <v>2</v>
      </c>
      <c r="F248" s="9" t="s">
        <v>309</v>
      </c>
      <c r="G248" s="10">
        <v>1</v>
      </c>
      <c r="H248" s="10"/>
      <c r="I248" s="10"/>
      <c r="J248" s="10">
        <v>1</v>
      </c>
      <c r="K248" s="10">
        <v>1</v>
      </c>
      <c r="L248" s="10">
        <v>3</v>
      </c>
      <c r="O248" t="s">
        <v>842</v>
      </c>
      <c r="P248">
        <v>2</v>
      </c>
      <c r="Q248">
        <f t="shared" si="12"/>
        <v>12</v>
      </c>
      <c r="R248">
        <f t="shared" si="13"/>
        <v>1.2431155079799796E-3</v>
      </c>
      <c r="S248">
        <f t="shared" si="15"/>
        <v>0.65698654596741624</v>
      </c>
      <c r="T248" t="str">
        <f t="shared" si="14"/>
        <v>A</v>
      </c>
      <c r="V248" t="s">
        <v>842</v>
      </c>
      <c r="W248" t="s">
        <v>1244</v>
      </c>
    </row>
    <row r="249" spans="1:23" x14ac:dyDescent="0.25">
      <c r="A249" s="17">
        <v>44774</v>
      </c>
      <c r="B249" s="1" t="s">
        <v>348</v>
      </c>
      <c r="C249" s="1">
        <v>1</v>
      </c>
      <c r="F249" s="9" t="s">
        <v>1025</v>
      </c>
      <c r="G249" s="10"/>
      <c r="H249" s="10"/>
      <c r="I249" s="10"/>
      <c r="J249" s="10">
        <v>1</v>
      </c>
      <c r="K249" s="10"/>
      <c r="L249" s="10">
        <v>1</v>
      </c>
      <c r="O249" t="s">
        <v>567</v>
      </c>
      <c r="P249">
        <v>2</v>
      </c>
      <c r="Q249">
        <f t="shared" si="12"/>
        <v>12</v>
      </c>
      <c r="R249">
        <f t="shared" si="13"/>
        <v>1.2431155079799796E-3</v>
      </c>
      <c r="S249">
        <f t="shared" si="15"/>
        <v>0.65822966147539619</v>
      </c>
      <c r="T249" t="str">
        <f t="shared" si="14"/>
        <v>A</v>
      </c>
      <c r="V249" t="s">
        <v>567</v>
      </c>
      <c r="W249" t="s">
        <v>1244</v>
      </c>
    </row>
    <row r="250" spans="1:23" x14ac:dyDescent="0.25">
      <c r="A250" s="17">
        <v>44774</v>
      </c>
      <c r="B250" s="1" t="s">
        <v>350</v>
      </c>
      <c r="C250" s="1">
        <v>1</v>
      </c>
      <c r="F250" s="9" t="s">
        <v>681</v>
      </c>
      <c r="G250" s="10"/>
      <c r="H250" s="10">
        <v>1</v>
      </c>
      <c r="I250" s="10"/>
      <c r="J250" s="10"/>
      <c r="K250" s="10">
        <v>1</v>
      </c>
      <c r="L250" s="10">
        <v>2</v>
      </c>
      <c r="O250" t="s">
        <v>393</v>
      </c>
      <c r="P250">
        <v>2</v>
      </c>
      <c r="Q250">
        <f t="shared" si="12"/>
        <v>12</v>
      </c>
      <c r="R250">
        <f t="shared" si="13"/>
        <v>1.2431155079799796E-3</v>
      </c>
      <c r="S250">
        <f t="shared" si="15"/>
        <v>0.65947277698337614</v>
      </c>
      <c r="T250" t="str">
        <f t="shared" si="14"/>
        <v>A</v>
      </c>
      <c r="V250" t="s">
        <v>393</v>
      </c>
      <c r="W250" t="s">
        <v>1244</v>
      </c>
    </row>
    <row r="251" spans="1:23" x14ac:dyDescent="0.25">
      <c r="A251" s="17">
        <v>44774</v>
      </c>
      <c r="B251" s="1" t="s">
        <v>351</v>
      </c>
      <c r="C251" s="1">
        <v>1</v>
      </c>
      <c r="F251" s="9" t="s">
        <v>550</v>
      </c>
      <c r="G251" s="10"/>
      <c r="H251" s="10">
        <v>1</v>
      </c>
      <c r="I251" s="10">
        <v>1</v>
      </c>
      <c r="J251" s="10"/>
      <c r="K251" s="10">
        <v>1</v>
      </c>
      <c r="L251" s="10">
        <v>3</v>
      </c>
      <c r="O251" t="s">
        <v>1031</v>
      </c>
      <c r="P251">
        <v>2</v>
      </c>
      <c r="Q251">
        <f t="shared" si="12"/>
        <v>12</v>
      </c>
      <c r="R251">
        <f t="shared" si="13"/>
        <v>1.2431155079799796E-3</v>
      </c>
      <c r="S251">
        <f t="shared" si="15"/>
        <v>0.66071589249135609</v>
      </c>
      <c r="T251" t="str">
        <f t="shared" si="14"/>
        <v>A</v>
      </c>
      <c r="V251" t="s">
        <v>1031</v>
      </c>
      <c r="W251" t="s">
        <v>1244</v>
      </c>
    </row>
    <row r="252" spans="1:23" x14ac:dyDescent="0.25">
      <c r="A252" s="17">
        <v>44774</v>
      </c>
      <c r="B252" s="1" t="s">
        <v>353</v>
      </c>
      <c r="C252" s="1">
        <v>0.7</v>
      </c>
      <c r="F252" s="9" t="s">
        <v>652</v>
      </c>
      <c r="G252" s="10"/>
      <c r="H252" s="10">
        <v>1</v>
      </c>
      <c r="I252" s="10"/>
      <c r="J252" s="10"/>
      <c r="K252" s="10"/>
      <c r="L252" s="10">
        <v>1</v>
      </c>
      <c r="O252" t="s">
        <v>752</v>
      </c>
      <c r="P252">
        <v>2</v>
      </c>
      <c r="Q252">
        <f t="shared" si="12"/>
        <v>12</v>
      </c>
      <c r="R252">
        <f t="shared" si="13"/>
        <v>1.2431155079799796E-3</v>
      </c>
      <c r="S252">
        <f t="shared" si="15"/>
        <v>0.66195900799933605</v>
      </c>
      <c r="T252" t="str">
        <f t="shared" si="14"/>
        <v>A</v>
      </c>
      <c r="V252" t="s">
        <v>752</v>
      </c>
      <c r="W252" t="s">
        <v>1244</v>
      </c>
    </row>
    <row r="253" spans="1:23" x14ac:dyDescent="0.25">
      <c r="A253" s="17">
        <v>44774</v>
      </c>
      <c r="B253" s="1" t="s">
        <v>355</v>
      </c>
      <c r="C253" s="1">
        <v>1</v>
      </c>
      <c r="F253" s="9" t="s">
        <v>593</v>
      </c>
      <c r="G253" s="10"/>
      <c r="H253" s="10">
        <v>1</v>
      </c>
      <c r="I253" s="10"/>
      <c r="J253" s="10"/>
      <c r="K253" s="10"/>
      <c r="L253" s="10">
        <v>1</v>
      </c>
      <c r="O253" t="s">
        <v>165</v>
      </c>
      <c r="P253">
        <v>2</v>
      </c>
      <c r="Q253">
        <f t="shared" si="12"/>
        <v>12</v>
      </c>
      <c r="R253">
        <f t="shared" si="13"/>
        <v>1.2431155079799796E-3</v>
      </c>
      <c r="S253">
        <f t="shared" si="15"/>
        <v>0.663202123507316</v>
      </c>
      <c r="T253" t="str">
        <f t="shared" si="14"/>
        <v>A</v>
      </c>
      <c r="V253" t="s">
        <v>165</v>
      </c>
      <c r="W253" t="s">
        <v>1244</v>
      </c>
    </row>
    <row r="254" spans="1:23" x14ac:dyDescent="0.25">
      <c r="A254" s="17">
        <v>44774</v>
      </c>
      <c r="B254" s="1" t="s">
        <v>356</v>
      </c>
      <c r="C254" s="1">
        <v>1</v>
      </c>
      <c r="F254" s="9" t="s">
        <v>1052</v>
      </c>
      <c r="G254" s="10"/>
      <c r="H254" s="10"/>
      <c r="I254" s="10"/>
      <c r="J254" s="10">
        <v>1</v>
      </c>
      <c r="K254" s="10"/>
      <c r="L254" s="10">
        <v>1</v>
      </c>
      <c r="O254" t="s">
        <v>920</v>
      </c>
      <c r="P254">
        <v>2</v>
      </c>
      <c r="Q254">
        <f t="shared" si="12"/>
        <v>12</v>
      </c>
      <c r="R254">
        <f t="shared" si="13"/>
        <v>1.2431155079799796E-3</v>
      </c>
      <c r="S254">
        <f t="shared" si="15"/>
        <v>0.66444523901529595</v>
      </c>
      <c r="T254" t="str">
        <f t="shared" si="14"/>
        <v>A</v>
      </c>
      <c r="V254" t="s">
        <v>920</v>
      </c>
      <c r="W254" t="s">
        <v>1244</v>
      </c>
    </row>
    <row r="255" spans="1:23" x14ac:dyDescent="0.25">
      <c r="A255" s="17">
        <v>44774</v>
      </c>
      <c r="B255" s="1" t="s">
        <v>358</v>
      </c>
      <c r="C255" s="1">
        <v>1</v>
      </c>
      <c r="F255" s="9" t="s">
        <v>950</v>
      </c>
      <c r="G255" s="10"/>
      <c r="H255" s="10"/>
      <c r="I255" s="10"/>
      <c r="J255" s="10">
        <v>1</v>
      </c>
      <c r="K255" s="10"/>
      <c r="L255" s="10">
        <v>1</v>
      </c>
      <c r="O255" t="s">
        <v>485</v>
      </c>
      <c r="P255">
        <v>2</v>
      </c>
      <c r="Q255">
        <f t="shared" si="12"/>
        <v>12</v>
      </c>
      <c r="R255">
        <f t="shared" si="13"/>
        <v>1.2431155079799796E-3</v>
      </c>
      <c r="S255">
        <f t="shared" si="15"/>
        <v>0.6656883545232759</v>
      </c>
      <c r="T255" t="str">
        <f t="shared" si="14"/>
        <v>A</v>
      </c>
      <c r="V255" t="s">
        <v>485</v>
      </c>
      <c r="W255" t="s">
        <v>1244</v>
      </c>
    </row>
    <row r="256" spans="1:23" x14ac:dyDescent="0.25">
      <c r="A256" s="17">
        <v>44774</v>
      </c>
      <c r="B256" s="1" t="s">
        <v>356</v>
      </c>
      <c r="C256" s="1">
        <v>1</v>
      </c>
      <c r="F256" s="9" t="s">
        <v>127</v>
      </c>
      <c r="G256" s="10">
        <v>1</v>
      </c>
      <c r="H256" s="10"/>
      <c r="I256" s="10"/>
      <c r="J256" s="10"/>
      <c r="K256" s="10">
        <v>1</v>
      </c>
      <c r="L256" s="10">
        <v>2</v>
      </c>
      <c r="O256" t="s">
        <v>699</v>
      </c>
      <c r="P256">
        <v>2</v>
      </c>
      <c r="Q256">
        <f t="shared" si="12"/>
        <v>12</v>
      </c>
      <c r="R256">
        <f t="shared" si="13"/>
        <v>1.2431155079799796E-3</v>
      </c>
      <c r="S256">
        <f t="shared" si="15"/>
        <v>0.66693147003125586</v>
      </c>
      <c r="T256" t="str">
        <f t="shared" si="14"/>
        <v>A</v>
      </c>
      <c r="V256" t="s">
        <v>699</v>
      </c>
      <c r="W256" t="s">
        <v>1244</v>
      </c>
    </row>
    <row r="257" spans="1:23" x14ac:dyDescent="0.25">
      <c r="A257" s="17">
        <v>44774</v>
      </c>
      <c r="B257" s="1" t="s">
        <v>248</v>
      </c>
      <c r="C257" s="1">
        <v>1</v>
      </c>
      <c r="F257" s="9" t="s">
        <v>255</v>
      </c>
      <c r="G257" s="10">
        <v>1</v>
      </c>
      <c r="H257" s="10"/>
      <c r="I257" s="10"/>
      <c r="J257" s="10"/>
      <c r="K257" s="10"/>
      <c r="L257" s="10">
        <v>1</v>
      </c>
      <c r="O257" t="s">
        <v>476</v>
      </c>
      <c r="P257">
        <v>2</v>
      </c>
      <c r="Q257">
        <f t="shared" si="12"/>
        <v>12</v>
      </c>
      <c r="R257">
        <f t="shared" si="13"/>
        <v>1.2431155079799796E-3</v>
      </c>
      <c r="S257">
        <f t="shared" si="15"/>
        <v>0.66817458553923581</v>
      </c>
      <c r="T257" t="str">
        <f t="shared" si="14"/>
        <v>A</v>
      </c>
      <c r="V257" t="s">
        <v>476</v>
      </c>
      <c r="W257" t="s">
        <v>1244</v>
      </c>
    </row>
    <row r="258" spans="1:23" x14ac:dyDescent="0.25">
      <c r="A258" s="17">
        <v>44774</v>
      </c>
      <c r="B258" s="1" t="s">
        <v>359</v>
      </c>
      <c r="C258" s="1">
        <v>1</v>
      </c>
      <c r="F258" s="9" t="s">
        <v>1039</v>
      </c>
      <c r="G258" s="10"/>
      <c r="H258" s="10"/>
      <c r="I258" s="10"/>
      <c r="J258" s="10">
        <v>1</v>
      </c>
      <c r="K258" s="10"/>
      <c r="L258" s="10">
        <v>1</v>
      </c>
      <c r="O258" t="s">
        <v>377</v>
      </c>
      <c r="P258">
        <v>2</v>
      </c>
      <c r="Q258">
        <f t="shared" si="12"/>
        <v>12</v>
      </c>
      <c r="R258">
        <f t="shared" si="13"/>
        <v>1.2431155079799796E-3</v>
      </c>
      <c r="S258">
        <f t="shared" si="15"/>
        <v>0.66941770104721576</v>
      </c>
      <c r="T258" t="str">
        <f t="shared" si="14"/>
        <v>A</v>
      </c>
      <c r="V258" t="s">
        <v>377</v>
      </c>
      <c r="W258" t="s">
        <v>1244</v>
      </c>
    </row>
    <row r="259" spans="1:23" x14ac:dyDescent="0.25">
      <c r="A259" s="17">
        <v>44774</v>
      </c>
      <c r="B259" s="1" t="s">
        <v>361</v>
      </c>
      <c r="C259" s="1">
        <v>1</v>
      </c>
      <c r="F259" s="9" t="s">
        <v>707</v>
      </c>
      <c r="G259" s="10"/>
      <c r="H259" s="10"/>
      <c r="I259" s="10">
        <v>1</v>
      </c>
      <c r="J259" s="10"/>
      <c r="K259" s="10"/>
      <c r="L259" s="10">
        <v>1</v>
      </c>
      <c r="O259" t="s">
        <v>229</v>
      </c>
      <c r="P259">
        <v>2</v>
      </c>
      <c r="Q259">
        <f t="shared" si="12"/>
        <v>12</v>
      </c>
      <c r="R259">
        <f t="shared" si="13"/>
        <v>1.2431155079799796E-3</v>
      </c>
      <c r="S259">
        <f t="shared" si="15"/>
        <v>0.67066081655519572</v>
      </c>
      <c r="T259" t="str">
        <f t="shared" si="14"/>
        <v>A</v>
      </c>
      <c r="V259" t="s">
        <v>229</v>
      </c>
      <c r="W259" t="s">
        <v>1244</v>
      </c>
    </row>
    <row r="260" spans="1:23" x14ac:dyDescent="0.25">
      <c r="A260" s="17">
        <v>44774</v>
      </c>
      <c r="B260" s="1" t="s">
        <v>361</v>
      </c>
      <c r="C260" s="1">
        <v>1</v>
      </c>
      <c r="F260" s="9" t="s">
        <v>548</v>
      </c>
      <c r="G260" s="10"/>
      <c r="H260" s="10">
        <v>3</v>
      </c>
      <c r="I260" s="10"/>
      <c r="J260" s="10"/>
      <c r="K260" s="10"/>
      <c r="L260" s="10">
        <v>3</v>
      </c>
      <c r="O260" t="s">
        <v>703</v>
      </c>
      <c r="P260">
        <v>2</v>
      </c>
      <c r="Q260">
        <f t="shared" si="12"/>
        <v>12</v>
      </c>
      <c r="R260">
        <f t="shared" si="13"/>
        <v>1.2431155079799796E-3</v>
      </c>
      <c r="S260">
        <f t="shared" si="15"/>
        <v>0.67190393206317567</v>
      </c>
      <c r="T260" t="str">
        <f t="shared" si="14"/>
        <v>A</v>
      </c>
      <c r="V260" t="s">
        <v>703</v>
      </c>
      <c r="W260" t="s">
        <v>1244</v>
      </c>
    </row>
    <row r="261" spans="1:23" x14ac:dyDescent="0.25">
      <c r="A261" s="17">
        <v>44774</v>
      </c>
      <c r="B261" s="1" t="s">
        <v>362</v>
      </c>
      <c r="C261" s="1">
        <v>1</v>
      </c>
      <c r="F261" s="9" t="s">
        <v>1174</v>
      </c>
      <c r="G261" s="10"/>
      <c r="H261" s="10"/>
      <c r="I261" s="10"/>
      <c r="J261" s="10"/>
      <c r="K261" s="10">
        <v>1</v>
      </c>
      <c r="L261" s="10">
        <v>1</v>
      </c>
      <c r="O261" t="s">
        <v>670</v>
      </c>
      <c r="P261">
        <v>2</v>
      </c>
      <c r="Q261">
        <f t="shared" ref="Q261:Q324" si="16">(P261/5)*30</f>
        <v>12</v>
      </c>
      <c r="R261">
        <f t="shared" ref="R261:R324" si="17">Q261/SUM($Q$4:$Q$806)</f>
        <v>1.2431155079799796E-3</v>
      </c>
      <c r="S261">
        <f t="shared" si="15"/>
        <v>0.67314704757115562</v>
      </c>
      <c r="T261" t="str">
        <f t="shared" ref="T261:T324" si="18">IF(S261&lt;0.8,"A", IF(S261&lt;0.95,"B","C"))</f>
        <v>A</v>
      </c>
      <c r="V261" t="s">
        <v>670</v>
      </c>
      <c r="W261" t="s">
        <v>1244</v>
      </c>
    </row>
    <row r="262" spans="1:23" x14ac:dyDescent="0.25">
      <c r="A262" s="17">
        <v>44774</v>
      </c>
      <c r="B262" s="1" t="s">
        <v>363</v>
      </c>
      <c r="C262" s="1">
        <v>1</v>
      </c>
      <c r="F262" s="9" t="s">
        <v>54</v>
      </c>
      <c r="G262" s="10">
        <v>1</v>
      </c>
      <c r="H262" s="10"/>
      <c r="I262" s="10"/>
      <c r="J262" s="10"/>
      <c r="K262" s="10"/>
      <c r="L262" s="10">
        <v>1</v>
      </c>
      <c r="O262" t="s">
        <v>316</v>
      </c>
      <c r="P262">
        <v>2</v>
      </c>
      <c r="Q262">
        <f t="shared" si="16"/>
        <v>12</v>
      </c>
      <c r="R262">
        <f t="shared" si="17"/>
        <v>1.2431155079799796E-3</v>
      </c>
      <c r="S262">
        <f t="shared" ref="S262:S325" si="19">R262+S261</f>
        <v>0.67439016307913557</v>
      </c>
      <c r="T262" t="str">
        <f t="shared" si="18"/>
        <v>A</v>
      </c>
      <c r="V262" t="s">
        <v>316</v>
      </c>
      <c r="W262" t="s">
        <v>1244</v>
      </c>
    </row>
    <row r="263" spans="1:23" x14ac:dyDescent="0.25">
      <c r="A263" s="17">
        <v>44774</v>
      </c>
      <c r="B263" s="1" t="s">
        <v>364</v>
      </c>
      <c r="C263" s="1">
        <v>1</v>
      </c>
      <c r="F263" s="9" t="s">
        <v>966</v>
      </c>
      <c r="G263" s="10"/>
      <c r="H263" s="10"/>
      <c r="I263" s="10"/>
      <c r="J263" s="10">
        <v>1</v>
      </c>
      <c r="K263" s="10"/>
      <c r="L263" s="10">
        <v>1</v>
      </c>
      <c r="O263" t="s">
        <v>119</v>
      </c>
      <c r="P263">
        <v>2</v>
      </c>
      <c r="Q263">
        <f t="shared" si="16"/>
        <v>12</v>
      </c>
      <c r="R263">
        <f t="shared" si="17"/>
        <v>1.2431155079799796E-3</v>
      </c>
      <c r="S263">
        <f t="shared" si="19"/>
        <v>0.67563327858711553</v>
      </c>
      <c r="T263" t="str">
        <f t="shared" si="18"/>
        <v>A</v>
      </c>
      <c r="V263" t="s">
        <v>119</v>
      </c>
      <c r="W263" t="s">
        <v>1244</v>
      </c>
    </row>
    <row r="264" spans="1:23" x14ac:dyDescent="0.25">
      <c r="A264" s="17">
        <v>44774</v>
      </c>
      <c r="B264" s="1" t="s">
        <v>366</v>
      </c>
      <c r="C264" s="1">
        <v>1</v>
      </c>
      <c r="F264" s="9" t="s">
        <v>398</v>
      </c>
      <c r="G264" s="10">
        <v>1</v>
      </c>
      <c r="H264" s="10"/>
      <c r="I264" s="10"/>
      <c r="J264" s="10"/>
      <c r="K264" s="10"/>
      <c r="L264" s="10">
        <v>1</v>
      </c>
      <c r="O264" t="s">
        <v>239</v>
      </c>
      <c r="P264">
        <v>2</v>
      </c>
      <c r="Q264">
        <f t="shared" si="16"/>
        <v>12</v>
      </c>
      <c r="R264">
        <f t="shared" si="17"/>
        <v>1.2431155079799796E-3</v>
      </c>
      <c r="S264">
        <f t="shared" si="19"/>
        <v>0.67687639409509548</v>
      </c>
      <c r="T264" t="str">
        <f t="shared" si="18"/>
        <v>A</v>
      </c>
      <c r="V264" t="s">
        <v>239</v>
      </c>
      <c r="W264" t="s">
        <v>1244</v>
      </c>
    </row>
    <row r="265" spans="1:23" x14ac:dyDescent="0.25">
      <c r="A265" s="17">
        <v>44774</v>
      </c>
      <c r="B265" s="1" t="s">
        <v>367</v>
      </c>
      <c r="C265" s="1">
        <v>1</v>
      </c>
      <c r="F265" s="9" t="s">
        <v>401</v>
      </c>
      <c r="G265" s="10">
        <v>1</v>
      </c>
      <c r="H265" s="10"/>
      <c r="I265" s="10"/>
      <c r="J265" s="10"/>
      <c r="K265" s="10"/>
      <c r="L265" s="10">
        <v>1</v>
      </c>
      <c r="O265" t="s">
        <v>527</v>
      </c>
      <c r="P265">
        <v>2</v>
      </c>
      <c r="Q265">
        <f t="shared" si="16"/>
        <v>12</v>
      </c>
      <c r="R265">
        <f t="shared" si="17"/>
        <v>1.2431155079799796E-3</v>
      </c>
      <c r="S265">
        <f t="shared" si="19"/>
        <v>0.67811950960307543</v>
      </c>
      <c r="T265" t="str">
        <f t="shared" si="18"/>
        <v>A</v>
      </c>
      <c r="V265" t="s">
        <v>527</v>
      </c>
      <c r="W265" t="s">
        <v>1244</v>
      </c>
    </row>
    <row r="266" spans="1:23" x14ac:dyDescent="0.25">
      <c r="A266" s="17">
        <v>44774</v>
      </c>
      <c r="B266" s="1" t="s">
        <v>368</v>
      </c>
      <c r="C266" s="1">
        <v>1</v>
      </c>
      <c r="F266" s="9" t="s">
        <v>1012</v>
      </c>
      <c r="G266" s="10"/>
      <c r="H266" s="10"/>
      <c r="I266" s="10"/>
      <c r="J266" s="10">
        <v>2</v>
      </c>
      <c r="K266" s="10"/>
      <c r="L266" s="10">
        <v>2</v>
      </c>
      <c r="O266" t="s">
        <v>80</v>
      </c>
      <c r="P266">
        <v>2</v>
      </c>
      <c r="Q266">
        <f t="shared" si="16"/>
        <v>12</v>
      </c>
      <c r="R266">
        <f t="shared" si="17"/>
        <v>1.2431155079799796E-3</v>
      </c>
      <c r="S266">
        <f t="shared" si="19"/>
        <v>0.67936262511105538</v>
      </c>
      <c r="T266" t="str">
        <f t="shared" si="18"/>
        <v>A</v>
      </c>
      <c r="V266" t="s">
        <v>80</v>
      </c>
      <c r="W266" t="s">
        <v>1244</v>
      </c>
    </row>
    <row r="267" spans="1:23" x14ac:dyDescent="0.25">
      <c r="A267" s="17">
        <v>44774</v>
      </c>
      <c r="B267" s="1" t="s">
        <v>369</v>
      </c>
      <c r="C267" s="1">
        <v>1</v>
      </c>
      <c r="F267" s="9" t="s">
        <v>1130</v>
      </c>
      <c r="G267" s="10"/>
      <c r="H267" s="10"/>
      <c r="I267" s="10"/>
      <c r="J267" s="10"/>
      <c r="K267" s="10">
        <v>1</v>
      </c>
      <c r="L267" s="10">
        <v>1</v>
      </c>
      <c r="O267" t="s">
        <v>68</v>
      </c>
      <c r="P267">
        <v>2</v>
      </c>
      <c r="Q267">
        <f t="shared" si="16"/>
        <v>12</v>
      </c>
      <c r="R267">
        <f t="shared" si="17"/>
        <v>1.2431155079799796E-3</v>
      </c>
      <c r="S267">
        <f t="shared" si="19"/>
        <v>0.68060574061903534</v>
      </c>
      <c r="T267" t="str">
        <f t="shared" si="18"/>
        <v>A</v>
      </c>
      <c r="V267" t="s">
        <v>68</v>
      </c>
      <c r="W267" t="s">
        <v>1244</v>
      </c>
    </row>
    <row r="268" spans="1:23" x14ac:dyDescent="0.25">
      <c r="A268" s="17">
        <v>44774</v>
      </c>
      <c r="B268" s="1" t="s">
        <v>371</v>
      </c>
      <c r="C268" s="1">
        <v>1</v>
      </c>
      <c r="F268" s="9" t="s">
        <v>1055</v>
      </c>
      <c r="G268" s="10"/>
      <c r="H268" s="10"/>
      <c r="I268" s="10"/>
      <c r="J268" s="10">
        <v>1</v>
      </c>
      <c r="K268" s="10"/>
      <c r="L268" s="10">
        <v>1</v>
      </c>
      <c r="O268" t="s">
        <v>25</v>
      </c>
      <c r="P268">
        <v>2</v>
      </c>
      <c r="Q268">
        <f t="shared" si="16"/>
        <v>12</v>
      </c>
      <c r="R268">
        <f t="shared" si="17"/>
        <v>1.2431155079799796E-3</v>
      </c>
      <c r="S268">
        <f t="shared" si="19"/>
        <v>0.68184885612701529</v>
      </c>
      <c r="T268" t="str">
        <f t="shared" si="18"/>
        <v>A</v>
      </c>
      <c r="V268" t="s">
        <v>25</v>
      </c>
      <c r="W268" t="s">
        <v>1244</v>
      </c>
    </row>
    <row r="269" spans="1:23" x14ac:dyDescent="0.25">
      <c r="A269" s="17">
        <v>44774</v>
      </c>
      <c r="B269" s="1" t="s">
        <v>372</v>
      </c>
      <c r="C269" s="1">
        <v>1</v>
      </c>
      <c r="F269" s="9" t="s">
        <v>655</v>
      </c>
      <c r="G269" s="10"/>
      <c r="H269" s="10">
        <v>1</v>
      </c>
      <c r="I269" s="10"/>
      <c r="J269" s="10"/>
      <c r="K269" s="10"/>
      <c r="L269" s="10">
        <v>1</v>
      </c>
      <c r="O269" t="s">
        <v>565</v>
      </c>
      <c r="P269">
        <v>2</v>
      </c>
      <c r="Q269">
        <f t="shared" si="16"/>
        <v>12</v>
      </c>
      <c r="R269">
        <f t="shared" si="17"/>
        <v>1.2431155079799796E-3</v>
      </c>
      <c r="S269">
        <f t="shared" si="19"/>
        <v>0.68309197163499524</v>
      </c>
      <c r="T269" t="str">
        <f t="shared" si="18"/>
        <v>A</v>
      </c>
      <c r="V269" t="s">
        <v>565</v>
      </c>
      <c r="W269" t="s">
        <v>1244</v>
      </c>
    </row>
    <row r="270" spans="1:23" x14ac:dyDescent="0.25">
      <c r="A270" s="17">
        <v>44774</v>
      </c>
      <c r="B270" s="1" t="s">
        <v>373</v>
      </c>
      <c r="C270" s="1">
        <v>0.33333333999999998</v>
      </c>
      <c r="F270" s="9" t="s">
        <v>610</v>
      </c>
      <c r="G270" s="10"/>
      <c r="H270" s="10">
        <v>1</v>
      </c>
      <c r="I270" s="10"/>
      <c r="J270" s="10"/>
      <c r="K270" s="10"/>
      <c r="L270" s="10">
        <v>1</v>
      </c>
      <c r="O270" t="s">
        <v>30</v>
      </c>
      <c r="P270">
        <v>2</v>
      </c>
      <c r="Q270">
        <f t="shared" si="16"/>
        <v>12</v>
      </c>
      <c r="R270">
        <f t="shared" si="17"/>
        <v>1.2431155079799796E-3</v>
      </c>
      <c r="S270">
        <f t="shared" si="19"/>
        <v>0.6843350871429752</v>
      </c>
      <c r="T270" t="str">
        <f t="shared" si="18"/>
        <v>A</v>
      </c>
      <c r="V270" t="s">
        <v>30</v>
      </c>
      <c r="W270" t="s">
        <v>1244</v>
      </c>
    </row>
    <row r="271" spans="1:23" x14ac:dyDescent="0.25">
      <c r="A271" s="17">
        <v>44774</v>
      </c>
      <c r="B271" s="1" t="s">
        <v>375</v>
      </c>
      <c r="C271" s="1">
        <v>24</v>
      </c>
      <c r="F271" s="9" t="s">
        <v>313</v>
      </c>
      <c r="G271" s="10">
        <v>1</v>
      </c>
      <c r="H271" s="10"/>
      <c r="I271" s="10"/>
      <c r="J271" s="10"/>
      <c r="K271" s="10"/>
      <c r="L271" s="10">
        <v>1</v>
      </c>
      <c r="O271" t="s">
        <v>413</v>
      </c>
      <c r="P271">
        <v>1.3</v>
      </c>
      <c r="Q271">
        <f t="shared" si="16"/>
        <v>7.8000000000000007</v>
      </c>
      <c r="R271">
        <f t="shared" si="17"/>
        <v>8.0802508018698691E-4</v>
      </c>
      <c r="S271">
        <f t="shared" si="19"/>
        <v>0.68514311222316215</v>
      </c>
      <c r="T271" t="str">
        <f t="shared" si="18"/>
        <v>A</v>
      </c>
      <c r="V271" t="s">
        <v>413</v>
      </c>
      <c r="W271" t="s">
        <v>1244</v>
      </c>
    </row>
    <row r="272" spans="1:23" x14ac:dyDescent="0.25">
      <c r="A272" s="17">
        <v>44774</v>
      </c>
      <c r="B272" s="1" t="s">
        <v>376</v>
      </c>
      <c r="C272" s="1">
        <v>1</v>
      </c>
      <c r="F272" s="9" t="s">
        <v>238</v>
      </c>
      <c r="G272" s="10">
        <v>1</v>
      </c>
      <c r="H272" s="10">
        <v>1</v>
      </c>
      <c r="I272" s="10"/>
      <c r="J272" s="10">
        <v>1</v>
      </c>
      <c r="K272" s="10">
        <v>1</v>
      </c>
      <c r="L272" s="10">
        <v>4</v>
      </c>
      <c r="O272" t="s">
        <v>151</v>
      </c>
      <c r="P272">
        <v>1</v>
      </c>
      <c r="Q272">
        <f t="shared" si="16"/>
        <v>6</v>
      </c>
      <c r="R272">
        <f t="shared" si="17"/>
        <v>6.2155775398998981E-4</v>
      </c>
      <c r="S272">
        <f t="shared" si="19"/>
        <v>0.68576466997715213</v>
      </c>
      <c r="T272" t="str">
        <f t="shared" si="18"/>
        <v>A</v>
      </c>
      <c r="V272" t="s">
        <v>151</v>
      </c>
      <c r="W272" t="s">
        <v>1244</v>
      </c>
    </row>
    <row r="273" spans="1:23" x14ac:dyDescent="0.25">
      <c r="A273" s="17">
        <v>44774</v>
      </c>
      <c r="B273" s="1" t="s">
        <v>376</v>
      </c>
      <c r="C273" s="1">
        <v>1</v>
      </c>
      <c r="F273" s="9" t="s">
        <v>330</v>
      </c>
      <c r="G273" s="10">
        <v>2</v>
      </c>
      <c r="H273" s="10"/>
      <c r="I273" s="10">
        <v>1</v>
      </c>
      <c r="J273" s="10"/>
      <c r="K273" s="10"/>
      <c r="L273" s="10">
        <v>3</v>
      </c>
      <c r="O273" t="s">
        <v>515</v>
      </c>
      <c r="P273">
        <v>1</v>
      </c>
      <c r="Q273">
        <f t="shared" si="16"/>
        <v>6</v>
      </c>
      <c r="R273">
        <f t="shared" si="17"/>
        <v>6.2155775398998981E-4</v>
      </c>
      <c r="S273">
        <f t="shared" si="19"/>
        <v>0.68638622773114211</v>
      </c>
      <c r="T273" t="str">
        <f t="shared" si="18"/>
        <v>A</v>
      </c>
      <c r="V273" t="s">
        <v>515</v>
      </c>
      <c r="W273" t="s">
        <v>1244</v>
      </c>
    </row>
    <row r="274" spans="1:23" x14ac:dyDescent="0.25">
      <c r="A274" s="17">
        <v>44774</v>
      </c>
      <c r="B274" s="1" t="s">
        <v>377</v>
      </c>
      <c r="C274" s="1">
        <v>1</v>
      </c>
      <c r="F274" s="9" t="s">
        <v>460</v>
      </c>
      <c r="G274" s="10">
        <v>1</v>
      </c>
      <c r="H274" s="10"/>
      <c r="I274" s="10"/>
      <c r="J274" s="10"/>
      <c r="K274" s="10"/>
      <c r="L274" s="10">
        <v>1</v>
      </c>
      <c r="O274" t="s">
        <v>867</v>
      </c>
      <c r="P274">
        <v>1</v>
      </c>
      <c r="Q274">
        <f t="shared" si="16"/>
        <v>6</v>
      </c>
      <c r="R274">
        <f t="shared" si="17"/>
        <v>6.2155775398998981E-4</v>
      </c>
      <c r="S274">
        <f t="shared" si="19"/>
        <v>0.68700778548513208</v>
      </c>
      <c r="T274" t="str">
        <f t="shared" si="18"/>
        <v>A</v>
      </c>
      <c r="V274" t="s">
        <v>867</v>
      </c>
      <c r="W274" t="s">
        <v>1244</v>
      </c>
    </row>
    <row r="275" spans="1:23" x14ac:dyDescent="0.25">
      <c r="A275" s="17">
        <v>44774</v>
      </c>
      <c r="B275" s="1" t="s">
        <v>377</v>
      </c>
      <c r="C275" s="1">
        <v>1</v>
      </c>
      <c r="F275" s="9" t="s">
        <v>1134</v>
      </c>
      <c r="G275" s="10"/>
      <c r="H275" s="10"/>
      <c r="I275" s="10"/>
      <c r="J275" s="10"/>
      <c r="K275" s="10">
        <v>1</v>
      </c>
      <c r="L275" s="10">
        <v>1</v>
      </c>
      <c r="O275" t="s">
        <v>106</v>
      </c>
      <c r="P275">
        <v>1</v>
      </c>
      <c r="Q275">
        <f t="shared" si="16"/>
        <v>6</v>
      </c>
      <c r="R275">
        <f t="shared" si="17"/>
        <v>6.2155775398998981E-4</v>
      </c>
      <c r="S275">
        <f t="shared" si="19"/>
        <v>0.68762934323912206</v>
      </c>
      <c r="T275" t="str">
        <f t="shared" si="18"/>
        <v>A</v>
      </c>
      <c r="V275" t="s">
        <v>106</v>
      </c>
      <c r="W275" t="s">
        <v>1244</v>
      </c>
    </row>
    <row r="276" spans="1:23" x14ac:dyDescent="0.25">
      <c r="A276" s="17">
        <v>44774</v>
      </c>
      <c r="B276" s="1" t="s">
        <v>378</v>
      </c>
      <c r="C276" s="1">
        <v>1</v>
      </c>
      <c r="F276" s="9" t="s">
        <v>125</v>
      </c>
      <c r="G276" s="10">
        <v>1</v>
      </c>
      <c r="H276" s="10"/>
      <c r="I276" s="10">
        <v>1</v>
      </c>
      <c r="J276" s="10">
        <v>1</v>
      </c>
      <c r="K276" s="10"/>
      <c r="L276" s="10">
        <v>3</v>
      </c>
      <c r="O276" t="s">
        <v>1209</v>
      </c>
      <c r="P276">
        <v>1</v>
      </c>
      <c r="Q276">
        <f t="shared" si="16"/>
        <v>6</v>
      </c>
      <c r="R276">
        <f t="shared" si="17"/>
        <v>6.2155775398998981E-4</v>
      </c>
      <c r="S276">
        <f t="shared" si="19"/>
        <v>0.68825090099311204</v>
      </c>
      <c r="T276" t="str">
        <f t="shared" si="18"/>
        <v>A</v>
      </c>
      <c r="V276" t="s">
        <v>1209</v>
      </c>
      <c r="W276" t="s">
        <v>1244</v>
      </c>
    </row>
    <row r="277" spans="1:23" x14ac:dyDescent="0.25">
      <c r="A277" s="17">
        <v>44774</v>
      </c>
      <c r="B277" s="1" t="s">
        <v>378</v>
      </c>
      <c r="C277" s="1">
        <v>1</v>
      </c>
      <c r="F277" s="9" t="s">
        <v>578</v>
      </c>
      <c r="G277" s="10"/>
      <c r="H277" s="10">
        <v>1</v>
      </c>
      <c r="I277" s="10"/>
      <c r="J277" s="10"/>
      <c r="K277" s="10"/>
      <c r="L277" s="10">
        <v>1</v>
      </c>
      <c r="O277" t="s">
        <v>41</v>
      </c>
      <c r="P277">
        <v>1</v>
      </c>
      <c r="Q277">
        <f t="shared" si="16"/>
        <v>6</v>
      </c>
      <c r="R277">
        <f t="shared" si="17"/>
        <v>6.2155775398998981E-4</v>
      </c>
      <c r="S277">
        <f t="shared" si="19"/>
        <v>0.68887245874710201</v>
      </c>
      <c r="T277" t="str">
        <f t="shared" si="18"/>
        <v>A</v>
      </c>
      <c r="V277" t="s">
        <v>41</v>
      </c>
      <c r="W277" t="s">
        <v>1244</v>
      </c>
    </row>
    <row r="278" spans="1:23" x14ac:dyDescent="0.25">
      <c r="A278" s="17">
        <v>44774</v>
      </c>
      <c r="B278" s="1" t="s">
        <v>379</v>
      </c>
      <c r="C278" s="1">
        <v>1</v>
      </c>
      <c r="F278" s="9" t="s">
        <v>874</v>
      </c>
      <c r="G278" s="10"/>
      <c r="H278" s="10"/>
      <c r="I278" s="10">
        <v>1</v>
      </c>
      <c r="J278" s="10"/>
      <c r="K278" s="10"/>
      <c r="L278" s="10">
        <v>1</v>
      </c>
      <c r="O278" t="s">
        <v>763</v>
      </c>
      <c r="P278">
        <v>1</v>
      </c>
      <c r="Q278">
        <f t="shared" si="16"/>
        <v>6</v>
      </c>
      <c r="R278">
        <f t="shared" si="17"/>
        <v>6.2155775398998981E-4</v>
      </c>
      <c r="S278">
        <f t="shared" si="19"/>
        <v>0.68949401650109199</v>
      </c>
      <c r="T278" t="str">
        <f t="shared" si="18"/>
        <v>A</v>
      </c>
      <c r="V278" t="s">
        <v>763</v>
      </c>
      <c r="W278" t="s">
        <v>1244</v>
      </c>
    </row>
    <row r="279" spans="1:23" x14ac:dyDescent="0.25">
      <c r="A279" s="17">
        <v>44774</v>
      </c>
      <c r="B279" s="1" t="s">
        <v>254</v>
      </c>
      <c r="C279" s="1">
        <v>1</v>
      </c>
      <c r="F279" s="9" t="s">
        <v>387</v>
      </c>
      <c r="G279" s="10">
        <v>2</v>
      </c>
      <c r="H279" s="10"/>
      <c r="I279" s="10"/>
      <c r="J279" s="10"/>
      <c r="K279" s="10"/>
      <c r="L279" s="10">
        <v>2</v>
      </c>
      <c r="O279" t="s">
        <v>502</v>
      </c>
      <c r="P279">
        <v>1</v>
      </c>
      <c r="Q279">
        <f t="shared" si="16"/>
        <v>6</v>
      </c>
      <c r="R279">
        <f t="shared" si="17"/>
        <v>6.2155775398998981E-4</v>
      </c>
      <c r="S279">
        <f t="shared" si="19"/>
        <v>0.69011557425508196</v>
      </c>
      <c r="T279" t="str">
        <f t="shared" si="18"/>
        <v>A</v>
      </c>
      <c r="V279" t="s">
        <v>502</v>
      </c>
      <c r="W279" t="s">
        <v>1244</v>
      </c>
    </row>
    <row r="280" spans="1:23" x14ac:dyDescent="0.25">
      <c r="A280" s="17">
        <v>44774</v>
      </c>
      <c r="B280" s="1" t="s">
        <v>254</v>
      </c>
      <c r="C280" s="1">
        <v>1</v>
      </c>
      <c r="F280" s="9" t="s">
        <v>376</v>
      </c>
      <c r="G280" s="10">
        <v>2</v>
      </c>
      <c r="H280" s="10"/>
      <c r="I280" s="10"/>
      <c r="J280" s="10"/>
      <c r="K280" s="10"/>
      <c r="L280" s="10">
        <v>2</v>
      </c>
      <c r="O280" t="s">
        <v>868</v>
      </c>
      <c r="P280">
        <v>1</v>
      </c>
      <c r="Q280">
        <f t="shared" si="16"/>
        <v>6</v>
      </c>
      <c r="R280">
        <f t="shared" si="17"/>
        <v>6.2155775398998981E-4</v>
      </c>
      <c r="S280">
        <f t="shared" si="19"/>
        <v>0.69073713200907194</v>
      </c>
      <c r="T280" t="str">
        <f t="shared" si="18"/>
        <v>A</v>
      </c>
      <c r="V280" t="s">
        <v>868</v>
      </c>
      <c r="W280" t="s">
        <v>1244</v>
      </c>
    </row>
    <row r="281" spans="1:23" x14ac:dyDescent="0.25">
      <c r="A281" s="17">
        <v>44774</v>
      </c>
      <c r="B281" s="1" t="s">
        <v>381</v>
      </c>
      <c r="C281" s="1">
        <v>1</v>
      </c>
      <c r="F281" s="9" t="s">
        <v>777</v>
      </c>
      <c r="G281" s="10"/>
      <c r="H281" s="10"/>
      <c r="I281" s="10">
        <v>1</v>
      </c>
      <c r="J281" s="10"/>
      <c r="K281" s="10"/>
      <c r="L281" s="10">
        <v>1</v>
      </c>
      <c r="O281" t="s">
        <v>901</v>
      </c>
      <c r="P281">
        <v>1</v>
      </c>
      <c r="Q281">
        <f t="shared" si="16"/>
        <v>6</v>
      </c>
      <c r="R281">
        <f t="shared" si="17"/>
        <v>6.2155775398998981E-4</v>
      </c>
      <c r="S281">
        <f t="shared" si="19"/>
        <v>0.69135868976306192</v>
      </c>
      <c r="T281" t="str">
        <f t="shared" si="18"/>
        <v>A</v>
      </c>
      <c r="V281" t="s">
        <v>901</v>
      </c>
      <c r="W281" t="s">
        <v>1244</v>
      </c>
    </row>
    <row r="282" spans="1:23" x14ac:dyDescent="0.25">
      <c r="A282" s="17">
        <v>44774</v>
      </c>
      <c r="B282" s="1" t="s">
        <v>382</v>
      </c>
      <c r="C282" s="1">
        <v>1</v>
      </c>
      <c r="F282" s="9" t="s">
        <v>1081</v>
      </c>
      <c r="G282" s="10"/>
      <c r="H282" s="10"/>
      <c r="I282" s="10"/>
      <c r="J282" s="10"/>
      <c r="K282" s="10">
        <v>1</v>
      </c>
      <c r="L282" s="10">
        <v>1</v>
      </c>
      <c r="O282" t="s">
        <v>999</v>
      </c>
      <c r="P282">
        <v>1</v>
      </c>
      <c r="Q282">
        <f t="shared" si="16"/>
        <v>6</v>
      </c>
      <c r="R282">
        <f t="shared" si="17"/>
        <v>6.2155775398998981E-4</v>
      </c>
      <c r="S282">
        <f t="shared" si="19"/>
        <v>0.69198024751705189</v>
      </c>
      <c r="T282" t="str">
        <f t="shared" si="18"/>
        <v>A</v>
      </c>
      <c r="V282" t="s">
        <v>999</v>
      </c>
      <c r="W282" t="s">
        <v>1244</v>
      </c>
    </row>
    <row r="283" spans="1:23" x14ac:dyDescent="0.25">
      <c r="A283" s="17">
        <v>44774</v>
      </c>
      <c r="B283" s="1" t="s">
        <v>383</v>
      </c>
      <c r="C283" s="1">
        <v>1</v>
      </c>
      <c r="F283" s="9" t="s">
        <v>518</v>
      </c>
      <c r="G283" s="10"/>
      <c r="H283" s="10">
        <v>2</v>
      </c>
      <c r="I283" s="10"/>
      <c r="J283" s="10"/>
      <c r="K283" s="10">
        <v>1</v>
      </c>
      <c r="L283" s="10">
        <v>3</v>
      </c>
      <c r="O283" t="s">
        <v>1124</v>
      </c>
      <c r="P283">
        <v>1</v>
      </c>
      <c r="Q283">
        <f t="shared" si="16"/>
        <v>6</v>
      </c>
      <c r="R283">
        <f t="shared" si="17"/>
        <v>6.2155775398998981E-4</v>
      </c>
      <c r="S283">
        <f t="shared" si="19"/>
        <v>0.69260180527104187</v>
      </c>
      <c r="T283" t="str">
        <f t="shared" si="18"/>
        <v>A</v>
      </c>
      <c r="V283" t="s">
        <v>1124</v>
      </c>
      <c r="W283" t="s">
        <v>1244</v>
      </c>
    </row>
    <row r="284" spans="1:23" x14ac:dyDescent="0.25">
      <c r="A284" s="17">
        <v>44774</v>
      </c>
      <c r="B284" s="1" t="s">
        <v>384</v>
      </c>
      <c r="C284" s="1">
        <v>1</v>
      </c>
      <c r="F284" s="9" t="s">
        <v>425</v>
      </c>
      <c r="G284" s="10">
        <v>2</v>
      </c>
      <c r="H284" s="10"/>
      <c r="I284" s="10"/>
      <c r="J284" s="10"/>
      <c r="K284" s="10"/>
      <c r="L284" s="10">
        <v>2</v>
      </c>
      <c r="O284" t="s">
        <v>1196</v>
      </c>
      <c r="P284">
        <v>1</v>
      </c>
      <c r="Q284">
        <f t="shared" si="16"/>
        <v>6</v>
      </c>
      <c r="R284">
        <f t="shared" si="17"/>
        <v>6.2155775398998981E-4</v>
      </c>
      <c r="S284">
        <f t="shared" si="19"/>
        <v>0.69322336302503185</v>
      </c>
      <c r="T284" t="str">
        <f t="shared" si="18"/>
        <v>A</v>
      </c>
      <c r="V284" t="s">
        <v>1196</v>
      </c>
      <c r="W284" t="s">
        <v>1244</v>
      </c>
    </row>
    <row r="285" spans="1:23" x14ac:dyDescent="0.25">
      <c r="A285" s="17">
        <v>44774</v>
      </c>
      <c r="B285" s="1" t="s">
        <v>386</v>
      </c>
      <c r="C285" s="1">
        <v>1</v>
      </c>
      <c r="F285" s="9" t="s">
        <v>657</v>
      </c>
      <c r="G285" s="10"/>
      <c r="H285" s="10">
        <v>1</v>
      </c>
      <c r="I285" s="10"/>
      <c r="J285" s="10"/>
      <c r="K285" s="10"/>
      <c r="L285" s="10">
        <v>1</v>
      </c>
      <c r="O285" t="s">
        <v>553</v>
      </c>
      <c r="P285">
        <v>1</v>
      </c>
      <c r="Q285">
        <f t="shared" si="16"/>
        <v>6</v>
      </c>
      <c r="R285">
        <f t="shared" si="17"/>
        <v>6.2155775398998981E-4</v>
      </c>
      <c r="S285">
        <f t="shared" si="19"/>
        <v>0.69384492077902182</v>
      </c>
      <c r="T285" t="str">
        <f t="shared" si="18"/>
        <v>A</v>
      </c>
      <c r="V285" t="s">
        <v>553</v>
      </c>
      <c r="W285" t="s">
        <v>1244</v>
      </c>
    </row>
    <row r="286" spans="1:23" x14ac:dyDescent="0.25">
      <c r="A286" s="17">
        <v>44774</v>
      </c>
      <c r="B286" s="1" t="s">
        <v>386</v>
      </c>
      <c r="C286" s="1">
        <v>1</v>
      </c>
      <c r="F286" s="9" t="s">
        <v>87</v>
      </c>
      <c r="G286" s="10">
        <v>1</v>
      </c>
      <c r="H286" s="10"/>
      <c r="I286" s="10"/>
      <c r="J286" s="10"/>
      <c r="K286" s="10">
        <v>1</v>
      </c>
      <c r="L286" s="10">
        <v>2</v>
      </c>
      <c r="O286" t="s">
        <v>495</v>
      </c>
      <c r="P286">
        <v>1</v>
      </c>
      <c r="Q286">
        <f t="shared" si="16"/>
        <v>6</v>
      </c>
      <c r="R286">
        <f t="shared" si="17"/>
        <v>6.2155775398998981E-4</v>
      </c>
      <c r="S286">
        <f t="shared" si="19"/>
        <v>0.6944664785330118</v>
      </c>
      <c r="T286" t="str">
        <f t="shared" si="18"/>
        <v>A</v>
      </c>
      <c r="V286" t="s">
        <v>495</v>
      </c>
      <c r="W286" t="s">
        <v>1244</v>
      </c>
    </row>
    <row r="287" spans="1:23" x14ac:dyDescent="0.25">
      <c r="A287" s="17">
        <v>44774</v>
      </c>
      <c r="B287" s="1" t="s">
        <v>387</v>
      </c>
      <c r="C287" s="1">
        <v>1</v>
      </c>
      <c r="F287" s="9" t="s">
        <v>379</v>
      </c>
      <c r="G287" s="10">
        <v>1</v>
      </c>
      <c r="H287" s="10"/>
      <c r="I287" s="10"/>
      <c r="J287" s="10"/>
      <c r="K287" s="10">
        <v>1</v>
      </c>
      <c r="L287" s="10">
        <v>2</v>
      </c>
      <c r="O287" t="s">
        <v>864</v>
      </c>
      <c r="P287">
        <v>1</v>
      </c>
      <c r="Q287">
        <f t="shared" si="16"/>
        <v>6</v>
      </c>
      <c r="R287">
        <f t="shared" si="17"/>
        <v>6.2155775398998981E-4</v>
      </c>
      <c r="S287">
        <f t="shared" si="19"/>
        <v>0.69508803628700178</v>
      </c>
      <c r="T287" t="str">
        <f t="shared" si="18"/>
        <v>A</v>
      </c>
      <c r="V287" t="s">
        <v>864</v>
      </c>
      <c r="W287" t="s">
        <v>1244</v>
      </c>
    </row>
    <row r="288" spans="1:23" x14ac:dyDescent="0.25">
      <c r="A288" s="17">
        <v>44774</v>
      </c>
      <c r="B288" s="1" t="s">
        <v>387</v>
      </c>
      <c r="C288" s="1">
        <v>1</v>
      </c>
      <c r="F288" s="9" t="s">
        <v>992</v>
      </c>
      <c r="G288" s="10"/>
      <c r="H288" s="10"/>
      <c r="I288" s="10"/>
      <c r="J288" s="10">
        <v>1</v>
      </c>
      <c r="K288" s="10"/>
      <c r="L288" s="10">
        <v>1</v>
      </c>
      <c r="O288" t="s">
        <v>1076</v>
      </c>
      <c r="P288">
        <v>1</v>
      </c>
      <c r="Q288">
        <f t="shared" si="16"/>
        <v>6</v>
      </c>
      <c r="R288">
        <f t="shared" si="17"/>
        <v>6.2155775398998981E-4</v>
      </c>
      <c r="S288">
        <f t="shared" si="19"/>
        <v>0.69570959404099175</v>
      </c>
      <c r="T288" t="str">
        <f t="shared" si="18"/>
        <v>A</v>
      </c>
      <c r="V288" t="s">
        <v>1076</v>
      </c>
      <c r="W288" t="s">
        <v>1244</v>
      </c>
    </row>
    <row r="289" spans="1:23" x14ac:dyDescent="0.25">
      <c r="A289" s="17">
        <v>44774</v>
      </c>
      <c r="B289" s="1" t="s">
        <v>389</v>
      </c>
      <c r="C289" s="1">
        <v>1</v>
      </c>
      <c r="F289" s="9" t="s">
        <v>926</v>
      </c>
      <c r="G289" s="10"/>
      <c r="H289" s="10"/>
      <c r="I289" s="10"/>
      <c r="J289" s="10">
        <v>1</v>
      </c>
      <c r="K289" s="10"/>
      <c r="L289" s="10">
        <v>1</v>
      </c>
      <c r="O289" t="s">
        <v>961</v>
      </c>
      <c r="P289">
        <v>1</v>
      </c>
      <c r="Q289">
        <f t="shared" si="16"/>
        <v>6</v>
      </c>
      <c r="R289">
        <f t="shared" si="17"/>
        <v>6.2155775398998981E-4</v>
      </c>
      <c r="S289">
        <f t="shared" si="19"/>
        <v>0.69633115179498173</v>
      </c>
      <c r="T289" t="str">
        <f t="shared" si="18"/>
        <v>A</v>
      </c>
      <c r="V289" t="s">
        <v>961</v>
      </c>
      <c r="W289" t="s">
        <v>1244</v>
      </c>
    </row>
    <row r="290" spans="1:23" x14ac:dyDescent="0.25">
      <c r="A290" s="17">
        <v>44774</v>
      </c>
      <c r="B290" s="1" t="s">
        <v>390</v>
      </c>
      <c r="C290" s="1">
        <v>1</v>
      </c>
      <c r="F290" s="9" t="s">
        <v>1022</v>
      </c>
      <c r="G290" s="10"/>
      <c r="H290" s="10"/>
      <c r="I290" s="10"/>
      <c r="J290" s="10">
        <v>1</v>
      </c>
      <c r="K290" s="10"/>
      <c r="L290" s="10">
        <v>1</v>
      </c>
      <c r="O290" t="s">
        <v>861</v>
      </c>
      <c r="P290">
        <v>1</v>
      </c>
      <c r="Q290">
        <f t="shared" si="16"/>
        <v>6</v>
      </c>
      <c r="R290">
        <f t="shared" si="17"/>
        <v>6.2155775398998981E-4</v>
      </c>
      <c r="S290">
        <f t="shared" si="19"/>
        <v>0.69695270954897171</v>
      </c>
      <c r="T290" t="str">
        <f t="shared" si="18"/>
        <v>A</v>
      </c>
      <c r="V290" t="s">
        <v>861</v>
      </c>
      <c r="W290" t="s">
        <v>1244</v>
      </c>
    </row>
    <row r="291" spans="1:23" x14ac:dyDescent="0.25">
      <c r="A291" s="17">
        <v>44774</v>
      </c>
      <c r="B291" s="1" t="s">
        <v>392</v>
      </c>
      <c r="C291" s="1">
        <v>1</v>
      </c>
      <c r="F291" s="9" t="s">
        <v>976</v>
      </c>
      <c r="G291" s="10"/>
      <c r="H291" s="10"/>
      <c r="I291" s="10"/>
      <c r="J291" s="10">
        <v>3</v>
      </c>
      <c r="K291" s="10">
        <v>2</v>
      </c>
      <c r="L291" s="10">
        <v>5</v>
      </c>
      <c r="O291" t="s">
        <v>894</v>
      </c>
      <c r="P291">
        <v>1</v>
      </c>
      <c r="Q291">
        <f t="shared" si="16"/>
        <v>6</v>
      </c>
      <c r="R291">
        <f t="shared" si="17"/>
        <v>6.2155775398998981E-4</v>
      </c>
      <c r="S291">
        <f t="shared" si="19"/>
        <v>0.69757426730296168</v>
      </c>
      <c r="T291" t="str">
        <f t="shared" si="18"/>
        <v>A</v>
      </c>
      <c r="V291" t="s">
        <v>894</v>
      </c>
      <c r="W291" t="s">
        <v>1244</v>
      </c>
    </row>
    <row r="292" spans="1:23" x14ac:dyDescent="0.25">
      <c r="A292" s="17">
        <v>44774</v>
      </c>
      <c r="B292" s="1" t="s">
        <v>392</v>
      </c>
      <c r="C292" s="1">
        <v>1</v>
      </c>
      <c r="F292" s="9" t="s">
        <v>137</v>
      </c>
      <c r="G292" s="10">
        <v>1</v>
      </c>
      <c r="H292" s="10">
        <v>1</v>
      </c>
      <c r="I292" s="10"/>
      <c r="J292" s="10"/>
      <c r="K292" s="10"/>
      <c r="L292" s="10">
        <v>2</v>
      </c>
      <c r="O292" t="s">
        <v>541</v>
      </c>
      <c r="P292">
        <v>1</v>
      </c>
      <c r="Q292">
        <f t="shared" si="16"/>
        <v>6</v>
      </c>
      <c r="R292">
        <f t="shared" si="17"/>
        <v>6.2155775398998981E-4</v>
      </c>
      <c r="S292">
        <f t="shared" si="19"/>
        <v>0.69819582505695166</v>
      </c>
      <c r="T292" t="str">
        <f t="shared" si="18"/>
        <v>A</v>
      </c>
      <c r="V292" t="s">
        <v>541</v>
      </c>
      <c r="W292" t="s">
        <v>1244</v>
      </c>
    </row>
    <row r="293" spans="1:23" x14ac:dyDescent="0.25">
      <c r="A293" s="17">
        <v>44774</v>
      </c>
      <c r="B293" s="1" t="s">
        <v>393</v>
      </c>
      <c r="C293" s="1">
        <v>1</v>
      </c>
      <c r="F293" s="9" t="s">
        <v>1182</v>
      </c>
      <c r="G293" s="10"/>
      <c r="H293" s="10"/>
      <c r="I293" s="10"/>
      <c r="J293" s="10"/>
      <c r="K293" s="10">
        <v>2</v>
      </c>
      <c r="L293" s="10">
        <v>2</v>
      </c>
      <c r="O293" t="s">
        <v>902</v>
      </c>
      <c r="P293">
        <v>1</v>
      </c>
      <c r="Q293">
        <f t="shared" si="16"/>
        <v>6</v>
      </c>
      <c r="R293">
        <f t="shared" si="17"/>
        <v>6.2155775398998981E-4</v>
      </c>
      <c r="S293">
        <f t="shared" si="19"/>
        <v>0.69881738281094163</v>
      </c>
      <c r="T293" t="str">
        <f t="shared" si="18"/>
        <v>A</v>
      </c>
      <c r="V293" t="s">
        <v>902</v>
      </c>
      <c r="W293" t="s">
        <v>1244</v>
      </c>
    </row>
    <row r="294" spans="1:23" x14ac:dyDescent="0.25">
      <c r="A294" s="17">
        <v>44774</v>
      </c>
      <c r="B294" s="1" t="s">
        <v>395</v>
      </c>
      <c r="C294" s="1">
        <v>1</v>
      </c>
      <c r="F294" s="9" t="s">
        <v>775</v>
      </c>
      <c r="G294" s="10"/>
      <c r="H294" s="10"/>
      <c r="I294" s="10">
        <v>1</v>
      </c>
      <c r="J294" s="10"/>
      <c r="K294" s="10"/>
      <c r="L294" s="10">
        <v>1</v>
      </c>
      <c r="O294" t="s">
        <v>478</v>
      </c>
      <c r="P294">
        <v>1</v>
      </c>
      <c r="Q294">
        <f t="shared" si="16"/>
        <v>6</v>
      </c>
      <c r="R294">
        <f t="shared" si="17"/>
        <v>6.2155775398998981E-4</v>
      </c>
      <c r="S294">
        <f t="shared" si="19"/>
        <v>0.69943894056493161</v>
      </c>
      <c r="T294" t="str">
        <f t="shared" si="18"/>
        <v>A</v>
      </c>
      <c r="V294" t="s">
        <v>478</v>
      </c>
      <c r="W294" t="s">
        <v>1244</v>
      </c>
    </row>
    <row r="295" spans="1:23" x14ac:dyDescent="0.25">
      <c r="A295" s="17">
        <v>44774</v>
      </c>
      <c r="B295" s="1" t="s">
        <v>397</v>
      </c>
      <c r="C295" s="1">
        <v>1</v>
      </c>
      <c r="F295" s="9" t="s">
        <v>67</v>
      </c>
      <c r="G295" s="10">
        <v>1</v>
      </c>
      <c r="H295" s="10"/>
      <c r="I295" s="10"/>
      <c r="J295" s="10"/>
      <c r="K295" s="10"/>
      <c r="L295" s="10">
        <v>1</v>
      </c>
      <c r="O295" t="s">
        <v>529</v>
      </c>
      <c r="P295">
        <v>1</v>
      </c>
      <c r="Q295">
        <f t="shared" si="16"/>
        <v>6</v>
      </c>
      <c r="R295">
        <f t="shared" si="17"/>
        <v>6.2155775398998981E-4</v>
      </c>
      <c r="S295">
        <f t="shared" si="19"/>
        <v>0.70006049831892159</v>
      </c>
      <c r="T295" t="str">
        <f t="shared" si="18"/>
        <v>A</v>
      </c>
      <c r="V295" t="s">
        <v>529</v>
      </c>
      <c r="W295" t="s">
        <v>1244</v>
      </c>
    </row>
    <row r="296" spans="1:23" x14ac:dyDescent="0.25">
      <c r="A296" s="17">
        <v>44774</v>
      </c>
      <c r="B296" s="1" t="s">
        <v>331</v>
      </c>
      <c r="C296" s="1">
        <v>1</v>
      </c>
      <c r="F296" s="9" t="s">
        <v>666</v>
      </c>
      <c r="G296" s="10"/>
      <c r="H296" s="10">
        <v>1</v>
      </c>
      <c r="I296" s="10"/>
      <c r="J296" s="10"/>
      <c r="K296" s="10"/>
      <c r="L296" s="10">
        <v>1</v>
      </c>
      <c r="O296" t="s">
        <v>1203</v>
      </c>
      <c r="P296">
        <v>1</v>
      </c>
      <c r="Q296">
        <f t="shared" si="16"/>
        <v>6</v>
      </c>
      <c r="R296">
        <f t="shared" si="17"/>
        <v>6.2155775398998981E-4</v>
      </c>
      <c r="S296">
        <f t="shared" si="19"/>
        <v>0.70068205607291156</v>
      </c>
      <c r="T296" t="str">
        <f t="shared" si="18"/>
        <v>A</v>
      </c>
      <c r="V296" t="s">
        <v>1203</v>
      </c>
      <c r="W296" t="s">
        <v>1244</v>
      </c>
    </row>
    <row r="297" spans="1:23" x14ac:dyDescent="0.25">
      <c r="A297" s="17">
        <v>44774</v>
      </c>
      <c r="B297" s="1" t="s">
        <v>331</v>
      </c>
      <c r="C297" s="1">
        <v>1</v>
      </c>
      <c r="F297" s="9" t="s">
        <v>1185</v>
      </c>
      <c r="G297" s="10"/>
      <c r="H297" s="10"/>
      <c r="I297" s="10"/>
      <c r="J297" s="10"/>
      <c r="K297" s="10">
        <v>2</v>
      </c>
      <c r="L297" s="10">
        <v>2</v>
      </c>
      <c r="O297" t="s">
        <v>675</v>
      </c>
      <c r="P297">
        <v>1</v>
      </c>
      <c r="Q297">
        <f t="shared" si="16"/>
        <v>6</v>
      </c>
      <c r="R297">
        <f t="shared" si="17"/>
        <v>6.2155775398998981E-4</v>
      </c>
      <c r="S297">
        <f t="shared" si="19"/>
        <v>0.70130361382690154</v>
      </c>
      <c r="T297" t="str">
        <f t="shared" si="18"/>
        <v>A</v>
      </c>
      <c r="V297" t="s">
        <v>675</v>
      </c>
      <c r="W297" t="s">
        <v>1244</v>
      </c>
    </row>
    <row r="298" spans="1:23" x14ac:dyDescent="0.25">
      <c r="A298" s="17">
        <v>44774</v>
      </c>
      <c r="B298" s="1" t="s">
        <v>331</v>
      </c>
      <c r="C298" s="1">
        <v>1</v>
      </c>
      <c r="F298" s="9" t="s">
        <v>378</v>
      </c>
      <c r="G298" s="10">
        <v>2</v>
      </c>
      <c r="H298" s="10"/>
      <c r="I298" s="10"/>
      <c r="J298" s="10"/>
      <c r="K298" s="10"/>
      <c r="L298" s="10">
        <v>2</v>
      </c>
      <c r="O298" t="s">
        <v>984</v>
      </c>
      <c r="P298">
        <v>1</v>
      </c>
      <c r="Q298">
        <f t="shared" si="16"/>
        <v>6</v>
      </c>
      <c r="R298">
        <f t="shared" si="17"/>
        <v>6.2155775398998981E-4</v>
      </c>
      <c r="S298">
        <f t="shared" si="19"/>
        <v>0.70192517158089152</v>
      </c>
      <c r="T298" t="str">
        <f t="shared" si="18"/>
        <v>A</v>
      </c>
      <c r="V298" t="s">
        <v>984</v>
      </c>
      <c r="W298" t="s">
        <v>1244</v>
      </c>
    </row>
    <row r="299" spans="1:23" x14ac:dyDescent="0.25">
      <c r="A299" s="17">
        <v>44774</v>
      </c>
      <c r="B299" s="1" t="s">
        <v>398</v>
      </c>
      <c r="C299" s="1">
        <v>1</v>
      </c>
      <c r="F299" s="9" t="s">
        <v>384</v>
      </c>
      <c r="G299" s="10">
        <v>1</v>
      </c>
      <c r="H299" s="10"/>
      <c r="I299" s="10"/>
      <c r="J299" s="10"/>
      <c r="K299" s="10"/>
      <c r="L299" s="10">
        <v>1</v>
      </c>
      <c r="O299" t="s">
        <v>618</v>
      </c>
      <c r="P299">
        <v>1</v>
      </c>
      <c r="Q299">
        <f t="shared" si="16"/>
        <v>6</v>
      </c>
      <c r="R299">
        <f t="shared" si="17"/>
        <v>6.2155775398998981E-4</v>
      </c>
      <c r="S299">
        <f t="shared" si="19"/>
        <v>0.70254672933488149</v>
      </c>
      <c r="T299" t="str">
        <f t="shared" si="18"/>
        <v>A</v>
      </c>
      <c r="V299" t="s">
        <v>618</v>
      </c>
      <c r="W299" t="s">
        <v>1244</v>
      </c>
    </row>
    <row r="300" spans="1:23" x14ac:dyDescent="0.25">
      <c r="A300" s="17">
        <v>44774</v>
      </c>
      <c r="B300" s="1" t="s">
        <v>400</v>
      </c>
      <c r="C300" s="1">
        <v>1</v>
      </c>
      <c r="F300" s="9" t="s">
        <v>854</v>
      </c>
      <c r="G300" s="10"/>
      <c r="H300" s="10"/>
      <c r="I300" s="10">
        <v>1</v>
      </c>
      <c r="J300" s="10"/>
      <c r="K300" s="10">
        <v>1</v>
      </c>
      <c r="L300" s="10">
        <v>2</v>
      </c>
      <c r="O300" t="s">
        <v>910</v>
      </c>
      <c r="P300">
        <v>1</v>
      </c>
      <c r="Q300">
        <f t="shared" si="16"/>
        <v>6</v>
      </c>
      <c r="R300">
        <f t="shared" si="17"/>
        <v>6.2155775398998981E-4</v>
      </c>
      <c r="S300">
        <f t="shared" si="19"/>
        <v>0.70316828708887147</v>
      </c>
      <c r="T300" t="str">
        <f t="shared" si="18"/>
        <v>A</v>
      </c>
      <c r="V300" t="s">
        <v>910</v>
      </c>
      <c r="W300" t="s">
        <v>1244</v>
      </c>
    </row>
    <row r="301" spans="1:23" x14ac:dyDescent="0.25">
      <c r="A301" s="17">
        <v>44774</v>
      </c>
      <c r="B301" s="1" t="s">
        <v>401</v>
      </c>
      <c r="C301" s="1">
        <v>1</v>
      </c>
      <c r="F301" s="9" t="s">
        <v>886</v>
      </c>
      <c r="G301" s="10"/>
      <c r="H301" s="10"/>
      <c r="I301" s="10">
        <v>1</v>
      </c>
      <c r="J301" s="10"/>
      <c r="K301" s="10"/>
      <c r="L301" s="10">
        <v>1</v>
      </c>
      <c r="O301" t="s">
        <v>955</v>
      </c>
      <c r="P301">
        <v>1</v>
      </c>
      <c r="Q301">
        <f t="shared" si="16"/>
        <v>6</v>
      </c>
      <c r="R301">
        <f t="shared" si="17"/>
        <v>6.2155775398998981E-4</v>
      </c>
      <c r="S301">
        <f t="shared" si="19"/>
        <v>0.70378984484286145</v>
      </c>
      <c r="T301" t="str">
        <f t="shared" si="18"/>
        <v>A</v>
      </c>
      <c r="V301" t="s">
        <v>955</v>
      </c>
      <c r="W301" t="s">
        <v>1244</v>
      </c>
    </row>
    <row r="302" spans="1:23" x14ac:dyDescent="0.25">
      <c r="A302" s="17">
        <v>44774</v>
      </c>
      <c r="B302" s="1" t="s">
        <v>403</v>
      </c>
      <c r="C302" s="1">
        <v>1</v>
      </c>
      <c r="F302" s="9" t="s">
        <v>779</v>
      </c>
      <c r="G302" s="10"/>
      <c r="H302" s="10"/>
      <c r="I302" s="10">
        <v>2</v>
      </c>
      <c r="J302" s="10"/>
      <c r="K302" s="10"/>
      <c r="L302" s="10">
        <v>2</v>
      </c>
      <c r="O302" t="s">
        <v>884</v>
      </c>
      <c r="P302">
        <v>1</v>
      </c>
      <c r="Q302">
        <f t="shared" si="16"/>
        <v>6</v>
      </c>
      <c r="R302">
        <f t="shared" si="17"/>
        <v>6.2155775398998981E-4</v>
      </c>
      <c r="S302">
        <f t="shared" si="19"/>
        <v>0.70441140259685142</v>
      </c>
      <c r="T302" t="str">
        <f t="shared" si="18"/>
        <v>A</v>
      </c>
      <c r="V302" t="s">
        <v>884</v>
      </c>
      <c r="W302" t="s">
        <v>1244</v>
      </c>
    </row>
    <row r="303" spans="1:23" x14ac:dyDescent="0.25">
      <c r="A303" s="17">
        <v>44774</v>
      </c>
      <c r="B303" s="1" t="s">
        <v>405</v>
      </c>
      <c r="C303" s="1">
        <v>1</v>
      </c>
      <c r="F303" s="9" t="s">
        <v>972</v>
      </c>
      <c r="G303" s="10"/>
      <c r="H303" s="10"/>
      <c r="I303" s="10"/>
      <c r="J303" s="10">
        <v>2</v>
      </c>
      <c r="K303" s="10"/>
      <c r="L303" s="10">
        <v>2</v>
      </c>
      <c r="O303" t="s">
        <v>475</v>
      </c>
      <c r="P303">
        <v>1</v>
      </c>
      <c r="Q303">
        <f t="shared" si="16"/>
        <v>6</v>
      </c>
      <c r="R303">
        <f t="shared" si="17"/>
        <v>6.2155775398998981E-4</v>
      </c>
      <c r="S303">
        <f t="shared" si="19"/>
        <v>0.7050329603508414</v>
      </c>
      <c r="T303" t="str">
        <f t="shared" si="18"/>
        <v>A</v>
      </c>
      <c r="V303" t="s">
        <v>475</v>
      </c>
      <c r="W303" t="s">
        <v>1244</v>
      </c>
    </row>
    <row r="304" spans="1:23" x14ac:dyDescent="0.25">
      <c r="A304" s="17">
        <v>44774</v>
      </c>
      <c r="B304" s="1" t="s">
        <v>405</v>
      </c>
      <c r="C304" s="1">
        <v>1</v>
      </c>
      <c r="F304" s="9" t="s">
        <v>198</v>
      </c>
      <c r="G304" s="10">
        <v>2</v>
      </c>
      <c r="H304" s="10"/>
      <c r="I304" s="10"/>
      <c r="J304" s="10"/>
      <c r="K304" s="10"/>
      <c r="L304" s="10">
        <v>2</v>
      </c>
      <c r="O304" t="s">
        <v>604</v>
      </c>
      <c r="P304">
        <v>1</v>
      </c>
      <c r="Q304">
        <f t="shared" si="16"/>
        <v>6</v>
      </c>
      <c r="R304">
        <f t="shared" si="17"/>
        <v>6.2155775398998981E-4</v>
      </c>
      <c r="S304">
        <f t="shared" si="19"/>
        <v>0.70565451810483137</v>
      </c>
      <c r="T304" t="str">
        <f t="shared" si="18"/>
        <v>A</v>
      </c>
      <c r="V304" t="s">
        <v>604</v>
      </c>
      <c r="W304" t="s">
        <v>1244</v>
      </c>
    </row>
    <row r="305" spans="1:23" x14ac:dyDescent="0.25">
      <c r="A305" s="17">
        <v>44774</v>
      </c>
      <c r="B305" s="1" t="s">
        <v>406</v>
      </c>
      <c r="C305" s="1">
        <v>1</v>
      </c>
      <c r="F305" s="9" t="s">
        <v>1070</v>
      </c>
      <c r="G305" s="10"/>
      <c r="H305" s="10"/>
      <c r="I305" s="10"/>
      <c r="J305" s="10">
        <v>1</v>
      </c>
      <c r="K305" s="10"/>
      <c r="L305" s="10">
        <v>1</v>
      </c>
      <c r="O305" t="s">
        <v>470</v>
      </c>
      <c r="P305">
        <v>1</v>
      </c>
      <c r="Q305">
        <f t="shared" si="16"/>
        <v>6</v>
      </c>
      <c r="R305">
        <f t="shared" si="17"/>
        <v>6.2155775398998981E-4</v>
      </c>
      <c r="S305">
        <f t="shared" si="19"/>
        <v>0.70627607585882135</v>
      </c>
      <c r="T305" t="str">
        <f t="shared" si="18"/>
        <v>A</v>
      </c>
      <c r="V305" t="s">
        <v>470</v>
      </c>
      <c r="W305" t="s">
        <v>1244</v>
      </c>
    </row>
    <row r="306" spans="1:23" x14ac:dyDescent="0.25">
      <c r="A306" s="17">
        <v>44774</v>
      </c>
      <c r="B306" s="1" t="s">
        <v>408</v>
      </c>
      <c r="C306" s="1">
        <v>1</v>
      </c>
      <c r="F306" s="9" t="s">
        <v>1100</v>
      </c>
      <c r="G306" s="10"/>
      <c r="H306" s="10"/>
      <c r="I306" s="10"/>
      <c r="J306" s="10"/>
      <c r="K306" s="10">
        <v>1</v>
      </c>
      <c r="L306" s="10">
        <v>1</v>
      </c>
      <c r="O306" t="s">
        <v>737</v>
      </c>
      <c r="P306">
        <v>1</v>
      </c>
      <c r="Q306">
        <f t="shared" si="16"/>
        <v>6</v>
      </c>
      <c r="R306">
        <f t="shared" si="17"/>
        <v>6.2155775398998981E-4</v>
      </c>
      <c r="S306">
        <f t="shared" si="19"/>
        <v>0.70689763361281133</v>
      </c>
      <c r="T306" t="str">
        <f t="shared" si="18"/>
        <v>A</v>
      </c>
      <c r="V306" t="s">
        <v>737</v>
      </c>
      <c r="W306" t="s">
        <v>1244</v>
      </c>
    </row>
    <row r="307" spans="1:23" x14ac:dyDescent="0.25">
      <c r="A307" s="17">
        <v>44774</v>
      </c>
      <c r="B307" s="1" t="s">
        <v>409</v>
      </c>
      <c r="C307" s="1">
        <v>1</v>
      </c>
      <c r="F307" s="9" t="s">
        <v>1177</v>
      </c>
      <c r="G307" s="10"/>
      <c r="H307" s="10"/>
      <c r="I307" s="10"/>
      <c r="J307" s="10"/>
      <c r="K307" s="10">
        <v>1</v>
      </c>
      <c r="L307" s="10">
        <v>1</v>
      </c>
      <c r="O307" t="s">
        <v>441</v>
      </c>
      <c r="P307">
        <v>1</v>
      </c>
      <c r="Q307">
        <f t="shared" si="16"/>
        <v>6</v>
      </c>
      <c r="R307">
        <f t="shared" si="17"/>
        <v>6.2155775398998981E-4</v>
      </c>
      <c r="S307">
        <f t="shared" si="19"/>
        <v>0.7075191913668013</v>
      </c>
      <c r="T307" t="str">
        <f t="shared" si="18"/>
        <v>A</v>
      </c>
      <c r="V307" t="s">
        <v>441</v>
      </c>
      <c r="W307" t="s">
        <v>1244</v>
      </c>
    </row>
    <row r="308" spans="1:23" x14ac:dyDescent="0.25">
      <c r="A308" s="17">
        <v>44774</v>
      </c>
      <c r="B308" s="1" t="s">
        <v>411</v>
      </c>
      <c r="C308" s="1">
        <v>1</v>
      </c>
      <c r="F308" s="9" t="s">
        <v>1119</v>
      </c>
      <c r="G308" s="10"/>
      <c r="H308" s="10"/>
      <c r="I308" s="10"/>
      <c r="J308" s="10"/>
      <c r="K308" s="10">
        <v>1</v>
      </c>
      <c r="L308" s="10">
        <v>1</v>
      </c>
      <c r="O308" t="s">
        <v>1167</v>
      </c>
      <c r="P308">
        <v>1</v>
      </c>
      <c r="Q308">
        <f t="shared" si="16"/>
        <v>6</v>
      </c>
      <c r="R308">
        <f t="shared" si="17"/>
        <v>6.2155775398998981E-4</v>
      </c>
      <c r="S308">
        <f t="shared" si="19"/>
        <v>0.70814074912079128</v>
      </c>
      <c r="T308" t="str">
        <f t="shared" si="18"/>
        <v>A</v>
      </c>
      <c r="V308" t="s">
        <v>1167</v>
      </c>
      <c r="W308" t="s">
        <v>1244</v>
      </c>
    </row>
    <row r="309" spans="1:23" x14ac:dyDescent="0.25">
      <c r="A309" s="17">
        <v>44774</v>
      </c>
      <c r="B309" s="1" t="s">
        <v>413</v>
      </c>
      <c r="C309" s="1">
        <v>0.1</v>
      </c>
      <c r="F309" s="9" t="s">
        <v>140</v>
      </c>
      <c r="G309" s="10">
        <v>3</v>
      </c>
      <c r="H309" s="10">
        <v>1</v>
      </c>
      <c r="I309" s="10">
        <v>3</v>
      </c>
      <c r="J309" s="10">
        <v>2</v>
      </c>
      <c r="K309" s="10">
        <v>3</v>
      </c>
      <c r="L309" s="10">
        <v>12</v>
      </c>
      <c r="O309" t="s">
        <v>727</v>
      </c>
      <c r="P309">
        <v>1</v>
      </c>
      <c r="Q309">
        <f t="shared" si="16"/>
        <v>6</v>
      </c>
      <c r="R309">
        <f t="shared" si="17"/>
        <v>6.2155775398998981E-4</v>
      </c>
      <c r="S309">
        <f t="shared" si="19"/>
        <v>0.70876230687478126</v>
      </c>
      <c r="T309" t="str">
        <f t="shared" si="18"/>
        <v>A</v>
      </c>
      <c r="V309" t="s">
        <v>727</v>
      </c>
      <c r="W309" t="s">
        <v>1244</v>
      </c>
    </row>
    <row r="310" spans="1:23" x14ac:dyDescent="0.25">
      <c r="A310" s="17">
        <v>44774</v>
      </c>
      <c r="B310" s="1" t="s">
        <v>415</v>
      </c>
      <c r="C310" s="1">
        <v>1</v>
      </c>
      <c r="F310" s="9" t="s">
        <v>991</v>
      </c>
      <c r="G310" s="10"/>
      <c r="H310" s="10"/>
      <c r="I310" s="10"/>
      <c r="J310" s="10">
        <v>1</v>
      </c>
      <c r="K310" s="10">
        <v>1</v>
      </c>
      <c r="L310" s="10">
        <v>2</v>
      </c>
      <c r="O310" t="s">
        <v>504</v>
      </c>
      <c r="P310">
        <v>1</v>
      </c>
      <c r="Q310">
        <f t="shared" si="16"/>
        <v>6</v>
      </c>
      <c r="R310">
        <f t="shared" si="17"/>
        <v>6.2155775398998981E-4</v>
      </c>
      <c r="S310">
        <f t="shared" si="19"/>
        <v>0.70938386462877123</v>
      </c>
      <c r="T310" t="str">
        <f t="shared" si="18"/>
        <v>A</v>
      </c>
      <c r="V310" t="s">
        <v>504</v>
      </c>
      <c r="W310" t="s">
        <v>1244</v>
      </c>
    </row>
    <row r="311" spans="1:23" x14ac:dyDescent="0.25">
      <c r="A311" s="17">
        <v>44774</v>
      </c>
      <c r="B311" s="1" t="s">
        <v>415</v>
      </c>
      <c r="C311" s="1">
        <v>1</v>
      </c>
      <c r="F311" s="9" t="s">
        <v>458</v>
      </c>
      <c r="G311" s="10">
        <v>1</v>
      </c>
      <c r="H311" s="10"/>
      <c r="I311" s="10"/>
      <c r="J311" s="10"/>
      <c r="K311" s="10"/>
      <c r="L311" s="10">
        <v>1</v>
      </c>
      <c r="O311" t="s">
        <v>596</v>
      </c>
      <c r="P311">
        <v>1</v>
      </c>
      <c r="Q311">
        <f t="shared" si="16"/>
        <v>6</v>
      </c>
      <c r="R311">
        <f t="shared" si="17"/>
        <v>6.2155775398998981E-4</v>
      </c>
      <c r="S311">
        <f t="shared" si="19"/>
        <v>0.71000542238276121</v>
      </c>
      <c r="T311" t="str">
        <f t="shared" si="18"/>
        <v>A</v>
      </c>
      <c r="V311" t="s">
        <v>596</v>
      </c>
      <c r="W311" t="s">
        <v>1244</v>
      </c>
    </row>
    <row r="312" spans="1:23" x14ac:dyDescent="0.25">
      <c r="A312" s="17">
        <v>44774</v>
      </c>
      <c r="B312" s="1" t="s">
        <v>416</v>
      </c>
      <c r="C312" s="1">
        <v>2</v>
      </c>
      <c r="F312" s="9" t="s">
        <v>858</v>
      </c>
      <c r="G312" s="10"/>
      <c r="H312" s="10"/>
      <c r="I312" s="10">
        <v>2</v>
      </c>
      <c r="J312" s="10"/>
      <c r="K312" s="10"/>
      <c r="L312" s="10">
        <v>2</v>
      </c>
      <c r="O312" t="s">
        <v>674</v>
      </c>
      <c r="P312">
        <v>1</v>
      </c>
      <c r="Q312">
        <f t="shared" si="16"/>
        <v>6</v>
      </c>
      <c r="R312">
        <f t="shared" si="17"/>
        <v>6.2155775398998981E-4</v>
      </c>
      <c r="S312">
        <f t="shared" si="19"/>
        <v>0.71062698013675119</v>
      </c>
      <c r="T312" t="str">
        <f t="shared" si="18"/>
        <v>A</v>
      </c>
      <c r="V312" t="s">
        <v>674</v>
      </c>
      <c r="W312" t="s">
        <v>1244</v>
      </c>
    </row>
    <row r="313" spans="1:23" x14ac:dyDescent="0.25">
      <c r="A313" s="17">
        <v>44774</v>
      </c>
      <c r="B313" s="1" t="s">
        <v>417</v>
      </c>
      <c r="C313" s="1">
        <v>1</v>
      </c>
      <c r="F313" s="9" t="s">
        <v>838</v>
      </c>
      <c r="G313" s="10"/>
      <c r="H313" s="10"/>
      <c r="I313" s="10">
        <v>1</v>
      </c>
      <c r="J313" s="10"/>
      <c r="K313" s="10"/>
      <c r="L313" s="10">
        <v>1</v>
      </c>
      <c r="O313" t="s">
        <v>938</v>
      </c>
      <c r="P313">
        <v>1</v>
      </c>
      <c r="Q313">
        <f t="shared" si="16"/>
        <v>6</v>
      </c>
      <c r="R313">
        <f t="shared" si="17"/>
        <v>6.2155775398998981E-4</v>
      </c>
      <c r="S313">
        <f t="shared" si="19"/>
        <v>0.71124853789074116</v>
      </c>
      <c r="T313" t="str">
        <f t="shared" si="18"/>
        <v>A</v>
      </c>
      <c r="V313" t="s">
        <v>938</v>
      </c>
      <c r="W313" t="s">
        <v>1244</v>
      </c>
    </row>
    <row r="314" spans="1:23" x14ac:dyDescent="0.25">
      <c r="A314" s="17">
        <v>44774</v>
      </c>
      <c r="B314" s="1" t="s">
        <v>419</v>
      </c>
      <c r="C314" s="1">
        <v>1</v>
      </c>
      <c r="F314" s="9" t="s">
        <v>108</v>
      </c>
      <c r="G314" s="10">
        <v>1</v>
      </c>
      <c r="H314" s="10"/>
      <c r="I314" s="10"/>
      <c r="J314" s="10"/>
      <c r="K314" s="10"/>
      <c r="L314" s="10">
        <v>1</v>
      </c>
      <c r="O314" t="s">
        <v>419</v>
      </c>
      <c r="P314">
        <v>1</v>
      </c>
      <c r="Q314">
        <f t="shared" si="16"/>
        <v>6</v>
      </c>
      <c r="R314">
        <f t="shared" si="17"/>
        <v>6.2155775398998981E-4</v>
      </c>
      <c r="S314">
        <f t="shared" si="19"/>
        <v>0.71187009564473114</v>
      </c>
      <c r="T314" t="str">
        <f t="shared" si="18"/>
        <v>A</v>
      </c>
      <c r="V314" t="s">
        <v>419</v>
      </c>
      <c r="W314" t="s">
        <v>1244</v>
      </c>
    </row>
    <row r="315" spans="1:23" x14ac:dyDescent="0.25">
      <c r="A315" s="17">
        <v>44774</v>
      </c>
      <c r="B315" s="1" t="s">
        <v>421</v>
      </c>
      <c r="C315" s="1">
        <v>0.2</v>
      </c>
      <c r="F315" s="9" t="s">
        <v>411</v>
      </c>
      <c r="G315" s="10">
        <v>1</v>
      </c>
      <c r="H315" s="10"/>
      <c r="I315" s="10"/>
      <c r="J315" s="10"/>
      <c r="K315" s="10"/>
      <c r="L315" s="10">
        <v>1</v>
      </c>
      <c r="O315" t="s">
        <v>369</v>
      </c>
      <c r="P315">
        <v>1</v>
      </c>
      <c r="Q315">
        <f t="shared" si="16"/>
        <v>6</v>
      </c>
      <c r="R315">
        <f t="shared" si="17"/>
        <v>6.2155775398998981E-4</v>
      </c>
      <c r="S315">
        <f t="shared" si="19"/>
        <v>0.71249165339872111</v>
      </c>
      <c r="T315" t="str">
        <f t="shared" si="18"/>
        <v>A</v>
      </c>
      <c r="V315" t="s">
        <v>369</v>
      </c>
      <c r="W315" t="s">
        <v>1244</v>
      </c>
    </row>
    <row r="316" spans="1:23" x14ac:dyDescent="0.25">
      <c r="A316" s="17">
        <v>44774</v>
      </c>
      <c r="B316" s="1" t="s">
        <v>423</v>
      </c>
      <c r="C316" s="1">
        <v>1</v>
      </c>
      <c r="F316" s="9" t="s">
        <v>436</v>
      </c>
      <c r="G316" s="10">
        <v>1</v>
      </c>
      <c r="H316" s="10"/>
      <c r="I316" s="10"/>
      <c r="J316" s="10"/>
      <c r="K316" s="10"/>
      <c r="L316" s="10">
        <v>1</v>
      </c>
      <c r="O316" t="s">
        <v>513</v>
      </c>
      <c r="P316">
        <v>1</v>
      </c>
      <c r="Q316">
        <f t="shared" si="16"/>
        <v>6</v>
      </c>
      <c r="R316">
        <f t="shared" si="17"/>
        <v>6.2155775398998981E-4</v>
      </c>
      <c r="S316">
        <f t="shared" si="19"/>
        <v>0.71311321115271109</v>
      </c>
      <c r="T316" t="str">
        <f t="shared" si="18"/>
        <v>A</v>
      </c>
      <c r="V316" t="s">
        <v>513</v>
      </c>
      <c r="W316" t="s">
        <v>1244</v>
      </c>
    </row>
    <row r="317" spans="1:23" x14ac:dyDescent="0.25">
      <c r="A317" s="17">
        <v>44774</v>
      </c>
      <c r="B317" s="1" t="s">
        <v>424</v>
      </c>
      <c r="C317" s="1">
        <v>1</v>
      </c>
      <c r="F317" s="9" t="s">
        <v>408</v>
      </c>
      <c r="G317" s="10">
        <v>1</v>
      </c>
      <c r="H317" s="10"/>
      <c r="I317" s="10">
        <v>2</v>
      </c>
      <c r="J317" s="10">
        <v>1</v>
      </c>
      <c r="K317" s="10">
        <v>2</v>
      </c>
      <c r="L317" s="10">
        <v>6</v>
      </c>
      <c r="O317" t="s">
        <v>456</v>
      </c>
      <c r="P317">
        <v>1</v>
      </c>
      <c r="Q317">
        <f t="shared" si="16"/>
        <v>6</v>
      </c>
      <c r="R317">
        <f t="shared" si="17"/>
        <v>6.2155775398998981E-4</v>
      </c>
      <c r="S317">
        <f t="shared" si="19"/>
        <v>0.71373476890670107</v>
      </c>
      <c r="T317" t="str">
        <f t="shared" si="18"/>
        <v>A</v>
      </c>
      <c r="V317" t="s">
        <v>456</v>
      </c>
      <c r="W317" t="s">
        <v>1244</v>
      </c>
    </row>
    <row r="318" spans="1:23" x14ac:dyDescent="0.25">
      <c r="A318" s="17">
        <v>44774</v>
      </c>
      <c r="B318" s="1" t="s">
        <v>425</v>
      </c>
      <c r="C318" s="1">
        <v>1</v>
      </c>
      <c r="F318" s="9" t="s">
        <v>1155</v>
      </c>
      <c r="G318" s="10"/>
      <c r="H318" s="10"/>
      <c r="I318" s="10"/>
      <c r="J318" s="10"/>
      <c r="K318" s="10">
        <v>1</v>
      </c>
      <c r="L318" s="10">
        <v>1</v>
      </c>
      <c r="O318" t="s">
        <v>832</v>
      </c>
      <c r="P318">
        <v>1</v>
      </c>
      <c r="Q318">
        <f t="shared" si="16"/>
        <v>6</v>
      </c>
      <c r="R318">
        <f t="shared" si="17"/>
        <v>6.2155775398998981E-4</v>
      </c>
      <c r="S318">
        <f t="shared" si="19"/>
        <v>0.71435632666069104</v>
      </c>
      <c r="T318" t="str">
        <f t="shared" si="18"/>
        <v>A</v>
      </c>
      <c r="V318" t="s">
        <v>832</v>
      </c>
      <c r="W318" t="s">
        <v>1244</v>
      </c>
    </row>
    <row r="319" spans="1:23" x14ac:dyDescent="0.25">
      <c r="A319" s="17">
        <v>44774</v>
      </c>
      <c r="B319" s="1" t="s">
        <v>425</v>
      </c>
      <c r="C319" s="1">
        <v>1</v>
      </c>
      <c r="F319" s="9" t="s">
        <v>1154</v>
      </c>
      <c r="G319" s="10"/>
      <c r="H319" s="10"/>
      <c r="I319" s="10"/>
      <c r="J319" s="10"/>
      <c r="K319" s="10">
        <v>1</v>
      </c>
      <c r="L319" s="10">
        <v>1</v>
      </c>
      <c r="O319" t="s">
        <v>545</v>
      </c>
      <c r="P319">
        <v>1</v>
      </c>
      <c r="Q319">
        <f t="shared" si="16"/>
        <v>6</v>
      </c>
      <c r="R319">
        <f t="shared" si="17"/>
        <v>6.2155775398998981E-4</v>
      </c>
      <c r="S319">
        <f t="shared" si="19"/>
        <v>0.71497788441468102</v>
      </c>
      <c r="T319" t="str">
        <f t="shared" si="18"/>
        <v>A</v>
      </c>
      <c r="V319" t="s">
        <v>545</v>
      </c>
      <c r="W319" t="s">
        <v>1244</v>
      </c>
    </row>
    <row r="320" spans="1:23" x14ac:dyDescent="0.25">
      <c r="A320" s="17">
        <v>44774</v>
      </c>
      <c r="B320" s="1" t="s">
        <v>427</v>
      </c>
      <c r="C320" s="1">
        <v>1</v>
      </c>
      <c r="F320" s="9" t="s">
        <v>769</v>
      </c>
      <c r="G320" s="10"/>
      <c r="H320" s="10"/>
      <c r="I320" s="10">
        <v>1</v>
      </c>
      <c r="J320" s="10"/>
      <c r="K320" s="10"/>
      <c r="L320" s="10">
        <v>1</v>
      </c>
      <c r="O320" t="s">
        <v>524</v>
      </c>
      <c r="P320">
        <v>1</v>
      </c>
      <c r="Q320">
        <f t="shared" si="16"/>
        <v>6</v>
      </c>
      <c r="R320">
        <f t="shared" si="17"/>
        <v>6.2155775398998981E-4</v>
      </c>
      <c r="S320">
        <f t="shared" si="19"/>
        <v>0.715599442168671</v>
      </c>
      <c r="T320" t="str">
        <f t="shared" si="18"/>
        <v>A</v>
      </c>
      <c r="V320" t="s">
        <v>524</v>
      </c>
      <c r="W320" t="s">
        <v>1244</v>
      </c>
    </row>
    <row r="321" spans="1:23" x14ac:dyDescent="0.25">
      <c r="A321" s="17">
        <v>44774</v>
      </c>
      <c r="B321" s="1" t="s">
        <v>429</v>
      </c>
      <c r="C321" s="1">
        <v>1</v>
      </c>
      <c r="F321" s="9" t="s">
        <v>840</v>
      </c>
      <c r="G321" s="10"/>
      <c r="H321" s="10"/>
      <c r="I321" s="10">
        <v>1</v>
      </c>
      <c r="J321" s="10"/>
      <c r="K321" s="10"/>
      <c r="L321" s="10">
        <v>1</v>
      </c>
      <c r="O321" t="s">
        <v>167</v>
      </c>
      <c r="P321">
        <v>1</v>
      </c>
      <c r="Q321">
        <f t="shared" si="16"/>
        <v>6</v>
      </c>
      <c r="R321">
        <f t="shared" si="17"/>
        <v>6.2155775398998981E-4</v>
      </c>
      <c r="S321">
        <f t="shared" si="19"/>
        <v>0.71622099992266097</v>
      </c>
      <c r="T321" t="str">
        <f t="shared" si="18"/>
        <v>A</v>
      </c>
      <c r="V321" t="s">
        <v>167</v>
      </c>
      <c r="W321" t="s">
        <v>1244</v>
      </c>
    </row>
    <row r="322" spans="1:23" x14ac:dyDescent="0.25">
      <c r="A322" s="17">
        <v>44774</v>
      </c>
      <c r="B322" s="1" t="s">
        <v>366</v>
      </c>
      <c r="C322" s="1">
        <v>1</v>
      </c>
      <c r="F322" s="9" t="s">
        <v>689</v>
      </c>
      <c r="G322" s="10"/>
      <c r="H322" s="10">
        <v>2</v>
      </c>
      <c r="I322" s="10"/>
      <c r="J322" s="10"/>
      <c r="K322" s="10"/>
      <c r="L322" s="10">
        <v>2</v>
      </c>
      <c r="O322" t="s">
        <v>767</v>
      </c>
      <c r="P322">
        <v>1</v>
      </c>
      <c r="Q322">
        <f t="shared" si="16"/>
        <v>6</v>
      </c>
      <c r="R322">
        <f t="shared" si="17"/>
        <v>6.2155775398998981E-4</v>
      </c>
      <c r="S322">
        <f t="shared" si="19"/>
        <v>0.71684255767665095</v>
      </c>
      <c r="T322" t="str">
        <f t="shared" si="18"/>
        <v>A</v>
      </c>
      <c r="V322" t="s">
        <v>767</v>
      </c>
      <c r="W322" t="s">
        <v>1244</v>
      </c>
    </row>
    <row r="323" spans="1:23" x14ac:dyDescent="0.25">
      <c r="A323" s="17">
        <v>44774</v>
      </c>
      <c r="B323" s="1" t="s">
        <v>430</v>
      </c>
      <c r="C323" s="1">
        <v>1</v>
      </c>
      <c r="F323" s="9" t="s">
        <v>184</v>
      </c>
      <c r="G323" s="10">
        <v>1</v>
      </c>
      <c r="H323" s="10"/>
      <c r="I323" s="10"/>
      <c r="J323" s="10"/>
      <c r="K323" s="10"/>
      <c r="L323" s="10">
        <v>1</v>
      </c>
      <c r="O323" t="s">
        <v>284</v>
      </c>
      <c r="P323">
        <v>1</v>
      </c>
      <c r="Q323">
        <f t="shared" si="16"/>
        <v>6</v>
      </c>
      <c r="R323">
        <f t="shared" si="17"/>
        <v>6.2155775398998981E-4</v>
      </c>
      <c r="S323">
        <f t="shared" si="19"/>
        <v>0.71746411543064093</v>
      </c>
      <c r="T323" t="str">
        <f t="shared" si="18"/>
        <v>A</v>
      </c>
      <c r="V323" t="s">
        <v>284</v>
      </c>
      <c r="W323" t="s">
        <v>1244</v>
      </c>
    </row>
    <row r="324" spans="1:23" x14ac:dyDescent="0.25">
      <c r="A324" s="17">
        <v>44774</v>
      </c>
      <c r="B324" s="1" t="s">
        <v>430</v>
      </c>
      <c r="C324" s="1">
        <v>1</v>
      </c>
      <c r="F324" s="9" t="s">
        <v>33</v>
      </c>
      <c r="G324" s="10">
        <v>1</v>
      </c>
      <c r="H324" s="10">
        <v>1</v>
      </c>
      <c r="I324" s="10"/>
      <c r="J324" s="10">
        <v>1</v>
      </c>
      <c r="K324" s="10">
        <v>1</v>
      </c>
      <c r="L324" s="10">
        <v>4</v>
      </c>
      <c r="O324" t="s">
        <v>1147</v>
      </c>
      <c r="P324">
        <v>1</v>
      </c>
      <c r="Q324">
        <f t="shared" si="16"/>
        <v>6</v>
      </c>
      <c r="R324">
        <f t="shared" si="17"/>
        <v>6.2155775398998981E-4</v>
      </c>
      <c r="S324">
        <f t="shared" si="19"/>
        <v>0.7180856731846309</v>
      </c>
      <c r="T324" t="str">
        <f t="shared" si="18"/>
        <v>A</v>
      </c>
      <c r="V324" t="s">
        <v>1147</v>
      </c>
      <c r="W324" t="s">
        <v>1244</v>
      </c>
    </row>
    <row r="325" spans="1:23" x14ac:dyDescent="0.25">
      <c r="A325" s="17">
        <v>44774</v>
      </c>
      <c r="B325" s="1" t="s">
        <v>431</v>
      </c>
      <c r="C325" s="1">
        <v>1</v>
      </c>
      <c r="F325" s="9" t="s">
        <v>50</v>
      </c>
      <c r="G325" s="10">
        <v>1</v>
      </c>
      <c r="H325" s="10"/>
      <c r="I325" s="10"/>
      <c r="J325" s="10"/>
      <c r="K325" s="10"/>
      <c r="L325" s="10">
        <v>1</v>
      </c>
      <c r="O325" t="s">
        <v>915</v>
      </c>
      <c r="P325">
        <v>1</v>
      </c>
      <c r="Q325">
        <f t="shared" ref="Q325:Q388" si="20">(P325/5)*30</f>
        <v>6</v>
      </c>
      <c r="R325">
        <f t="shared" ref="R325:R388" si="21">Q325/SUM($Q$4:$Q$806)</f>
        <v>6.2155775398998981E-4</v>
      </c>
      <c r="S325">
        <f t="shared" si="19"/>
        <v>0.71870723093862088</v>
      </c>
      <c r="T325" t="str">
        <f t="shared" ref="T325:T388" si="22">IF(S325&lt;0.8,"A", IF(S325&lt;0.95,"B","C"))</f>
        <v>A</v>
      </c>
      <c r="V325" t="s">
        <v>915</v>
      </c>
      <c r="W325" t="s">
        <v>1244</v>
      </c>
    </row>
    <row r="326" spans="1:23" x14ac:dyDescent="0.25">
      <c r="A326" s="17">
        <v>44774</v>
      </c>
      <c r="B326" s="1" t="s">
        <v>431</v>
      </c>
      <c r="C326" s="1">
        <v>1</v>
      </c>
      <c r="F326" s="9" t="s">
        <v>35</v>
      </c>
      <c r="G326" s="10">
        <v>1</v>
      </c>
      <c r="H326" s="10"/>
      <c r="I326" s="10"/>
      <c r="J326" s="10"/>
      <c r="K326" s="10"/>
      <c r="L326" s="10">
        <v>1</v>
      </c>
      <c r="O326" t="s">
        <v>1105</v>
      </c>
      <c r="P326">
        <v>1</v>
      </c>
      <c r="Q326">
        <f t="shared" si="20"/>
        <v>6</v>
      </c>
      <c r="R326">
        <f t="shared" si="21"/>
        <v>6.2155775398998981E-4</v>
      </c>
      <c r="S326">
        <f t="shared" ref="S326:S389" si="23">R326+S325</f>
        <v>0.71932878869261085</v>
      </c>
      <c r="T326" t="str">
        <f t="shared" si="22"/>
        <v>A</v>
      </c>
      <c r="V326" t="s">
        <v>1105</v>
      </c>
      <c r="W326" t="s">
        <v>1244</v>
      </c>
    </row>
    <row r="327" spans="1:23" x14ac:dyDescent="0.25">
      <c r="A327" s="17">
        <v>44774</v>
      </c>
      <c r="B327" s="1" t="s">
        <v>431</v>
      </c>
      <c r="C327" s="1">
        <v>1</v>
      </c>
      <c r="F327" s="9" t="s">
        <v>1195</v>
      </c>
      <c r="G327" s="10"/>
      <c r="H327" s="10"/>
      <c r="I327" s="10"/>
      <c r="J327" s="10"/>
      <c r="K327" s="10">
        <v>1</v>
      </c>
      <c r="L327" s="10">
        <v>1</v>
      </c>
      <c r="O327" t="s">
        <v>834</v>
      </c>
      <c r="P327">
        <v>1</v>
      </c>
      <c r="Q327">
        <f t="shared" si="20"/>
        <v>6</v>
      </c>
      <c r="R327">
        <f t="shared" si="21"/>
        <v>6.2155775398998981E-4</v>
      </c>
      <c r="S327">
        <f t="shared" si="23"/>
        <v>0.71995034644660083</v>
      </c>
      <c r="T327" t="str">
        <f t="shared" si="22"/>
        <v>A</v>
      </c>
      <c r="V327" t="s">
        <v>834</v>
      </c>
      <c r="W327" t="s">
        <v>1244</v>
      </c>
    </row>
    <row r="328" spans="1:23" x14ac:dyDescent="0.25">
      <c r="A328" s="17">
        <v>44774</v>
      </c>
      <c r="B328" s="1" t="s">
        <v>432</v>
      </c>
      <c r="C328" s="1">
        <v>1</v>
      </c>
      <c r="F328" s="9" t="s">
        <v>1146</v>
      </c>
      <c r="G328" s="10"/>
      <c r="H328" s="10"/>
      <c r="I328" s="10"/>
      <c r="J328" s="10"/>
      <c r="K328" s="10">
        <v>1</v>
      </c>
      <c r="L328" s="10">
        <v>1</v>
      </c>
      <c r="O328" t="s">
        <v>835</v>
      </c>
      <c r="P328">
        <v>1</v>
      </c>
      <c r="Q328">
        <f t="shared" si="20"/>
        <v>6</v>
      </c>
      <c r="R328">
        <f t="shared" si="21"/>
        <v>6.2155775398998981E-4</v>
      </c>
      <c r="S328">
        <f t="shared" si="23"/>
        <v>0.72057190420059081</v>
      </c>
      <c r="T328" t="str">
        <f t="shared" si="22"/>
        <v>A</v>
      </c>
      <c r="V328" t="s">
        <v>835</v>
      </c>
      <c r="W328" t="s">
        <v>1244</v>
      </c>
    </row>
    <row r="329" spans="1:23" x14ac:dyDescent="0.25">
      <c r="A329" s="17">
        <v>44774</v>
      </c>
      <c r="B329" s="1" t="s">
        <v>434</v>
      </c>
      <c r="C329" s="1">
        <v>1</v>
      </c>
      <c r="F329" s="9" t="s">
        <v>280</v>
      </c>
      <c r="G329" s="10">
        <v>1</v>
      </c>
      <c r="H329" s="10"/>
      <c r="I329" s="10"/>
      <c r="J329" s="10"/>
      <c r="K329" s="10"/>
      <c r="L329" s="10">
        <v>1</v>
      </c>
      <c r="O329" t="s">
        <v>784</v>
      </c>
      <c r="P329">
        <v>1</v>
      </c>
      <c r="Q329">
        <f t="shared" si="20"/>
        <v>6</v>
      </c>
      <c r="R329">
        <f t="shared" si="21"/>
        <v>6.2155775398998981E-4</v>
      </c>
      <c r="S329">
        <f t="shared" si="23"/>
        <v>0.72119346195458078</v>
      </c>
      <c r="T329" t="str">
        <f t="shared" si="22"/>
        <v>A</v>
      </c>
      <c r="V329" t="s">
        <v>784</v>
      </c>
      <c r="W329" t="s">
        <v>1244</v>
      </c>
    </row>
    <row r="330" spans="1:23" x14ac:dyDescent="0.25">
      <c r="A330" s="17">
        <v>44774</v>
      </c>
      <c r="B330" s="1" t="s">
        <v>434</v>
      </c>
      <c r="C330" s="1">
        <v>1</v>
      </c>
      <c r="F330" s="9" t="s">
        <v>334</v>
      </c>
      <c r="G330" s="10">
        <v>3</v>
      </c>
      <c r="H330" s="10"/>
      <c r="I330" s="10"/>
      <c r="J330" s="10"/>
      <c r="K330" s="10"/>
      <c r="L330" s="10">
        <v>3</v>
      </c>
      <c r="O330" t="s">
        <v>701</v>
      </c>
      <c r="P330">
        <v>1</v>
      </c>
      <c r="Q330">
        <f t="shared" si="20"/>
        <v>6</v>
      </c>
      <c r="R330">
        <f t="shared" si="21"/>
        <v>6.2155775398998981E-4</v>
      </c>
      <c r="S330">
        <f t="shared" si="23"/>
        <v>0.72181501970857076</v>
      </c>
      <c r="T330" t="str">
        <f t="shared" si="22"/>
        <v>A</v>
      </c>
      <c r="V330" t="s">
        <v>701</v>
      </c>
      <c r="W330" t="s">
        <v>1244</v>
      </c>
    </row>
    <row r="331" spans="1:23" x14ac:dyDescent="0.25">
      <c r="A331" s="17">
        <v>44774</v>
      </c>
      <c r="B331" s="1" t="s">
        <v>436</v>
      </c>
      <c r="C331" s="1">
        <v>1</v>
      </c>
      <c r="F331" s="9" t="s">
        <v>933</v>
      </c>
      <c r="G331" s="10"/>
      <c r="H331" s="10"/>
      <c r="I331" s="10"/>
      <c r="J331" s="10">
        <v>1</v>
      </c>
      <c r="K331" s="10"/>
      <c r="L331" s="10">
        <v>1</v>
      </c>
      <c r="O331" t="s">
        <v>38</v>
      </c>
      <c r="P331">
        <v>1</v>
      </c>
      <c r="Q331">
        <f t="shared" si="20"/>
        <v>6</v>
      </c>
      <c r="R331">
        <f t="shared" si="21"/>
        <v>6.2155775398998981E-4</v>
      </c>
      <c r="S331">
        <f t="shared" si="23"/>
        <v>0.72243657746256074</v>
      </c>
      <c r="T331" t="str">
        <f t="shared" si="22"/>
        <v>A</v>
      </c>
      <c r="V331" t="s">
        <v>38</v>
      </c>
      <c r="W331" t="s">
        <v>1244</v>
      </c>
    </row>
    <row r="332" spans="1:23" x14ac:dyDescent="0.25">
      <c r="A332" s="17">
        <v>44774</v>
      </c>
      <c r="B332" s="1" t="s">
        <v>437</v>
      </c>
      <c r="C332" s="1">
        <v>1</v>
      </c>
      <c r="F332" s="9" t="s">
        <v>1210</v>
      </c>
      <c r="G332" s="10"/>
      <c r="H332" s="10"/>
      <c r="I332" s="10"/>
      <c r="J332" s="10"/>
      <c r="K332" s="10">
        <v>1</v>
      </c>
      <c r="L332" s="10">
        <v>1</v>
      </c>
      <c r="O332" t="s">
        <v>562</v>
      </c>
      <c r="P332">
        <v>1</v>
      </c>
      <c r="Q332">
        <f t="shared" si="20"/>
        <v>6</v>
      </c>
      <c r="R332">
        <f t="shared" si="21"/>
        <v>6.2155775398998981E-4</v>
      </c>
      <c r="S332">
        <f t="shared" si="23"/>
        <v>0.72305813521655071</v>
      </c>
      <c r="T332" t="str">
        <f t="shared" si="22"/>
        <v>A</v>
      </c>
      <c r="V332" t="s">
        <v>562</v>
      </c>
      <c r="W332" t="s">
        <v>1244</v>
      </c>
    </row>
    <row r="333" spans="1:23" x14ac:dyDescent="0.25">
      <c r="A333" s="17">
        <v>44774</v>
      </c>
      <c r="B333" s="1" t="s">
        <v>439</v>
      </c>
      <c r="C333" s="1">
        <v>1</v>
      </c>
      <c r="F333" s="9" t="s">
        <v>277</v>
      </c>
      <c r="G333" s="10">
        <v>1</v>
      </c>
      <c r="H333" s="10"/>
      <c r="I333" s="10"/>
      <c r="J333" s="10">
        <v>1</v>
      </c>
      <c r="K333" s="10"/>
      <c r="L333" s="10">
        <v>2</v>
      </c>
      <c r="O333" t="s">
        <v>708</v>
      </c>
      <c r="P333">
        <v>1</v>
      </c>
      <c r="Q333">
        <f t="shared" si="20"/>
        <v>6</v>
      </c>
      <c r="R333">
        <f t="shared" si="21"/>
        <v>6.2155775398998981E-4</v>
      </c>
      <c r="S333">
        <f t="shared" si="23"/>
        <v>0.72367969297054069</v>
      </c>
      <c r="T333" t="str">
        <f t="shared" si="22"/>
        <v>A</v>
      </c>
      <c r="V333" t="s">
        <v>708</v>
      </c>
      <c r="W333" t="s">
        <v>1244</v>
      </c>
    </row>
    <row r="334" spans="1:23" x14ac:dyDescent="0.25">
      <c r="A334" s="17">
        <v>44774</v>
      </c>
      <c r="B334" s="1" t="s">
        <v>440</v>
      </c>
      <c r="C334" s="1">
        <v>1</v>
      </c>
      <c r="F334" s="9" t="s">
        <v>193</v>
      </c>
      <c r="G334" s="10">
        <v>1</v>
      </c>
      <c r="H334" s="10"/>
      <c r="I334" s="10"/>
      <c r="J334" s="10"/>
      <c r="K334" s="10"/>
      <c r="L334" s="10">
        <v>1</v>
      </c>
      <c r="O334" t="s">
        <v>142</v>
      </c>
      <c r="P334">
        <v>1</v>
      </c>
      <c r="Q334">
        <f t="shared" si="20"/>
        <v>6</v>
      </c>
      <c r="R334">
        <f t="shared" si="21"/>
        <v>6.2155775398998981E-4</v>
      </c>
      <c r="S334">
        <f t="shared" si="23"/>
        <v>0.72430125072453067</v>
      </c>
      <c r="T334" t="str">
        <f t="shared" si="22"/>
        <v>A</v>
      </c>
      <c r="V334" t="s">
        <v>142</v>
      </c>
      <c r="W334" t="s">
        <v>1244</v>
      </c>
    </row>
    <row r="335" spans="1:23" x14ac:dyDescent="0.25">
      <c r="A335" s="17">
        <v>44774</v>
      </c>
      <c r="B335" s="1" t="s">
        <v>441</v>
      </c>
      <c r="C335" s="1">
        <v>1</v>
      </c>
      <c r="F335" s="9" t="s">
        <v>921</v>
      </c>
      <c r="G335" s="10"/>
      <c r="H335" s="10"/>
      <c r="I335" s="10">
        <v>1</v>
      </c>
      <c r="J335" s="10"/>
      <c r="K335" s="10"/>
      <c r="L335" s="10">
        <v>1</v>
      </c>
      <c r="O335" t="s">
        <v>734</v>
      </c>
      <c r="P335">
        <v>1</v>
      </c>
      <c r="Q335">
        <f t="shared" si="20"/>
        <v>6</v>
      </c>
      <c r="R335">
        <f t="shared" si="21"/>
        <v>6.2155775398998981E-4</v>
      </c>
      <c r="S335">
        <f t="shared" si="23"/>
        <v>0.72492280847852064</v>
      </c>
      <c r="T335" t="str">
        <f t="shared" si="22"/>
        <v>A</v>
      </c>
      <c r="V335" t="s">
        <v>734</v>
      </c>
      <c r="W335" t="s">
        <v>1244</v>
      </c>
    </row>
    <row r="336" spans="1:23" x14ac:dyDescent="0.25">
      <c r="A336" s="17">
        <v>44774</v>
      </c>
      <c r="B336" s="1" t="s">
        <v>442</v>
      </c>
      <c r="C336" s="1">
        <v>1</v>
      </c>
      <c r="F336" s="9" t="s">
        <v>554</v>
      </c>
      <c r="G336" s="10"/>
      <c r="H336" s="10">
        <v>1</v>
      </c>
      <c r="I336" s="10"/>
      <c r="J336" s="10"/>
      <c r="K336" s="10"/>
      <c r="L336" s="10">
        <v>1</v>
      </c>
      <c r="O336" t="s">
        <v>1128</v>
      </c>
      <c r="P336">
        <v>1</v>
      </c>
      <c r="Q336">
        <f t="shared" si="20"/>
        <v>6</v>
      </c>
      <c r="R336">
        <f t="shared" si="21"/>
        <v>6.2155775398998981E-4</v>
      </c>
      <c r="S336">
        <f t="shared" si="23"/>
        <v>0.72554436623251062</v>
      </c>
      <c r="T336" t="str">
        <f t="shared" si="22"/>
        <v>A</v>
      </c>
      <c r="V336" t="s">
        <v>1128</v>
      </c>
      <c r="W336" t="s">
        <v>1244</v>
      </c>
    </row>
    <row r="337" spans="1:23" x14ac:dyDescent="0.25">
      <c r="A337" s="17">
        <v>44774</v>
      </c>
      <c r="B337" s="1" t="s">
        <v>443</v>
      </c>
      <c r="C337" s="1">
        <v>1</v>
      </c>
      <c r="F337" s="9" t="s">
        <v>1153</v>
      </c>
      <c r="G337" s="10"/>
      <c r="H337" s="10"/>
      <c r="I337" s="10"/>
      <c r="J337" s="10"/>
      <c r="K337" s="10">
        <v>1</v>
      </c>
      <c r="L337" s="10">
        <v>1</v>
      </c>
      <c r="O337" t="s">
        <v>1045</v>
      </c>
      <c r="P337">
        <v>1</v>
      </c>
      <c r="Q337">
        <f t="shared" si="20"/>
        <v>6</v>
      </c>
      <c r="R337">
        <f t="shared" si="21"/>
        <v>6.2155775398998981E-4</v>
      </c>
      <c r="S337">
        <f t="shared" si="23"/>
        <v>0.72616592398650059</v>
      </c>
      <c r="T337" t="str">
        <f t="shared" si="22"/>
        <v>A</v>
      </c>
      <c r="V337" t="s">
        <v>1045</v>
      </c>
      <c r="W337" t="s">
        <v>1244</v>
      </c>
    </row>
    <row r="338" spans="1:23" x14ac:dyDescent="0.25">
      <c r="A338" s="17">
        <v>44774</v>
      </c>
      <c r="B338" s="1" t="s">
        <v>445</v>
      </c>
      <c r="C338" s="1">
        <v>1</v>
      </c>
      <c r="F338" s="9" t="s">
        <v>362</v>
      </c>
      <c r="G338" s="10">
        <v>1</v>
      </c>
      <c r="H338" s="10"/>
      <c r="I338" s="10"/>
      <c r="J338" s="10"/>
      <c r="K338" s="10"/>
      <c r="L338" s="10">
        <v>1</v>
      </c>
      <c r="O338" t="s">
        <v>959</v>
      </c>
      <c r="P338">
        <v>1</v>
      </c>
      <c r="Q338">
        <f t="shared" si="20"/>
        <v>6</v>
      </c>
      <c r="R338">
        <f t="shared" si="21"/>
        <v>6.2155775398998981E-4</v>
      </c>
      <c r="S338">
        <f t="shared" si="23"/>
        <v>0.72678748174049057</v>
      </c>
      <c r="T338" t="str">
        <f t="shared" si="22"/>
        <v>A</v>
      </c>
      <c r="V338" t="s">
        <v>959</v>
      </c>
      <c r="W338" t="s">
        <v>1244</v>
      </c>
    </row>
    <row r="339" spans="1:23" x14ac:dyDescent="0.25">
      <c r="A339" s="17">
        <v>44774</v>
      </c>
      <c r="B339" s="1" t="s">
        <v>447</v>
      </c>
      <c r="C339" s="1">
        <v>1</v>
      </c>
      <c r="F339" s="9" t="s">
        <v>153</v>
      </c>
      <c r="G339" s="10">
        <v>2</v>
      </c>
      <c r="H339" s="10"/>
      <c r="I339" s="10">
        <v>3</v>
      </c>
      <c r="J339" s="10">
        <v>4</v>
      </c>
      <c r="K339" s="10"/>
      <c r="L339" s="10">
        <v>9</v>
      </c>
      <c r="O339" t="s">
        <v>1152</v>
      </c>
      <c r="P339">
        <v>1</v>
      </c>
      <c r="Q339">
        <f t="shared" si="20"/>
        <v>6</v>
      </c>
      <c r="R339">
        <f t="shared" si="21"/>
        <v>6.2155775398998981E-4</v>
      </c>
      <c r="S339">
        <f t="shared" si="23"/>
        <v>0.72740903949448055</v>
      </c>
      <c r="T339" t="str">
        <f t="shared" si="22"/>
        <v>A</v>
      </c>
      <c r="V339" t="s">
        <v>1152</v>
      </c>
      <c r="W339" t="s">
        <v>1244</v>
      </c>
    </row>
    <row r="340" spans="1:23" x14ac:dyDescent="0.25">
      <c r="A340" s="17">
        <v>44774</v>
      </c>
      <c r="B340" s="1" t="s">
        <v>448</v>
      </c>
      <c r="C340" s="1">
        <v>10</v>
      </c>
      <c r="F340" s="9" t="s">
        <v>222</v>
      </c>
      <c r="G340" s="10">
        <v>1</v>
      </c>
      <c r="H340" s="10">
        <v>2</v>
      </c>
      <c r="I340" s="10">
        <v>2</v>
      </c>
      <c r="J340" s="10">
        <v>6</v>
      </c>
      <c r="K340" s="10"/>
      <c r="L340" s="10">
        <v>11</v>
      </c>
      <c r="O340" t="s">
        <v>755</v>
      </c>
      <c r="P340">
        <v>1</v>
      </c>
      <c r="Q340">
        <f t="shared" si="20"/>
        <v>6</v>
      </c>
      <c r="R340">
        <f t="shared" si="21"/>
        <v>6.2155775398998981E-4</v>
      </c>
      <c r="S340">
        <f t="shared" si="23"/>
        <v>0.72803059724847052</v>
      </c>
      <c r="T340" t="str">
        <f t="shared" si="22"/>
        <v>A</v>
      </c>
      <c r="V340" t="s">
        <v>755</v>
      </c>
      <c r="W340" t="s">
        <v>1244</v>
      </c>
    </row>
    <row r="341" spans="1:23" x14ac:dyDescent="0.25">
      <c r="A341" s="17">
        <v>44774</v>
      </c>
      <c r="B341" s="1" t="s">
        <v>449</v>
      </c>
      <c r="C341" s="1">
        <v>1</v>
      </c>
      <c r="F341" s="9" t="s">
        <v>437</v>
      </c>
      <c r="G341" s="10">
        <v>1</v>
      </c>
      <c r="H341" s="10">
        <v>1</v>
      </c>
      <c r="I341" s="10"/>
      <c r="J341" s="10"/>
      <c r="K341" s="10"/>
      <c r="L341" s="10">
        <v>2</v>
      </c>
      <c r="O341" t="s">
        <v>634</v>
      </c>
      <c r="P341">
        <v>1</v>
      </c>
      <c r="Q341">
        <f t="shared" si="20"/>
        <v>6</v>
      </c>
      <c r="R341">
        <f t="shared" si="21"/>
        <v>6.2155775398998981E-4</v>
      </c>
      <c r="S341">
        <f t="shared" si="23"/>
        <v>0.7286521550024605</v>
      </c>
      <c r="T341" t="str">
        <f t="shared" si="22"/>
        <v>A</v>
      </c>
      <c r="V341" t="s">
        <v>634</v>
      </c>
      <c r="W341" t="s">
        <v>1244</v>
      </c>
    </row>
    <row r="342" spans="1:23" x14ac:dyDescent="0.25">
      <c r="A342" s="17">
        <v>44774</v>
      </c>
      <c r="B342" s="1" t="s">
        <v>451</v>
      </c>
      <c r="C342" s="1">
        <v>1</v>
      </c>
      <c r="F342" s="9" t="s">
        <v>220</v>
      </c>
      <c r="G342" s="10">
        <v>3</v>
      </c>
      <c r="H342" s="10"/>
      <c r="I342" s="10"/>
      <c r="J342" s="10"/>
      <c r="K342" s="10"/>
      <c r="L342" s="10">
        <v>3</v>
      </c>
      <c r="O342" t="s">
        <v>908</v>
      </c>
      <c r="P342">
        <v>1</v>
      </c>
      <c r="Q342">
        <f t="shared" si="20"/>
        <v>6</v>
      </c>
      <c r="R342">
        <f t="shared" si="21"/>
        <v>6.2155775398998981E-4</v>
      </c>
      <c r="S342">
        <f t="shared" si="23"/>
        <v>0.72927371275645048</v>
      </c>
      <c r="T342" t="str">
        <f t="shared" si="22"/>
        <v>A</v>
      </c>
      <c r="V342" t="s">
        <v>908</v>
      </c>
      <c r="W342" t="s">
        <v>1244</v>
      </c>
    </row>
    <row r="343" spans="1:23" x14ac:dyDescent="0.25">
      <c r="A343" s="17">
        <v>44774</v>
      </c>
      <c r="B343" s="1" t="s">
        <v>451</v>
      </c>
      <c r="C343" s="1">
        <v>1</v>
      </c>
      <c r="F343" s="9" t="s">
        <v>660</v>
      </c>
      <c r="G343" s="10"/>
      <c r="H343" s="10">
        <v>1</v>
      </c>
      <c r="I343" s="10"/>
      <c r="J343" s="10"/>
      <c r="K343" s="10"/>
      <c r="L343" s="10">
        <v>1</v>
      </c>
      <c r="O343" t="s">
        <v>1126</v>
      </c>
      <c r="P343">
        <v>1</v>
      </c>
      <c r="Q343">
        <f t="shared" si="20"/>
        <v>6</v>
      </c>
      <c r="R343">
        <f t="shared" si="21"/>
        <v>6.2155775398998981E-4</v>
      </c>
      <c r="S343">
        <f t="shared" si="23"/>
        <v>0.72989527051044045</v>
      </c>
      <c r="T343" t="str">
        <f t="shared" si="22"/>
        <v>A</v>
      </c>
      <c r="V343" t="s">
        <v>1126</v>
      </c>
      <c r="W343" t="s">
        <v>1244</v>
      </c>
    </row>
    <row r="344" spans="1:23" x14ac:dyDescent="0.25">
      <c r="A344" s="17">
        <v>44774</v>
      </c>
      <c r="B344" s="1" t="s">
        <v>452</v>
      </c>
      <c r="C344" s="1">
        <v>2</v>
      </c>
      <c r="F344" s="9" t="s">
        <v>331</v>
      </c>
      <c r="G344" s="10">
        <v>4</v>
      </c>
      <c r="H344" s="10"/>
      <c r="I344" s="10">
        <v>6</v>
      </c>
      <c r="J344" s="10">
        <v>3</v>
      </c>
      <c r="K344" s="10">
        <v>1</v>
      </c>
      <c r="L344" s="10">
        <v>14</v>
      </c>
      <c r="O344" t="s">
        <v>730</v>
      </c>
      <c r="P344">
        <v>1</v>
      </c>
      <c r="Q344">
        <f t="shared" si="20"/>
        <v>6</v>
      </c>
      <c r="R344">
        <f t="shared" si="21"/>
        <v>6.2155775398998981E-4</v>
      </c>
      <c r="S344">
        <f t="shared" si="23"/>
        <v>0.73051682826443043</v>
      </c>
      <c r="T344" t="str">
        <f t="shared" si="22"/>
        <v>A</v>
      </c>
      <c r="V344" t="s">
        <v>730</v>
      </c>
      <c r="W344" t="s">
        <v>1244</v>
      </c>
    </row>
    <row r="345" spans="1:23" x14ac:dyDescent="0.25">
      <c r="A345" s="17">
        <v>44774</v>
      </c>
      <c r="B345" s="1" t="s">
        <v>454</v>
      </c>
      <c r="C345" s="1">
        <v>1</v>
      </c>
      <c r="F345" s="9" t="s">
        <v>721</v>
      </c>
      <c r="G345" s="10"/>
      <c r="H345" s="10"/>
      <c r="I345" s="10">
        <v>2</v>
      </c>
      <c r="J345" s="10"/>
      <c r="K345" s="10"/>
      <c r="L345" s="10">
        <v>2</v>
      </c>
      <c r="O345" t="s">
        <v>390</v>
      </c>
      <c r="P345">
        <v>1</v>
      </c>
      <c r="Q345">
        <f t="shared" si="20"/>
        <v>6</v>
      </c>
      <c r="R345">
        <f t="shared" si="21"/>
        <v>6.2155775398998981E-4</v>
      </c>
      <c r="S345">
        <f t="shared" si="23"/>
        <v>0.73113838601842041</v>
      </c>
      <c r="T345" t="str">
        <f t="shared" si="22"/>
        <v>A</v>
      </c>
      <c r="V345" t="s">
        <v>390</v>
      </c>
      <c r="W345" t="s">
        <v>1244</v>
      </c>
    </row>
    <row r="346" spans="1:23" x14ac:dyDescent="0.25">
      <c r="A346" s="17">
        <v>44774</v>
      </c>
      <c r="B346" s="1" t="s">
        <v>456</v>
      </c>
      <c r="C346" s="1">
        <v>1</v>
      </c>
      <c r="F346" s="9" t="s">
        <v>973</v>
      </c>
      <c r="G346" s="10"/>
      <c r="H346" s="10"/>
      <c r="I346" s="10"/>
      <c r="J346" s="10">
        <v>1</v>
      </c>
      <c r="K346" s="10"/>
      <c r="L346" s="10">
        <v>1</v>
      </c>
      <c r="O346" t="s">
        <v>979</v>
      </c>
      <c r="P346">
        <v>1</v>
      </c>
      <c r="Q346">
        <f t="shared" si="20"/>
        <v>6</v>
      </c>
      <c r="R346">
        <f t="shared" si="21"/>
        <v>6.2155775398998981E-4</v>
      </c>
      <c r="S346">
        <f t="shared" si="23"/>
        <v>0.73175994377241038</v>
      </c>
      <c r="T346" t="str">
        <f t="shared" si="22"/>
        <v>A</v>
      </c>
      <c r="V346" t="s">
        <v>979</v>
      </c>
      <c r="W346" t="s">
        <v>1244</v>
      </c>
    </row>
    <row r="347" spans="1:23" x14ac:dyDescent="0.25">
      <c r="A347" s="17">
        <v>44774</v>
      </c>
      <c r="B347" s="1" t="s">
        <v>457</v>
      </c>
      <c r="C347" s="1">
        <v>1</v>
      </c>
      <c r="F347" s="9" t="s">
        <v>870</v>
      </c>
      <c r="G347" s="10"/>
      <c r="H347" s="10"/>
      <c r="I347" s="10">
        <v>1</v>
      </c>
      <c r="J347" s="10"/>
      <c r="K347" s="10"/>
      <c r="L347" s="10">
        <v>1</v>
      </c>
      <c r="O347" t="s">
        <v>953</v>
      </c>
      <c r="P347">
        <v>1</v>
      </c>
      <c r="Q347">
        <f t="shared" si="20"/>
        <v>6</v>
      </c>
      <c r="R347">
        <f t="shared" si="21"/>
        <v>6.2155775398998981E-4</v>
      </c>
      <c r="S347">
        <f t="shared" si="23"/>
        <v>0.73238150152640036</v>
      </c>
      <c r="T347" t="str">
        <f t="shared" si="22"/>
        <v>A</v>
      </c>
      <c r="V347" t="s">
        <v>953</v>
      </c>
      <c r="W347" t="s">
        <v>1244</v>
      </c>
    </row>
    <row r="348" spans="1:23" x14ac:dyDescent="0.25">
      <c r="A348" s="17">
        <v>44774</v>
      </c>
      <c r="B348" s="1" t="s">
        <v>458</v>
      </c>
      <c r="C348" s="1">
        <v>1</v>
      </c>
      <c r="F348" s="9" t="s">
        <v>339</v>
      </c>
      <c r="G348" s="10">
        <v>1</v>
      </c>
      <c r="H348" s="10">
        <v>1</v>
      </c>
      <c r="I348" s="10"/>
      <c r="J348" s="10"/>
      <c r="K348" s="10"/>
      <c r="L348" s="10">
        <v>2</v>
      </c>
      <c r="O348" t="s">
        <v>853</v>
      </c>
      <c r="P348">
        <v>1</v>
      </c>
      <c r="Q348">
        <f t="shared" si="20"/>
        <v>6</v>
      </c>
      <c r="R348">
        <f t="shared" si="21"/>
        <v>6.2155775398998981E-4</v>
      </c>
      <c r="S348">
        <f t="shared" si="23"/>
        <v>0.73300305928039033</v>
      </c>
      <c r="T348" t="str">
        <f t="shared" si="22"/>
        <v>A</v>
      </c>
      <c r="V348" t="s">
        <v>853</v>
      </c>
      <c r="W348" t="s">
        <v>1244</v>
      </c>
    </row>
    <row r="349" spans="1:23" x14ac:dyDescent="0.25">
      <c r="A349" s="17">
        <v>44774</v>
      </c>
      <c r="B349" s="1" t="s">
        <v>460</v>
      </c>
      <c r="C349" s="1">
        <v>1</v>
      </c>
      <c r="F349" s="9" t="s">
        <v>1029</v>
      </c>
      <c r="G349" s="10"/>
      <c r="H349" s="10"/>
      <c r="I349" s="10"/>
      <c r="J349" s="10">
        <v>1</v>
      </c>
      <c r="K349" s="10"/>
      <c r="L349" s="10">
        <v>1</v>
      </c>
      <c r="O349" t="s">
        <v>968</v>
      </c>
      <c r="P349">
        <v>1</v>
      </c>
      <c r="Q349">
        <f t="shared" si="20"/>
        <v>6</v>
      </c>
      <c r="R349">
        <f t="shared" si="21"/>
        <v>6.2155775398998981E-4</v>
      </c>
      <c r="S349">
        <f t="shared" si="23"/>
        <v>0.73362461703438031</v>
      </c>
      <c r="T349" t="str">
        <f t="shared" si="22"/>
        <v>A</v>
      </c>
      <c r="V349" t="s">
        <v>968</v>
      </c>
      <c r="W349" t="s">
        <v>1244</v>
      </c>
    </row>
    <row r="350" spans="1:23" x14ac:dyDescent="0.25">
      <c r="A350" s="17">
        <v>44774</v>
      </c>
      <c r="B350" s="1" t="s">
        <v>461</v>
      </c>
      <c r="C350" s="1">
        <v>1</v>
      </c>
      <c r="F350" s="9" t="s">
        <v>321</v>
      </c>
      <c r="G350" s="10">
        <v>2</v>
      </c>
      <c r="H350" s="10"/>
      <c r="I350" s="10">
        <v>1</v>
      </c>
      <c r="J350" s="10"/>
      <c r="K350" s="10"/>
      <c r="L350" s="10">
        <v>3</v>
      </c>
      <c r="O350" t="s">
        <v>275</v>
      </c>
      <c r="P350">
        <v>1</v>
      </c>
      <c r="Q350">
        <f t="shared" si="20"/>
        <v>6</v>
      </c>
      <c r="R350">
        <f t="shared" si="21"/>
        <v>6.2155775398998981E-4</v>
      </c>
      <c r="S350">
        <f t="shared" si="23"/>
        <v>0.73424617478837029</v>
      </c>
      <c r="T350" t="str">
        <f t="shared" si="22"/>
        <v>A</v>
      </c>
      <c r="V350" t="s">
        <v>275</v>
      </c>
      <c r="W350" t="s">
        <v>1244</v>
      </c>
    </row>
    <row r="351" spans="1:23" x14ac:dyDescent="0.25">
      <c r="A351" s="17">
        <v>44774</v>
      </c>
      <c r="B351" s="1" t="s">
        <v>462</v>
      </c>
      <c r="C351" s="1">
        <v>1</v>
      </c>
      <c r="F351" s="9" t="s">
        <v>1053</v>
      </c>
      <c r="G351" s="10"/>
      <c r="H351" s="10"/>
      <c r="I351" s="10"/>
      <c r="J351" s="10">
        <v>1</v>
      </c>
      <c r="K351" s="10"/>
      <c r="L351" s="10">
        <v>1</v>
      </c>
      <c r="O351" t="s">
        <v>486</v>
      </c>
      <c r="P351">
        <v>1</v>
      </c>
      <c r="Q351">
        <f t="shared" si="20"/>
        <v>6</v>
      </c>
      <c r="R351">
        <f t="shared" si="21"/>
        <v>6.2155775398998981E-4</v>
      </c>
      <c r="S351">
        <f t="shared" si="23"/>
        <v>0.73486773254236026</v>
      </c>
      <c r="T351" t="str">
        <f t="shared" si="22"/>
        <v>A</v>
      </c>
      <c r="V351" t="s">
        <v>486</v>
      </c>
      <c r="W351" t="s">
        <v>1244</v>
      </c>
    </row>
    <row r="352" spans="1:23" x14ac:dyDescent="0.25">
      <c r="A352" s="17">
        <v>44774</v>
      </c>
      <c r="B352" s="1" t="s">
        <v>464</v>
      </c>
      <c r="C352" s="1">
        <v>1</v>
      </c>
      <c r="F352" s="9" t="s">
        <v>805</v>
      </c>
      <c r="G352" s="10"/>
      <c r="H352" s="10"/>
      <c r="I352" s="10">
        <v>1</v>
      </c>
      <c r="J352" s="10"/>
      <c r="K352" s="10"/>
      <c r="L352" s="10">
        <v>1</v>
      </c>
      <c r="O352" t="s">
        <v>97</v>
      </c>
      <c r="P352">
        <v>1</v>
      </c>
      <c r="Q352">
        <f t="shared" si="20"/>
        <v>6</v>
      </c>
      <c r="R352">
        <f t="shared" si="21"/>
        <v>6.2155775398998981E-4</v>
      </c>
      <c r="S352">
        <f t="shared" si="23"/>
        <v>0.73548929029635024</v>
      </c>
      <c r="T352" t="str">
        <f t="shared" si="22"/>
        <v>A</v>
      </c>
      <c r="V352" t="s">
        <v>97</v>
      </c>
      <c r="W352" t="s">
        <v>1244</v>
      </c>
    </row>
    <row r="353" spans="1:23" x14ac:dyDescent="0.25">
      <c r="A353" s="17">
        <v>44774</v>
      </c>
      <c r="B353" s="1" t="s">
        <v>465</v>
      </c>
      <c r="C353" s="1">
        <v>1</v>
      </c>
      <c r="F353" s="9" t="s">
        <v>641</v>
      </c>
      <c r="G353" s="10"/>
      <c r="H353" s="10">
        <v>1</v>
      </c>
      <c r="I353" s="10"/>
      <c r="J353" s="10"/>
      <c r="K353" s="10"/>
      <c r="L353" s="10">
        <v>1</v>
      </c>
      <c r="O353" t="s">
        <v>860</v>
      </c>
      <c r="P353">
        <v>1</v>
      </c>
      <c r="Q353">
        <f t="shared" si="20"/>
        <v>6</v>
      </c>
      <c r="R353">
        <f t="shared" si="21"/>
        <v>6.2155775398998981E-4</v>
      </c>
      <c r="S353">
        <f t="shared" si="23"/>
        <v>0.73611084805034022</v>
      </c>
      <c r="T353" t="str">
        <f t="shared" si="22"/>
        <v>A</v>
      </c>
      <c r="V353" t="s">
        <v>860</v>
      </c>
      <c r="W353" t="s">
        <v>1244</v>
      </c>
    </row>
    <row r="354" spans="1:23" x14ac:dyDescent="0.25">
      <c r="A354" s="17">
        <v>44774</v>
      </c>
      <c r="B354" s="1" t="s">
        <v>465</v>
      </c>
      <c r="C354" s="1">
        <v>1</v>
      </c>
      <c r="F354" s="9" t="s">
        <v>373</v>
      </c>
      <c r="G354" s="10">
        <v>0.33333333999999998</v>
      </c>
      <c r="H354" s="10"/>
      <c r="I354" s="10"/>
      <c r="J354" s="10"/>
      <c r="K354" s="10"/>
      <c r="L354" s="10">
        <v>0.33333333999999998</v>
      </c>
      <c r="O354" t="s">
        <v>1060</v>
      </c>
      <c r="P354">
        <v>1</v>
      </c>
      <c r="Q354">
        <f t="shared" si="20"/>
        <v>6</v>
      </c>
      <c r="R354">
        <f t="shared" si="21"/>
        <v>6.2155775398998981E-4</v>
      </c>
      <c r="S354">
        <f t="shared" si="23"/>
        <v>0.73673240580433019</v>
      </c>
      <c r="T354" t="str">
        <f t="shared" si="22"/>
        <v>A</v>
      </c>
      <c r="V354" t="s">
        <v>1060</v>
      </c>
      <c r="W354" t="s">
        <v>1244</v>
      </c>
    </row>
    <row r="355" spans="1:23" x14ac:dyDescent="0.25">
      <c r="A355" s="17">
        <v>44774</v>
      </c>
      <c r="B355" s="1" t="s">
        <v>466</v>
      </c>
      <c r="C355" s="1">
        <v>1</v>
      </c>
      <c r="F355" s="9" t="s">
        <v>314</v>
      </c>
      <c r="G355" s="10">
        <v>0.14285713999999999</v>
      </c>
      <c r="H355" s="10"/>
      <c r="I355" s="10"/>
      <c r="J355" s="10"/>
      <c r="K355" s="10"/>
      <c r="L355" s="10">
        <v>0.14285713999999999</v>
      </c>
      <c r="O355" t="s">
        <v>581</v>
      </c>
      <c r="P355">
        <v>1</v>
      </c>
      <c r="Q355">
        <f t="shared" si="20"/>
        <v>6</v>
      </c>
      <c r="R355">
        <f t="shared" si="21"/>
        <v>6.2155775398998981E-4</v>
      </c>
      <c r="S355">
        <f t="shared" si="23"/>
        <v>0.73735396355832017</v>
      </c>
      <c r="T355" t="str">
        <f t="shared" si="22"/>
        <v>A</v>
      </c>
      <c r="V355" t="s">
        <v>581</v>
      </c>
      <c r="W355" t="s">
        <v>1244</v>
      </c>
    </row>
    <row r="356" spans="1:23" x14ac:dyDescent="0.25">
      <c r="A356" s="17">
        <v>44774</v>
      </c>
      <c r="B356" s="1" t="s">
        <v>468</v>
      </c>
      <c r="C356" s="1">
        <v>1</v>
      </c>
      <c r="F356" s="9" t="s">
        <v>1219</v>
      </c>
      <c r="G356" s="10"/>
      <c r="H356" s="10"/>
      <c r="I356" s="10"/>
      <c r="J356" s="10"/>
      <c r="K356" s="10">
        <v>1</v>
      </c>
      <c r="L356" s="10">
        <v>1</v>
      </c>
      <c r="O356" t="s">
        <v>326</v>
      </c>
      <c r="P356">
        <v>1</v>
      </c>
      <c r="Q356">
        <f t="shared" si="20"/>
        <v>6</v>
      </c>
      <c r="R356">
        <f t="shared" si="21"/>
        <v>6.2155775398998981E-4</v>
      </c>
      <c r="S356">
        <f t="shared" si="23"/>
        <v>0.73797552131231015</v>
      </c>
      <c r="T356" t="str">
        <f t="shared" si="22"/>
        <v>A</v>
      </c>
      <c r="V356" t="s">
        <v>326</v>
      </c>
      <c r="W356" t="s">
        <v>1244</v>
      </c>
    </row>
    <row r="357" spans="1:23" x14ac:dyDescent="0.25">
      <c r="A357" s="17">
        <v>44774</v>
      </c>
      <c r="B357" s="1" t="s">
        <v>469</v>
      </c>
      <c r="C357" s="1">
        <v>1</v>
      </c>
      <c r="F357" s="9" t="s">
        <v>208</v>
      </c>
      <c r="G357" s="10">
        <v>1</v>
      </c>
      <c r="H357" s="10"/>
      <c r="I357" s="10"/>
      <c r="J357" s="10"/>
      <c r="K357" s="10"/>
      <c r="L357" s="10">
        <v>1</v>
      </c>
      <c r="O357" t="s">
        <v>642</v>
      </c>
      <c r="P357">
        <v>1</v>
      </c>
      <c r="Q357">
        <f t="shared" si="20"/>
        <v>6</v>
      </c>
      <c r="R357">
        <f t="shared" si="21"/>
        <v>6.2155775398998981E-4</v>
      </c>
      <c r="S357">
        <f t="shared" si="23"/>
        <v>0.73859707906630012</v>
      </c>
      <c r="T357" t="str">
        <f t="shared" si="22"/>
        <v>A</v>
      </c>
      <c r="V357" t="s">
        <v>642</v>
      </c>
      <c r="W357" t="s">
        <v>1244</v>
      </c>
    </row>
    <row r="358" spans="1:23" x14ac:dyDescent="0.25">
      <c r="A358" s="17">
        <v>44774</v>
      </c>
      <c r="B358" s="1" t="s">
        <v>470</v>
      </c>
      <c r="C358" s="1">
        <v>1</v>
      </c>
      <c r="F358" s="9" t="s">
        <v>39</v>
      </c>
      <c r="G358" s="10">
        <v>1</v>
      </c>
      <c r="H358" s="10"/>
      <c r="I358" s="10"/>
      <c r="J358" s="10"/>
      <c r="K358" s="10"/>
      <c r="L358" s="10">
        <v>1</v>
      </c>
      <c r="O358" t="s">
        <v>696</v>
      </c>
      <c r="P358">
        <v>1</v>
      </c>
      <c r="Q358">
        <f t="shared" si="20"/>
        <v>6</v>
      </c>
      <c r="R358">
        <f t="shared" si="21"/>
        <v>6.2155775398998981E-4</v>
      </c>
      <c r="S358">
        <f t="shared" si="23"/>
        <v>0.7392186368202901</v>
      </c>
      <c r="T358" t="str">
        <f t="shared" si="22"/>
        <v>A</v>
      </c>
      <c r="V358" t="s">
        <v>696</v>
      </c>
      <c r="W358" t="s">
        <v>1244</v>
      </c>
    </row>
    <row r="359" spans="1:23" x14ac:dyDescent="0.25">
      <c r="A359" s="17">
        <v>44774</v>
      </c>
      <c r="B359" s="1" t="s">
        <v>397</v>
      </c>
      <c r="C359" s="1">
        <v>1</v>
      </c>
      <c r="F359" s="9" t="s">
        <v>76</v>
      </c>
      <c r="G359" s="10">
        <v>1</v>
      </c>
      <c r="H359" s="10"/>
      <c r="I359" s="10"/>
      <c r="J359" s="10">
        <v>1</v>
      </c>
      <c r="K359" s="10"/>
      <c r="L359" s="10">
        <v>2</v>
      </c>
      <c r="O359" t="s">
        <v>1205</v>
      </c>
      <c r="P359">
        <v>1</v>
      </c>
      <c r="Q359">
        <f t="shared" si="20"/>
        <v>6</v>
      </c>
      <c r="R359">
        <f t="shared" si="21"/>
        <v>6.2155775398998981E-4</v>
      </c>
      <c r="S359">
        <f t="shared" si="23"/>
        <v>0.73984019457428007</v>
      </c>
      <c r="T359" t="str">
        <f t="shared" si="22"/>
        <v>A</v>
      </c>
      <c r="V359" t="s">
        <v>1205</v>
      </c>
      <c r="W359" t="s">
        <v>1244</v>
      </c>
    </row>
    <row r="360" spans="1:23" x14ac:dyDescent="0.25">
      <c r="A360" s="17">
        <v>44774</v>
      </c>
      <c r="B360" s="1" t="s">
        <v>472</v>
      </c>
      <c r="C360" s="1">
        <v>1</v>
      </c>
      <c r="F360" s="9" t="s">
        <v>904</v>
      </c>
      <c r="G360" s="10"/>
      <c r="H360" s="10"/>
      <c r="I360" s="10">
        <v>1</v>
      </c>
      <c r="J360" s="10"/>
      <c r="K360" s="10"/>
      <c r="L360" s="10">
        <v>1</v>
      </c>
      <c r="O360" t="s">
        <v>70</v>
      </c>
      <c r="P360">
        <v>1</v>
      </c>
      <c r="Q360">
        <f t="shared" si="20"/>
        <v>6</v>
      </c>
      <c r="R360">
        <f t="shared" si="21"/>
        <v>6.2155775398998981E-4</v>
      </c>
      <c r="S360">
        <f t="shared" si="23"/>
        <v>0.74046175232827005</v>
      </c>
      <c r="T360" t="str">
        <f t="shared" si="22"/>
        <v>A</v>
      </c>
      <c r="V360" t="s">
        <v>70</v>
      </c>
      <c r="W360" t="s">
        <v>1244</v>
      </c>
    </row>
    <row r="361" spans="1:23" x14ac:dyDescent="0.25">
      <c r="A361" s="17">
        <v>44775</v>
      </c>
      <c r="B361" s="1" t="s">
        <v>473</v>
      </c>
      <c r="C361" s="1">
        <v>1</v>
      </c>
      <c r="F361" s="9" t="s">
        <v>320</v>
      </c>
      <c r="G361" s="10">
        <v>1</v>
      </c>
      <c r="H361" s="10"/>
      <c r="I361" s="10"/>
      <c r="J361" s="10"/>
      <c r="K361" s="10"/>
      <c r="L361" s="10">
        <v>1</v>
      </c>
      <c r="O361" t="s">
        <v>774</v>
      </c>
      <c r="P361">
        <v>1</v>
      </c>
      <c r="Q361">
        <f t="shared" si="20"/>
        <v>6</v>
      </c>
      <c r="R361">
        <f t="shared" si="21"/>
        <v>6.2155775398998981E-4</v>
      </c>
      <c r="S361">
        <f t="shared" si="23"/>
        <v>0.74108331008226003</v>
      </c>
      <c r="T361" t="str">
        <f t="shared" si="22"/>
        <v>A</v>
      </c>
      <c r="V361" t="s">
        <v>774</v>
      </c>
      <c r="W361" t="s">
        <v>1244</v>
      </c>
    </row>
    <row r="362" spans="1:23" x14ac:dyDescent="0.25">
      <c r="A362" s="17">
        <v>44775</v>
      </c>
      <c r="B362" s="1" t="s">
        <v>475</v>
      </c>
      <c r="C362" s="1">
        <v>1</v>
      </c>
      <c r="F362" s="9" t="s">
        <v>318</v>
      </c>
      <c r="G362" s="10">
        <v>2</v>
      </c>
      <c r="H362" s="10"/>
      <c r="I362" s="10"/>
      <c r="J362" s="10"/>
      <c r="K362" s="10"/>
      <c r="L362" s="10">
        <v>2</v>
      </c>
      <c r="O362" t="s">
        <v>613</v>
      </c>
      <c r="P362">
        <v>1</v>
      </c>
      <c r="Q362">
        <f t="shared" si="20"/>
        <v>6</v>
      </c>
      <c r="R362">
        <f t="shared" si="21"/>
        <v>6.2155775398998981E-4</v>
      </c>
      <c r="S362">
        <f t="shared" si="23"/>
        <v>0.74170486783625</v>
      </c>
      <c r="T362" t="str">
        <f t="shared" si="22"/>
        <v>A</v>
      </c>
      <c r="V362" t="s">
        <v>613</v>
      </c>
      <c r="W362" t="s">
        <v>1244</v>
      </c>
    </row>
    <row r="363" spans="1:23" x14ac:dyDescent="0.25">
      <c r="A363" s="17">
        <v>44775</v>
      </c>
      <c r="B363" s="1" t="s">
        <v>476</v>
      </c>
      <c r="C363" s="1">
        <v>1</v>
      </c>
      <c r="F363" s="9" t="s">
        <v>1120</v>
      </c>
      <c r="G363" s="10"/>
      <c r="H363" s="10"/>
      <c r="I363" s="10"/>
      <c r="J363" s="10"/>
      <c r="K363" s="10">
        <v>1</v>
      </c>
      <c r="L363" s="10">
        <v>1</v>
      </c>
      <c r="O363" t="s">
        <v>880</v>
      </c>
      <c r="P363">
        <v>1</v>
      </c>
      <c r="Q363">
        <f t="shared" si="20"/>
        <v>6</v>
      </c>
      <c r="R363">
        <f t="shared" si="21"/>
        <v>6.2155775398998981E-4</v>
      </c>
      <c r="S363">
        <f t="shared" si="23"/>
        <v>0.74232642559023998</v>
      </c>
      <c r="T363" t="str">
        <f t="shared" si="22"/>
        <v>A</v>
      </c>
      <c r="V363" t="s">
        <v>880</v>
      </c>
      <c r="W363" t="s">
        <v>1244</v>
      </c>
    </row>
    <row r="364" spans="1:23" x14ac:dyDescent="0.25">
      <c r="A364" s="17">
        <v>44775</v>
      </c>
      <c r="B364" s="1" t="s">
        <v>477</v>
      </c>
      <c r="C364" s="1">
        <v>1</v>
      </c>
      <c r="F364" s="9" t="s">
        <v>392</v>
      </c>
      <c r="G364" s="10">
        <v>2</v>
      </c>
      <c r="H364" s="10"/>
      <c r="I364" s="10"/>
      <c r="J364" s="10">
        <v>1</v>
      </c>
      <c r="K364" s="10"/>
      <c r="L364" s="10">
        <v>3</v>
      </c>
      <c r="O364" t="s">
        <v>231</v>
      </c>
      <c r="P364">
        <v>1</v>
      </c>
      <c r="Q364">
        <f t="shared" si="20"/>
        <v>6</v>
      </c>
      <c r="R364">
        <f t="shared" si="21"/>
        <v>6.2155775398998981E-4</v>
      </c>
      <c r="S364">
        <f t="shared" si="23"/>
        <v>0.74294798334422996</v>
      </c>
      <c r="T364" t="str">
        <f t="shared" si="22"/>
        <v>A</v>
      </c>
      <c r="V364" t="s">
        <v>231</v>
      </c>
      <c r="W364" t="s">
        <v>1244</v>
      </c>
    </row>
    <row r="365" spans="1:23" x14ac:dyDescent="0.25">
      <c r="A365" s="17">
        <v>44775</v>
      </c>
      <c r="B365" s="1" t="s">
        <v>477</v>
      </c>
      <c r="C365" s="1">
        <v>1</v>
      </c>
      <c r="F365" s="9" t="s">
        <v>1050</v>
      </c>
      <c r="G365" s="10"/>
      <c r="H365" s="10"/>
      <c r="I365" s="10"/>
      <c r="J365" s="10">
        <v>1</v>
      </c>
      <c r="K365" s="10">
        <v>1</v>
      </c>
      <c r="L365" s="10">
        <v>2</v>
      </c>
      <c r="O365" t="s">
        <v>1057</v>
      </c>
      <c r="P365">
        <v>1</v>
      </c>
      <c r="Q365">
        <f t="shared" si="20"/>
        <v>6</v>
      </c>
      <c r="R365">
        <f t="shared" si="21"/>
        <v>6.2155775398998981E-4</v>
      </c>
      <c r="S365">
        <f t="shared" si="23"/>
        <v>0.74356954109821993</v>
      </c>
      <c r="T365" t="str">
        <f t="shared" si="22"/>
        <v>A</v>
      </c>
      <c r="V365" t="s">
        <v>1057</v>
      </c>
      <c r="W365" t="s">
        <v>1244</v>
      </c>
    </row>
    <row r="366" spans="1:23" x14ac:dyDescent="0.25">
      <c r="A366" s="17">
        <v>44775</v>
      </c>
      <c r="B366" s="1" t="s">
        <v>478</v>
      </c>
      <c r="C366" s="1">
        <v>1</v>
      </c>
      <c r="F366" s="9" t="s">
        <v>1163</v>
      </c>
      <c r="G366" s="10"/>
      <c r="H366" s="10"/>
      <c r="I366" s="10"/>
      <c r="J366" s="10"/>
      <c r="K366" s="10">
        <v>2</v>
      </c>
      <c r="L366" s="10">
        <v>2</v>
      </c>
      <c r="O366" t="s">
        <v>935</v>
      </c>
      <c r="P366">
        <v>1</v>
      </c>
      <c r="Q366">
        <f t="shared" si="20"/>
        <v>6</v>
      </c>
      <c r="R366">
        <f t="shared" si="21"/>
        <v>6.2155775398998981E-4</v>
      </c>
      <c r="S366">
        <f t="shared" si="23"/>
        <v>0.74419109885220991</v>
      </c>
      <c r="T366" t="str">
        <f t="shared" si="22"/>
        <v>A</v>
      </c>
      <c r="V366" t="s">
        <v>935</v>
      </c>
      <c r="W366" t="s">
        <v>1244</v>
      </c>
    </row>
    <row r="367" spans="1:23" x14ac:dyDescent="0.25">
      <c r="A367" s="17">
        <v>44775</v>
      </c>
      <c r="B367" s="1" t="s">
        <v>119</v>
      </c>
      <c r="C367" s="1">
        <v>1</v>
      </c>
      <c r="F367" s="9" t="s">
        <v>304</v>
      </c>
      <c r="G367" s="10">
        <v>1</v>
      </c>
      <c r="H367" s="10">
        <v>2</v>
      </c>
      <c r="I367" s="10"/>
      <c r="J367" s="10"/>
      <c r="K367" s="10"/>
      <c r="L367" s="10">
        <v>3</v>
      </c>
      <c r="O367" t="s">
        <v>1143</v>
      </c>
      <c r="P367">
        <v>1</v>
      </c>
      <c r="Q367">
        <f t="shared" si="20"/>
        <v>6</v>
      </c>
      <c r="R367">
        <f t="shared" si="21"/>
        <v>6.2155775398998981E-4</v>
      </c>
      <c r="S367">
        <f t="shared" si="23"/>
        <v>0.74481265660619989</v>
      </c>
      <c r="T367" t="str">
        <f t="shared" si="22"/>
        <v>A</v>
      </c>
      <c r="V367" t="s">
        <v>1143</v>
      </c>
      <c r="W367" t="s">
        <v>1244</v>
      </c>
    </row>
    <row r="368" spans="1:23" x14ac:dyDescent="0.25">
      <c r="A368" s="17">
        <v>44775</v>
      </c>
      <c r="B368" s="1" t="s">
        <v>479</v>
      </c>
      <c r="C368" s="1">
        <v>1</v>
      </c>
      <c r="F368" s="9" t="s">
        <v>1112</v>
      </c>
      <c r="G368" s="10"/>
      <c r="H368" s="10"/>
      <c r="I368" s="10"/>
      <c r="J368" s="10"/>
      <c r="K368" s="10">
        <v>1</v>
      </c>
      <c r="L368" s="10">
        <v>1</v>
      </c>
      <c r="O368" t="s">
        <v>793</v>
      </c>
      <c r="P368">
        <v>1</v>
      </c>
      <c r="Q368">
        <f t="shared" si="20"/>
        <v>6</v>
      </c>
      <c r="R368">
        <f t="shared" si="21"/>
        <v>6.2155775398998981E-4</v>
      </c>
      <c r="S368">
        <f t="shared" si="23"/>
        <v>0.74543421436018986</v>
      </c>
      <c r="T368" t="str">
        <f t="shared" si="22"/>
        <v>A</v>
      </c>
      <c r="V368" t="s">
        <v>793</v>
      </c>
      <c r="W368" t="s">
        <v>1244</v>
      </c>
    </row>
    <row r="369" spans="1:23" x14ac:dyDescent="0.25">
      <c r="A369" s="17">
        <v>44775</v>
      </c>
      <c r="B369" s="1" t="s">
        <v>481</v>
      </c>
      <c r="C369" s="1">
        <v>1</v>
      </c>
      <c r="F369" s="9" t="s">
        <v>1094</v>
      </c>
      <c r="G369" s="10"/>
      <c r="H369" s="10"/>
      <c r="I369" s="10"/>
      <c r="J369" s="10"/>
      <c r="K369" s="10">
        <v>2</v>
      </c>
      <c r="L369" s="10">
        <v>2</v>
      </c>
      <c r="O369" t="s">
        <v>371</v>
      </c>
      <c r="P369">
        <v>1</v>
      </c>
      <c r="Q369">
        <f t="shared" si="20"/>
        <v>6</v>
      </c>
      <c r="R369">
        <f t="shared" si="21"/>
        <v>6.2155775398998981E-4</v>
      </c>
      <c r="S369">
        <f t="shared" si="23"/>
        <v>0.74605577211417984</v>
      </c>
      <c r="T369" t="str">
        <f t="shared" si="22"/>
        <v>A</v>
      </c>
      <c r="V369" t="s">
        <v>371</v>
      </c>
      <c r="W369" t="s">
        <v>1244</v>
      </c>
    </row>
    <row r="370" spans="1:23" x14ac:dyDescent="0.25">
      <c r="A370" s="17">
        <v>44775</v>
      </c>
      <c r="B370" s="1" t="s">
        <v>482</v>
      </c>
      <c r="C370" s="1">
        <v>1</v>
      </c>
      <c r="F370" s="9" t="s">
        <v>672</v>
      </c>
      <c r="G370" s="10"/>
      <c r="H370" s="10">
        <v>1</v>
      </c>
      <c r="I370" s="10"/>
      <c r="J370" s="10"/>
      <c r="K370" s="10">
        <v>1</v>
      </c>
      <c r="L370" s="10">
        <v>2</v>
      </c>
      <c r="O370" t="s">
        <v>1175</v>
      </c>
      <c r="P370">
        <v>1</v>
      </c>
      <c r="Q370">
        <f t="shared" si="20"/>
        <v>6</v>
      </c>
      <c r="R370">
        <f t="shared" si="21"/>
        <v>6.2155775398998981E-4</v>
      </c>
      <c r="S370">
        <f t="shared" si="23"/>
        <v>0.74667732986816981</v>
      </c>
      <c r="T370" t="str">
        <f t="shared" si="22"/>
        <v>A</v>
      </c>
      <c r="V370" t="s">
        <v>1175</v>
      </c>
      <c r="W370" t="s">
        <v>1244</v>
      </c>
    </row>
    <row r="371" spans="1:23" x14ac:dyDescent="0.25">
      <c r="A371" s="17">
        <v>44775</v>
      </c>
      <c r="B371" s="1" t="s">
        <v>483</v>
      </c>
      <c r="C371" s="1">
        <v>1</v>
      </c>
      <c r="F371" s="9" t="s">
        <v>265</v>
      </c>
      <c r="G371" s="10">
        <v>1</v>
      </c>
      <c r="H371" s="10">
        <v>1</v>
      </c>
      <c r="I371" s="10">
        <v>1</v>
      </c>
      <c r="J371" s="10"/>
      <c r="K371" s="10">
        <v>1</v>
      </c>
      <c r="L371" s="10">
        <v>4</v>
      </c>
      <c r="O371" t="s">
        <v>1198</v>
      </c>
      <c r="P371">
        <v>1</v>
      </c>
      <c r="Q371">
        <f t="shared" si="20"/>
        <v>6</v>
      </c>
      <c r="R371">
        <f t="shared" si="21"/>
        <v>6.2155775398998981E-4</v>
      </c>
      <c r="S371">
        <f t="shared" si="23"/>
        <v>0.74729888762215979</v>
      </c>
      <c r="T371" t="str">
        <f t="shared" si="22"/>
        <v>A</v>
      </c>
      <c r="V371" t="s">
        <v>1198</v>
      </c>
      <c r="W371" t="s">
        <v>1244</v>
      </c>
    </row>
    <row r="372" spans="1:23" x14ac:dyDescent="0.25">
      <c r="A372" s="17">
        <v>44775</v>
      </c>
      <c r="B372" s="1" t="s">
        <v>485</v>
      </c>
      <c r="C372" s="1">
        <v>1</v>
      </c>
      <c r="F372" s="9" t="s">
        <v>733</v>
      </c>
      <c r="G372" s="10"/>
      <c r="H372" s="10"/>
      <c r="I372" s="10">
        <v>1</v>
      </c>
      <c r="J372" s="10"/>
      <c r="K372" s="10"/>
      <c r="L372" s="10">
        <v>1</v>
      </c>
      <c r="O372" t="s">
        <v>1125</v>
      </c>
      <c r="P372">
        <v>1</v>
      </c>
      <c r="Q372">
        <f t="shared" si="20"/>
        <v>6</v>
      </c>
      <c r="R372">
        <f t="shared" si="21"/>
        <v>6.2155775398998981E-4</v>
      </c>
      <c r="S372">
        <f t="shared" si="23"/>
        <v>0.74792044537614977</v>
      </c>
      <c r="T372" t="str">
        <f t="shared" si="22"/>
        <v>A</v>
      </c>
      <c r="V372" t="s">
        <v>1125</v>
      </c>
      <c r="W372" t="s">
        <v>1244</v>
      </c>
    </row>
    <row r="373" spans="1:23" x14ac:dyDescent="0.25">
      <c r="A373" s="17">
        <v>44775</v>
      </c>
      <c r="B373" s="1" t="s">
        <v>486</v>
      </c>
      <c r="C373" s="1">
        <v>1</v>
      </c>
      <c r="F373" s="9" t="s">
        <v>451</v>
      </c>
      <c r="G373" s="10">
        <v>2</v>
      </c>
      <c r="H373" s="10"/>
      <c r="I373" s="10"/>
      <c r="J373" s="10"/>
      <c r="K373" s="10"/>
      <c r="L373" s="10">
        <v>2</v>
      </c>
      <c r="O373" t="s">
        <v>783</v>
      </c>
      <c r="P373">
        <v>1</v>
      </c>
      <c r="Q373">
        <f t="shared" si="20"/>
        <v>6</v>
      </c>
      <c r="R373">
        <f t="shared" si="21"/>
        <v>6.2155775398998981E-4</v>
      </c>
      <c r="S373">
        <f t="shared" si="23"/>
        <v>0.74854200313013974</v>
      </c>
      <c r="T373" t="str">
        <f t="shared" si="22"/>
        <v>A</v>
      </c>
      <c r="V373" t="s">
        <v>783</v>
      </c>
      <c r="W373" t="s">
        <v>1244</v>
      </c>
    </row>
    <row r="374" spans="1:23" x14ac:dyDescent="0.25">
      <c r="A374" s="17">
        <v>44775</v>
      </c>
      <c r="B374" s="1" t="s">
        <v>487</v>
      </c>
      <c r="C374" s="1">
        <v>1</v>
      </c>
      <c r="F374" s="9" t="s">
        <v>375</v>
      </c>
      <c r="G374" s="10">
        <v>24</v>
      </c>
      <c r="H374" s="10"/>
      <c r="I374" s="10">
        <v>4</v>
      </c>
      <c r="J374" s="10">
        <v>12</v>
      </c>
      <c r="K374" s="10">
        <v>28</v>
      </c>
      <c r="L374" s="10">
        <v>68</v>
      </c>
      <c r="O374" t="s">
        <v>1117</v>
      </c>
      <c r="P374">
        <v>1</v>
      </c>
      <c r="Q374">
        <f t="shared" si="20"/>
        <v>6</v>
      </c>
      <c r="R374">
        <f t="shared" si="21"/>
        <v>6.2155775398998981E-4</v>
      </c>
      <c r="S374">
        <f t="shared" si="23"/>
        <v>0.74916356088412972</v>
      </c>
      <c r="T374" t="str">
        <f t="shared" si="22"/>
        <v>A</v>
      </c>
      <c r="V374" t="s">
        <v>1117</v>
      </c>
      <c r="W374" t="s">
        <v>1244</v>
      </c>
    </row>
    <row r="375" spans="1:23" x14ac:dyDescent="0.25">
      <c r="A375" s="17">
        <v>44775</v>
      </c>
      <c r="B375" s="1" t="s">
        <v>487</v>
      </c>
      <c r="C375" s="1">
        <v>1</v>
      </c>
      <c r="F375" s="9" t="s">
        <v>1043</v>
      </c>
      <c r="G375" s="10"/>
      <c r="H375" s="10"/>
      <c r="I375" s="10"/>
      <c r="J375" s="10">
        <v>10</v>
      </c>
      <c r="K375" s="10">
        <v>4</v>
      </c>
      <c r="L375" s="10">
        <v>14</v>
      </c>
      <c r="O375" t="s">
        <v>1156</v>
      </c>
      <c r="P375">
        <v>1</v>
      </c>
      <c r="Q375">
        <f t="shared" si="20"/>
        <v>6</v>
      </c>
      <c r="R375">
        <f t="shared" si="21"/>
        <v>6.2155775398998981E-4</v>
      </c>
      <c r="S375">
        <f t="shared" si="23"/>
        <v>0.7497851186381197</v>
      </c>
      <c r="T375" t="str">
        <f t="shared" si="22"/>
        <v>A</v>
      </c>
      <c r="V375" t="s">
        <v>1156</v>
      </c>
      <c r="W375" t="s">
        <v>1244</v>
      </c>
    </row>
    <row r="376" spans="1:23" x14ac:dyDescent="0.25">
      <c r="A376" s="17">
        <v>44775</v>
      </c>
      <c r="B376" s="1" t="s">
        <v>488</v>
      </c>
      <c r="C376" s="1">
        <v>1</v>
      </c>
      <c r="F376" s="9" t="s">
        <v>448</v>
      </c>
      <c r="G376" s="10">
        <v>10</v>
      </c>
      <c r="H376" s="10"/>
      <c r="I376" s="10"/>
      <c r="J376" s="10">
        <v>3</v>
      </c>
      <c r="K376" s="10"/>
      <c r="L376" s="10">
        <v>13</v>
      </c>
      <c r="O376" t="s">
        <v>1085</v>
      </c>
      <c r="P376">
        <v>1</v>
      </c>
      <c r="Q376">
        <f t="shared" si="20"/>
        <v>6</v>
      </c>
      <c r="R376">
        <f t="shared" si="21"/>
        <v>6.2155775398998981E-4</v>
      </c>
      <c r="S376">
        <f t="shared" si="23"/>
        <v>0.75040667639210967</v>
      </c>
      <c r="T376" t="str">
        <f t="shared" si="22"/>
        <v>A</v>
      </c>
      <c r="V376" t="s">
        <v>1085</v>
      </c>
      <c r="W376" t="s">
        <v>1244</v>
      </c>
    </row>
    <row r="377" spans="1:23" x14ac:dyDescent="0.25">
      <c r="A377" s="17">
        <v>44775</v>
      </c>
      <c r="B377" s="1" t="s">
        <v>490</v>
      </c>
      <c r="C377" s="1">
        <v>1</v>
      </c>
      <c r="F377" s="9" t="s">
        <v>647</v>
      </c>
      <c r="G377" s="10"/>
      <c r="H377" s="10">
        <v>1</v>
      </c>
      <c r="I377" s="10"/>
      <c r="J377" s="10"/>
      <c r="K377" s="10"/>
      <c r="L377" s="10">
        <v>1</v>
      </c>
      <c r="O377" t="s">
        <v>785</v>
      </c>
      <c r="P377">
        <v>1</v>
      </c>
      <c r="Q377">
        <f t="shared" si="20"/>
        <v>6</v>
      </c>
      <c r="R377">
        <f t="shared" si="21"/>
        <v>6.2155775398998981E-4</v>
      </c>
      <c r="S377">
        <f t="shared" si="23"/>
        <v>0.75102823414609965</v>
      </c>
      <c r="T377" t="str">
        <f t="shared" si="22"/>
        <v>A</v>
      </c>
      <c r="V377" t="s">
        <v>785</v>
      </c>
      <c r="W377" t="s">
        <v>1244</v>
      </c>
    </row>
    <row r="378" spans="1:23" x14ac:dyDescent="0.25">
      <c r="A378" s="17">
        <v>44775</v>
      </c>
      <c r="B378" s="1" t="s">
        <v>492</v>
      </c>
      <c r="C378" s="1">
        <v>1</v>
      </c>
      <c r="F378" s="9" t="s">
        <v>949</v>
      </c>
      <c r="G378" s="10"/>
      <c r="H378" s="10"/>
      <c r="I378" s="10"/>
      <c r="J378" s="10">
        <v>1</v>
      </c>
      <c r="K378" s="10"/>
      <c r="L378" s="10">
        <v>1</v>
      </c>
      <c r="O378" t="s">
        <v>1002</v>
      </c>
      <c r="P378">
        <v>1</v>
      </c>
      <c r="Q378">
        <f t="shared" si="20"/>
        <v>6</v>
      </c>
      <c r="R378">
        <f t="shared" si="21"/>
        <v>6.2155775398998981E-4</v>
      </c>
      <c r="S378">
        <f t="shared" si="23"/>
        <v>0.75164979190008963</v>
      </c>
      <c r="T378" t="str">
        <f t="shared" si="22"/>
        <v>A</v>
      </c>
      <c r="V378" t="s">
        <v>1002</v>
      </c>
      <c r="W378" t="s">
        <v>1244</v>
      </c>
    </row>
    <row r="379" spans="1:23" x14ac:dyDescent="0.25">
      <c r="A379" s="17">
        <v>44775</v>
      </c>
      <c r="B379" s="1" t="s">
        <v>98</v>
      </c>
      <c r="C379" s="1">
        <v>1</v>
      </c>
      <c r="F379" s="9" t="s">
        <v>395</v>
      </c>
      <c r="G379" s="10">
        <v>1</v>
      </c>
      <c r="H379" s="10"/>
      <c r="I379" s="10">
        <v>1</v>
      </c>
      <c r="J379" s="10"/>
      <c r="K379" s="10"/>
      <c r="L379" s="10">
        <v>2</v>
      </c>
      <c r="O379" t="s">
        <v>575</v>
      </c>
      <c r="P379">
        <v>1</v>
      </c>
      <c r="Q379">
        <f t="shared" si="20"/>
        <v>6</v>
      </c>
      <c r="R379">
        <f t="shared" si="21"/>
        <v>6.2155775398998981E-4</v>
      </c>
      <c r="S379">
        <f t="shared" si="23"/>
        <v>0.7522713496540796</v>
      </c>
      <c r="T379" t="str">
        <f t="shared" si="22"/>
        <v>A</v>
      </c>
      <c r="V379" t="s">
        <v>575</v>
      </c>
      <c r="W379" t="s">
        <v>1244</v>
      </c>
    </row>
    <row r="380" spans="1:23" x14ac:dyDescent="0.25">
      <c r="A380" s="17">
        <v>44775</v>
      </c>
      <c r="B380" s="1" t="s">
        <v>493</v>
      </c>
      <c r="C380" s="1">
        <v>1</v>
      </c>
      <c r="F380" s="9" t="s">
        <v>1032</v>
      </c>
      <c r="G380" s="10"/>
      <c r="H380" s="10"/>
      <c r="I380" s="10"/>
      <c r="J380" s="10">
        <v>1</v>
      </c>
      <c r="K380" s="10"/>
      <c r="L380" s="10">
        <v>1</v>
      </c>
      <c r="O380" t="s">
        <v>1201</v>
      </c>
      <c r="P380">
        <v>1</v>
      </c>
      <c r="Q380">
        <f t="shared" si="20"/>
        <v>6</v>
      </c>
      <c r="R380">
        <f t="shared" si="21"/>
        <v>6.2155775398998981E-4</v>
      </c>
      <c r="S380">
        <f t="shared" si="23"/>
        <v>0.75289290740806958</v>
      </c>
      <c r="T380" t="str">
        <f t="shared" si="22"/>
        <v>A</v>
      </c>
      <c r="V380" t="s">
        <v>1201</v>
      </c>
      <c r="W380" t="s">
        <v>1244</v>
      </c>
    </row>
    <row r="381" spans="1:23" x14ac:dyDescent="0.25">
      <c r="A381" s="17">
        <v>44775</v>
      </c>
      <c r="B381" s="1" t="s">
        <v>495</v>
      </c>
      <c r="C381" s="1">
        <v>1</v>
      </c>
      <c r="F381" s="9" t="s">
        <v>951</v>
      </c>
      <c r="G381" s="10"/>
      <c r="H381" s="10"/>
      <c r="I381" s="10"/>
      <c r="J381" s="10">
        <v>1</v>
      </c>
      <c r="K381" s="10"/>
      <c r="L381" s="10">
        <v>1</v>
      </c>
      <c r="O381" t="s">
        <v>1159</v>
      </c>
      <c r="P381">
        <v>1</v>
      </c>
      <c r="Q381">
        <f t="shared" si="20"/>
        <v>6</v>
      </c>
      <c r="R381">
        <f t="shared" si="21"/>
        <v>6.2155775398998981E-4</v>
      </c>
      <c r="S381">
        <f t="shared" si="23"/>
        <v>0.75351446516205955</v>
      </c>
      <c r="T381" t="str">
        <f t="shared" si="22"/>
        <v>A</v>
      </c>
      <c r="V381" t="s">
        <v>1159</v>
      </c>
      <c r="W381" t="s">
        <v>1244</v>
      </c>
    </row>
    <row r="382" spans="1:23" x14ac:dyDescent="0.25">
      <c r="A382" s="17">
        <v>44775</v>
      </c>
      <c r="B382" s="1" t="s">
        <v>496</v>
      </c>
      <c r="C382" s="1">
        <v>1</v>
      </c>
      <c r="F382" s="9" t="s">
        <v>1194</v>
      </c>
      <c r="G382" s="10"/>
      <c r="H382" s="10"/>
      <c r="I382" s="10"/>
      <c r="J382" s="10"/>
      <c r="K382" s="10">
        <v>1</v>
      </c>
      <c r="L382" s="10">
        <v>1</v>
      </c>
      <c r="O382" t="s">
        <v>305</v>
      </c>
      <c r="P382">
        <v>1</v>
      </c>
      <c r="Q382">
        <f t="shared" si="20"/>
        <v>6</v>
      </c>
      <c r="R382">
        <f t="shared" si="21"/>
        <v>6.2155775398998981E-4</v>
      </c>
      <c r="S382">
        <f t="shared" si="23"/>
        <v>0.75413602291604953</v>
      </c>
      <c r="T382" t="str">
        <f t="shared" si="22"/>
        <v>A</v>
      </c>
      <c r="V382" t="s">
        <v>305</v>
      </c>
      <c r="W382" t="s">
        <v>1244</v>
      </c>
    </row>
    <row r="383" spans="1:23" x14ac:dyDescent="0.25">
      <c r="A383" s="17">
        <v>44775</v>
      </c>
      <c r="B383" s="1" t="s">
        <v>497</v>
      </c>
      <c r="C383" s="1">
        <v>1</v>
      </c>
      <c r="F383" s="9" t="s">
        <v>744</v>
      </c>
      <c r="G383" s="10"/>
      <c r="H383" s="10"/>
      <c r="I383" s="10">
        <v>1</v>
      </c>
      <c r="J383" s="10"/>
      <c r="K383" s="10"/>
      <c r="L383" s="10">
        <v>1</v>
      </c>
      <c r="O383" t="s">
        <v>668</v>
      </c>
      <c r="P383">
        <v>1</v>
      </c>
      <c r="Q383">
        <f t="shared" si="20"/>
        <v>6</v>
      </c>
      <c r="R383">
        <f t="shared" si="21"/>
        <v>6.2155775398998981E-4</v>
      </c>
      <c r="S383">
        <f t="shared" si="23"/>
        <v>0.75475758067003951</v>
      </c>
      <c r="T383" t="str">
        <f t="shared" si="22"/>
        <v>A</v>
      </c>
      <c r="V383" t="s">
        <v>668</v>
      </c>
      <c r="W383" t="s">
        <v>1244</v>
      </c>
    </row>
    <row r="384" spans="1:23" x14ac:dyDescent="0.25">
      <c r="A384" s="17">
        <v>44775</v>
      </c>
      <c r="B384" s="1" t="s">
        <v>89</v>
      </c>
      <c r="C384" s="1">
        <v>1</v>
      </c>
      <c r="F384" s="9" t="s">
        <v>709</v>
      </c>
      <c r="G384" s="10"/>
      <c r="H384" s="10"/>
      <c r="I384" s="10">
        <v>2</v>
      </c>
      <c r="J384" s="10"/>
      <c r="K384" s="10"/>
      <c r="L384" s="10">
        <v>2</v>
      </c>
      <c r="O384" t="s">
        <v>761</v>
      </c>
      <c r="P384">
        <v>1</v>
      </c>
      <c r="Q384">
        <f t="shared" si="20"/>
        <v>6</v>
      </c>
      <c r="R384">
        <f t="shared" si="21"/>
        <v>6.2155775398998981E-4</v>
      </c>
      <c r="S384">
        <f t="shared" si="23"/>
        <v>0.75537913842402948</v>
      </c>
      <c r="T384" t="str">
        <f t="shared" si="22"/>
        <v>A</v>
      </c>
      <c r="V384" t="s">
        <v>761</v>
      </c>
      <c r="W384" t="s">
        <v>1244</v>
      </c>
    </row>
    <row r="385" spans="1:23" x14ac:dyDescent="0.25">
      <c r="A385" s="17">
        <v>44775</v>
      </c>
      <c r="B385" s="1" t="s">
        <v>443</v>
      </c>
      <c r="C385" s="1">
        <v>1</v>
      </c>
      <c r="F385" s="9" t="s">
        <v>850</v>
      </c>
      <c r="G385" s="10"/>
      <c r="H385" s="10"/>
      <c r="I385" s="10">
        <v>1</v>
      </c>
      <c r="J385" s="10"/>
      <c r="K385" s="10"/>
      <c r="L385" s="10">
        <v>1</v>
      </c>
      <c r="O385" t="s">
        <v>710</v>
      </c>
      <c r="P385">
        <v>1</v>
      </c>
      <c r="Q385">
        <f t="shared" si="20"/>
        <v>6</v>
      </c>
      <c r="R385">
        <f t="shared" si="21"/>
        <v>6.2155775398998981E-4</v>
      </c>
      <c r="S385">
        <f t="shared" si="23"/>
        <v>0.75600069617801946</v>
      </c>
      <c r="T385" t="str">
        <f t="shared" si="22"/>
        <v>A</v>
      </c>
      <c r="V385" t="s">
        <v>710</v>
      </c>
      <c r="W385" t="s">
        <v>1244</v>
      </c>
    </row>
    <row r="386" spans="1:23" x14ac:dyDescent="0.25">
      <c r="A386" s="17">
        <v>44775</v>
      </c>
      <c r="B386" s="1" t="s">
        <v>499</v>
      </c>
      <c r="C386" s="1">
        <v>1</v>
      </c>
      <c r="F386" s="9" t="s">
        <v>942</v>
      </c>
      <c r="G386" s="10"/>
      <c r="H386" s="10"/>
      <c r="I386" s="10"/>
      <c r="J386" s="10">
        <v>1</v>
      </c>
      <c r="K386" s="10"/>
      <c r="L386" s="10">
        <v>1</v>
      </c>
      <c r="O386" t="s">
        <v>683</v>
      </c>
      <c r="P386">
        <v>1</v>
      </c>
      <c r="Q386">
        <f t="shared" si="20"/>
        <v>6</v>
      </c>
      <c r="R386">
        <f t="shared" si="21"/>
        <v>6.2155775398998981E-4</v>
      </c>
      <c r="S386">
        <f t="shared" si="23"/>
        <v>0.75662225393200944</v>
      </c>
      <c r="T386" t="str">
        <f t="shared" si="22"/>
        <v>A</v>
      </c>
      <c r="V386" t="s">
        <v>683</v>
      </c>
      <c r="W386" t="s">
        <v>1244</v>
      </c>
    </row>
    <row r="387" spans="1:23" x14ac:dyDescent="0.25">
      <c r="A387" s="17">
        <v>44775</v>
      </c>
      <c r="B387" s="1" t="s">
        <v>500</v>
      </c>
      <c r="C387" s="1">
        <v>1</v>
      </c>
      <c r="F387" s="9" t="s">
        <v>430</v>
      </c>
      <c r="G387" s="10">
        <v>2</v>
      </c>
      <c r="H387" s="10"/>
      <c r="I387" s="10">
        <v>1</v>
      </c>
      <c r="J387" s="10"/>
      <c r="K387" s="10"/>
      <c r="L387" s="10">
        <v>3</v>
      </c>
      <c r="O387" t="s">
        <v>291</v>
      </c>
      <c r="P387">
        <v>1</v>
      </c>
      <c r="Q387">
        <f t="shared" si="20"/>
        <v>6</v>
      </c>
      <c r="R387">
        <f t="shared" si="21"/>
        <v>6.2155775398998981E-4</v>
      </c>
      <c r="S387">
        <f t="shared" si="23"/>
        <v>0.75724381168599941</v>
      </c>
      <c r="T387" t="str">
        <f t="shared" si="22"/>
        <v>A</v>
      </c>
      <c r="V387" t="s">
        <v>291</v>
      </c>
      <c r="W387" t="s">
        <v>1244</v>
      </c>
    </row>
    <row r="388" spans="1:23" x14ac:dyDescent="0.25">
      <c r="A388" s="17">
        <v>44775</v>
      </c>
      <c r="B388" s="1" t="s">
        <v>502</v>
      </c>
      <c r="C388" s="1">
        <v>1</v>
      </c>
      <c r="F388" s="9" t="s">
        <v>557</v>
      </c>
      <c r="G388" s="10"/>
      <c r="H388" s="10">
        <v>1</v>
      </c>
      <c r="I388" s="10"/>
      <c r="J388" s="10"/>
      <c r="K388" s="10"/>
      <c r="L388" s="10">
        <v>1</v>
      </c>
      <c r="O388" t="s">
        <v>19</v>
      </c>
      <c r="P388">
        <v>1</v>
      </c>
      <c r="Q388">
        <f t="shared" si="20"/>
        <v>6</v>
      </c>
      <c r="R388">
        <f t="shared" si="21"/>
        <v>6.2155775398998981E-4</v>
      </c>
      <c r="S388">
        <f t="shared" si="23"/>
        <v>0.75786536943998939</v>
      </c>
      <c r="T388" t="str">
        <f t="shared" si="22"/>
        <v>A</v>
      </c>
      <c r="V388" t="s">
        <v>19</v>
      </c>
      <c r="W388" t="s">
        <v>1244</v>
      </c>
    </row>
    <row r="389" spans="1:23" x14ac:dyDescent="0.25">
      <c r="A389" s="17">
        <v>44775</v>
      </c>
      <c r="B389" s="1" t="s">
        <v>504</v>
      </c>
      <c r="C389" s="1">
        <v>1</v>
      </c>
      <c r="F389" s="9" t="s">
        <v>1145</v>
      </c>
      <c r="G389" s="10"/>
      <c r="H389" s="10"/>
      <c r="I389" s="10"/>
      <c r="J389" s="10"/>
      <c r="K389" s="10">
        <v>1</v>
      </c>
      <c r="L389" s="10">
        <v>1</v>
      </c>
      <c r="O389" t="s">
        <v>821</v>
      </c>
      <c r="P389">
        <v>1</v>
      </c>
      <c r="Q389">
        <f t="shared" ref="Q389:Q452" si="24">(P389/5)*30</f>
        <v>6</v>
      </c>
      <c r="R389">
        <f t="shared" ref="R389:R452" si="25">Q389/SUM($Q$4:$Q$806)</f>
        <v>6.2155775398998981E-4</v>
      </c>
      <c r="S389">
        <f t="shared" si="23"/>
        <v>0.75848692719397937</v>
      </c>
      <c r="T389" t="str">
        <f t="shared" ref="T389:T452" si="26">IF(S389&lt;0.8,"A", IF(S389&lt;0.95,"B","C"))</f>
        <v>A</v>
      </c>
      <c r="V389" t="s">
        <v>821</v>
      </c>
      <c r="W389" t="s">
        <v>1244</v>
      </c>
    </row>
    <row r="390" spans="1:23" x14ac:dyDescent="0.25">
      <c r="A390" s="17">
        <v>44775</v>
      </c>
      <c r="B390" s="1" t="s">
        <v>505</v>
      </c>
      <c r="C390" s="1">
        <v>1</v>
      </c>
      <c r="F390" s="9" t="s">
        <v>680</v>
      </c>
      <c r="G390" s="10"/>
      <c r="H390" s="10">
        <v>1</v>
      </c>
      <c r="I390" s="10"/>
      <c r="J390" s="10"/>
      <c r="K390" s="10"/>
      <c r="L390" s="10">
        <v>1</v>
      </c>
      <c r="O390" t="s">
        <v>144</v>
      </c>
      <c r="P390">
        <v>1</v>
      </c>
      <c r="Q390">
        <f t="shared" si="24"/>
        <v>6</v>
      </c>
      <c r="R390">
        <f t="shared" si="25"/>
        <v>6.2155775398998981E-4</v>
      </c>
      <c r="S390">
        <f t="shared" ref="S390:S453" si="27">R390+S389</f>
        <v>0.75910848494796934</v>
      </c>
      <c r="T390" t="str">
        <f t="shared" si="26"/>
        <v>A</v>
      </c>
      <c r="V390" t="s">
        <v>144</v>
      </c>
      <c r="W390" t="s">
        <v>1244</v>
      </c>
    </row>
    <row r="391" spans="1:23" x14ac:dyDescent="0.25">
      <c r="A391" s="17">
        <v>44775</v>
      </c>
      <c r="B391" s="1" t="s">
        <v>212</v>
      </c>
      <c r="C391" s="1">
        <v>1</v>
      </c>
      <c r="F391" s="9" t="s">
        <v>532</v>
      </c>
      <c r="G391" s="10"/>
      <c r="H391" s="10">
        <v>1</v>
      </c>
      <c r="I391" s="10"/>
      <c r="J391" s="10"/>
      <c r="K391" s="10"/>
      <c r="L391" s="10">
        <v>1</v>
      </c>
      <c r="O391" t="s">
        <v>1166</v>
      </c>
      <c r="P391">
        <v>1</v>
      </c>
      <c r="Q391">
        <f t="shared" si="24"/>
        <v>6</v>
      </c>
      <c r="R391">
        <f t="shared" si="25"/>
        <v>6.2155775398998981E-4</v>
      </c>
      <c r="S391">
        <f t="shared" si="27"/>
        <v>0.75973004270195932</v>
      </c>
      <c r="T391" t="str">
        <f t="shared" si="26"/>
        <v>A</v>
      </c>
      <c r="V391" t="s">
        <v>1166</v>
      </c>
      <c r="W391" t="s">
        <v>1244</v>
      </c>
    </row>
    <row r="392" spans="1:23" x14ac:dyDescent="0.25">
      <c r="A392" s="17">
        <v>44775</v>
      </c>
      <c r="B392" s="1" t="s">
        <v>507</v>
      </c>
      <c r="C392" s="1">
        <v>1</v>
      </c>
      <c r="F392" s="9" t="s">
        <v>658</v>
      </c>
      <c r="G392" s="10"/>
      <c r="H392" s="10">
        <v>1</v>
      </c>
      <c r="I392" s="10"/>
      <c r="J392" s="10"/>
      <c r="K392" s="10"/>
      <c r="L392" s="10">
        <v>1</v>
      </c>
      <c r="O392" t="s">
        <v>608</v>
      </c>
      <c r="P392">
        <v>1</v>
      </c>
      <c r="Q392">
        <f t="shared" si="24"/>
        <v>6</v>
      </c>
      <c r="R392">
        <f t="shared" si="25"/>
        <v>6.2155775398998981E-4</v>
      </c>
      <c r="S392">
        <f t="shared" si="27"/>
        <v>0.76035160045594929</v>
      </c>
      <c r="T392" t="str">
        <f t="shared" si="26"/>
        <v>A</v>
      </c>
      <c r="V392" t="s">
        <v>608</v>
      </c>
      <c r="W392" t="s">
        <v>1244</v>
      </c>
    </row>
    <row r="393" spans="1:23" x14ac:dyDescent="0.25">
      <c r="A393" s="17">
        <v>44775</v>
      </c>
      <c r="B393" s="1" t="s">
        <v>212</v>
      </c>
      <c r="C393" s="1">
        <v>1</v>
      </c>
      <c r="F393" s="9" t="s">
        <v>750</v>
      </c>
      <c r="G393" s="10"/>
      <c r="H393" s="10"/>
      <c r="I393" s="10">
        <v>1</v>
      </c>
      <c r="J393" s="10"/>
      <c r="K393" s="10"/>
      <c r="L393" s="10">
        <v>1</v>
      </c>
      <c r="O393" t="s">
        <v>57</v>
      </c>
      <c r="P393">
        <v>1</v>
      </c>
      <c r="Q393">
        <f t="shared" si="24"/>
        <v>6</v>
      </c>
      <c r="R393">
        <f t="shared" si="25"/>
        <v>6.2155775398998981E-4</v>
      </c>
      <c r="S393">
        <f t="shared" si="27"/>
        <v>0.76097315820993927</v>
      </c>
      <c r="T393" t="str">
        <f t="shared" si="26"/>
        <v>A</v>
      </c>
      <c r="V393" t="s">
        <v>57</v>
      </c>
      <c r="W393" t="s">
        <v>1244</v>
      </c>
    </row>
    <row r="394" spans="1:23" x14ac:dyDescent="0.25">
      <c r="A394" s="17">
        <v>44775</v>
      </c>
      <c r="B394" s="1" t="s">
        <v>509</v>
      </c>
      <c r="C394" s="1">
        <v>1</v>
      </c>
      <c r="F394" s="9" t="s">
        <v>943</v>
      </c>
      <c r="G394" s="10"/>
      <c r="H394" s="10"/>
      <c r="I394" s="10"/>
      <c r="J394" s="10">
        <v>1</v>
      </c>
      <c r="K394" s="10"/>
      <c r="L394" s="10">
        <v>1</v>
      </c>
      <c r="O394" t="s">
        <v>1226</v>
      </c>
      <c r="P394">
        <v>1</v>
      </c>
      <c r="Q394">
        <f t="shared" si="24"/>
        <v>6</v>
      </c>
      <c r="R394">
        <f t="shared" si="25"/>
        <v>6.2155775398998981E-4</v>
      </c>
      <c r="S394">
        <f t="shared" si="27"/>
        <v>0.76159471596392925</v>
      </c>
      <c r="T394" t="str">
        <f t="shared" si="26"/>
        <v>A</v>
      </c>
      <c r="V394" t="s">
        <v>1226</v>
      </c>
      <c r="W394" t="s">
        <v>1244</v>
      </c>
    </row>
    <row r="395" spans="1:23" x14ac:dyDescent="0.25">
      <c r="A395" s="17">
        <v>44775</v>
      </c>
      <c r="B395" s="1" t="s">
        <v>257</v>
      </c>
      <c r="C395" s="1">
        <v>1</v>
      </c>
      <c r="F395" s="9" t="s">
        <v>429</v>
      </c>
      <c r="G395" s="10">
        <v>1</v>
      </c>
      <c r="H395" s="10"/>
      <c r="I395" s="10"/>
      <c r="J395" s="10"/>
      <c r="K395" s="10"/>
      <c r="L395" s="10">
        <v>1</v>
      </c>
      <c r="O395" t="s">
        <v>962</v>
      </c>
      <c r="P395">
        <v>1</v>
      </c>
      <c r="Q395">
        <f t="shared" si="24"/>
        <v>6</v>
      </c>
      <c r="R395">
        <f t="shared" si="25"/>
        <v>6.2155775398998981E-4</v>
      </c>
      <c r="S395">
        <f t="shared" si="27"/>
        <v>0.76221627371791922</v>
      </c>
      <c r="T395" t="str">
        <f t="shared" si="26"/>
        <v>A</v>
      </c>
      <c r="V395" t="s">
        <v>962</v>
      </c>
      <c r="W395" t="s">
        <v>1244</v>
      </c>
    </row>
    <row r="396" spans="1:23" x14ac:dyDescent="0.25">
      <c r="A396" s="17">
        <v>44775</v>
      </c>
      <c r="B396" s="1" t="s">
        <v>510</v>
      </c>
      <c r="C396" s="1">
        <v>1</v>
      </c>
      <c r="F396" s="9" t="s">
        <v>251</v>
      </c>
      <c r="G396" s="10">
        <v>2</v>
      </c>
      <c r="H396" s="10">
        <v>1</v>
      </c>
      <c r="I396" s="10"/>
      <c r="J396" s="10">
        <v>3</v>
      </c>
      <c r="K396" s="10">
        <v>3</v>
      </c>
      <c r="L396" s="10">
        <v>9</v>
      </c>
      <c r="O396" t="s">
        <v>1190</v>
      </c>
      <c r="P396">
        <v>1</v>
      </c>
      <c r="Q396">
        <f t="shared" si="24"/>
        <v>6</v>
      </c>
      <c r="R396">
        <f t="shared" si="25"/>
        <v>6.2155775398998981E-4</v>
      </c>
      <c r="S396">
        <f t="shared" si="27"/>
        <v>0.7628378314719092</v>
      </c>
      <c r="T396" t="str">
        <f t="shared" si="26"/>
        <v>A</v>
      </c>
      <c r="V396" t="s">
        <v>1190</v>
      </c>
      <c r="W396" t="s">
        <v>1244</v>
      </c>
    </row>
    <row r="397" spans="1:23" x14ac:dyDescent="0.25">
      <c r="A397" s="17">
        <v>44775</v>
      </c>
      <c r="B397" s="1" t="s">
        <v>511</v>
      </c>
      <c r="C397" s="1">
        <v>1</v>
      </c>
      <c r="F397" s="9" t="s">
        <v>324</v>
      </c>
      <c r="G397" s="10">
        <v>1</v>
      </c>
      <c r="H397" s="10"/>
      <c r="I397" s="10"/>
      <c r="J397" s="10"/>
      <c r="K397" s="10"/>
      <c r="L397" s="10">
        <v>1</v>
      </c>
      <c r="O397" t="s">
        <v>930</v>
      </c>
      <c r="P397">
        <v>1</v>
      </c>
      <c r="Q397">
        <f t="shared" si="24"/>
        <v>6</v>
      </c>
      <c r="R397">
        <f t="shared" si="25"/>
        <v>6.2155775398998981E-4</v>
      </c>
      <c r="S397">
        <f t="shared" si="27"/>
        <v>0.76345938922589918</v>
      </c>
      <c r="T397" t="str">
        <f t="shared" si="26"/>
        <v>A</v>
      </c>
      <c r="V397" t="s">
        <v>930</v>
      </c>
      <c r="W397" t="s">
        <v>1244</v>
      </c>
    </row>
    <row r="398" spans="1:23" x14ac:dyDescent="0.25">
      <c r="A398" s="17">
        <v>44775</v>
      </c>
      <c r="B398" s="1" t="s">
        <v>513</v>
      </c>
      <c r="C398" s="1">
        <v>1</v>
      </c>
      <c r="F398" s="9" t="s">
        <v>190</v>
      </c>
      <c r="G398" s="10">
        <v>1</v>
      </c>
      <c r="H398" s="10"/>
      <c r="I398" s="10"/>
      <c r="J398" s="10"/>
      <c r="K398" s="10"/>
      <c r="L398" s="10">
        <v>1</v>
      </c>
      <c r="O398" t="s">
        <v>224</v>
      </c>
      <c r="P398">
        <v>1</v>
      </c>
      <c r="Q398">
        <f t="shared" si="24"/>
        <v>6</v>
      </c>
      <c r="R398">
        <f t="shared" si="25"/>
        <v>6.2155775398998981E-4</v>
      </c>
      <c r="S398">
        <f t="shared" si="27"/>
        <v>0.76408094697988915</v>
      </c>
      <c r="T398" t="str">
        <f t="shared" si="26"/>
        <v>A</v>
      </c>
      <c r="V398" t="s">
        <v>224</v>
      </c>
      <c r="W398" t="s">
        <v>1244</v>
      </c>
    </row>
    <row r="399" spans="1:23" x14ac:dyDescent="0.25">
      <c r="A399" s="17">
        <v>44775</v>
      </c>
      <c r="B399" s="1" t="s">
        <v>270</v>
      </c>
      <c r="C399" s="1">
        <v>1</v>
      </c>
      <c r="F399" s="9" t="s">
        <v>499</v>
      </c>
      <c r="G399" s="10"/>
      <c r="H399" s="10">
        <v>1</v>
      </c>
      <c r="I399" s="10"/>
      <c r="J399" s="10"/>
      <c r="K399" s="10"/>
      <c r="L399" s="10">
        <v>1</v>
      </c>
      <c r="O399" t="s">
        <v>847</v>
      </c>
      <c r="P399">
        <v>1</v>
      </c>
      <c r="Q399">
        <f t="shared" si="24"/>
        <v>6</v>
      </c>
      <c r="R399">
        <f t="shared" si="25"/>
        <v>6.2155775398998981E-4</v>
      </c>
      <c r="S399">
        <f t="shared" si="27"/>
        <v>0.76470250473387913</v>
      </c>
      <c r="T399" t="str">
        <f t="shared" si="26"/>
        <v>A</v>
      </c>
      <c r="V399" t="s">
        <v>847</v>
      </c>
      <c r="W399" t="s">
        <v>1244</v>
      </c>
    </row>
    <row r="400" spans="1:23" x14ac:dyDescent="0.25">
      <c r="A400" s="17">
        <v>44775</v>
      </c>
      <c r="B400" s="1" t="s">
        <v>270</v>
      </c>
      <c r="C400" s="1">
        <v>1</v>
      </c>
      <c r="F400" s="9" t="s">
        <v>873</v>
      </c>
      <c r="G400" s="10"/>
      <c r="H400" s="10"/>
      <c r="I400" s="10">
        <v>1</v>
      </c>
      <c r="J400" s="10"/>
      <c r="K400" s="10"/>
      <c r="L400" s="10">
        <v>1</v>
      </c>
      <c r="O400" t="s">
        <v>543</v>
      </c>
      <c r="P400">
        <v>1</v>
      </c>
      <c r="Q400">
        <f t="shared" si="24"/>
        <v>6</v>
      </c>
      <c r="R400">
        <f t="shared" si="25"/>
        <v>6.2155775398998981E-4</v>
      </c>
      <c r="S400">
        <f t="shared" si="27"/>
        <v>0.76532406248786911</v>
      </c>
      <c r="T400" t="str">
        <f t="shared" si="26"/>
        <v>A</v>
      </c>
      <c r="V400" t="s">
        <v>543</v>
      </c>
      <c r="W400" t="s">
        <v>1244</v>
      </c>
    </row>
    <row r="401" spans="1:23" x14ac:dyDescent="0.25">
      <c r="A401" s="17">
        <v>44775</v>
      </c>
      <c r="B401" s="1" t="s">
        <v>514</v>
      </c>
      <c r="C401" s="1">
        <v>1</v>
      </c>
      <c r="F401" s="9" t="s">
        <v>1044</v>
      </c>
      <c r="G401" s="10"/>
      <c r="H401" s="10"/>
      <c r="I401" s="10"/>
      <c r="J401" s="10">
        <v>1</v>
      </c>
      <c r="K401" s="10"/>
      <c r="L401" s="10">
        <v>1</v>
      </c>
      <c r="O401" t="s">
        <v>1020</v>
      </c>
      <c r="P401">
        <v>1</v>
      </c>
      <c r="Q401">
        <f t="shared" si="24"/>
        <v>6</v>
      </c>
      <c r="R401">
        <f t="shared" si="25"/>
        <v>6.2155775398998981E-4</v>
      </c>
      <c r="S401">
        <f t="shared" si="27"/>
        <v>0.76594562024185908</v>
      </c>
      <c r="T401" t="str">
        <f t="shared" si="26"/>
        <v>A</v>
      </c>
      <c r="V401" t="s">
        <v>1020</v>
      </c>
      <c r="W401" t="s">
        <v>1244</v>
      </c>
    </row>
    <row r="402" spans="1:23" x14ac:dyDescent="0.25">
      <c r="A402" s="17">
        <v>44775</v>
      </c>
      <c r="B402" s="1" t="s">
        <v>514</v>
      </c>
      <c r="C402" s="1">
        <v>1</v>
      </c>
      <c r="F402" s="9" t="s">
        <v>552</v>
      </c>
      <c r="G402" s="10"/>
      <c r="H402" s="10">
        <v>2</v>
      </c>
      <c r="I402" s="10">
        <v>3</v>
      </c>
      <c r="J402" s="10"/>
      <c r="K402" s="10"/>
      <c r="L402" s="10">
        <v>5</v>
      </c>
      <c r="O402" t="s">
        <v>789</v>
      </c>
      <c r="P402">
        <v>1</v>
      </c>
      <c r="Q402">
        <f t="shared" si="24"/>
        <v>6</v>
      </c>
      <c r="R402">
        <f t="shared" si="25"/>
        <v>6.2155775398998981E-4</v>
      </c>
      <c r="S402">
        <f t="shared" si="27"/>
        <v>0.76656717799584906</v>
      </c>
      <c r="T402" t="str">
        <f t="shared" si="26"/>
        <v>A</v>
      </c>
      <c r="V402" t="s">
        <v>789</v>
      </c>
      <c r="W402" t="s">
        <v>1244</v>
      </c>
    </row>
    <row r="403" spans="1:23" x14ac:dyDescent="0.25">
      <c r="A403" s="17">
        <v>44775</v>
      </c>
      <c r="B403" s="1" t="s">
        <v>514</v>
      </c>
      <c r="C403" s="1">
        <v>1</v>
      </c>
      <c r="F403" s="9" t="s">
        <v>940</v>
      </c>
      <c r="G403" s="10"/>
      <c r="H403" s="10"/>
      <c r="I403" s="10"/>
      <c r="J403" s="10">
        <v>2</v>
      </c>
      <c r="K403" s="10"/>
      <c r="L403" s="10">
        <v>2</v>
      </c>
      <c r="O403" t="s">
        <v>598</v>
      </c>
      <c r="P403">
        <v>1</v>
      </c>
      <c r="Q403">
        <f t="shared" si="24"/>
        <v>6</v>
      </c>
      <c r="R403">
        <f t="shared" si="25"/>
        <v>6.2155775398998981E-4</v>
      </c>
      <c r="S403">
        <f t="shared" si="27"/>
        <v>0.76718873574983903</v>
      </c>
      <c r="T403" t="str">
        <f t="shared" si="26"/>
        <v>A</v>
      </c>
      <c r="V403" t="s">
        <v>598</v>
      </c>
      <c r="W403" t="s">
        <v>1244</v>
      </c>
    </row>
    <row r="404" spans="1:23" x14ac:dyDescent="0.25">
      <c r="A404" s="17">
        <v>44775</v>
      </c>
      <c r="B404" s="1" t="s">
        <v>299</v>
      </c>
      <c r="C404" s="1">
        <v>1</v>
      </c>
      <c r="F404" s="9" t="s">
        <v>603</v>
      </c>
      <c r="G404" s="10"/>
      <c r="H404" s="10">
        <v>1</v>
      </c>
      <c r="I404" s="10"/>
      <c r="J404" s="10"/>
      <c r="K404" s="10"/>
      <c r="L404" s="10">
        <v>1</v>
      </c>
      <c r="O404" t="s">
        <v>605</v>
      </c>
      <c r="P404">
        <v>1</v>
      </c>
      <c r="Q404">
        <f t="shared" si="24"/>
        <v>6</v>
      </c>
      <c r="R404">
        <f t="shared" si="25"/>
        <v>6.2155775398998981E-4</v>
      </c>
      <c r="S404">
        <f t="shared" si="27"/>
        <v>0.76781029350382901</v>
      </c>
      <c r="T404" t="str">
        <f t="shared" si="26"/>
        <v>A</v>
      </c>
      <c r="V404" t="s">
        <v>605</v>
      </c>
      <c r="W404" t="s">
        <v>1244</v>
      </c>
    </row>
    <row r="405" spans="1:23" x14ac:dyDescent="0.25">
      <c r="A405" s="17">
        <v>44775</v>
      </c>
      <c r="B405" s="1" t="s">
        <v>515</v>
      </c>
      <c r="C405" s="1">
        <v>1</v>
      </c>
      <c r="F405" s="9" t="s">
        <v>63</v>
      </c>
      <c r="G405" s="10">
        <v>1</v>
      </c>
      <c r="H405" s="10">
        <v>1</v>
      </c>
      <c r="I405" s="10"/>
      <c r="J405" s="10"/>
      <c r="K405" s="10"/>
      <c r="L405" s="10">
        <v>2</v>
      </c>
      <c r="O405" t="s">
        <v>1048</v>
      </c>
      <c r="P405">
        <v>1</v>
      </c>
      <c r="Q405">
        <f t="shared" si="24"/>
        <v>6</v>
      </c>
      <c r="R405">
        <f t="shared" si="25"/>
        <v>6.2155775398998981E-4</v>
      </c>
      <c r="S405">
        <f t="shared" si="27"/>
        <v>0.76843185125781899</v>
      </c>
      <c r="T405" t="str">
        <f t="shared" si="26"/>
        <v>A</v>
      </c>
      <c r="V405" t="s">
        <v>1048</v>
      </c>
      <c r="W405" t="s">
        <v>1244</v>
      </c>
    </row>
    <row r="406" spans="1:23" x14ac:dyDescent="0.25">
      <c r="A406" s="17">
        <v>44775</v>
      </c>
      <c r="B406" s="1" t="s">
        <v>517</v>
      </c>
      <c r="C406" s="1">
        <v>2</v>
      </c>
      <c r="F406" s="9" t="s">
        <v>937</v>
      </c>
      <c r="G406" s="10"/>
      <c r="H406" s="10"/>
      <c r="I406" s="10"/>
      <c r="J406" s="10">
        <v>1</v>
      </c>
      <c r="K406" s="10"/>
      <c r="L406" s="10">
        <v>1</v>
      </c>
      <c r="O406" t="s">
        <v>100</v>
      </c>
      <c r="P406">
        <v>1</v>
      </c>
      <c r="Q406">
        <f t="shared" si="24"/>
        <v>6</v>
      </c>
      <c r="R406">
        <f t="shared" si="25"/>
        <v>6.2155775398998981E-4</v>
      </c>
      <c r="S406">
        <f t="shared" si="27"/>
        <v>0.76905340901180896</v>
      </c>
      <c r="T406" t="str">
        <f t="shared" si="26"/>
        <v>A</v>
      </c>
      <c r="V406" t="s">
        <v>100</v>
      </c>
      <c r="W406" t="s">
        <v>1244</v>
      </c>
    </row>
    <row r="407" spans="1:23" x14ac:dyDescent="0.25">
      <c r="A407" s="17">
        <v>44775</v>
      </c>
      <c r="B407" s="1" t="s">
        <v>518</v>
      </c>
      <c r="C407" s="1">
        <v>1</v>
      </c>
      <c r="F407" s="9" t="s">
        <v>1092</v>
      </c>
      <c r="G407" s="10"/>
      <c r="H407" s="10"/>
      <c r="I407" s="10"/>
      <c r="J407" s="10"/>
      <c r="K407" s="10">
        <v>1</v>
      </c>
      <c r="L407" s="10">
        <v>1</v>
      </c>
      <c r="O407" t="s">
        <v>242</v>
      </c>
      <c r="P407">
        <v>1</v>
      </c>
      <c r="Q407">
        <f t="shared" si="24"/>
        <v>6</v>
      </c>
      <c r="R407">
        <f t="shared" si="25"/>
        <v>6.2155775398998981E-4</v>
      </c>
      <c r="S407">
        <f t="shared" si="27"/>
        <v>0.76967496676579894</v>
      </c>
      <c r="T407" t="str">
        <f t="shared" si="26"/>
        <v>A</v>
      </c>
      <c r="V407" t="s">
        <v>242</v>
      </c>
      <c r="W407" t="s">
        <v>1244</v>
      </c>
    </row>
    <row r="408" spans="1:23" x14ac:dyDescent="0.25">
      <c r="A408" s="17">
        <v>44775</v>
      </c>
      <c r="B408" s="1" t="s">
        <v>518</v>
      </c>
      <c r="C408" s="1">
        <v>1</v>
      </c>
      <c r="F408" s="9" t="s">
        <v>690</v>
      </c>
      <c r="G408" s="10"/>
      <c r="H408" s="10">
        <v>1</v>
      </c>
      <c r="I408" s="10"/>
      <c r="J408" s="10"/>
      <c r="K408" s="10"/>
      <c r="L408" s="10">
        <v>1</v>
      </c>
      <c r="O408" t="s">
        <v>121</v>
      </c>
      <c r="P408">
        <v>1</v>
      </c>
      <c r="Q408">
        <f t="shared" si="24"/>
        <v>6</v>
      </c>
      <c r="R408">
        <f t="shared" si="25"/>
        <v>6.2155775398998981E-4</v>
      </c>
      <c r="S408">
        <f t="shared" si="27"/>
        <v>0.77029652451978892</v>
      </c>
      <c r="T408" t="str">
        <f t="shared" si="26"/>
        <v>A</v>
      </c>
      <c r="V408" t="s">
        <v>121</v>
      </c>
      <c r="W408" t="s">
        <v>1244</v>
      </c>
    </row>
    <row r="409" spans="1:23" x14ac:dyDescent="0.25">
      <c r="A409" s="17">
        <v>44775</v>
      </c>
      <c r="B409" s="1" t="s">
        <v>78</v>
      </c>
      <c r="C409" s="1">
        <v>1</v>
      </c>
      <c r="F409" s="9" t="s">
        <v>353</v>
      </c>
      <c r="G409" s="10">
        <v>0.7</v>
      </c>
      <c r="H409" s="10"/>
      <c r="I409" s="10"/>
      <c r="J409" s="10"/>
      <c r="K409" s="10"/>
      <c r="L409" s="10">
        <v>0.7</v>
      </c>
      <c r="O409" t="s">
        <v>830</v>
      </c>
      <c r="P409">
        <v>1</v>
      </c>
      <c r="Q409">
        <f t="shared" si="24"/>
        <v>6</v>
      </c>
      <c r="R409">
        <f t="shared" si="25"/>
        <v>6.2155775398998981E-4</v>
      </c>
      <c r="S409">
        <f t="shared" si="27"/>
        <v>0.77091808227377889</v>
      </c>
      <c r="T409" t="str">
        <f t="shared" si="26"/>
        <v>A</v>
      </c>
      <c r="V409" t="s">
        <v>830</v>
      </c>
      <c r="W409" t="s">
        <v>1244</v>
      </c>
    </row>
    <row r="410" spans="1:23" x14ac:dyDescent="0.25">
      <c r="A410" s="17">
        <v>44775</v>
      </c>
      <c r="B410" s="1" t="s">
        <v>519</v>
      </c>
      <c r="C410" s="1">
        <v>1</v>
      </c>
      <c r="F410" s="9" t="s">
        <v>466</v>
      </c>
      <c r="G410" s="10">
        <v>1</v>
      </c>
      <c r="H410" s="10">
        <v>1</v>
      </c>
      <c r="I410" s="10"/>
      <c r="J410" s="10">
        <v>6</v>
      </c>
      <c r="K410" s="10"/>
      <c r="L410" s="10">
        <v>8</v>
      </c>
      <c r="O410" t="s">
        <v>1096</v>
      </c>
      <c r="P410">
        <v>1</v>
      </c>
      <c r="Q410">
        <f t="shared" si="24"/>
        <v>6</v>
      </c>
      <c r="R410">
        <f t="shared" si="25"/>
        <v>6.2155775398998981E-4</v>
      </c>
      <c r="S410">
        <f t="shared" si="27"/>
        <v>0.77153964002776887</v>
      </c>
      <c r="T410" t="str">
        <f t="shared" si="26"/>
        <v>A</v>
      </c>
      <c r="V410" t="s">
        <v>1096</v>
      </c>
      <c r="W410" t="s">
        <v>1244</v>
      </c>
    </row>
    <row r="411" spans="1:23" x14ac:dyDescent="0.25">
      <c r="A411" s="17">
        <v>44775</v>
      </c>
      <c r="B411" s="1" t="s">
        <v>520</v>
      </c>
      <c r="C411" s="1">
        <v>1</v>
      </c>
      <c r="F411" s="9" t="s">
        <v>974</v>
      </c>
      <c r="G411" s="10"/>
      <c r="H411" s="10"/>
      <c r="I411" s="10"/>
      <c r="J411" s="10">
        <v>1</v>
      </c>
      <c r="K411" s="10"/>
      <c r="L411" s="10">
        <v>1</v>
      </c>
      <c r="O411" t="s">
        <v>771</v>
      </c>
      <c r="P411">
        <v>1</v>
      </c>
      <c r="Q411">
        <f t="shared" si="24"/>
        <v>6</v>
      </c>
      <c r="R411">
        <f t="shared" si="25"/>
        <v>6.2155775398998981E-4</v>
      </c>
      <c r="S411">
        <f t="shared" si="27"/>
        <v>0.77216119778175885</v>
      </c>
      <c r="T411" t="str">
        <f t="shared" si="26"/>
        <v>A</v>
      </c>
      <c r="V411" t="s">
        <v>771</v>
      </c>
      <c r="W411" t="s">
        <v>1244</v>
      </c>
    </row>
    <row r="412" spans="1:23" x14ac:dyDescent="0.25">
      <c r="A412" s="17">
        <v>44775</v>
      </c>
      <c r="B412" s="1" t="s">
        <v>521</v>
      </c>
      <c r="C412" s="1">
        <v>1</v>
      </c>
      <c r="F412" s="9" t="s">
        <v>735</v>
      </c>
      <c r="G412" s="10"/>
      <c r="H412" s="10"/>
      <c r="I412" s="10">
        <v>2</v>
      </c>
      <c r="J412" s="10"/>
      <c r="K412" s="10"/>
      <c r="L412" s="10">
        <v>2</v>
      </c>
      <c r="O412" t="s">
        <v>773</v>
      </c>
      <c r="P412">
        <v>1</v>
      </c>
      <c r="Q412">
        <f t="shared" si="24"/>
        <v>6</v>
      </c>
      <c r="R412">
        <f t="shared" si="25"/>
        <v>6.2155775398998981E-4</v>
      </c>
      <c r="S412">
        <f t="shared" si="27"/>
        <v>0.77278275553574882</v>
      </c>
      <c r="T412" t="str">
        <f t="shared" si="26"/>
        <v>A</v>
      </c>
      <c r="V412" t="s">
        <v>773</v>
      </c>
      <c r="W412" t="s">
        <v>1244</v>
      </c>
    </row>
    <row r="413" spans="1:23" x14ac:dyDescent="0.25">
      <c r="A413" s="17">
        <v>44775</v>
      </c>
      <c r="B413" s="1" t="s">
        <v>522</v>
      </c>
      <c r="C413" s="1">
        <v>1</v>
      </c>
      <c r="F413" s="9" t="s">
        <v>526</v>
      </c>
      <c r="G413" s="10"/>
      <c r="H413" s="10">
        <v>1</v>
      </c>
      <c r="I413" s="10">
        <v>1</v>
      </c>
      <c r="J413" s="10"/>
      <c r="K413" s="10">
        <v>1</v>
      </c>
      <c r="L413" s="10">
        <v>3</v>
      </c>
      <c r="O413" t="s">
        <v>869</v>
      </c>
      <c r="P413">
        <v>1</v>
      </c>
      <c r="Q413">
        <f t="shared" si="24"/>
        <v>6</v>
      </c>
      <c r="R413">
        <f t="shared" si="25"/>
        <v>6.2155775398998981E-4</v>
      </c>
      <c r="S413">
        <f t="shared" si="27"/>
        <v>0.7734043132897388</v>
      </c>
      <c r="T413" t="str">
        <f t="shared" si="26"/>
        <v>A</v>
      </c>
      <c r="V413" t="s">
        <v>869</v>
      </c>
      <c r="W413" t="s">
        <v>1244</v>
      </c>
    </row>
    <row r="414" spans="1:23" x14ac:dyDescent="0.25">
      <c r="A414" s="17">
        <v>44775</v>
      </c>
      <c r="B414" s="1" t="s">
        <v>522</v>
      </c>
      <c r="C414" s="1">
        <v>1</v>
      </c>
      <c r="F414" s="9" t="s">
        <v>65</v>
      </c>
      <c r="G414" s="10">
        <v>1</v>
      </c>
      <c r="H414" s="10">
        <v>1</v>
      </c>
      <c r="I414" s="10">
        <v>2</v>
      </c>
      <c r="J414" s="10"/>
      <c r="K414" s="10"/>
      <c r="L414" s="10">
        <v>4</v>
      </c>
      <c r="O414" t="s">
        <v>1041</v>
      </c>
      <c r="P414">
        <v>1</v>
      </c>
      <c r="Q414">
        <f t="shared" si="24"/>
        <v>6</v>
      </c>
      <c r="R414">
        <f t="shared" si="25"/>
        <v>6.2155775398998981E-4</v>
      </c>
      <c r="S414">
        <f t="shared" si="27"/>
        <v>0.77402587104372877</v>
      </c>
      <c r="T414" t="str">
        <f t="shared" si="26"/>
        <v>A</v>
      </c>
      <c r="V414" t="s">
        <v>1041</v>
      </c>
      <c r="W414" t="s">
        <v>1244</v>
      </c>
    </row>
    <row r="415" spans="1:23" x14ac:dyDescent="0.25">
      <c r="A415" s="17">
        <v>44775</v>
      </c>
      <c r="B415" s="1" t="s">
        <v>524</v>
      </c>
      <c r="C415" s="1">
        <v>1</v>
      </c>
      <c r="F415" s="9" t="s">
        <v>826</v>
      </c>
      <c r="G415" s="10"/>
      <c r="H415" s="10"/>
      <c r="I415" s="10">
        <v>2</v>
      </c>
      <c r="J415" s="10">
        <v>1</v>
      </c>
      <c r="K415" s="10"/>
      <c r="L415" s="10">
        <v>3</v>
      </c>
      <c r="O415" t="s">
        <v>732</v>
      </c>
      <c r="P415">
        <v>1</v>
      </c>
      <c r="Q415">
        <f t="shared" si="24"/>
        <v>6</v>
      </c>
      <c r="R415">
        <f t="shared" si="25"/>
        <v>6.2155775398998981E-4</v>
      </c>
      <c r="S415">
        <f t="shared" si="27"/>
        <v>0.77464742879771875</v>
      </c>
      <c r="T415" t="str">
        <f t="shared" si="26"/>
        <v>A</v>
      </c>
      <c r="V415" t="s">
        <v>732</v>
      </c>
      <c r="W415" t="s">
        <v>1244</v>
      </c>
    </row>
    <row r="416" spans="1:23" x14ac:dyDescent="0.25">
      <c r="A416" s="17">
        <v>44775</v>
      </c>
      <c r="B416" s="1" t="s">
        <v>259</v>
      </c>
      <c r="C416" s="1">
        <v>1</v>
      </c>
      <c r="F416" s="9" t="s">
        <v>522</v>
      </c>
      <c r="G416" s="10"/>
      <c r="H416" s="10">
        <v>2</v>
      </c>
      <c r="I416" s="10"/>
      <c r="J416" s="10"/>
      <c r="K416" s="10"/>
      <c r="L416" s="10">
        <v>2</v>
      </c>
      <c r="O416" t="s">
        <v>695</v>
      </c>
      <c r="P416">
        <v>1</v>
      </c>
      <c r="Q416">
        <f t="shared" si="24"/>
        <v>6</v>
      </c>
      <c r="R416">
        <f t="shared" si="25"/>
        <v>6.2155775398998981E-4</v>
      </c>
      <c r="S416">
        <f t="shared" si="27"/>
        <v>0.77526898655170873</v>
      </c>
      <c r="T416" t="str">
        <f t="shared" si="26"/>
        <v>A</v>
      </c>
      <c r="V416" t="s">
        <v>695</v>
      </c>
      <c r="W416" t="s">
        <v>1244</v>
      </c>
    </row>
    <row r="417" spans="1:23" x14ac:dyDescent="0.25">
      <c r="A417" s="17">
        <v>44775</v>
      </c>
      <c r="B417" s="1" t="s">
        <v>259</v>
      </c>
      <c r="C417" s="1">
        <v>1</v>
      </c>
      <c r="F417" s="9" t="s">
        <v>988</v>
      </c>
      <c r="G417" s="10"/>
      <c r="H417" s="10"/>
      <c r="I417" s="10"/>
      <c r="J417" s="10">
        <v>1</v>
      </c>
      <c r="K417" s="10"/>
      <c r="L417" s="10">
        <v>1</v>
      </c>
      <c r="O417" t="s">
        <v>585</v>
      </c>
      <c r="P417">
        <v>1</v>
      </c>
      <c r="Q417">
        <f t="shared" si="24"/>
        <v>6</v>
      </c>
      <c r="R417">
        <f t="shared" si="25"/>
        <v>6.2155775398998981E-4</v>
      </c>
      <c r="S417">
        <f t="shared" si="27"/>
        <v>0.7758905443056987</v>
      </c>
      <c r="T417" t="str">
        <f t="shared" si="26"/>
        <v>A</v>
      </c>
      <c r="V417" t="s">
        <v>585</v>
      </c>
      <c r="W417" t="s">
        <v>1244</v>
      </c>
    </row>
    <row r="418" spans="1:23" x14ac:dyDescent="0.25">
      <c r="A418" s="17">
        <v>44775</v>
      </c>
      <c r="B418" s="1" t="s">
        <v>259</v>
      </c>
      <c r="C418" s="1">
        <v>1</v>
      </c>
      <c r="F418" s="9" t="s">
        <v>1051</v>
      </c>
      <c r="G418" s="10"/>
      <c r="H418" s="10"/>
      <c r="I418" s="10"/>
      <c r="J418" s="10">
        <v>1</v>
      </c>
      <c r="K418" s="10"/>
      <c r="L418" s="10">
        <v>1</v>
      </c>
      <c r="O418" t="s">
        <v>406</v>
      </c>
      <c r="P418">
        <v>1</v>
      </c>
      <c r="Q418">
        <f t="shared" si="24"/>
        <v>6</v>
      </c>
      <c r="R418">
        <f t="shared" si="25"/>
        <v>6.2155775398998981E-4</v>
      </c>
      <c r="S418">
        <f t="shared" si="27"/>
        <v>0.77651210205968868</v>
      </c>
      <c r="T418" t="str">
        <f t="shared" si="26"/>
        <v>A</v>
      </c>
      <c r="V418" t="s">
        <v>406</v>
      </c>
      <c r="W418" t="s">
        <v>1244</v>
      </c>
    </row>
    <row r="419" spans="1:23" x14ac:dyDescent="0.25">
      <c r="A419" s="17">
        <v>44775</v>
      </c>
      <c r="B419" s="1" t="s">
        <v>78</v>
      </c>
      <c r="C419" s="1">
        <v>1</v>
      </c>
      <c r="F419" s="9" t="s">
        <v>447</v>
      </c>
      <c r="G419" s="10">
        <v>1</v>
      </c>
      <c r="H419" s="10"/>
      <c r="I419" s="10"/>
      <c r="J419" s="10"/>
      <c r="K419" s="10"/>
      <c r="L419" s="10">
        <v>1</v>
      </c>
      <c r="O419" t="s">
        <v>178</v>
      </c>
      <c r="P419">
        <v>1</v>
      </c>
      <c r="Q419">
        <f t="shared" si="24"/>
        <v>6</v>
      </c>
      <c r="R419">
        <f t="shared" si="25"/>
        <v>6.2155775398998981E-4</v>
      </c>
      <c r="S419">
        <f t="shared" si="27"/>
        <v>0.77713365981367866</v>
      </c>
      <c r="T419" t="str">
        <f t="shared" si="26"/>
        <v>A</v>
      </c>
      <c r="V419" t="s">
        <v>178</v>
      </c>
      <c r="W419" t="s">
        <v>1244</v>
      </c>
    </row>
    <row r="420" spans="1:23" x14ac:dyDescent="0.25">
      <c r="A420" s="17">
        <v>44775</v>
      </c>
      <c r="B420" s="1" t="s">
        <v>526</v>
      </c>
      <c r="C420" s="1">
        <v>1</v>
      </c>
      <c r="F420" s="9" t="s">
        <v>481</v>
      </c>
      <c r="G420" s="10"/>
      <c r="H420" s="10">
        <v>1</v>
      </c>
      <c r="I420" s="10"/>
      <c r="J420" s="10"/>
      <c r="K420" s="10"/>
      <c r="L420" s="10">
        <v>1</v>
      </c>
      <c r="O420" t="s">
        <v>1213</v>
      </c>
      <c r="P420">
        <v>1</v>
      </c>
      <c r="Q420">
        <f t="shared" si="24"/>
        <v>6</v>
      </c>
      <c r="R420">
        <f t="shared" si="25"/>
        <v>6.2155775398998981E-4</v>
      </c>
      <c r="S420">
        <f t="shared" si="27"/>
        <v>0.77775521756766863</v>
      </c>
      <c r="T420" t="str">
        <f t="shared" si="26"/>
        <v>A</v>
      </c>
      <c r="V420" t="s">
        <v>1213</v>
      </c>
      <c r="W420" t="s">
        <v>1244</v>
      </c>
    </row>
    <row r="421" spans="1:23" x14ac:dyDescent="0.25">
      <c r="A421" s="17">
        <v>44775</v>
      </c>
      <c r="B421" s="1" t="s">
        <v>527</v>
      </c>
      <c r="C421" s="1">
        <v>1</v>
      </c>
      <c r="F421" s="9" t="s">
        <v>236</v>
      </c>
      <c r="G421" s="10">
        <v>4</v>
      </c>
      <c r="H421" s="10">
        <v>6</v>
      </c>
      <c r="I421" s="10">
        <v>3</v>
      </c>
      <c r="J421" s="10"/>
      <c r="K421" s="10"/>
      <c r="L421" s="10">
        <v>13</v>
      </c>
      <c r="O421" t="s">
        <v>1063</v>
      </c>
      <c r="P421">
        <v>1</v>
      </c>
      <c r="Q421">
        <f t="shared" si="24"/>
        <v>6</v>
      </c>
      <c r="R421">
        <f t="shared" si="25"/>
        <v>6.2155775398998981E-4</v>
      </c>
      <c r="S421">
        <f t="shared" si="27"/>
        <v>0.77837677532165861</v>
      </c>
      <c r="T421" t="str">
        <f t="shared" si="26"/>
        <v>A</v>
      </c>
      <c r="V421" t="s">
        <v>1063</v>
      </c>
      <c r="W421" t="s">
        <v>1244</v>
      </c>
    </row>
    <row r="422" spans="1:23" x14ac:dyDescent="0.25">
      <c r="A422" s="17">
        <v>44775</v>
      </c>
      <c r="B422" s="1" t="s">
        <v>466</v>
      </c>
      <c r="C422" s="1">
        <v>1</v>
      </c>
      <c r="F422" s="9" t="s">
        <v>816</v>
      </c>
      <c r="G422" s="10"/>
      <c r="H422" s="10"/>
      <c r="I422" s="10">
        <v>1</v>
      </c>
      <c r="J422" s="10"/>
      <c r="K422" s="10">
        <v>2</v>
      </c>
      <c r="L422" s="10">
        <v>3</v>
      </c>
      <c r="O422" t="s">
        <v>483</v>
      </c>
      <c r="P422">
        <v>1</v>
      </c>
      <c r="Q422">
        <f t="shared" si="24"/>
        <v>6</v>
      </c>
      <c r="R422">
        <f t="shared" si="25"/>
        <v>6.2155775398998981E-4</v>
      </c>
      <c r="S422">
        <f t="shared" si="27"/>
        <v>0.77899833307564859</v>
      </c>
      <c r="T422" t="str">
        <f t="shared" si="26"/>
        <v>A</v>
      </c>
      <c r="V422" t="s">
        <v>483</v>
      </c>
      <c r="W422" t="s">
        <v>1244</v>
      </c>
    </row>
    <row r="423" spans="1:23" x14ac:dyDescent="0.25">
      <c r="A423" s="17">
        <v>44775</v>
      </c>
      <c r="B423" s="1" t="s">
        <v>163</v>
      </c>
      <c r="C423" s="1">
        <v>2</v>
      </c>
      <c r="F423" s="9" t="s">
        <v>1224</v>
      </c>
      <c r="G423" s="10"/>
      <c r="H423" s="10"/>
      <c r="I423" s="10"/>
      <c r="J423" s="10"/>
      <c r="K423" s="10">
        <v>4</v>
      </c>
      <c r="L423" s="10">
        <v>4</v>
      </c>
      <c r="O423" t="s">
        <v>1011</v>
      </c>
      <c r="P423">
        <v>1</v>
      </c>
      <c r="Q423">
        <f t="shared" si="24"/>
        <v>6</v>
      </c>
      <c r="R423">
        <f t="shared" si="25"/>
        <v>6.2155775398998981E-4</v>
      </c>
      <c r="S423">
        <f t="shared" si="27"/>
        <v>0.77961989082963856</v>
      </c>
      <c r="T423" t="str">
        <f t="shared" si="26"/>
        <v>A</v>
      </c>
      <c r="V423" t="s">
        <v>1011</v>
      </c>
      <c r="W423" t="s">
        <v>1244</v>
      </c>
    </row>
    <row r="424" spans="1:23" x14ac:dyDescent="0.25">
      <c r="A424" s="17">
        <v>44775</v>
      </c>
      <c r="B424" s="1" t="s">
        <v>163</v>
      </c>
      <c r="C424" s="1">
        <v>1</v>
      </c>
      <c r="F424" s="9" t="s">
        <v>589</v>
      </c>
      <c r="G424" s="10"/>
      <c r="H424" s="10">
        <v>1</v>
      </c>
      <c r="I424" s="10">
        <v>1</v>
      </c>
      <c r="J424" s="10">
        <v>1</v>
      </c>
      <c r="K424" s="10"/>
      <c r="L424" s="10">
        <v>3</v>
      </c>
      <c r="O424" t="s">
        <v>1109</v>
      </c>
      <c r="P424">
        <v>1</v>
      </c>
      <c r="Q424">
        <f t="shared" si="24"/>
        <v>6</v>
      </c>
      <c r="R424">
        <f t="shared" si="25"/>
        <v>6.2155775398998981E-4</v>
      </c>
      <c r="S424">
        <f t="shared" si="27"/>
        <v>0.78024144858362854</v>
      </c>
      <c r="T424" t="str">
        <f t="shared" si="26"/>
        <v>A</v>
      </c>
      <c r="V424" t="s">
        <v>1109</v>
      </c>
      <c r="W424" t="s">
        <v>1244</v>
      </c>
    </row>
    <row r="425" spans="1:23" x14ac:dyDescent="0.25">
      <c r="A425" s="17">
        <v>44775</v>
      </c>
      <c r="B425" s="1" t="s">
        <v>529</v>
      </c>
      <c r="C425" s="1">
        <v>1</v>
      </c>
      <c r="F425" s="9" t="s">
        <v>1035</v>
      </c>
      <c r="G425" s="10"/>
      <c r="H425" s="10"/>
      <c r="I425" s="10"/>
      <c r="J425" s="10">
        <v>1</v>
      </c>
      <c r="K425" s="10"/>
      <c r="L425" s="10">
        <v>1</v>
      </c>
      <c r="O425" t="s">
        <v>287</v>
      </c>
      <c r="P425">
        <v>1</v>
      </c>
      <c r="Q425">
        <f t="shared" si="24"/>
        <v>6</v>
      </c>
      <c r="R425">
        <f t="shared" si="25"/>
        <v>6.2155775398998981E-4</v>
      </c>
      <c r="S425">
        <f t="shared" si="27"/>
        <v>0.78086300633761851</v>
      </c>
      <c r="T425" t="str">
        <f t="shared" si="26"/>
        <v>A</v>
      </c>
      <c r="V425" t="s">
        <v>287</v>
      </c>
      <c r="W425" t="s">
        <v>1244</v>
      </c>
    </row>
    <row r="426" spans="1:23" x14ac:dyDescent="0.25">
      <c r="A426" s="17">
        <v>44775</v>
      </c>
      <c r="B426" s="1" t="s">
        <v>531</v>
      </c>
      <c r="C426" s="1">
        <v>1</v>
      </c>
      <c r="F426" s="9" t="s">
        <v>1069</v>
      </c>
      <c r="G426" s="10"/>
      <c r="H426" s="10"/>
      <c r="I426" s="10"/>
      <c r="J426" s="10">
        <v>3</v>
      </c>
      <c r="K426" s="10"/>
      <c r="L426" s="10">
        <v>3</v>
      </c>
      <c r="O426" t="s">
        <v>677</v>
      </c>
      <c r="P426">
        <v>1</v>
      </c>
      <c r="Q426">
        <f t="shared" si="24"/>
        <v>6</v>
      </c>
      <c r="R426">
        <f t="shared" si="25"/>
        <v>6.2155775398998981E-4</v>
      </c>
      <c r="S426">
        <f t="shared" si="27"/>
        <v>0.78148456409160849</v>
      </c>
      <c r="T426" t="str">
        <f t="shared" si="26"/>
        <v>A</v>
      </c>
      <c r="V426" t="s">
        <v>677</v>
      </c>
      <c r="W426" t="s">
        <v>1244</v>
      </c>
    </row>
    <row r="427" spans="1:23" x14ac:dyDescent="0.25">
      <c r="A427" s="17">
        <v>44775</v>
      </c>
      <c r="B427" s="1" t="s">
        <v>415</v>
      </c>
      <c r="C427" s="1">
        <v>1</v>
      </c>
      <c r="F427" s="9" t="s">
        <v>639</v>
      </c>
      <c r="G427" s="10"/>
      <c r="H427" s="10">
        <v>1</v>
      </c>
      <c r="I427" s="10">
        <v>1</v>
      </c>
      <c r="J427" s="10">
        <v>2</v>
      </c>
      <c r="K427" s="10"/>
      <c r="L427" s="10">
        <v>4</v>
      </c>
      <c r="O427" t="s">
        <v>969</v>
      </c>
      <c r="P427">
        <v>1</v>
      </c>
      <c r="Q427">
        <f t="shared" si="24"/>
        <v>6</v>
      </c>
      <c r="R427">
        <f t="shared" si="25"/>
        <v>6.2155775398998981E-4</v>
      </c>
      <c r="S427">
        <f t="shared" si="27"/>
        <v>0.78210612184559847</v>
      </c>
      <c r="T427" t="str">
        <f t="shared" si="26"/>
        <v>A</v>
      </c>
      <c r="V427" t="s">
        <v>969</v>
      </c>
      <c r="W427" t="s">
        <v>1244</v>
      </c>
    </row>
    <row r="428" spans="1:23" x14ac:dyDescent="0.25">
      <c r="A428" s="17">
        <v>44775</v>
      </c>
      <c r="B428" s="1" t="s">
        <v>415</v>
      </c>
      <c r="C428" s="1">
        <v>1</v>
      </c>
      <c r="F428" s="9" t="s">
        <v>386</v>
      </c>
      <c r="G428" s="10">
        <v>2</v>
      </c>
      <c r="H428" s="10">
        <v>1</v>
      </c>
      <c r="I428" s="10"/>
      <c r="J428" s="10"/>
      <c r="K428" s="10"/>
      <c r="L428" s="10">
        <v>3</v>
      </c>
      <c r="O428" t="s">
        <v>1212</v>
      </c>
      <c r="P428">
        <v>1</v>
      </c>
      <c r="Q428">
        <f t="shared" si="24"/>
        <v>6</v>
      </c>
      <c r="R428">
        <f t="shared" si="25"/>
        <v>6.2155775398998981E-4</v>
      </c>
      <c r="S428">
        <f t="shared" si="27"/>
        <v>0.78272767959958844</v>
      </c>
      <c r="T428" t="str">
        <f t="shared" si="26"/>
        <v>A</v>
      </c>
      <c r="V428" t="s">
        <v>1212</v>
      </c>
      <c r="W428" t="s">
        <v>1244</v>
      </c>
    </row>
    <row r="429" spans="1:23" x14ac:dyDescent="0.25">
      <c r="A429" s="17">
        <v>44775</v>
      </c>
      <c r="B429" s="1" t="s">
        <v>415</v>
      </c>
      <c r="C429" s="1">
        <v>1</v>
      </c>
      <c r="F429" s="9" t="s">
        <v>893</v>
      </c>
      <c r="G429" s="10"/>
      <c r="H429" s="10"/>
      <c r="I429" s="10">
        <v>1</v>
      </c>
      <c r="J429" s="10"/>
      <c r="K429" s="10"/>
      <c r="L429" s="10">
        <v>1</v>
      </c>
      <c r="O429" t="s">
        <v>417</v>
      </c>
      <c r="P429">
        <v>1</v>
      </c>
      <c r="Q429">
        <f t="shared" si="24"/>
        <v>6</v>
      </c>
      <c r="R429">
        <f t="shared" si="25"/>
        <v>6.2155775398998981E-4</v>
      </c>
      <c r="S429">
        <f t="shared" si="27"/>
        <v>0.78334923735357842</v>
      </c>
      <c r="T429" t="str">
        <f t="shared" si="26"/>
        <v>A</v>
      </c>
      <c r="V429" t="s">
        <v>417</v>
      </c>
      <c r="W429" t="s">
        <v>1244</v>
      </c>
    </row>
    <row r="430" spans="1:23" x14ac:dyDescent="0.25">
      <c r="A430" s="17">
        <v>44775</v>
      </c>
      <c r="B430" s="1" t="s">
        <v>415</v>
      </c>
      <c r="C430" s="1">
        <v>1</v>
      </c>
      <c r="F430" s="9" t="s">
        <v>472</v>
      </c>
      <c r="G430" s="10">
        <v>1</v>
      </c>
      <c r="H430" s="10"/>
      <c r="I430" s="10"/>
      <c r="J430" s="10">
        <v>1</v>
      </c>
      <c r="K430" s="10"/>
      <c r="L430" s="10">
        <v>2</v>
      </c>
      <c r="O430" t="s">
        <v>944</v>
      </c>
      <c r="P430">
        <v>1</v>
      </c>
      <c r="Q430">
        <f t="shared" si="24"/>
        <v>6</v>
      </c>
      <c r="R430">
        <f t="shared" si="25"/>
        <v>6.2155775398998981E-4</v>
      </c>
      <c r="S430">
        <f t="shared" si="27"/>
        <v>0.7839707951075684</v>
      </c>
      <c r="T430" t="str">
        <f t="shared" si="26"/>
        <v>A</v>
      </c>
      <c r="V430" t="s">
        <v>944</v>
      </c>
      <c r="W430" t="s">
        <v>1244</v>
      </c>
    </row>
    <row r="431" spans="1:23" x14ac:dyDescent="0.25">
      <c r="A431" s="17">
        <v>44775</v>
      </c>
      <c r="B431" s="1" t="s">
        <v>415</v>
      </c>
      <c r="C431" s="1">
        <v>1</v>
      </c>
      <c r="F431" s="9" t="s">
        <v>424</v>
      </c>
      <c r="G431" s="10">
        <v>1</v>
      </c>
      <c r="H431" s="10"/>
      <c r="I431" s="10">
        <v>1</v>
      </c>
      <c r="J431" s="10"/>
      <c r="K431" s="10">
        <v>2</v>
      </c>
      <c r="L431" s="10">
        <v>4</v>
      </c>
      <c r="O431" t="s">
        <v>631</v>
      </c>
      <c r="P431">
        <v>1</v>
      </c>
      <c r="Q431">
        <f t="shared" si="24"/>
        <v>6</v>
      </c>
      <c r="R431">
        <f t="shared" si="25"/>
        <v>6.2155775398998981E-4</v>
      </c>
      <c r="S431">
        <f t="shared" si="27"/>
        <v>0.78459235286155837</v>
      </c>
      <c r="T431" t="str">
        <f t="shared" si="26"/>
        <v>A</v>
      </c>
      <c r="V431" t="s">
        <v>631</v>
      </c>
      <c r="W431" t="s">
        <v>1244</v>
      </c>
    </row>
    <row r="432" spans="1:23" x14ac:dyDescent="0.25">
      <c r="A432" s="17">
        <v>44775</v>
      </c>
      <c r="B432" s="1" t="s">
        <v>532</v>
      </c>
      <c r="C432" s="1">
        <v>1</v>
      </c>
      <c r="F432" s="9" t="s">
        <v>713</v>
      </c>
      <c r="G432" s="10"/>
      <c r="H432" s="10"/>
      <c r="I432" s="10">
        <v>1</v>
      </c>
      <c r="J432" s="10"/>
      <c r="K432" s="10"/>
      <c r="L432" s="10">
        <v>1</v>
      </c>
      <c r="O432" t="s">
        <v>1025</v>
      </c>
      <c r="P432">
        <v>1</v>
      </c>
      <c r="Q432">
        <f t="shared" si="24"/>
        <v>6</v>
      </c>
      <c r="R432">
        <f t="shared" si="25"/>
        <v>6.2155775398998981E-4</v>
      </c>
      <c r="S432">
        <f t="shared" si="27"/>
        <v>0.78521391061554835</v>
      </c>
      <c r="T432" t="str">
        <f t="shared" si="26"/>
        <v>A</v>
      </c>
      <c r="V432" t="s">
        <v>1025</v>
      </c>
      <c r="W432" t="s">
        <v>1244</v>
      </c>
    </row>
    <row r="433" spans="1:23" x14ac:dyDescent="0.25">
      <c r="A433" s="17">
        <v>44775</v>
      </c>
      <c r="B433" s="1" t="s">
        <v>78</v>
      </c>
      <c r="C433" s="1">
        <v>1</v>
      </c>
      <c r="F433" s="9" t="s">
        <v>820</v>
      </c>
      <c r="G433" s="10"/>
      <c r="H433" s="10"/>
      <c r="I433" s="10">
        <v>1</v>
      </c>
      <c r="J433" s="10"/>
      <c r="K433" s="10"/>
      <c r="L433" s="10">
        <v>1</v>
      </c>
      <c r="O433" t="s">
        <v>652</v>
      </c>
      <c r="P433">
        <v>1</v>
      </c>
      <c r="Q433">
        <f t="shared" si="24"/>
        <v>6</v>
      </c>
      <c r="R433">
        <f t="shared" si="25"/>
        <v>6.2155775398998981E-4</v>
      </c>
      <c r="S433">
        <f t="shared" si="27"/>
        <v>0.78583546836953833</v>
      </c>
      <c r="T433" t="str">
        <f t="shared" si="26"/>
        <v>A</v>
      </c>
      <c r="V433" t="s">
        <v>652</v>
      </c>
      <c r="W433" t="s">
        <v>1244</v>
      </c>
    </row>
    <row r="434" spans="1:23" x14ac:dyDescent="0.25">
      <c r="A434" s="17">
        <v>44775</v>
      </c>
      <c r="B434" s="1" t="s">
        <v>147</v>
      </c>
      <c r="C434" s="1">
        <v>1</v>
      </c>
      <c r="F434" s="9" t="s">
        <v>487</v>
      </c>
      <c r="G434" s="10"/>
      <c r="H434" s="10">
        <v>2</v>
      </c>
      <c r="I434" s="10"/>
      <c r="J434" s="10"/>
      <c r="K434" s="10"/>
      <c r="L434" s="10">
        <v>2</v>
      </c>
      <c r="O434" t="s">
        <v>593</v>
      </c>
      <c r="P434">
        <v>1</v>
      </c>
      <c r="Q434">
        <f t="shared" si="24"/>
        <v>6</v>
      </c>
      <c r="R434">
        <f t="shared" si="25"/>
        <v>6.2155775398998981E-4</v>
      </c>
      <c r="S434">
        <f t="shared" si="27"/>
        <v>0.7864570261235283</v>
      </c>
      <c r="T434" t="str">
        <f t="shared" si="26"/>
        <v>A</v>
      </c>
      <c r="V434" t="s">
        <v>593</v>
      </c>
      <c r="W434" t="s">
        <v>1244</v>
      </c>
    </row>
    <row r="435" spans="1:23" x14ac:dyDescent="0.25">
      <c r="A435" s="17">
        <v>44775</v>
      </c>
      <c r="B435" s="1" t="s">
        <v>147</v>
      </c>
      <c r="C435" s="1">
        <v>1</v>
      </c>
      <c r="F435" s="9" t="s">
        <v>488</v>
      </c>
      <c r="G435" s="10"/>
      <c r="H435" s="10">
        <v>1</v>
      </c>
      <c r="I435" s="10"/>
      <c r="J435" s="10"/>
      <c r="K435" s="10"/>
      <c r="L435" s="10">
        <v>1</v>
      </c>
      <c r="O435" t="s">
        <v>1052</v>
      </c>
      <c r="P435">
        <v>1</v>
      </c>
      <c r="Q435">
        <f t="shared" si="24"/>
        <v>6</v>
      </c>
      <c r="R435">
        <f t="shared" si="25"/>
        <v>6.2155775398998981E-4</v>
      </c>
      <c r="S435">
        <f t="shared" si="27"/>
        <v>0.78707858387751828</v>
      </c>
      <c r="T435" t="str">
        <f t="shared" si="26"/>
        <v>A</v>
      </c>
      <c r="V435" t="s">
        <v>1052</v>
      </c>
      <c r="W435" t="s">
        <v>1244</v>
      </c>
    </row>
    <row r="436" spans="1:23" x14ac:dyDescent="0.25">
      <c r="A436" s="17">
        <v>44775</v>
      </c>
      <c r="B436" s="1" t="s">
        <v>534</v>
      </c>
      <c r="C436" s="1">
        <v>1</v>
      </c>
      <c r="F436" s="9" t="s">
        <v>654</v>
      </c>
      <c r="G436" s="10"/>
      <c r="H436" s="10">
        <v>0.16666666999999999</v>
      </c>
      <c r="I436" s="10"/>
      <c r="J436" s="10"/>
      <c r="K436" s="10"/>
      <c r="L436" s="10">
        <v>0.16666666999999999</v>
      </c>
      <c r="O436" t="s">
        <v>950</v>
      </c>
      <c r="P436">
        <v>1</v>
      </c>
      <c r="Q436">
        <f t="shared" si="24"/>
        <v>6</v>
      </c>
      <c r="R436">
        <f t="shared" si="25"/>
        <v>6.2155775398998981E-4</v>
      </c>
      <c r="S436">
        <f t="shared" si="27"/>
        <v>0.78770014163150825</v>
      </c>
      <c r="T436" t="str">
        <f t="shared" si="26"/>
        <v>A</v>
      </c>
      <c r="V436" t="s">
        <v>950</v>
      </c>
      <c r="W436" t="s">
        <v>1244</v>
      </c>
    </row>
    <row r="437" spans="1:23" x14ac:dyDescent="0.25">
      <c r="A437" s="17">
        <v>44775</v>
      </c>
      <c r="B437" s="1" t="s">
        <v>535</v>
      </c>
      <c r="C437" s="1">
        <v>1</v>
      </c>
      <c r="F437" s="9" t="s">
        <v>555</v>
      </c>
      <c r="G437" s="10"/>
      <c r="H437" s="10">
        <v>1</v>
      </c>
      <c r="I437" s="10"/>
      <c r="J437" s="10"/>
      <c r="K437" s="10">
        <v>1</v>
      </c>
      <c r="L437" s="10">
        <v>2</v>
      </c>
      <c r="O437" t="s">
        <v>255</v>
      </c>
      <c r="P437">
        <v>1</v>
      </c>
      <c r="Q437">
        <f t="shared" si="24"/>
        <v>6</v>
      </c>
      <c r="R437">
        <f t="shared" si="25"/>
        <v>6.2155775398998981E-4</v>
      </c>
      <c r="S437">
        <f t="shared" si="27"/>
        <v>0.78832169938549823</v>
      </c>
      <c r="T437" t="str">
        <f t="shared" si="26"/>
        <v>A</v>
      </c>
      <c r="V437" t="s">
        <v>255</v>
      </c>
      <c r="W437" t="s">
        <v>1244</v>
      </c>
    </row>
    <row r="438" spans="1:23" x14ac:dyDescent="0.25">
      <c r="A438" s="17">
        <v>44775</v>
      </c>
      <c r="B438" s="1" t="s">
        <v>537</v>
      </c>
      <c r="C438" s="1">
        <v>0.2</v>
      </c>
      <c r="F438" s="9" t="s">
        <v>878</v>
      </c>
      <c r="G438" s="10"/>
      <c r="H438" s="10"/>
      <c r="I438" s="10">
        <v>1</v>
      </c>
      <c r="J438" s="10">
        <v>1</v>
      </c>
      <c r="K438" s="10"/>
      <c r="L438" s="10">
        <v>2</v>
      </c>
      <c r="O438" t="s">
        <v>1039</v>
      </c>
      <c r="P438">
        <v>1</v>
      </c>
      <c r="Q438">
        <f t="shared" si="24"/>
        <v>6</v>
      </c>
      <c r="R438">
        <f t="shared" si="25"/>
        <v>6.2155775398998981E-4</v>
      </c>
      <c r="S438">
        <f t="shared" si="27"/>
        <v>0.78894325713948821</v>
      </c>
      <c r="T438" t="str">
        <f t="shared" si="26"/>
        <v>A</v>
      </c>
      <c r="V438" t="s">
        <v>1039</v>
      </c>
      <c r="W438" t="s">
        <v>1244</v>
      </c>
    </row>
    <row r="439" spans="1:23" x14ac:dyDescent="0.25">
      <c r="A439" s="17">
        <v>44775</v>
      </c>
      <c r="B439" s="1" t="s">
        <v>539</v>
      </c>
      <c r="C439" s="1">
        <v>1</v>
      </c>
      <c r="F439" s="9" t="s">
        <v>723</v>
      </c>
      <c r="G439" s="10"/>
      <c r="H439" s="10"/>
      <c r="I439" s="10">
        <v>1</v>
      </c>
      <c r="J439" s="10"/>
      <c r="K439" s="10"/>
      <c r="L439" s="10">
        <v>1</v>
      </c>
      <c r="O439" t="s">
        <v>707</v>
      </c>
      <c r="P439">
        <v>1</v>
      </c>
      <c r="Q439">
        <f t="shared" si="24"/>
        <v>6</v>
      </c>
      <c r="R439">
        <f t="shared" si="25"/>
        <v>6.2155775398998981E-4</v>
      </c>
      <c r="S439">
        <f t="shared" si="27"/>
        <v>0.78956481489347818</v>
      </c>
      <c r="T439" t="str">
        <f t="shared" si="26"/>
        <v>A</v>
      </c>
      <c r="V439" t="s">
        <v>707</v>
      </c>
      <c r="W439" t="s">
        <v>1244</v>
      </c>
    </row>
    <row r="440" spans="1:23" x14ac:dyDescent="0.25">
      <c r="A440" s="17">
        <v>44775</v>
      </c>
      <c r="B440" s="1" t="s">
        <v>541</v>
      </c>
      <c r="C440" s="1">
        <v>1</v>
      </c>
      <c r="F440" s="9" t="s">
        <v>1068</v>
      </c>
      <c r="G440" s="10"/>
      <c r="H440" s="10"/>
      <c r="I440" s="10"/>
      <c r="J440" s="10">
        <v>1</v>
      </c>
      <c r="K440" s="10"/>
      <c r="L440" s="10">
        <v>1</v>
      </c>
      <c r="O440" t="s">
        <v>1174</v>
      </c>
      <c r="P440">
        <v>1</v>
      </c>
      <c r="Q440">
        <f t="shared" si="24"/>
        <v>6</v>
      </c>
      <c r="R440">
        <f t="shared" si="25"/>
        <v>6.2155775398998981E-4</v>
      </c>
      <c r="S440">
        <f t="shared" si="27"/>
        <v>0.79018637264746816</v>
      </c>
      <c r="T440" t="str">
        <f t="shared" si="26"/>
        <v>A</v>
      </c>
      <c r="V440" t="s">
        <v>1174</v>
      </c>
      <c r="W440" t="s">
        <v>1244</v>
      </c>
    </row>
    <row r="441" spans="1:23" x14ac:dyDescent="0.25">
      <c r="A441" s="17">
        <v>44775</v>
      </c>
      <c r="B441" s="1" t="s">
        <v>543</v>
      </c>
      <c r="C441" s="1">
        <v>1</v>
      </c>
      <c r="F441" s="9" t="s">
        <v>765</v>
      </c>
      <c r="G441" s="10"/>
      <c r="H441" s="10"/>
      <c r="I441" s="10">
        <v>1</v>
      </c>
      <c r="J441" s="10"/>
      <c r="K441" s="10"/>
      <c r="L441" s="10">
        <v>1</v>
      </c>
      <c r="O441" t="s">
        <v>54</v>
      </c>
      <c r="P441">
        <v>1</v>
      </c>
      <c r="Q441">
        <f t="shared" si="24"/>
        <v>6</v>
      </c>
      <c r="R441">
        <f t="shared" si="25"/>
        <v>6.2155775398998981E-4</v>
      </c>
      <c r="S441">
        <f t="shared" si="27"/>
        <v>0.79080793040145814</v>
      </c>
      <c r="T441" t="str">
        <f t="shared" si="26"/>
        <v>A</v>
      </c>
      <c r="V441" t="s">
        <v>54</v>
      </c>
      <c r="W441" t="s">
        <v>1244</v>
      </c>
    </row>
    <row r="442" spans="1:23" x14ac:dyDescent="0.25">
      <c r="A442" s="17">
        <v>44775</v>
      </c>
      <c r="B442" s="1" t="s">
        <v>95</v>
      </c>
      <c r="C442" s="1">
        <v>2</v>
      </c>
      <c r="F442" s="9" t="s">
        <v>1183</v>
      </c>
      <c r="G442" s="10"/>
      <c r="H442" s="10"/>
      <c r="I442" s="10"/>
      <c r="J442" s="10"/>
      <c r="K442" s="10">
        <v>0.2</v>
      </c>
      <c r="L442" s="10">
        <v>0.2</v>
      </c>
      <c r="O442" t="s">
        <v>966</v>
      </c>
      <c r="P442">
        <v>1</v>
      </c>
      <c r="Q442">
        <f t="shared" si="24"/>
        <v>6</v>
      </c>
      <c r="R442">
        <f t="shared" si="25"/>
        <v>6.2155775398998981E-4</v>
      </c>
      <c r="S442">
        <f t="shared" si="27"/>
        <v>0.79142948815544811</v>
      </c>
      <c r="T442" t="str">
        <f t="shared" si="26"/>
        <v>A</v>
      </c>
      <c r="V442" t="s">
        <v>966</v>
      </c>
      <c r="W442" t="s">
        <v>1244</v>
      </c>
    </row>
    <row r="443" spans="1:23" x14ac:dyDescent="0.25">
      <c r="A443" s="17">
        <v>44775</v>
      </c>
      <c r="B443" s="1" t="s">
        <v>545</v>
      </c>
      <c r="C443" s="1">
        <v>1</v>
      </c>
      <c r="F443" s="9" t="s">
        <v>716</v>
      </c>
      <c r="G443" s="10"/>
      <c r="H443" s="10"/>
      <c r="I443" s="10">
        <v>0.5</v>
      </c>
      <c r="J443" s="10"/>
      <c r="K443" s="10"/>
      <c r="L443" s="10">
        <v>0.5</v>
      </c>
      <c r="O443" t="s">
        <v>398</v>
      </c>
      <c r="P443">
        <v>1</v>
      </c>
      <c r="Q443">
        <f t="shared" si="24"/>
        <v>6</v>
      </c>
      <c r="R443">
        <f t="shared" si="25"/>
        <v>6.2155775398998981E-4</v>
      </c>
      <c r="S443">
        <f t="shared" si="27"/>
        <v>0.79205104590943809</v>
      </c>
      <c r="T443" t="str">
        <f t="shared" si="26"/>
        <v>A</v>
      </c>
      <c r="V443" t="s">
        <v>398</v>
      </c>
      <c r="W443" t="s">
        <v>1244</v>
      </c>
    </row>
    <row r="444" spans="1:23" x14ac:dyDescent="0.25">
      <c r="A444" s="17">
        <v>44775</v>
      </c>
      <c r="B444" s="1" t="s">
        <v>546</v>
      </c>
      <c r="C444" s="1">
        <v>1</v>
      </c>
      <c r="F444" s="9" t="s">
        <v>1170</v>
      </c>
      <c r="G444" s="10"/>
      <c r="H444" s="10"/>
      <c r="I444" s="10"/>
      <c r="J444" s="10"/>
      <c r="K444" s="10">
        <v>1</v>
      </c>
      <c r="L444" s="10">
        <v>1</v>
      </c>
      <c r="O444" t="s">
        <v>401</v>
      </c>
      <c r="P444">
        <v>1</v>
      </c>
      <c r="Q444">
        <f t="shared" si="24"/>
        <v>6</v>
      </c>
      <c r="R444">
        <f t="shared" si="25"/>
        <v>6.2155775398998981E-4</v>
      </c>
      <c r="S444">
        <f t="shared" si="27"/>
        <v>0.79267260366342807</v>
      </c>
      <c r="T444" t="str">
        <f t="shared" si="26"/>
        <v>A</v>
      </c>
      <c r="V444" t="s">
        <v>401</v>
      </c>
      <c r="W444" t="s">
        <v>1244</v>
      </c>
    </row>
    <row r="445" spans="1:23" x14ac:dyDescent="0.25">
      <c r="A445" s="17">
        <v>44775</v>
      </c>
      <c r="B445" s="1" t="s">
        <v>381</v>
      </c>
      <c r="C445" s="1">
        <v>1</v>
      </c>
      <c r="F445" s="9" t="s">
        <v>640</v>
      </c>
      <c r="G445" s="10"/>
      <c r="H445" s="10">
        <v>1</v>
      </c>
      <c r="I445" s="10"/>
      <c r="J445" s="10"/>
      <c r="K445" s="10"/>
      <c r="L445" s="10">
        <v>1</v>
      </c>
      <c r="O445" t="s">
        <v>1130</v>
      </c>
      <c r="P445">
        <v>1</v>
      </c>
      <c r="Q445">
        <f t="shared" si="24"/>
        <v>6</v>
      </c>
      <c r="R445">
        <f t="shared" si="25"/>
        <v>6.2155775398998981E-4</v>
      </c>
      <c r="S445">
        <f t="shared" si="27"/>
        <v>0.79329416141741804</v>
      </c>
      <c r="T445" t="str">
        <f t="shared" si="26"/>
        <v>A</v>
      </c>
      <c r="V445" t="s">
        <v>1130</v>
      </c>
      <c r="W445" t="s">
        <v>1244</v>
      </c>
    </row>
    <row r="446" spans="1:23" x14ac:dyDescent="0.25">
      <c r="A446" s="17">
        <v>44775</v>
      </c>
      <c r="B446" s="1" t="s">
        <v>547</v>
      </c>
      <c r="C446" s="1">
        <v>1</v>
      </c>
      <c r="F446" s="9" t="s">
        <v>546</v>
      </c>
      <c r="G446" s="10"/>
      <c r="H446" s="10">
        <v>1</v>
      </c>
      <c r="I446" s="10"/>
      <c r="J446" s="10"/>
      <c r="K446" s="10"/>
      <c r="L446" s="10">
        <v>1</v>
      </c>
      <c r="O446" t="s">
        <v>1055</v>
      </c>
      <c r="P446">
        <v>1</v>
      </c>
      <c r="Q446">
        <f t="shared" si="24"/>
        <v>6</v>
      </c>
      <c r="R446">
        <f t="shared" si="25"/>
        <v>6.2155775398998981E-4</v>
      </c>
      <c r="S446">
        <f t="shared" si="27"/>
        <v>0.79391571917140802</v>
      </c>
      <c r="T446" t="str">
        <f t="shared" si="26"/>
        <v>A</v>
      </c>
      <c r="V446" t="s">
        <v>1055</v>
      </c>
      <c r="W446" t="s">
        <v>1244</v>
      </c>
    </row>
    <row r="447" spans="1:23" x14ac:dyDescent="0.25">
      <c r="A447" s="17">
        <v>44775</v>
      </c>
      <c r="B447" s="1" t="s">
        <v>548</v>
      </c>
      <c r="C447" s="1">
        <v>1</v>
      </c>
      <c r="F447" s="9" t="s">
        <v>1059</v>
      </c>
      <c r="G447" s="10"/>
      <c r="H447" s="10"/>
      <c r="I447" s="10"/>
      <c r="J447" s="10">
        <v>1</v>
      </c>
      <c r="K447" s="10"/>
      <c r="L447" s="10">
        <v>1</v>
      </c>
      <c r="O447" t="s">
        <v>655</v>
      </c>
      <c r="P447">
        <v>1</v>
      </c>
      <c r="Q447">
        <f t="shared" si="24"/>
        <v>6</v>
      </c>
      <c r="R447">
        <f t="shared" si="25"/>
        <v>6.2155775398998981E-4</v>
      </c>
      <c r="S447">
        <f t="shared" si="27"/>
        <v>0.79453727692539799</v>
      </c>
      <c r="T447" t="str">
        <f t="shared" si="26"/>
        <v>A</v>
      </c>
      <c r="V447" t="s">
        <v>655</v>
      </c>
      <c r="W447" t="s">
        <v>1244</v>
      </c>
    </row>
    <row r="448" spans="1:23" x14ac:dyDescent="0.25">
      <c r="A448" s="17">
        <v>44775</v>
      </c>
      <c r="B448" s="1" t="s">
        <v>550</v>
      </c>
      <c r="C448" s="1">
        <v>1</v>
      </c>
      <c r="F448" s="9" t="s">
        <v>364</v>
      </c>
      <c r="G448" s="10">
        <v>1</v>
      </c>
      <c r="H448" s="10"/>
      <c r="I448" s="10"/>
      <c r="J448" s="10"/>
      <c r="K448" s="10"/>
      <c r="L448" s="10">
        <v>1</v>
      </c>
      <c r="O448" t="s">
        <v>610</v>
      </c>
      <c r="P448">
        <v>1</v>
      </c>
      <c r="Q448">
        <f t="shared" si="24"/>
        <v>6</v>
      </c>
      <c r="R448">
        <f t="shared" si="25"/>
        <v>6.2155775398998981E-4</v>
      </c>
      <c r="S448">
        <f t="shared" si="27"/>
        <v>0.79515883467938797</v>
      </c>
      <c r="T448" t="str">
        <f t="shared" si="26"/>
        <v>A</v>
      </c>
      <c r="V448" t="s">
        <v>610</v>
      </c>
      <c r="W448" t="s">
        <v>1244</v>
      </c>
    </row>
    <row r="449" spans="1:23" x14ac:dyDescent="0.25">
      <c r="A449" s="17">
        <v>44775</v>
      </c>
      <c r="B449" s="1" t="s">
        <v>366</v>
      </c>
      <c r="C449" s="1">
        <v>1</v>
      </c>
      <c r="F449" s="9" t="s">
        <v>684</v>
      </c>
      <c r="G449" s="10"/>
      <c r="H449" s="10">
        <v>1</v>
      </c>
      <c r="I449" s="10"/>
      <c r="J449" s="10"/>
      <c r="K449" s="10"/>
      <c r="L449" s="10">
        <v>1</v>
      </c>
      <c r="O449" t="s">
        <v>313</v>
      </c>
      <c r="P449">
        <v>1</v>
      </c>
      <c r="Q449">
        <f t="shared" si="24"/>
        <v>6</v>
      </c>
      <c r="R449">
        <f t="shared" si="25"/>
        <v>6.2155775398998981E-4</v>
      </c>
      <c r="S449">
        <f t="shared" si="27"/>
        <v>0.79578039243337795</v>
      </c>
      <c r="T449" t="str">
        <f t="shared" si="26"/>
        <v>A</v>
      </c>
      <c r="V449" t="s">
        <v>313</v>
      </c>
      <c r="W449" t="s">
        <v>1244</v>
      </c>
    </row>
    <row r="450" spans="1:23" x14ac:dyDescent="0.25">
      <c r="A450" s="17">
        <v>44775</v>
      </c>
      <c r="B450" s="1" t="s">
        <v>552</v>
      </c>
      <c r="C450" s="1">
        <v>2</v>
      </c>
      <c r="F450" s="9" t="s">
        <v>547</v>
      </c>
      <c r="G450" s="10"/>
      <c r="H450" s="10">
        <v>1</v>
      </c>
      <c r="I450" s="10"/>
      <c r="J450" s="10"/>
      <c r="K450" s="10"/>
      <c r="L450" s="10">
        <v>1</v>
      </c>
      <c r="O450" t="s">
        <v>460</v>
      </c>
      <c r="P450">
        <v>1</v>
      </c>
      <c r="Q450">
        <f t="shared" si="24"/>
        <v>6</v>
      </c>
      <c r="R450">
        <f t="shared" si="25"/>
        <v>6.2155775398998981E-4</v>
      </c>
      <c r="S450">
        <f t="shared" si="27"/>
        <v>0.79640195018736792</v>
      </c>
      <c r="T450" t="str">
        <f t="shared" si="26"/>
        <v>A</v>
      </c>
      <c r="V450" t="s">
        <v>460</v>
      </c>
      <c r="W450" t="s">
        <v>1244</v>
      </c>
    </row>
    <row r="451" spans="1:23" x14ac:dyDescent="0.25">
      <c r="A451" s="17">
        <v>44775</v>
      </c>
      <c r="B451" s="1" t="s">
        <v>553</v>
      </c>
      <c r="C451" s="1">
        <v>1</v>
      </c>
      <c r="F451" s="9" t="s">
        <v>423</v>
      </c>
      <c r="G451" s="10">
        <v>1</v>
      </c>
      <c r="H451" s="10"/>
      <c r="I451" s="10"/>
      <c r="J451" s="10"/>
      <c r="K451" s="10"/>
      <c r="L451" s="10">
        <v>1</v>
      </c>
      <c r="O451" t="s">
        <v>1134</v>
      </c>
      <c r="P451">
        <v>1</v>
      </c>
      <c r="Q451">
        <f t="shared" si="24"/>
        <v>6</v>
      </c>
      <c r="R451">
        <f t="shared" si="25"/>
        <v>6.2155775398998981E-4</v>
      </c>
      <c r="S451">
        <f t="shared" si="27"/>
        <v>0.7970235079413579</v>
      </c>
      <c r="T451" t="str">
        <f t="shared" si="26"/>
        <v>A</v>
      </c>
      <c r="V451" t="s">
        <v>1134</v>
      </c>
      <c r="W451" t="s">
        <v>1244</v>
      </c>
    </row>
    <row r="452" spans="1:23" x14ac:dyDescent="0.25">
      <c r="A452" s="17">
        <v>44775</v>
      </c>
      <c r="B452" s="1" t="s">
        <v>554</v>
      </c>
      <c r="C452" s="1">
        <v>1</v>
      </c>
      <c r="F452" s="9" t="s">
        <v>810</v>
      </c>
      <c r="G452" s="10"/>
      <c r="H452" s="10"/>
      <c r="I452" s="10">
        <v>1</v>
      </c>
      <c r="J452" s="10"/>
      <c r="K452" s="10"/>
      <c r="L452" s="10">
        <v>1</v>
      </c>
      <c r="O452" t="s">
        <v>578</v>
      </c>
      <c r="P452">
        <v>1</v>
      </c>
      <c r="Q452">
        <f t="shared" si="24"/>
        <v>6</v>
      </c>
      <c r="R452">
        <f t="shared" si="25"/>
        <v>6.2155775398998981E-4</v>
      </c>
      <c r="S452">
        <f t="shared" si="27"/>
        <v>0.79764506569534788</v>
      </c>
      <c r="T452" t="str">
        <f t="shared" si="26"/>
        <v>A</v>
      </c>
      <c r="V452" t="s">
        <v>578</v>
      </c>
      <c r="W452" t="s">
        <v>1244</v>
      </c>
    </row>
    <row r="453" spans="1:23" x14ac:dyDescent="0.25">
      <c r="A453" s="17">
        <v>44775</v>
      </c>
      <c r="B453" s="1" t="s">
        <v>555</v>
      </c>
      <c r="C453" s="1">
        <v>1</v>
      </c>
      <c r="F453" s="9" t="s">
        <v>812</v>
      </c>
      <c r="G453" s="10"/>
      <c r="H453" s="10"/>
      <c r="I453" s="10">
        <v>1</v>
      </c>
      <c r="J453" s="10"/>
      <c r="K453" s="10"/>
      <c r="L453" s="10">
        <v>1</v>
      </c>
      <c r="O453" t="s">
        <v>874</v>
      </c>
      <c r="P453">
        <v>1</v>
      </c>
      <c r="Q453">
        <f t="shared" ref="Q453:Q516" si="28">(P453/5)*30</f>
        <v>6</v>
      </c>
      <c r="R453">
        <f t="shared" ref="R453:R516" si="29">Q453/SUM($Q$4:$Q$806)</f>
        <v>6.2155775398998981E-4</v>
      </c>
      <c r="S453">
        <f t="shared" si="27"/>
        <v>0.79826662344933785</v>
      </c>
      <c r="T453" t="str">
        <f t="shared" ref="T453:T516" si="30">IF(S453&lt;0.8,"A", IF(S453&lt;0.95,"B","C"))</f>
        <v>A</v>
      </c>
      <c r="V453" t="s">
        <v>874</v>
      </c>
      <c r="W453" t="s">
        <v>1244</v>
      </c>
    </row>
    <row r="454" spans="1:23" x14ac:dyDescent="0.25">
      <c r="A454" s="17">
        <v>44775</v>
      </c>
      <c r="B454" s="1" t="s">
        <v>557</v>
      </c>
      <c r="C454" s="1">
        <v>1</v>
      </c>
      <c r="F454" s="9" t="s">
        <v>811</v>
      </c>
      <c r="G454" s="10"/>
      <c r="H454" s="10"/>
      <c r="I454" s="10">
        <v>1</v>
      </c>
      <c r="J454" s="10"/>
      <c r="K454" s="10"/>
      <c r="L454" s="10">
        <v>1</v>
      </c>
      <c r="O454" t="s">
        <v>777</v>
      </c>
      <c r="P454">
        <v>1</v>
      </c>
      <c r="Q454">
        <f t="shared" si="28"/>
        <v>6</v>
      </c>
      <c r="R454">
        <f t="shared" si="29"/>
        <v>6.2155775398998981E-4</v>
      </c>
      <c r="S454">
        <f t="shared" ref="S454:S517" si="31">R454+S453</f>
        <v>0.79888818120332783</v>
      </c>
      <c r="T454" t="str">
        <f t="shared" si="30"/>
        <v>A</v>
      </c>
      <c r="V454" t="s">
        <v>777</v>
      </c>
      <c r="W454" t="s">
        <v>1244</v>
      </c>
    </row>
    <row r="455" spans="1:23" x14ac:dyDescent="0.25">
      <c r="A455" s="17">
        <v>44775</v>
      </c>
      <c r="B455" s="1" t="s">
        <v>28</v>
      </c>
      <c r="C455" s="1">
        <v>1</v>
      </c>
      <c r="F455" s="9" t="s">
        <v>454</v>
      </c>
      <c r="G455" s="10">
        <v>1</v>
      </c>
      <c r="H455" s="10"/>
      <c r="I455" s="10"/>
      <c r="J455" s="10"/>
      <c r="K455" s="10"/>
      <c r="L455" s="10">
        <v>1</v>
      </c>
      <c r="O455" t="s">
        <v>1081</v>
      </c>
      <c r="P455">
        <v>1</v>
      </c>
      <c r="Q455">
        <f t="shared" si="28"/>
        <v>6</v>
      </c>
      <c r="R455">
        <f t="shared" si="29"/>
        <v>6.2155775398998981E-4</v>
      </c>
      <c r="S455">
        <f t="shared" si="31"/>
        <v>0.79950973895731781</v>
      </c>
      <c r="T455" t="str">
        <f t="shared" si="30"/>
        <v>A</v>
      </c>
      <c r="V455" t="s">
        <v>1081</v>
      </c>
      <c r="W455" t="s">
        <v>1244</v>
      </c>
    </row>
    <row r="456" spans="1:23" x14ac:dyDescent="0.25">
      <c r="A456" s="17">
        <v>44775</v>
      </c>
      <c r="B456" s="1" t="s">
        <v>28</v>
      </c>
      <c r="C456" s="1">
        <v>1</v>
      </c>
      <c r="F456" s="9" t="s">
        <v>803</v>
      </c>
      <c r="G456" s="10"/>
      <c r="H456" s="10"/>
      <c r="I456" s="10">
        <v>1</v>
      </c>
      <c r="J456" s="10"/>
      <c r="K456" s="10">
        <v>1</v>
      </c>
      <c r="L456" s="10">
        <v>2</v>
      </c>
      <c r="O456" t="s">
        <v>657</v>
      </c>
      <c r="P456">
        <v>1</v>
      </c>
      <c r="Q456">
        <f t="shared" si="28"/>
        <v>6</v>
      </c>
      <c r="R456">
        <f t="shared" si="29"/>
        <v>6.2155775398998981E-4</v>
      </c>
      <c r="S456">
        <f t="shared" si="31"/>
        <v>0.80013129671130778</v>
      </c>
      <c r="T456" t="str">
        <f t="shared" si="30"/>
        <v>B</v>
      </c>
      <c r="V456" t="s">
        <v>657</v>
      </c>
      <c r="W456" t="s">
        <v>1245</v>
      </c>
    </row>
    <row r="457" spans="1:23" x14ac:dyDescent="0.25">
      <c r="A457" s="17">
        <v>44775</v>
      </c>
      <c r="B457" s="1" t="s">
        <v>238</v>
      </c>
      <c r="C457" s="1">
        <v>1</v>
      </c>
      <c r="F457" s="9" t="s">
        <v>1161</v>
      </c>
      <c r="G457" s="10"/>
      <c r="H457" s="10"/>
      <c r="I457" s="10"/>
      <c r="J457" s="10"/>
      <c r="K457" s="10">
        <v>1</v>
      </c>
      <c r="L457" s="10">
        <v>1</v>
      </c>
      <c r="O457" t="s">
        <v>992</v>
      </c>
      <c r="P457">
        <v>1</v>
      </c>
      <c r="Q457">
        <f t="shared" si="28"/>
        <v>6</v>
      </c>
      <c r="R457">
        <f t="shared" si="29"/>
        <v>6.2155775398998981E-4</v>
      </c>
      <c r="S457">
        <f t="shared" si="31"/>
        <v>0.80075285446529776</v>
      </c>
      <c r="T457" t="str">
        <f t="shared" si="30"/>
        <v>B</v>
      </c>
      <c r="V457" t="s">
        <v>992</v>
      </c>
      <c r="W457" t="s">
        <v>1245</v>
      </c>
    </row>
    <row r="458" spans="1:23" x14ac:dyDescent="0.25">
      <c r="A458" s="17">
        <v>44775</v>
      </c>
      <c r="B458" s="1" t="s">
        <v>558</v>
      </c>
      <c r="C458" s="1">
        <v>1</v>
      </c>
      <c r="F458" s="9" t="s">
        <v>725</v>
      </c>
      <c r="G458" s="10"/>
      <c r="H458" s="10"/>
      <c r="I458" s="10">
        <v>1</v>
      </c>
      <c r="J458" s="10"/>
      <c r="K458" s="10"/>
      <c r="L458" s="10">
        <v>1</v>
      </c>
      <c r="O458" t="s">
        <v>926</v>
      </c>
      <c r="P458">
        <v>1</v>
      </c>
      <c r="Q458">
        <f t="shared" si="28"/>
        <v>6</v>
      </c>
      <c r="R458">
        <f t="shared" si="29"/>
        <v>6.2155775398998981E-4</v>
      </c>
      <c r="S458">
        <f t="shared" si="31"/>
        <v>0.80137441221928774</v>
      </c>
      <c r="T458" t="str">
        <f t="shared" si="30"/>
        <v>B</v>
      </c>
      <c r="V458" t="s">
        <v>926</v>
      </c>
      <c r="W458" t="s">
        <v>1245</v>
      </c>
    </row>
    <row r="459" spans="1:23" x14ac:dyDescent="0.25">
      <c r="A459" s="17">
        <v>44775</v>
      </c>
      <c r="B459" s="1" t="s">
        <v>137</v>
      </c>
      <c r="C459" s="1">
        <v>1</v>
      </c>
      <c r="F459" s="9" t="s">
        <v>566</v>
      </c>
      <c r="G459" s="10"/>
      <c r="H459" s="10">
        <v>2</v>
      </c>
      <c r="I459" s="10"/>
      <c r="J459" s="10"/>
      <c r="K459" s="10"/>
      <c r="L459" s="10">
        <v>2</v>
      </c>
      <c r="O459" t="s">
        <v>1022</v>
      </c>
      <c r="P459">
        <v>1</v>
      </c>
      <c r="Q459">
        <f t="shared" si="28"/>
        <v>6</v>
      </c>
      <c r="R459">
        <f t="shared" si="29"/>
        <v>6.2155775398998981E-4</v>
      </c>
      <c r="S459">
        <f t="shared" si="31"/>
        <v>0.80199596997327771</v>
      </c>
      <c r="T459" t="str">
        <f t="shared" si="30"/>
        <v>B</v>
      </c>
      <c r="V459" t="s">
        <v>1022</v>
      </c>
      <c r="W459" t="s">
        <v>1245</v>
      </c>
    </row>
    <row r="460" spans="1:23" x14ac:dyDescent="0.25">
      <c r="A460" s="17">
        <v>44775</v>
      </c>
      <c r="B460" s="1" t="s">
        <v>559</v>
      </c>
      <c r="C460" s="1">
        <v>1</v>
      </c>
      <c r="F460" s="9" t="s">
        <v>632</v>
      </c>
      <c r="G460" s="10"/>
      <c r="H460" s="10">
        <v>1</v>
      </c>
      <c r="I460" s="10"/>
      <c r="J460" s="10"/>
      <c r="K460" s="10"/>
      <c r="L460" s="10">
        <v>1</v>
      </c>
      <c r="O460" t="s">
        <v>775</v>
      </c>
      <c r="P460">
        <v>1</v>
      </c>
      <c r="Q460">
        <f t="shared" si="28"/>
        <v>6</v>
      </c>
      <c r="R460">
        <f t="shared" si="29"/>
        <v>6.2155775398998981E-4</v>
      </c>
      <c r="S460">
        <f t="shared" si="31"/>
        <v>0.80261752772726769</v>
      </c>
      <c r="T460" t="str">
        <f t="shared" si="30"/>
        <v>B</v>
      </c>
      <c r="V460" t="s">
        <v>775</v>
      </c>
      <c r="W460" t="s">
        <v>1245</v>
      </c>
    </row>
    <row r="461" spans="1:23" x14ac:dyDescent="0.25">
      <c r="A461" s="17">
        <v>44775</v>
      </c>
      <c r="B461" s="1" t="s">
        <v>290</v>
      </c>
      <c r="C461" s="1">
        <v>1</v>
      </c>
      <c r="F461" s="9" t="s">
        <v>848</v>
      </c>
      <c r="G461" s="10"/>
      <c r="H461" s="10"/>
      <c r="I461" s="10">
        <v>1</v>
      </c>
      <c r="J461" s="10"/>
      <c r="K461" s="10"/>
      <c r="L461" s="10">
        <v>1</v>
      </c>
      <c r="O461" t="s">
        <v>67</v>
      </c>
      <c r="P461">
        <v>1</v>
      </c>
      <c r="Q461">
        <f t="shared" si="28"/>
        <v>6</v>
      </c>
      <c r="R461">
        <f t="shared" si="29"/>
        <v>6.2155775398998981E-4</v>
      </c>
      <c r="S461">
        <f t="shared" si="31"/>
        <v>0.80323908548125766</v>
      </c>
      <c r="T461" t="str">
        <f t="shared" si="30"/>
        <v>B</v>
      </c>
      <c r="V461" t="s">
        <v>67</v>
      </c>
      <c r="W461" t="s">
        <v>1245</v>
      </c>
    </row>
    <row r="462" spans="1:23" x14ac:dyDescent="0.25">
      <c r="A462" s="17">
        <v>44775</v>
      </c>
      <c r="B462" s="1" t="s">
        <v>561</v>
      </c>
      <c r="C462" s="1">
        <v>1</v>
      </c>
      <c r="F462" s="9" t="s">
        <v>1083</v>
      </c>
      <c r="G462" s="10"/>
      <c r="H462" s="10"/>
      <c r="I462" s="10"/>
      <c r="J462" s="10"/>
      <c r="K462" s="10">
        <v>1</v>
      </c>
      <c r="L462" s="10">
        <v>1</v>
      </c>
      <c r="O462" t="s">
        <v>666</v>
      </c>
      <c r="P462">
        <v>1</v>
      </c>
      <c r="Q462">
        <f t="shared" si="28"/>
        <v>6</v>
      </c>
      <c r="R462">
        <f t="shared" si="29"/>
        <v>6.2155775398998981E-4</v>
      </c>
      <c r="S462">
        <f t="shared" si="31"/>
        <v>0.80386064323524764</v>
      </c>
      <c r="T462" t="str">
        <f t="shared" si="30"/>
        <v>B</v>
      </c>
      <c r="V462" t="s">
        <v>666</v>
      </c>
      <c r="W462" t="s">
        <v>1245</v>
      </c>
    </row>
    <row r="463" spans="1:23" x14ac:dyDescent="0.25">
      <c r="A463" s="17">
        <v>44775</v>
      </c>
      <c r="B463" s="1" t="s">
        <v>37</v>
      </c>
      <c r="C463" s="1">
        <v>1</v>
      </c>
      <c r="F463" s="9" t="s">
        <v>1114</v>
      </c>
      <c r="G463" s="10"/>
      <c r="H463" s="10"/>
      <c r="I463" s="10"/>
      <c r="J463" s="10"/>
      <c r="K463" s="10">
        <v>1</v>
      </c>
      <c r="L463" s="10">
        <v>1</v>
      </c>
      <c r="O463" t="s">
        <v>384</v>
      </c>
      <c r="P463">
        <v>1</v>
      </c>
      <c r="Q463">
        <f t="shared" si="28"/>
        <v>6</v>
      </c>
      <c r="R463">
        <f t="shared" si="29"/>
        <v>6.2155775398998981E-4</v>
      </c>
      <c r="S463">
        <f t="shared" si="31"/>
        <v>0.80448220098923762</v>
      </c>
      <c r="T463" t="str">
        <f t="shared" si="30"/>
        <v>B</v>
      </c>
      <c r="V463" t="s">
        <v>384</v>
      </c>
      <c r="W463" t="s">
        <v>1245</v>
      </c>
    </row>
    <row r="464" spans="1:23" x14ac:dyDescent="0.25">
      <c r="A464" s="17">
        <v>44775</v>
      </c>
      <c r="B464" s="1" t="s">
        <v>25</v>
      </c>
      <c r="C464" s="1">
        <v>1</v>
      </c>
      <c r="F464" s="9" t="s">
        <v>1123</v>
      </c>
      <c r="G464" s="10"/>
      <c r="H464" s="10"/>
      <c r="I464" s="10"/>
      <c r="J464" s="10"/>
      <c r="K464" s="10">
        <v>1</v>
      </c>
      <c r="L464" s="10">
        <v>1</v>
      </c>
      <c r="O464" t="s">
        <v>886</v>
      </c>
      <c r="P464">
        <v>1</v>
      </c>
      <c r="Q464">
        <f t="shared" si="28"/>
        <v>6</v>
      </c>
      <c r="R464">
        <f t="shared" si="29"/>
        <v>6.2155775398998981E-4</v>
      </c>
      <c r="S464">
        <f t="shared" si="31"/>
        <v>0.80510375874322759</v>
      </c>
      <c r="T464" t="str">
        <f t="shared" si="30"/>
        <v>B</v>
      </c>
      <c r="V464" t="s">
        <v>886</v>
      </c>
      <c r="W464" t="s">
        <v>1245</v>
      </c>
    </row>
    <row r="465" spans="1:23" x14ac:dyDescent="0.25">
      <c r="A465" s="17">
        <v>44775</v>
      </c>
      <c r="B465" s="1" t="s">
        <v>562</v>
      </c>
      <c r="C465" s="1">
        <v>1</v>
      </c>
      <c r="F465" s="9" t="s">
        <v>308</v>
      </c>
      <c r="G465" s="10">
        <v>1</v>
      </c>
      <c r="H465" s="10"/>
      <c r="I465" s="10"/>
      <c r="J465" s="10"/>
      <c r="K465" s="10"/>
      <c r="L465" s="10">
        <v>1</v>
      </c>
      <c r="O465" t="s">
        <v>1070</v>
      </c>
      <c r="P465">
        <v>1</v>
      </c>
      <c r="Q465">
        <f t="shared" si="28"/>
        <v>6</v>
      </c>
      <c r="R465">
        <f t="shared" si="29"/>
        <v>6.2155775398998981E-4</v>
      </c>
      <c r="S465">
        <f t="shared" si="31"/>
        <v>0.80572531649721757</v>
      </c>
      <c r="T465" t="str">
        <f t="shared" si="30"/>
        <v>B</v>
      </c>
      <c r="V465" t="s">
        <v>1070</v>
      </c>
      <c r="W465" t="s">
        <v>1245</v>
      </c>
    </row>
    <row r="466" spans="1:23" x14ac:dyDescent="0.25">
      <c r="A466" s="17">
        <v>44775</v>
      </c>
      <c r="B466" s="1" t="s">
        <v>564</v>
      </c>
      <c r="C466" s="1">
        <v>1</v>
      </c>
      <c r="F466" s="9" t="s">
        <v>382</v>
      </c>
      <c r="G466" s="10">
        <v>1</v>
      </c>
      <c r="H466" s="10">
        <v>1</v>
      </c>
      <c r="I466" s="10">
        <v>1</v>
      </c>
      <c r="J466" s="10"/>
      <c r="K466" s="10"/>
      <c r="L466" s="10">
        <v>3</v>
      </c>
      <c r="O466" t="s">
        <v>1100</v>
      </c>
      <c r="P466">
        <v>1</v>
      </c>
      <c r="Q466">
        <f t="shared" si="28"/>
        <v>6</v>
      </c>
      <c r="R466">
        <f t="shared" si="29"/>
        <v>6.2155775398998981E-4</v>
      </c>
      <c r="S466">
        <f t="shared" si="31"/>
        <v>0.80634687425120755</v>
      </c>
      <c r="T466" t="str">
        <f t="shared" si="30"/>
        <v>B</v>
      </c>
      <c r="V466" t="s">
        <v>1100</v>
      </c>
      <c r="W466" t="s">
        <v>1245</v>
      </c>
    </row>
    <row r="467" spans="1:23" x14ac:dyDescent="0.25">
      <c r="A467" s="17">
        <v>44775</v>
      </c>
      <c r="B467" s="1" t="s">
        <v>565</v>
      </c>
      <c r="C467" s="1">
        <v>1</v>
      </c>
      <c r="F467" s="9" t="s">
        <v>99</v>
      </c>
      <c r="G467" s="10">
        <v>1</v>
      </c>
      <c r="H467" s="10"/>
      <c r="I467" s="10"/>
      <c r="J467" s="10"/>
      <c r="K467" s="10"/>
      <c r="L467" s="10">
        <v>1</v>
      </c>
      <c r="O467" t="s">
        <v>1177</v>
      </c>
      <c r="P467">
        <v>1</v>
      </c>
      <c r="Q467">
        <f t="shared" si="28"/>
        <v>6</v>
      </c>
      <c r="R467">
        <f t="shared" si="29"/>
        <v>6.2155775398998981E-4</v>
      </c>
      <c r="S467">
        <f t="shared" si="31"/>
        <v>0.80696843200519752</v>
      </c>
      <c r="T467" t="str">
        <f t="shared" si="30"/>
        <v>B</v>
      </c>
      <c r="V467" t="s">
        <v>1177</v>
      </c>
      <c r="W467" t="s">
        <v>1245</v>
      </c>
    </row>
    <row r="468" spans="1:23" x14ac:dyDescent="0.25">
      <c r="A468" s="17">
        <v>44775</v>
      </c>
      <c r="B468" s="1" t="s">
        <v>565</v>
      </c>
      <c r="C468" s="1">
        <v>1</v>
      </c>
      <c r="F468" s="9" t="s">
        <v>282</v>
      </c>
      <c r="G468" s="10">
        <v>1</v>
      </c>
      <c r="H468" s="10"/>
      <c r="I468" s="10"/>
      <c r="J468" s="10"/>
      <c r="K468" s="10">
        <v>1</v>
      </c>
      <c r="L468" s="10">
        <v>2</v>
      </c>
      <c r="O468" t="s">
        <v>1119</v>
      </c>
      <c r="P468">
        <v>1</v>
      </c>
      <c r="Q468">
        <f t="shared" si="28"/>
        <v>6</v>
      </c>
      <c r="R468">
        <f t="shared" si="29"/>
        <v>6.2155775398998981E-4</v>
      </c>
      <c r="S468">
        <f t="shared" si="31"/>
        <v>0.8075899897591875</v>
      </c>
      <c r="T468" t="str">
        <f t="shared" si="30"/>
        <v>B</v>
      </c>
      <c r="V468" t="s">
        <v>1119</v>
      </c>
      <c r="W468" t="s">
        <v>1245</v>
      </c>
    </row>
    <row r="469" spans="1:23" x14ac:dyDescent="0.25">
      <c r="A469" s="17">
        <v>44775</v>
      </c>
      <c r="B469" s="1" t="s">
        <v>566</v>
      </c>
      <c r="C469" s="1">
        <v>1</v>
      </c>
      <c r="F469" s="9" t="s">
        <v>650</v>
      </c>
      <c r="G469" s="10"/>
      <c r="H469" s="10">
        <v>1</v>
      </c>
      <c r="I469" s="10"/>
      <c r="J469" s="10"/>
      <c r="K469" s="10"/>
      <c r="L469" s="10">
        <v>1</v>
      </c>
      <c r="O469" t="s">
        <v>458</v>
      </c>
      <c r="P469">
        <v>1</v>
      </c>
      <c r="Q469">
        <f t="shared" si="28"/>
        <v>6</v>
      </c>
      <c r="R469">
        <f t="shared" si="29"/>
        <v>6.2155775398998981E-4</v>
      </c>
      <c r="S469">
        <f t="shared" si="31"/>
        <v>0.80821154751317748</v>
      </c>
      <c r="T469" t="str">
        <f t="shared" si="30"/>
        <v>B</v>
      </c>
      <c r="V469" t="s">
        <v>458</v>
      </c>
      <c r="W469" t="s">
        <v>1245</v>
      </c>
    </row>
    <row r="470" spans="1:23" x14ac:dyDescent="0.25">
      <c r="A470" s="17">
        <v>44775</v>
      </c>
      <c r="B470" s="1" t="s">
        <v>566</v>
      </c>
      <c r="C470" s="1">
        <v>1</v>
      </c>
      <c r="F470" s="9" t="s">
        <v>397</v>
      </c>
      <c r="G470" s="10">
        <v>2</v>
      </c>
      <c r="H470" s="10"/>
      <c r="I470" s="10"/>
      <c r="J470" s="10"/>
      <c r="K470" s="10"/>
      <c r="L470" s="10">
        <v>2</v>
      </c>
      <c r="O470" t="s">
        <v>838</v>
      </c>
      <c r="P470">
        <v>1</v>
      </c>
      <c r="Q470">
        <f t="shared" si="28"/>
        <v>6</v>
      </c>
      <c r="R470">
        <f t="shared" si="29"/>
        <v>6.2155775398998981E-4</v>
      </c>
      <c r="S470">
        <f t="shared" si="31"/>
        <v>0.80883310526716745</v>
      </c>
      <c r="T470" t="str">
        <f t="shared" si="30"/>
        <v>B</v>
      </c>
      <c r="V470" t="s">
        <v>838</v>
      </c>
      <c r="W470" t="s">
        <v>1245</v>
      </c>
    </row>
    <row r="471" spans="1:23" x14ac:dyDescent="0.25">
      <c r="A471" s="17">
        <v>44775</v>
      </c>
      <c r="B471" s="1" t="s">
        <v>567</v>
      </c>
      <c r="C471" s="1">
        <v>1</v>
      </c>
      <c r="F471" s="9" t="s">
        <v>368</v>
      </c>
      <c r="G471" s="10">
        <v>1</v>
      </c>
      <c r="H471" s="10"/>
      <c r="I471" s="10"/>
      <c r="J471" s="10"/>
      <c r="K471" s="10"/>
      <c r="L471" s="10">
        <v>1</v>
      </c>
      <c r="O471" t="s">
        <v>108</v>
      </c>
      <c r="P471">
        <v>1</v>
      </c>
      <c r="Q471">
        <f t="shared" si="28"/>
        <v>6</v>
      </c>
      <c r="R471">
        <f t="shared" si="29"/>
        <v>6.2155775398998981E-4</v>
      </c>
      <c r="S471">
        <f t="shared" si="31"/>
        <v>0.80945466302115743</v>
      </c>
      <c r="T471" t="str">
        <f t="shared" si="30"/>
        <v>B</v>
      </c>
      <c r="V471" t="s">
        <v>108</v>
      </c>
      <c r="W471" t="s">
        <v>1245</v>
      </c>
    </row>
    <row r="472" spans="1:23" x14ac:dyDescent="0.25">
      <c r="A472" s="17">
        <v>44775</v>
      </c>
      <c r="B472" s="1" t="s">
        <v>568</v>
      </c>
      <c r="C472" s="1">
        <v>1</v>
      </c>
      <c r="F472" s="9" t="s">
        <v>328</v>
      </c>
      <c r="G472" s="10">
        <v>0.1071429</v>
      </c>
      <c r="H472" s="10">
        <v>0.1071429</v>
      </c>
      <c r="I472" s="10">
        <v>0.32142860000000001</v>
      </c>
      <c r="J472" s="10"/>
      <c r="K472" s="10"/>
      <c r="L472" s="10">
        <v>0.53571440000000004</v>
      </c>
      <c r="O472" t="s">
        <v>411</v>
      </c>
      <c r="P472">
        <v>1</v>
      </c>
      <c r="Q472">
        <f t="shared" si="28"/>
        <v>6</v>
      </c>
      <c r="R472">
        <f t="shared" si="29"/>
        <v>6.2155775398998981E-4</v>
      </c>
      <c r="S472">
        <f t="shared" si="31"/>
        <v>0.8100762207751474</v>
      </c>
      <c r="T472" t="str">
        <f t="shared" si="30"/>
        <v>B</v>
      </c>
      <c r="V472" t="s">
        <v>411</v>
      </c>
      <c r="W472" t="s">
        <v>1245</v>
      </c>
    </row>
    <row r="473" spans="1:23" x14ac:dyDescent="0.25">
      <c r="A473" s="17">
        <v>44775</v>
      </c>
      <c r="B473" s="1" t="s">
        <v>570</v>
      </c>
      <c r="C473" s="1">
        <v>1</v>
      </c>
      <c r="F473" s="9" t="s">
        <v>509</v>
      </c>
      <c r="G473" s="10"/>
      <c r="H473" s="10">
        <v>1</v>
      </c>
      <c r="I473" s="10"/>
      <c r="J473" s="10"/>
      <c r="K473" s="10"/>
      <c r="L473" s="10">
        <v>1</v>
      </c>
      <c r="O473" t="s">
        <v>436</v>
      </c>
      <c r="P473">
        <v>1</v>
      </c>
      <c r="Q473">
        <f t="shared" si="28"/>
        <v>6</v>
      </c>
      <c r="R473">
        <f t="shared" si="29"/>
        <v>6.2155775398998981E-4</v>
      </c>
      <c r="S473">
        <f t="shared" si="31"/>
        <v>0.81069777852913738</v>
      </c>
      <c r="T473" t="str">
        <f t="shared" si="30"/>
        <v>B</v>
      </c>
      <c r="V473" t="s">
        <v>436</v>
      </c>
      <c r="W473" t="s">
        <v>1245</v>
      </c>
    </row>
    <row r="474" spans="1:23" x14ac:dyDescent="0.25">
      <c r="A474" s="17">
        <v>44775</v>
      </c>
      <c r="B474" s="1" t="s">
        <v>299</v>
      </c>
      <c r="C474" s="1">
        <v>1</v>
      </c>
      <c r="F474" s="9" t="s">
        <v>1074</v>
      </c>
      <c r="G474" s="10"/>
      <c r="H474" s="10"/>
      <c r="I474" s="10"/>
      <c r="J474" s="10"/>
      <c r="K474" s="10">
        <v>1</v>
      </c>
      <c r="L474" s="10">
        <v>1</v>
      </c>
      <c r="O474" t="s">
        <v>1155</v>
      </c>
      <c r="P474">
        <v>1</v>
      </c>
      <c r="Q474">
        <f t="shared" si="28"/>
        <v>6</v>
      </c>
      <c r="R474">
        <f t="shared" si="29"/>
        <v>6.2155775398998981E-4</v>
      </c>
      <c r="S474">
        <f t="shared" si="31"/>
        <v>0.81131933628312736</v>
      </c>
      <c r="T474" t="str">
        <f t="shared" si="30"/>
        <v>B</v>
      </c>
      <c r="V474" t="s">
        <v>1155</v>
      </c>
      <c r="W474" t="s">
        <v>1245</v>
      </c>
    </row>
    <row r="475" spans="1:23" x14ac:dyDescent="0.25">
      <c r="A475" s="17">
        <v>44775</v>
      </c>
      <c r="B475" s="1" t="s">
        <v>299</v>
      </c>
      <c r="C475" s="1">
        <v>1</v>
      </c>
      <c r="F475" s="9" t="s">
        <v>297</v>
      </c>
      <c r="G475" s="10">
        <v>1</v>
      </c>
      <c r="H475" s="10"/>
      <c r="I475" s="10"/>
      <c r="J475" s="10"/>
      <c r="K475" s="10"/>
      <c r="L475" s="10">
        <v>1</v>
      </c>
      <c r="O475" t="s">
        <v>1154</v>
      </c>
      <c r="P475">
        <v>1</v>
      </c>
      <c r="Q475">
        <f t="shared" si="28"/>
        <v>6</v>
      </c>
      <c r="R475">
        <f t="shared" si="29"/>
        <v>6.2155775398998981E-4</v>
      </c>
      <c r="S475">
        <f t="shared" si="31"/>
        <v>0.81194089403711733</v>
      </c>
      <c r="T475" t="str">
        <f t="shared" si="30"/>
        <v>B</v>
      </c>
      <c r="V475" t="s">
        <v>1154</v>
      </c>
      <c r="W475" t="s">
        <v>1245</v>
      </c>
    </row>
    <row r="476" spans="1:23" x14ac:dyDescent="0.25">
      <c r="A476" s="17">
        <v>44775</v>
      </c>
      <c r="B476" s="1" t="s">
        <v>571</v>
      </c>
      <c r="C476" s="1">
        <v>1</v>
      </c>
      <c r="F476" s="9" t="s">
        <v>416</v>
      </c>
      <c r="G476" s="10">
        <v>2</v>
      </c>
      <c r="H476" s="10">
        <v>10</v>
      </c>
      <c r="I476" s="10">
        <v>5</v>
      </c>
      <c r="J476" s="10">
        <v>4</v>
      </c>
      <c r="K476" s="10">
        <v>14</v>
      </c>
      <c r="L476" s="10">
        <v>35</v>
      </c>
      <c r="O476" t="s">
        <v>769</v>
      </c>
      <c r="P476">
        <v>1</v>
      </c>
      <c r="Q476">
        <f t="shared" si="28"/>
        <v>6</v>
      </c>
      <c r="R476">
        <f t="shared" si="29"/>
        <v>6.2155775398998981E-4</v>
      </c>
      <c r="S476">
        <f t="shared" si="31"/>
        <v>0.81256245179110731</v>
      </c>
      <c r="T476" t="str">
        <f t="shared" si="30"/>
        <v>B</v>
      </c>
      <c r="V476" t="s">
        <v>769</v>
      </c>
      <c r="W476" t="s">
        <v>1245</v>
      </c>
    </row>
    <row r="477" spans="1:23" x14ac:dyDescent="0.25">
      <c r="A477" s="17">
        <v>44775</v>
      </c>
      <c r="B477" s="1" t="s">
        <v>573</v>
      </c>
      <c r="C477" s="1">
        <v>1</v>
      </c>
      <c r="F477" s="9" t="s">
        <v>931</v>
      </c>
      <c r="G477" s="10"/>
      <c r="H477" s="10"/>
      <c r="I477" s="10"/>
      <c r="J477" s="10">
        <v>1</v>
      </c>
      <c r="K477" s="10"/>
      <c r="L477" s="10">
        <v>1</v>
      </c>
      <c r="O477" t="s">
        <v>840</v>
      </c>
      <c r="P477">
        <v>1</v>
      </c>
      <c r="Q477">
        <f t="shared" si="28"/>
        <v>6</v>
      </c>
      <c r="R477">
        <f t="shared" si="29"/>
        <v>6.2155775398998981E-4</v>
      </c>
      <c r="S477">
        <f t="shared" si="31"/>
        <v>0.81318400954509729</v>
      </c>
      <c r="T477" t="str">
        <f t="shared" si="30"/>
        <v>B</v>
      </c>
      <c r="V477" t="s">
        <v>840</v>
      </c>
      <c r="W477" t="s">
        <v>1245</v>
      </c>
    </row>
    <row r="478" spans="1:23" x14ac:dyDescent="0.25">
      <c r="A478" s="17">
        <v>44775</v>
      </c>
      <c r="B478" s="1" t="s">
        <v>575</v>
      </c>
      <c r="C478" s="1">
        <v>1</v>
      </c>
      <c r="F478" s="9" t="s">
        <v>1181</v>
      </c>
      <c r="G478" s="10"/>
      <c r="H478" s="10"/>
      <c r="I478" s="10"/>
      <c r="J478" s="10"/>
      <c r="K478" s="10">
        <v>1</v>
      </c>
      <c r="L478" s="10">
        <v>1</v>
      </c>
      <c r="O478" t="s">
        <v>184</v>
      </c>
      <c r="P478">
        <v>1</v>
      </c>
      <c r="Q478">
        <f t="shared" si="28"/>
        <v>6</v>
      </c>
      <c r="R478">
        <f t="shared" si="29"/>
        <v>6.2155775398998981E-4</v>
      </c>
      <c r="S478">
        <f t="shared" si="31"/>
        <v>0.81380556729908726</v>
      </c>
      <c r="T478" t="str">
        <f t="shared" si="30"/>
        <v>B</v>
      </c>
      <c r="V478" t="s">
        <v>184</v>
      </c>
      <c r="W478" t="s">
        <v>1245</v>
      </c>
    </row>
    <row r="479" spans="1:23" x14ac:dyDescent="0.25">
      <c r="A479" s="17">
        <v>44775</v>
      </c>
      <c r="B479" s="1" t="s">
        <v>576</v>
      </c>
      <c r="C479" s="1">
        <v>1</v>
      </c>
      <c r="F479" s="9" t="s">
        <v>531</v>
      </c>
      <c r="G479" s="10"/>
      <c r="H479" s="10">
        <v>1</v>
      </c>
      <c r="I479" s="10"/>
      <c r="J479" s="10"/>
      <c r="K479" s="10"/>
      <c r="L479" s="10">
        <v>1</v>
      </c>
      <c r="O479" t="s">
        <v>50</v>
      </c>
      <c r="P479">
        <v>1</v>
      </c>
      <c r="Q479">
        <f t="shared" si="28"/>
        <v>6</v>
      </c>
      <c r="R479">
        <f t="shared" si="29"/>
        <v>6.2155775398998981E-4</v>
      </c>
      <c r="S479">
        <f t="shared" si="31"/>
        <v>0.81442712505307724</v>
      </c>
      <c r="T479" t="str">
        <f t="shared" si="30"/>
        <v>B</v>
      </c>
      <c r="V479" t="s">
        <v>50</v>
      </c>
      <c r="W479" t="s">
        <v>1245</v>
      </c>
    </row>
    <row r="480" spans="1:23" x14ac:dyDescent="0.25">
      <c r="A480" s="17">
        <v>44775</v>
      </c>
      <c r="B480" s="1" t="s">
        <v>578</v>
      </c>
      <c r="C480" s="1">
        <v>1</v>
      </c>
      <c r="F480" s="9" t="s">
        <v>469</v>
      </c>
      <c r="G480" s="10">
        <v>1</v>
      </c>
      <c r="H480" s="10"/>
      <c r="I480" s="10"/>
      <c r="J480" s="10"/>
      <c r="K480" s="10"/>
      <c r="L480" s="10">
        <v>1</v>
      </c>
      <c r="O480" t="s">
        <v>35</v>
      </c>
      <c r="P480">
        <v>1</v>
      </c>
      <c r="Q480">
        <f t="shared" si="28"/>
        <v>6</v>
      </c>
      <c r="R480">
        <f t="shared" si="29"/>
        <v>6.2155775398998981E-4</v>
      </c>
      <c r="S480">
        <f t="shared" si="31"/>
        <v>0.81504868280706722</v>
      </c>
      <c r="T480" t="str">
        <f t="shared" si="30"/>
        <v>B</v>
      </c>
      <c r="V480" t="s">
        <v>35</v>
      </c>
      <c r="W480" t="s">
        <v>1245</v>
      </c>
    </row>
    <row r="481" spans="1:23" x14ac:dyDescent="0.25">
      <c r="A481" s="17">
        <v>44775</v>
      </c>
      <c r="B481" s="1" t="s">
        <v>580</v>
      </c>
      <c r="C481" s="1">
        <v>1</v>
      </c>
      <c r="F481" s="9" t="s">
        <v>828</v>
      </c>
      <c r="G481" s="10"/>
      <c r="H481" s="10"/>
      <c r="I481" s="10">
        <v>1</v>
      </c>
      <c r="J481" s="10"/>
      <c r="K481" s="10"/>
      <c r="L481" s="10">
        <v>1</v>
      </c>
      <c r="O481" t="s">
        <v>1195</v>
      </c>
      <c r="P481">
        <v>1</v>
      </c>
      <c r="Q481">
        <f t="shared" si="28"/>
        <v>6</v>
      </c>
      <c r="R481">
        <f t="shared" si="29"/>
        <v>6.2155775398998981E-4</v>
      </c>
      <c r="S481">
        <f t="shared" si="31"/>
        <v>0.81567024056105719</v>
      </c>
      <c r="T481" t="str">
        <f t="shared" si="30"/>
        <v>B</v>
      </c>
      <c r="V481" t="s">
        <v>1195</v>
      </c>
      <c r="W481" t="s">
        <v>1245</v>
      </c>
    </row>
    <row r="482" spans="1:23" x14ac:dyDescent="0.25">
      <c r="A482" s="17">
        <v>44775</v>
      </c>
      <c r="B482" s="1" t="s">
        <v>581</v>
      </c>
      <c r="C482" s="1">
        <v>1</v>
      </c>
      <c r="F482" s="9" t="s">
        <v>1072</v>
      </c>
      <c r="G482" s="10"/>
      <c r="H482" s="10"/>
      <c r="I482" s="10"/>
      <c r="J482" s="10"/>
      <c r="K482" s="10">
        <v>1</v>
      </c>
      <c r="L482" s="10">
        <v>1</v>
      </c>
      <c r="O482" t="s">
        <v>1146</v>
      </c>
      <c r="P482">
        <v>1</v>
      </c>
      <c r="Q482">
        <f t="shared" si="28"/>
        <v>6</v>
      </c>
      <c r="R482">
        <f t="shared" si="29"/>
        <v>6.2155775398998981E-4</v>
      </c>
      <c r="S482">
        <f t="shared" si="31"/>
        <v>0.81629179831504717</v>
      </c>
      <c r="T482" t="str">
        <f t="shared" si="30"/>
        <v>B</v>
      </c>
      <c r="V482" t="s">
        <v>1146</v>
      </c>
      <c r="W482" t="s">
        <v>1245</v>
      </c>
    </row>
    <row r="483" spans="1:23" x14ac:dyDescent="0.25">
      <c r="A483" s="17">
        <v>44775</v>
      </c>
      <c r="B483" s="1" t="s">
        <v>583</v>
      </c>
      <c r="C483" s="1">
        <v>2</v>
      </c>
      <c r="F483" s="9" t="s">
        <v>520</v>
      </c>
      <c r="G483" s="10"/>
      <c r="H483" s="10">
        <v>1</v>
      </c>
      <c r="I483" s="10"/>
      <c r="J483" s="10"/>
      <c r="K483" s="10"/>
      <c r="L483" s="10">
        <v>1</v>
      </c>
      <c r="O483" t="s">
        <v>280</v>
      </c>
      <c r="P483">
        <v>1</v>
      </c>
      <c r="Q483">
        <f t="shared" si="28"/>
        <v>6</v>
      </c>
      <c r="R483">
        <f t="shared" si="29"/>
        <v>6.2155775398998981E-4</v>
      </c>
      <c r="S483">
        <f t="shared" si="31"/>
        <v>0.81691335606903714</v>
      </c>
      <c r="T483" t="str">
        <f t="shared" si="30"/>
        <v>B</v>
      </c>
      <c r="V483" t="s">
        <v>280</v>
      </c>
      <c r="W483" t="s">
        <v>1245</v>
      </c>
    </row>
    <row r="484" spans="1:23" x14ac:dyDescent="0.25">
      <c r="A484" s="17">
        <v>44775</v>
      </c>
      <c r="B484" s="1" t="s">
        <v>583</v>
      </c>
      <c r="C484" s="1">
        <v>20</v>
      </c>
      <c r="F484" s="9" t="s">
        <v>496</v>
      </c>
      <c r="G484" s="10"/>
      <c r="H484" s="10">
        <v>1</v>
      </c>
      <c r="I484" s="10"/>
      <c r="J484" s="10"/>
      <c r="K484" s="10"/>
      <c r="L484" s="10">
        <v>1</v>
      </c>
      <c r="O484" t="s">
        <v>933</v>
      </c>
      <c r="P484">
        <v>1</v>
      </c>
      <c r="Q484">
        <f t="shared" si="28"/>
        <v>6</v>
      </c>
      <c r="R484">
        <f t="shared" si="29"/>
        <v>6.2155775398998981E-4</v>
      </c>
      <c r="S484">
        <f t="shared" si="31"/>
        <v>0.81753491382302712</v>
      </c>
      <c r="T484" t="str">
        <f t="shared" si="30"/>
        <v>B</v>
      </c>
      <c r="V484" t="s">
        <v>933</v>
      </c>
      <c r="W484" t="s">
        <v>1245</v>
      </c>
    </row>
    <row r="485" spans="1:23" x14ac:dyDescent="0.25">
      <c r="A485" s="17">
        <v>44775</v>
      </c>
      <c r="B485" s="1" t="s">
        <v>585</v>
      </c>
      <c r="C485" s="1">
        <v>1</v>
      </c>
      <c r="F485" s="9" t="s">
        <v>490</v>
      </c>
      <c r="G485" s="10"/>
      <c r="H485" s="10">
        <v>1</v>
      </c>
      <c r="I485" s="10"/>
      <c r="J485" s="10"/>
      <c r="K485" s="10"/>
      <c r="L485" s="10">
        <v>1</v>
      </c>
      <c r="O485" t="s">
        <v>1210</v>
      </c>
      <c r="P485">
        <v>1</v>
      </c>
      <c r="Q485">
        <f t="shared" si="28"/>
        <v>6</v>
      </c>
      <c r="R485">
        <f t="shared" si="29"/>
        <v>6.2155775398998981E-4</v>
      </c>
      <c r="S485">
        <f t="shared" si="31"/>
        <v>0.8181564715770171</v>
      </c>
      <c r="T485" t="str">
        <f t="shared" si="30"/>
        <v>B</v>
      </c>
      <c r="V485" t="s">
        <v>1210</v>
      </c>
      <c r="W485" t="s">
        <v>1245</v>
      </c>
    </row>
    <row r="486" spans="1:23" x14ac:dyDescent="0.25">
      <c r="A486" s="17">
        <v>44775</v>
      </c>
      <c r="B486" s="1" t="s">
        <v>587</v>
      </c>
      <c r="C486" s="1">
        <v>1</v>
      </c>
      <c r="F486" s="9" t="s">
        <v>413</v>
      </c>
      <c r="G486" s="10">
        <v>0.1</v>
      </c>
      <c r="H486" s="10">
        <v>0.1</v>
      </c>
      <c r="I486" s="10">
        <v>1</v>
      </c>
      <c r="J486" s="10">
        <v>0.1</v>
      </c>
      <c r="K486" s="10"/>
      <c r="L486" s="10">
        <v>1.3</v>
      </c>
      <c r="O486" t="s">
        <v>193</v>
      </c>
      <c r="P486">
        <v>1</v>
      </c>
      <c r="Q486">
        <f t="shared" si="28"/>
        <v>6</v>
      </c>
      <c r="R486">
        <f t="shared" si="29"/>
        <v>6.2155775398998981E-4</v>
      </c>
      <c r="S486">
        <f t="shared" si="31"/>
        <v>0.81877802933100707</v>
      </c>
      <c r="T486" t="str">
        <f t="shared" si="30"/>
        <v>B</v>
      </c>
      <c r="V486" t="s">
        <v>193</v>
      </c>
      <c r="W486" t="s">
        <v>1245</v>
      </c>
    </row>
    <row r="487" spans="1:23" x14ac:dyDescent="0.25">
      <c r="A487" s="17">
        <v>44775</v>
      </c>
      <c r="B487" s="1" t="s">
        <v>587</v>
      </c>
      <c r="C487" s="1">
        <v>1</v>
      </c>
      <c r="F487" s="9" t="s">
        <v>907</v>
      </c>
      <c r="G487" s="10"/>
      <c r="H487" s="10"/>
      <c r="I487" s="10">
        <v>1</v>
      </c>
      <c r="J487" s="10"/>
      <c r="K487" s="10"/>
      <c r="L487" s="10">
        <v>1</v>
      </c>
      <c r="O487" t="s">
        <v>921</v>
      </c>
      <c r="P487">
        <v>1</v>
      </c>
      <c r="Q487">
        <f t="shared" si="28"/>
        <v>6</v>
      </c>
      <c r="R487">
        <f t="shared" si="29"/>
        <v>6.2155775398998981E-4</v>
      </c>
      <c r="S487">
        <f t="shared" si="31"/>
        <v>0.81939958708499705</v>
      </c>
      <c r="T487" t="str">
        <f t="shared" si="30"/>
        <v>B</v>
      </c>
      <c r="V487" t="s">
        <v>921</v>
      </c>
      <c r="W487" t="s">
        <v>1245</v>
      </c>
    </row>
    <row r="488" spans="1:23" x14ac:dyDescent="0.25">
      <c r="A488" s="17">
        <v>44775</v>
      </c>
      <c r="B488" s="1" t="s">
        <v>587</v>
      </c>
      <c r="C488" s="1">
        <v>1</v>
      </c>
      <c r="F488" s="9" t="s">
        <v>922</v>
      </c>
      <c r="G488" s="10"/>
      <c r="H488" s="10"/>
      <c r="I488" s="10">
        <v>1</v>
      </c>
      <c r="J488" s="10"/>
      <c r="K488" s="10"/>
      <c r="L488" s="10">
        <v>1</v>
      </c>
      <c r="O488" t="s">
        <v>554</v>
      </c>
      <c r="P488">
        <v>1</v>
      </c>
      <c r="Q488">
        <f t="shared" si="28"/>
        <v>6</v>
      </c>
      <c r="R488">
        <f t="shared" si="29"/>
        <v>6.2155775398998981E-4</v>
      </c>
      <c r="S488">
        <f t="shared" si="31"/>
        <v>0.82002114483898703</v>
      </c>
      <c r="T488" t="str">
        <f t="shared" si="30"/>
        <v>B</v>
      </c>
      <c r="V488" t="s">
        <v>554</v>
      </c>
      <c r="W488" t="s">
        <v>1245</v>
      </c>
    </row>
    <row r="489" spans="1:23" x14ac:dyDescent="0.25">
      <c r="A489" s="17">
        <v>44775</v>
      </c>
      <c r="B489" s="1" t="s">
        <v>63</v>
      </c>
      <c r="C489" s="1">
        <v>1</v>
      </c>
      <c r="F489" s="9" t="s">
        <v>288</v>
      </c>
      <c r="G489" s="10">
        <v>2</v>
      </c>
      <c r="H489" s="10"/>
      <c r="I489" s="10">
        <v>1</v>
      </c>
      <c r="J489" s="10"/>
      <c r="K489" s="10"/>
      <c r="L489" s="10">
        <v>3</v>
      </c>
      <c r="O489" t="s">
        <v>1153</v>
      </c>
      <c r="P489">
        <v>1</v>
      </c>
      <c r="Q489">
        <f t="shared" si="28"/>
        <v>6</v>
      </c>
      <c r="R489">
        <f t="shared" si="29"/>
        <v>6.2155775398998981E-4</v>
      </c>
      <c r="S489">
        <f t="shared" si="31"/>
        <v>0.820642702592977</v>
      </c>
      <c r="T489" t="str">
        <f t="shared" si="30"/>
        <v>B</v>
      </c>
      <c r="V489" t="s">
        <v>1153</v>
      </c>
      <c r="W489" t="s">
        <v>1245</v>
      </c>
    </row>
    <row r="490" spans="1:23" x14ac:dyDescent="0.25">
      <c r="A490" s="17">
        <v>44775</v>
      </c>
      <c r="B490" s="1" t="s">
        <v>476</v>
      </c>
      <c r="C490" s="1">
        <v>1</v>
      </c>
      <c r="F490" s="9" t="s">
        <v>891</v>
      </c>
      <c r="G490" s="10"/>
      <c r="H490" s="10"/>
      <c r="I490" s="10">
        <v>0.33333332999999998</v>
      </c>
      <c r="J490" s="10"/>
      <c r="K490" s="10"/>
      <c r="L490" s="10">
        <v>0.33333332999999998</v>
      </c>
      <c r="O490" t="s">
        <v>362</v>
      </c>
      <c r="P490">
        <v>1</v>
      </c>
      <c r="Q490">
        <f t="shared" si="28"/>
        <v>6</v>
      </c>
      <c r="R490">
        <f t="shared" si="29"/>
        <v>6.2155775398998981E-4</v>
      </c>
      <c r="S490">
        <f t="shared" si="31"/>
        <v>0.82126426034696698</v>
      </c>
      <c r="T490" t="str">
        <f t="shared" si="30"/>
        <v>B</v>
      </c>
      <c r="V490" t="s">
        <v>362</v>
      </c>
      <c r="W490" t="s">
        <v>1245</v>
      </c>
    </row>
    <row r="491" spans="1:23" x14ac:dyDescent="0.25">
      <c r="A491" s="17">
        <v>44775</v>
      </c>
      <c r="B491" s="1" t="s">
        <v>589</v>
      </c>
      <c r="C491" s="1">
        <v>1</v>
      </c>
      <c r="F491" s="9" t="s">
        <v>272</v>
      </c>
      <c r="G491" s="10">
        <v>1</v>
      </c>
      <c r="H491" s="10"/>
      <c r="I491" s="10"/>
      <c r="J491" s="10"/>
      <c r="K491" s="10"/>
      <c r="L491" s="10">
        <v>1</v>
      </c>
      <c r="O491" t="s">
        <v>660</v>
      </c>
      <c r="P491">
        <v>1</v>
      </c>
      <c r="Q491">
        <f t="shared" si="28"/>
        <v>6</v>
      </c>
      <c r="R491">
        <f t="shared" si="29"/>
        <v>6.2155775398998981E-4</v>
      </c>
      <c r="S491">
        <f t="shared" si="31"/>
        <v>0.82188581810095696</v>
      </c>
      <c r="T491" t="str">
        <f t="shared" si="30"/>
        <v>B</v>
      </c>
      <c r="V491" t="s">
        <v>660</v>
      </c>
      <c r="W491" t="s">
        <v>1245</v>
      </c>
    </row>
    <row r="492" spans="1:23" x14ac:dyDescent="0.25">
      <c r="A492" s="17">
        <v>44775</v>
      </c>
      <c r="B492" s="1" t="s">
        <v>590</v>
      </c>
      <c r="C492" s="1">
        <v>1</v>
      </c>
      <c r="F492" s="9" t="s">
        <v>432</v>
      </c>
      <c r="G492" s="10">
        <v>1</v>
      </c>
      <c r="H492" s="10"/>
      <c r="I492" s="10">
        <v>1</v>
      </c>
      <c r="J492" s="10"/>
      <c r="K492" s="10"/>
      <c r="L492" s="10">
        <v>2</v>
      </c>
      <c r="O492" t="s">
        <v>973</v>
      </c>
      <c r="P492">
        <v>1</v>
      </c>
      <c r="Q492">
        <f t="shared" si="28"/>
        <v>6</v>
      </c>
      <c r="R492">
        <f t="shared" si="29"/>
        <v>6.2155775398998981E-4</v>
      </c>
      <c r="S492">
        <f t="shared" si="31"/>
        <v>0.82250737585494693</v>
      </c>
      <c r="T492" t="str">
        <f t="shared" si="30"/>
        <v>B</v>
      </c>
      <c r="V492" t="s">
        <v>973</v>
      </c>
      <c r="W492" t="s">
        <v>1245</v>
      </c>
    </row>
    <row r="493" spans="1:23" x14ac:dyDescent="0.25">
      <c r="A493" s="17">
        <v>44775</v>
      </c>
      <c r="B493" s="1" t="s">
        <v>386</v>
      </c>
      <c r="C493" s="1">
        <v>1</v>
      </c>
      <c r="F493" s="9" t="s">
        <v>482</v>
      </c>
      <c r="G493" s="10"/>
      <c r="H493" s="10">
        <v>1</v>
      </c>
      <c r="I493" s="10"/>
      <c r="J493" s="10"/>
      <c r="K493" s="10">
        <v>1</v>
      </c>
      <c r="L493" s="10">
        <v>2</v>
      </c>
      <c r="O493" t="s">
        <v>870</v>
      </c>
      <c r="P493">
        <v>1</v>
      </c>
      <c r="Q493">
        <f t="shared" si="28"/>
        <v>6</v>
      </c>
      <c r="R493">
        <f t="shared" si="29"/>
        <v>6.2155775398998981E-4</v>
      </c>
      <c r="S493">
        <f t="shared" si="31"/>
        <v>0.82312893360893691</v>
      </c>
      <c r="T493" t="str">
        <f t="shared" si="30"/>
        <v>B</v>
      </c>
      <c r="V493" t="s">
        <v>870</v>
      </c>
      <c r="W493" t="s">
        <v>1245</v>
      </c>
    </row>
    <row r="494" spans="1:23" x14ac:dyDescent="0.25">
      <c r="A494" s="17">
        <v>44775</v>
      </c>
      <c r="B494" s="1" t="s">
        <v>261</v>
      </c>
      <c r="C494" s="1">
        <v>1</v>
      </c>
      <c r="F494" s="9" t="s">
        <v>872</v>
      </c>
      <c r="G494" s="10"/>
      <c r="H494" s="10"/>
      <c r="I494" s="10">
        <v>1</v>
      </c>
      <c r="J494" s="10"/>
      <c r="K494" s="10">
        <v>1</v>
      </c>
      <c r="L494" s="10">
        <v>2</v>
      </c>
      <c r="O494" t="s">
        <v>1029</v>
      </c>
      <c r="P494">
        <v>1</v>
      </c>
      <c r="Q494">
        <f t="shared" si="28"/>
        <v>6</v>
      </c>
      <c r="R494">
        <f t="shared" si="29"/>
        <v>6.2155775398998981E-4</v>
      </c>
      <c r="S494">
        <f t="shared" si="31"/>
        <v>0.82375049136292688</v>
      </c>
      <c r="T494" t="str">
        <f t="shared" si="30"/>
        <v>B</v>
      </c>
      <c r="V494" t="s">
        <v>1029</v>
      </c>
      <c r="W494" t="s">
        <v>1245</v>
      </c>
    </row>
    <row r="495" spans="1:23" x14ac:dyDescent="0.25">
      <c r="A495" s="17">
        <v>44775</v>
      </c>
      <c r="B495" s="1" t="s">
        <v>591</v>
      </c>
      <c r="C495" s="1">
        <v>5</v>
      </c>
      <c r="F495" s="9" t="s">
        <v>600</v>
      </c>
      <c r="G495" s="10"/>
      <c r="H495" s="10">
        <v>1</v>
      </c>
      <c r="I495" s="10"/>
      <c r="J495" s="10"/>
      <c r="K495" s="10"/>
      <c r="L495" s="10">
        <v>1</v>
      </c>
      <c r="O495" t="s">
        <v>1053</v>
      </c>
      <c r="P495">
        <v>1</v>
      </c>
      <c r="Q495">
        <f t="shared" si="28"/>
        <v>6</v>
      </c>
      <c r="R495">
        <f t="shared" si="29"/>
        <v>6.2155775398998981E-4</v>
      </c>
      <c r="S495">
        <f t="shared" si="31"/>
        <v>0.82437204911691686</v>
      </c>
      <c r="T495" t="str">
        <f t="shared" si="30"/>
        <v>B</v>
      </c>
      <c r="V495" t="s">
        <v>1053</v>
      </c>
      <c r="W495" t="s">
        <v>1245</v>
      </c>
    </row>
    <row r="496" spans="1:23" x14ac:dyDescent="0.25">
      <c r="A496" s="17">
        <v>44775</v>
      </c>
      <c r="B496" s="1" t="s">
        <v>592</v>
      </c>
      <c r="C496" s="1">
        <v>1</v>
      </c>
      <c r="F496" s="9" t="s">
        <v>1046</v>
      </c>
      <c r="G496" s="10"/>
      <c r="H496" s="10"/>
      <c r="I496" s="10"/>
      <c r="J496" s="10">
        <v>1</v>
      </c>
      <c r="K496" s="10"/>
      <c r="L496" s="10">
        <v>1</v>
      </c>
      <c r="O496" t="s">
        <v>805</v>
      </c>
      <c r="P496">
        <v>1</v>
      </c>
      <c r="Q496">
        <f t="shared" si="28"/>
        <v>6</v>
      </c>
      <c r="R496">
        <f t="shared" si="29"/>
        <v>6.2155775398998981E-4</v>
      </c>
      <c r="S496">
        <f t="shared" si="31"/>
        <v>0.82499360687090684</v>
      </c>
      <c r="T496" t="str">
        <f t="shared" si="30"/>
        <v>B</v>
      </c>
      <c r="V496" t="s">
        <v>805</v>
      </c>
      <c r="W496" t="s">
        <v>1245</v>
      </c>
    </row>
    <row r="497" spans="1:23" x14ac:dyDescent="0.25">
      <c r="A497" s="17">
        <v>44775</v>
      </c>
      <c r="B497" s="1" t="s">
        <v>592</v>
      </c>
      <c r="C497" s="1">
        <v>1</v>
      </c>
      <c r="F497" s="9" t="s">
        <v>1078</v>
      </c>
      <c r="G497" s="10"/>
      <c r="H497" s="10"/>
      <c r="I497" s="10"/>
      <c r="J497" s="10"/>
      <c r="K497" s="10">
        <v>0.2</v>
      </c>
      <c r="L497" s="10">
        <v>0.2</v>
      </c>
      <c r="O497" t="s">
        <v>641</v>
      </c>
      <c r="P497">
        <v>1</v>
      </c>
      <c r="Q497">
        <f t="shared" si="28"/>
        <v>6</v>
      </c>
      <c r="R497">
        <f t="shared" si="29"/>
        <v>6.2155775398998981E-4</v>
      </c>
      <c r="S497">
        <f t="shared" si="31"/>
        <v>0.82561516462489681</v>
      </c>
      <c r="T497" t="str">
        <f t="shared" si="30"/>
        <v>B</v>
      </c>
      <c r="V497" t="s">
        <v>641</v>
      </c>
      <c r="W497" t="s">
        <v>1245</v>
      </c>
    </row>
    <row r="498" spans="1:23" x14ac:dyDescent="0.25">
      <c r="A498" s="17">
        <v>44775</v>
      </c>
      <c r="B498" s="1" t="s">
        <v>592</v>
      </c>
      <c r="C498" s="1">
        <v>1</v>
      </c>
      <c r="F498" s="9" t="s">
        <v>519</v>
      </c>
      <c r="G498" s="10"/>
      <c r="H498" s="10">
        <v>2</v>
      </c>
      <c r="I498" s="10"/>
      <c r="J498" s="10"/>
      <c r="K498" s="10">
        <v>1</v>
      </c>
      <c r="L498" s="10">
        <v>3</v>
      </c>
      <c r="O498" t="s">
        <v>1219</v>
      </c>
      <c r="P498">
        <v>1</v>
      </c>
      <c r="Q498">
        <f t="shared" si="28"/>
        <v>6</v>
      </c>
      <c r="R498">
        <f t="shared" si="29"/>
        <v>6.2155775398998981E-4</v>
      </c>
      <c r="S498">
        <f t="shared" si="31"/>
        <v>0.82623672237888679</v>
      </c>
      <c r="T498" t="str">
        <f t="shared" si="30"/>
        <v>B</v>
      </c>
      <c r="V498" t="s">
        <v>1219</v>
      </c>
      <c r="W498" t="s">
        <v>1245</v>
      </c>
    </row>
    <row r="499" spans="1:23" x14ac:dyDescent="0.25">
      <c r="A499" s="17">
        <v>44775</v>
      </c>
      <c r="B499" s="1" t="s">
        <v>592</v>
      </c>
      <c r="C499" s="1">
        <v>1</v>
      </c>
      <c r="F499" s="9" t="s">
        <v>445</v>
      </c>
      <c r="G499" s="10">
        <v>1</v>
      </c>
      <c r="H499" s="10"/>
      <c r="I499" s="10"/>
      <c r="J499" s="10"/>
      <c r="K499" s="10"/>
      <c r="L499" s="10">
        <v>1</v>
      </c>
      <c r="O499" t="s">
        <v>208</v>
      </c>
      <c r="P499">
        <v>1</v>
      </c>
      <c r="Q499">
        <f t="shared" si="28"/>
        <v>6</v>
      </c>
      <c r="R499">
        <f t="shared" si="29"/>
        <v>6.2155775398998981E-4</v>
      </c>
      <c r="S499">
        <f t="shared" si="31"/>
        <v>0.82685828013287677</v>
      </c>
      <c r="T499" t="str">
        <f t="shared" si="30"/>
        <v>B</v>
      </c>
      <c r="V499" t="s">
        <v>208</v>
      </c>
      <c r="W499" t="s">
        <v>1245</v>
      </c>
    </row>
    <row r="500" spans="1:23" x14ac:dyDescent="0.25">
      <c r="A500" s="17">
        <v>44775</v>
      </c>
      <c r="B500" s="1" t="s">
        <v>592</v>
      </c>
      <c r="C500" s="1">
        <v>1</v>
      </c>
      <c r="F500" s="9" t="s">
        <v>147</v>
      </c>
      <c r="G500" s="10">
        <v>1</v>
      </c>
      <c r="H500" s="10">
        <v>2</v>
      </c>
      <c r="I500" s="10"/>
      <c r="J500" s="10"/>
      <c r="K500" s="10"/>
      <c r="L500" s="10">
        <v>3</v>
      </c>
      <c r="O500" t="s">
        <v>39</v>
      </c>
      <c r="P500">
        <v>1</v>
      </c>
      <c r="Q500">
        <f t="shared" si="28"/>
        <v>6</v>
      </c>
      <c r="R500">
        <f t="shared" si="29"/>
        <v>6.2155775398998981E-4</v>
      </c>
      <c r="S500">
        <f t="shared" si="31"/>
        <v>0.82747983788686674</v>
      </c>
      <c r="T500" t="str">
        <f t="shared" si="30"/>
        <v>B</v>
      </c>
      <c r="V500" t="s">
        <v>39</v>
      </c>
      <c r="W500" t="s">
        <v>1245</v>
      </c>
    </row>
    <row r="501" spans="1:23" x14ac:dyDescent="0.25">
      <c r="A501" s="17">
        <v>44775</v>
      </c>
      <c r="B501" s="1" t="s">
        <v>593</v>
      </c>
      <c r="C501" s="1">
        <v>1</v>
      </c>
      <c r="F501" s="9" t="s">
        <v>535</v>
      </c>
      <c r="G501" s="10"/>
      <c r="H501" s="10">
        <v>1</v>
      </c>
      <c r="I501" s="10"/>
      <c r="J501" s="10"/>
      <c r="K501" s="10"/>
      <c r="L501" s="10">
        <v>1</v>
      </c>
      <c r="O501" t="s">
        <v>904</v>
      </c>
      <c r="P501">
        <v>1</v>
      </c>
      <c r="Q501">
        <f t="shared" si="28"/>
        <v>6</v>
      </c>
      <c r="R501">
        <f t="shared" si="29"/>
        <v>6.2155775398998981E-4</v>
      </c>
      <c r="S501">
        <f t="shared" si="31"/>
        <v>0.82810139564085672</v>
      </c>
      <c r="T501" t="str">
        <f t="shared" si="30"/>
        <v>B</v>
      </c>
      <c r="V501" t="s">
        <v>904</v>
      </c>
      <c r="W501" t="s">
        <v>1245</v>
      </c>
    </row>
    <row r="502" spans="1:23" x14ac:dyDescent="0.25">
      <c r="A502" s="17">
        <v>44775</v>
      </c>
      <c r="B502" s="1" t="s">
        <v>595</v>
      </c>
      <c r="C502" s="1">
        <v>1</v>
      </c>
      <c r="F502" s="9" t="s">
        <v>1191</v>
      </c>
      <c r="G502" s="10"/>
      <c r="H502" s="10"/>
      <c r="I502" s="10"/>
      <c r="J502" s="10"/>
      <c r="K502" s="10">
        <v>1</v>
      </c>
      <c r="L502" s="10">
        <v>1</v>
      </c>
      <c r="O502" t="s">
        <v>320</v>
      </c>
      <c r="P502">
        <v>1</v>
      </c>
      <c r="Q502">
        <f t="shared" si="28"/>
        <v>6</v>
      </c>
      <c r="R502">
        <f t="shared" si="29"/>
        <v>6.2155775398998981E-4</v>
      </c>
      <c r="S502">
        <f t="shared" si="31"/>
        <v>0.8287229533948467</v>
      </c>
      <c r="T502" t="str">
        <f t="shared" si="30"/>
        <v>B</v>
      </c>
      <c r="V502" t="s">
        <v>320</v>
      </c>
      <c r="W502" t="s">
        <v>1245</v>
      </c>
    </row>
    <row r="503" spans="1:23" x14ac:dyDescent="0.25">
      <c r="A503" s="17">
        <v>44775</v>
      </c>
      <c r="B503" s="1" t="s">
        <v>91</v>
      </c>
      <c r="C503" s="1">
        <v>1</v>
      </c>
      <c r="F503" s="9" t="s">
        <v>188</v>
      </c>
      <c r="G503" s="10">
        <v>1</v>
      </c>
      <c r="H503" s="10"/>
      <c r="I503" s="10"/>
      <c r="J503" s="10"/>
      <c r="K503" s="10"/>
      <c r="L503" s="10">
        <v>1</v>
      </c>
      <c r="O503" t="s">
        <v>1120</v>
      </c>
      <c r="P503">
        <v>1</v>
      </c>
      <c r="Q503">
        <f t="shared" si="28"/>
        <v>6</v>
      </c>
      <c r="R503">
        <f t="shared" si="29"/>
        <v>6.2155775398998981E-4</v>
      </c>
      <c r="S503">
        <f t="shared" si="31"/>
        <v>0.82934451114883667</v>
      </c>
      <c r="T503" t="str">
        <f t="shared" si="30"/>
        <v>B</v>
      </c>
      <c r="V503" t="s">
        <v>1120</v>
      </c>
      <c r="W503" t="s">
        <v>1245</v>
      </c>
    </row>
    <row r="504" spans="1:23" x14ac:dyDescent="0.25">
      <c r="A504" s="17">
        <v>44775</v>
      </c>
      <c r="B504" s="1" t="s">
        <v>91</v>
      </c>
      <c r="C504" s="1">
        <v>1</v>
      </c>
      <c r="F504" s="9" t="s">
        <v>570</v>
      </c>
      <c r="G504" s="10"/>
      <c r="H504" s="10">
        <v>1</v>
      </c>
      <c r="I504" s="10"/>
      <c r="J504" s="10"/>
      <c r="K504" s="10"/>
      <c r="L504" s="10">
        <v>1</v>
      </c>
      <c r="O504" t="s">
        <v>1112</v>
      </c>
      <c r="P504">
        <v>1</v>
      </c>
      <c r="Q504">
        <f t="shared" si="28"/>
        <v>6</v>
      </c>
      <c r="R504">
        <f t="shared" si="29"/>
        <v>6.2155775398998981E-4</v>
      </c>
      <c r="S504">
        <f t="shared" si="31"/>
        <v>0.82996606890282665</v>
      </c>
      <c r="T504" t="str">
        <f t="shared" si="30"/>
        <v>B</v>
      </c>
      <c r="V504" t="s">
        <v>1112</v>
      </c>
      <c r="W504" t="s">
        <v>1245</v>
      </c>
    </row>
    <row r="505" spans="1:23" x14ac:dyDescent="0.25">
      <c r="A505" s="17">
        <v>44775</v>
      </c>
      <c r="B505" s="1" t="s">
        <v>91</v>
      </c>
      <c r="C505" s="1">
        <v>1</v>
      </c>
      <c r="F505" s="9" t="s">
        <v>228</v>
      </c>
      <c r="G505" s="10">
        <v>1</v>
      </c>
      <c r="H505" s="10"/>
      <c r="I505" s="10"/>
      <c r="J505" s="10">
        <v>1</v>
      </c>
      <c r="K505" s="10">
        <v>2</v>
      </c>
      <c r="L505" s="10">
        <v>4</v>
      </c>
      <c r="O505" t="s">
        <v>733</v>
      </c>
      <c r="P505">
        <v>1</v>
      </c>
      <c r="Q505">
        <f t="shared" si="28"/>
        <v>6</v>
      </c>
      <c r="R505">
        <f t="shared" si="29"/>
        <v>6.2155775398998981E-4</v>
      </c>
      <c r="S505">
        <f t="shared" si="31"/>
        <v>0.83058762665681662</v>
      </c>
      <c r="T505" t="str">
        <f t="shared" si="30"/>
        <v>B</v>
      </c>
      <c r="V505" t="s">
        <v>733</v>
      </c>
      <c r="W505" t="s">
        <v>1245</v>
      </c>
    </row>
    <row r="506" spans="1:23" x14ac:dyDescent="0.25">
      <c r="A506" s="17">
        <v>44775</v>
      </c>
      <c r="B506" s="1" t="s">
        <v>596</v>
      </c>
      <c r="C506" s="1">
        <v>1</v>
      </c>
      <c r="F506" s="9" t="s">
        <v>1064</v>
      </c>
      <c r="G506" s="10"/>
      <c r="H506" s="10"/>
      <c r="I506" s="10"/>
      <c r="J506" s="10">
        <v>1</v>
      </c>
      <c r="K506" s="10"/>
      <c r="L506" s="10">
        <v>1</v>
      </c>
      <c r="O506" t="s">
        <v>647</v>
      </c>
      <c r="P506">
        <v>1</v>
      </c>
      <c r="Q506">
        <f t="shared" si="28"/>
        <v>6</v>
      </c>
      <c r="R506">
        <f t="shared" si="29"/>
        <v>6.2155775398998981E-4</v>
      </c>
      <c r="S506">
        <f t="shared" si="31"/>
        <v>0.8312091844108066</v>
      </c>
      <c r="T506" t="str">
        <f t="shared" si="30"/>
        <v>B</v>
      </c>
      <c r="V506" t="s">
        <v>647</v>
      </c>
      <c r="W506" t="s">
        <v>1245</v>
      </c>
    </row>
    <row r="507" spans="1:23" x14ac:dyDescent="0.25">
      <c r="A507" s="17">
        <v>44775</v>
      </c>
      <c r="B507" s="1" t="s">
        <v>598</v>
      </c>
      <c r="C507" s="1">
        <v>1</v>
      </c>
      <c r="F507" s="9" t="s">
        <v>948</v>
      </c>
      <c r="G507" s="10"/>
      <c r="H507" s="10"/>
      <c r="I507" s="10"/>
      <c r="J507" s="10">
        <v>1</v>
      </c>
      <c r="K507" s="10"/>
      <c r="L507" s="10">
        <v>1</v>
      </c>
      <c r="O507" t="s">
        <v>949</v>
      </c>
      <c r="P507">
        <v>1</v>
      </c>
      <c r="Q507">
        <f t="shared" si="28"/>
        <v>6</v>
      </c>
      <c r="R507">
        <f t="shared" si="29"/>
        <v>6.2155775398998981E-4</v>
      </c>
      <c r="S507">
        <f t="shared" si="31"/>
        <v>0.83183074216479658</v>
      </c>
      <c r="T507" t="str">
        <f t="shared" si="30"/>
        <v>B</v>
      </c>
      <c r="V507" t="s">
        <v>949</v>
      </c>
      <c r="W507" t="s">
        <v>1245</v>
      </c>
    </row>
    <row r="508" spans="1:23" x14ac:dyDescent="0.25">
      <c r="A508" s="17">
        <v>44775</v>
      </c>
      <c r="B508" s="1" t="s">
        <v>599</v>
      </c>
      <c r="C508" s="1">
        <v>1</v>
      </c>
      <c r="F508" s="9" t="s">
        <v>622</v>
      </c>
      <c r="G508" s="10"/>
      <c r="H508" s="10">
        <v>2</v>
      </c>
      <c r="I508" s="10"/>
      <c r="J508" s="10"/>
      <c r="K508" s="10"/>
      <c r="L508" s="10">
        <v>2</v>
      </c>
      <c r="O508" t="s">
        <v>1032</v>
      </c>
      <c r="P508">
        <v>1</v>
      </c>
      <c r="Q508">
        <f t="shared" si="28"/>
        <v>6</v>
      </c>
      <c r="R508">
        <f t="shared" si="29"/>
        <v>6.2155775398998981E-4</v>
      </c>
      <c r="S508">
        <f t="shared" si="31"/>
        <v>0.83245229991878655</v>
      </c>
      <c r="T508" t="str">
        <f t="shared" si="30"/>
        <v>B</v>
      </c>
      <c r="V508" t="s">
        <v>1032</v>
      </c>
      <c r="W508" t="s">
        <v>1245</v>
      </c>
    </row>
    <row r="509" spans="1:23" x14ac:dyDescent="0.25">
      <c r="A509" s="17">
        <v>44775</v>
      </c>
      <c r="B509" s="1" t="s">
        <v>600</v>
      </c>
      <c r="C509" s="1">
        <v>1</v>
      </c>
      <c r="F509" s="9" t="s">
        <v>1080</v>
      </c>
      <c r="G509" s="10"/>
      <c r="H509" s="10"/>
      <c r="I509" s="10"/>
      <c r="J509" s="10"/>
      <c r="K509" s="10">
        <v>1</v>
      </c>
      <c r="L509" s="10">
        <v>1</v>
      </c>
      <c r="O509" t="s">
        <v>951</v>
      </c>
      <c r="P509">
        <v>1</v>
      </c>
      <c r="Q509">
        <f t="shared" si="28"/>
        <v>6</v>
      </c>
      <c r="R509">
        <f t="shared" si="29"/>
        <v>6.2155775398998981E-4</v>
      </c>
      <c r="S509">
        <f t="shared" si="31"/>
        <v>0.83307385767277653</v>
      </c>
      <c r="T509" t="str">
        <f t="shared" si="30"/>
        <v>B</v>
      </c>
      <c r="V509" t="s">
        <v>951</v>
      </c>
      <c r="W509" t="s">
        <v>1245</v>
      </c>
    </row>
    <row r="510" spans="1:23" x14ac:dyDescent="0.25">
      <c r="A510" s="17">
        <v>44775</v>
      </c>
      <c r="B510" s="1" t="s">
        <v>602</v>
      </c>
      <c r="C510" s="1">
        <v>0.25</v>
      </c>
      <c r="F510" s="9" t="s">
        <v>363</v>
      </c>
      <c r="G510" s="10">
        <v>1</v>
      </c>
      <c r="H510" s="10"/>
      <c r="I510" s="10"/>
      <c r="J510" s="10"/>
      <c r="K510" s="10"/>
      <c r="L510" s="10">
        <v>1</v>
      </c>
      <c r="O510" t="s">
        <v>1194</v>
      </c>
      <c r="P510">
        <v>1</v>
      </c>
      <c r="Q510">
        <f t="shared" si="28"/>
        <v>6</v>
      </c>
      <c r="R510">
        <f t="shared" si="29"/>
        <v>6.2155775398998981E-4</v>
      </c>
      <c r="S510">
        <f t="shared" si="31"/>
        <v>0.83369541542676651</v>
      </c>
      <c r="T510" t="str">
        <f t="shared" si="30"/>
        <v>B</v>
      </c>
      <c r="V510" t="s">
        <v>1194</v>
      </c>
      <c r="W510" t="s">
        <v>1245</v>
      </c>
    </row>
    <row r="511" spans="1:23" x14ac:dyDescent="0.25">
      <c r="A511" s="17">
        <v>44775</v>
      </c>
      <c r="B511" s="1" t="s">
        <v>98</v>
      </c>
      <c r="C511" s="1">
        <v>1</v>
      </c>
      <c r="F511" s="9" t="s">
        <v>738</v>
      </c>
      <c r="G511" s="10"/>
      <c r="H511" s="10"/>
      <c r="I511" s="10">
        <v>1</v>
      </c>
      <c r="J511" s="10"/>
      <c r="K511" s="10"/>
      <c r="L511" s="10">
        <v>1</v>
      </c>
      <c r="O511" t="s">
        <v>744</v>
      </c>
      <c r="P511">
        <v>1</v>
      </c>
      <c r="Q511">
        <f t="shared" si="28"/>
        <v>6</v>
      </c>
      <c r="R511">
        <f t="shared" si="29"/>
        <v>6.2155775398998981E-4</v>
      </c>
      <c r="S511">
        <f t="shared" si="31"/>
        <v>0.83431697318075648</v>
      </c>
      <c r="T511" t="str">
        <f t="shared" si="30"/>
        <v>B</v>
      </c>
      <c r="V511" t="s">
        <v>744</v>
      </c>
      <c r="W511" t="s">
        <v>1245</v>
      </c>
    </row>
    <row r="512" spans="1:23" x14ac:dyDescent="0.25">
      <c r="A512" s="17">
        <v>44775</v>
      </c>
      <c r="B512" s="1" t="s">
        <v>603</v>
      </c>
      <c r="C512" s="1">
        <v>1</v>
      </c>
      <c r="F512" s="9" t="s">
        <v>186</v>
      </c>
      <c r="G512" s="10">
        <v>1</v>
      </c>
      <c r="H512" s="10"/>
      <c r="I512" s="10"/>
      <c r="J512" s="10"/>
      <c r="K512" s="10"/>
      <c r="L512" s="10">
        <v>1</v>
      </c>
      <c r="O512" t="s">
        <v>850</v>
      </c>
      <c r="P512">
        <v>1</v>
      </c>
      <c r="Q512">
        <f t="shared" si="28"/>
        <v>6</v>
      </c>
      <c r="R512">
        <f t="shared" si="29"/>
        <v>6.2155775398998981E-4</v>
      </c>
      <c r="S512">
        <f t="shared" si="31"/>
        <v>0.83493853093474646</v>
      </c>
      <c r="T512" t="str">
        <f t="shared" si="30"/>
        <v>B</v>
      </c>
      <c r="V512" t="s">
        <v>850</v>
      </c>
      <c r="W512" t="s">
        <v>1245</v>
      </c>
    </row>
    <row r="513" spans="1:23" x14ac:dyDescent="0.25">
      <c r="A513" s="17">
        <v>44775</v>
      </c>
      <c r="B513" s="1" t="s">
        <v>604</v>
      </c>
      <c r="C513" s="1">
        <v>1</v>
      </c>
      <c r="F513" s="9" t="s">
        <v>78</v>
      </c>
      <c r="G513" s="10">
        <v>1</v>
      </c>
      <c r="H513" s="10">
        <v>5</v>
      </c>
      <c r="I513" s="10">
        <v>1</v>
      </c>
      <c r="J513" s="10">
        <v>1</v>
      </c>
      <c r="K513" s="10">
        <v>1</v>
      </c>
      <c r="L513" s="10">
        <v>9</v>
      </c>
      <c r="O513" t="s">
        <v>942</v>
      </c>
      <c r="P513">
        <v>1</v>
      </c>
      <c r="Q513">
        <f t="shared" si="28"/>
        <v>6</v>
      </c>
      <c r="R513">
        <f t="shared" si="29"/>
        <v>6.2155775398998981E-4</v>
      </c>
      <c r="S513">
        <f t="shared" si="31"/>
        <v>0.83556008868873644</v>
      </c>
      <c r="T513" t="str">
        <f t="shared" si="30"/>
        <v>B</v>
      </c>
      <c r="V513" t="s">
        <v>942</v>
      </c>
      <c r="W513" t="s">
        <v>1245</v>
      </c>
    </row>
    <row r="514" spans="1:23" x14ac:dyDescent="0.25">
      <c r="A514" s="17">
        <v>44775</v>
      </c>
      <c r="B514" s="1" t="s">
        <v>605</v>
      </c>
      <c r="C514" s="1">
        <v>1</v>
      </c>
      <c r="F514" s="9" t="s">
        <v>89</v>
      </c>
      <c r="G514" s="10">
        <v>8</v>
      </c>
      <c r="H514" s="10">
        <v>1</v>
      </c>
      <c r="I514" s="10">
        <v>1</v>
      </c>
      <c r="J514" s="10">
        <v>1</v>
      </c>
      <c r="K514" s="10"/>
      <c r="L514" s="10">
        <v>11</v>
      </c>
      <c r="O514" t="s">
        <v>557</v>
      </c>
      <c r="P514">
        <v>1</v>
      </c>
      <c r="Q514">
        <f t="shared" si="28"/>
        <v>6</v>
      </c>
      <c r="R514">
        <f t="shared" si="29"/>
        <v>6.2155775398998981E-4</v>
      </c>
      <c r="S514">
        <f t="shared" si="31"/>
        <v>0.83618164644272641</v>
      </c>
      <c r="T514" t="str">
        <f t="shared" si="30"/>
        <v>B</v>
      </c>
      <c r="V514" t="s">
        <v>557</v>
      </c>
      <c r="W514" t="s">
        <v>1245</v>
      </c>
    </row>
    <row r="515" spans="1:23" x14ac:dyDescent="0.25">
      <c r="A515" s="17">
        <v>44775</v>
      </c>
      <c r="B515" s="1" t="s">
        <v>607</v>
      </c>
      <c r="C515" s="1">
        <v>1</v>
      </c>
      <c r="F515" s="9" t="s">
        <v>202</v>
      </c>
      <c r="G515" s="10">
        <v>1</v>
      </c>
      <c r="H515" s="10"/>
      <c r="I515" s="10"/>
      <c r="J515" s="10"/>
      <c r="K515" s="10"/>
      <c r="L515" s="10">
        <v>1</v>
      </c>
      <c r="O515" t="s">
        <v>1145</v>
      </c>
      <c r="P515">
        <v>1</v>
      </c>
      <c r="Q515">
        <f t="shared" si="28"/>
        <v>6</v>
      </c>
      <c r="R515">
        <f t="shared" si="29"/>
        <v>6.2155775398998981E-4</v>
      </c>
      <c r="S515">
        <f t="shared" si="31"/>
        <v>0.83680320419671639</v>
      </c>
      <c r="T515" t="str">
        <f t="shared" si="30"/>
        <v>B</v>
      </c>
      <c r="V515" t="s">
        <v>1145</v>
      </c>
      <c r="W515" t="s">
        <v>1245</v>
      </c>
    </row>
    <row r="516" spans="1:23" x14ac:dyDescent="0.25">
      <c r="A516" s="17">
        <v>44775</v>
      </c>
      <c r="B516" s="1" t="s">
        <v>608</v>
      </c>
      <c r="C516" s="1">
        <v>1</v>
      </c>
      <c r="F516" s="9" t="s">
        <v>1067</v>
      </c>
      <c r="G516" s="10"/>
      <c r="H516" s="10"/>
      <c r="I516" s="10"/>
      <c r="J516" s="10">
        <v>1</v>
      </c>
      <c r="K516" s="10"/>
      <c r="L516" s="10">
        <v>1</v>
      </c>
      <c r="O516" t="s">
        <v>680</v>
      </c>
      <c r="P516">
        <v>1</v>
      </c>
      <c r="Q516">
        <f t="shared" si="28"/>
        <v>6</v>
      </c>
      <c r="R516">
        <f t="shared" si="29"/>
        <v>6.2155775398998981E-4</v>
      </c>
      <c r="S516">
        <f t="shared" si="31"/>
        <v>0.83742476195070636</v>
      </c>
      <c r="T516" t="str">
        <f t="shared" si="30"/>
        <v>B</v>
      </c>
      <c r="V516" t="s">
        <v>680</v>
      </c>
      <c r="W516" t="s">
        <v>1245</v>
      </c>
    </row>
    <row r="517" spans="1:23" x14ac:dyDescent="0.25">
      <c r="A517" s="17">
        <v>44775</v>
      </c>
      <c r="B517" s="1" t="s">
        <v>610</v>
      </c>
      <c r="C517" s="1">
        <v>1</v>
      </c>
      <c r="F517" s="9" t="s">
        <v>645</v>
      </c>
      <c r="G517" s="10"/>
      <c r="H517" s="10">
        <v>1</v>
      </c>
      <c r="I517" s="10"/>
      <c r="J517" s="10"/>
      <c r="K517" s="10"/>
      <c r="L517" s="10">
        <v>1</v>
      </c>
      <c r="O517" t="s">
        <v>532</v>
      </c>
      <c r="P517">
        <v>1</v>
      </c>
      <c r="Q517">
        <f t="shared" ref="Q517:Q580" si="32">(P517/5)*30</f>
        <v>6</v>
      </c>
      <c r="R517">
        <f t="shared" ref="R517:R580" si="33">Q517/SUM($Q$4:$Q$806)</f>
        <v>6.2155775398998981E-4</v>
      </c>
      <c r="S517">
        <f t="shared" si="31"/>
        <v>0.83804631970469634</v>
      </c>
      <c r="T517" t="str">
        <f t="shared" ref="T517:T580" si="34">IF(S517&lt;0.8,"A", IF(S517&lt;0.95,"B","C"))</f>
        <v>B</v>
      </c>
      <c r="V517" t="s">
        <v>532</v>
      </c>
      <c r="W517" t="s">
        <v>1245</v>
      </c>
    </row>
    <row r="518" spans="1:23" x14ac:dyDescent="0.25">
      <c r="A518" s="17">
        <v>44775</v>
      </c>
      <c r="B518" s="1" t="s">
        <v>366</v>
      </c>
      <c r="C518" s="1">
        <v>1</v>
      </c>
      <c r="F518" s="9" t="s">
        <v>204</v>
      </c>
      <c r="G518" s="10">
        <v>1</v>
      </c>
      <c r="H518" s="10"/>
      <c r="I518" s="10"/>
      <c r="J518" s="10"/>
      <c r="K518" s="10"/>
      <c r="L518" s="10">
        <v>1</v>
      </c>
      <c r="O518" t="s">
        <v>658</v>
      </c>
      <c r="P518">
        <v>1</v>
      </c>
      <c r="Q518">
        <f t="shared" si="32"/>
        <v>6</v>
      </c>
      <c r="R518">
        <f t="shared" si="33"/>
        <v>6.2155775398998981E-4</v>
      </c>
      <c r="S518">
        <f t="shared" ref="S518:S581" si="35">R518+S517</f>
        <v>0.83866787745868632</v>
      </c>
      <c r="T518" t="str">
        <f t="shared" si="34"/>
        <v>B</v>
      </c>
      <c r="V518" t="s">
        <v>658</v>
      </c>
      <c r="W518" t="s">
        <v>1245</v>
      </c>
    </row>
    <row r="519" spans="1:23" x14ac:dyDescent="0.25">
      <c r="A519" s="17">
        <v>44775</v>
      </c>
      <c r="B519" s="1" t="s">
        <v>465</v>
      </c>
      <c r="C519" s="1">
        <v>1</v>
      </c>
      <c r="F519" s="9" t="s">
        <v>1208</v>
      </c>
      <c r="G519" s="10"/>
      <c r="H519" s="10"/>
      <c r="I519" s="10"/>
      <c r="J519" s="10"/>
      <c r="K519" s="10">
        <v>1</v>
      </c>
      <c r="L519" s="10">
        <v>1</v>
      </c>
      <c r="O519" t="s">
        <v>750</v>
      </c>
      <c r="P519">
        <v>1</v>
      </c>
      <c r="Q519">
        <f t="shared" si="32"/>
        <v>6</v>
      </c>
      <c r="R519">
        <f t="shared" si="33"/>
        <v>6.2155775398998981E-4</v>
      </c>
      <c r="S519">
        <f t="shared" si="35"/>
        <v>0.83928943521267629</v>
      </c>
      <c r="T519" t="str">
        <f t="shared" si="34"/>
        <v>B</v>
      </c>
      <c r="V519" t="s">
        <v>750</v>
      </c>
      <c r="W519" t="s">
        <v>1245</v>
      </c>
    </row>
    <row r="520" spans="1:23" x14ac:dyDescent="0.25">
      <c r="A520" s="17">
        <v>44775</v>
      </c>
      <c r="B520" s="1" t="s">
        <v>612</v>
      </c>
      <c r="C520" s="1">
        <v>1</v>
      </c>
      <c r="F520" s="9" t="s">
        <v>350</v>
      </c>
      <c r="G520" s="10">
        <v>1</v>
      </c>
      <c r="H520" s="10"/>
      <c r="I520" s="10"/>
      <c r="J520" s="10"/>
      <c r="K520" s="10"/>
      <c r="L520" s="10">
        <v>1</v>
      </c>
      <c r="O520" t="s">
        <v>943</v>
      </c>
      <c r="P520">
        <v>1</v>
      </c>
      <c r="Q520">
        <f t="shared" si="32"/>
        <v>6</v>
      </c>
      <c r="R520">
        <f t="shared" si="33"/>
        <v>6.2155775398998981E-4</v>
      </c>
      <c r="S520">
        <f t="shared" si="35"/>
        <v>0.83991099296666627</v>
      </c>
      <c r="T520" t="str">
        <f t="shared" si="34"/>
        <v>B</v>
      </c>
      <c r="V520" t="s">
        <v>943</v>
      </c>
      <c r="W520" t="s">
        <v>1245</v>
      </c>
    </row>
    <row r="521" spans="1:23" x14ac:dyDescent="0.25">
      <c r="A521" s="17">
        <v>44775</v>
      </c>
      <c r="B521" s="1" t="s">
        <v>612</v>
      </c>
      <c r="C521" s="1">
        <v>1</v>
      </c>
      <c r="F521" s="9" t="s">
        <v>1122</v>
      </c>
      <c r="G521" s="10"/>
      <c r="H521" s="10"/>
      <c r="I521" s="10"/>
      <c r="J521" s="10"/>
      <c r="K521" s="10">
        <v>1</v>
      </c>
      <c r="L521" s="10">
        <v>1</v>
      </c>
      <c r="O521" t="s">
        <v>429</v>
      </c>
      <c r="P521">
        <v>1</v>
      </c>
      <c r="Q521">
        <f t="shared" si="32"/>
        <v>6</v>
      </c>
      <c r="R521">
        <f t="shared" si="33"/>
        <v>6.2155775398998981E-4</v>
      </c>
      <c r="S521">
        <f t="shared" si="35"/>
        <v>0.84053255072065625</v>
      </c>
      <c r="T521" t="str">
        <f t="shared" si="34"/>
        <v>B</v>
      </c>
      <c r="V521" t="s">
        <v>429</v>
      </c>
      <c r="W521" t="s">
        <v>1245</v>
      </c>
    </row>
    <row r="522" spans="1:23" x14ac:dyDescent="0.25">
      <c r="A522" s="17">
        <v>44775</v>
      </c>
      <c r="B522" s="1" t="s">
        <v>236</v>
      </c>
      <c r="C522" s="1">
        <v>1</v>
      </c>
      <c r="F522" s="9" t="s">
        <v>1144</v>
      </c>
      <c r="G522" s="10"/>
      <c r="H522" s="10"/>
      <c r="I522" s="10"/>
      <c r="J522" s="10"/>
      <c r="K522" s="10">
        <v>1</v>
      </c>
      <c r="L522" s="10">
        <v>1</v>
      </c>
      <c r="O522" t="s">
        <v>324</v>
      </c>
      <c r="P522">
        <v>1</v>
      </c>
      <c r="Q522">
        <f t="shared" si="32"/>
        <v>6</v>
      </c>
      <c r="R522">
        <f t="shared" si="33"/>
        <v>6.2155775398998981E-4</v>
      </c>
      <c r="S522">
        <f t="shared" si="35"/>
        <v>0.84115410847464622</v>
      </c>
      <c r="T522" t="str">
        <f t="shared" si="34"/>
        <v>B</v>
      </c>
      <c r="V522" t="s">
        <v>324</v>
      </c>
      <c r="W522" t="s">
        <v>1245</v>
      </c>
    </row>
    <row r="523" spans="1:23" x14ac:dyDescent="0.25">
      <c r="A523" s="17">
        <v>44775</v>
      </c>
      <c r="B523" s="1" t="s">
        <v>236</v>
      </c>
      <c r="C523" s="1">
        <v>1</v>
      </c>
      <c r="F523" s="9" t="s">
        <v>995</v>
      </c>
      <c r="G523" s="10"/>
      <c r="H523" s="10"/>
      <c r="I523" s="10"/>
      <c r="J523" s="10">
        <v>2</v>
      </c>
      <c r="K523" s="10">
        <v>1</v>
      </c>
      <c r="L523" s="10">
        <v>3</v>
      </c>
      <c r="O523" t="s">
        <v>190</v>
      </c>
      <c r="P523">
        <v>1</v>
      </c>
      <c r="Q523">
        <f t="shared" si="32"/>
        <v>6</v>
      </c>
      <c r="R523">
        <f t="shared" si="33"/>
        <v>6.2155775398998981E-4</v>
      </c>
      <c r="S523">
        <f t="shared" si="35"/>
        <v>0.8417756662286362</v>
      </c>
      <c r="T523" t="str">
        <f t="shared" si="34"/>
        <v>B</v>
      </c>
      <c r="V523" t="s">
        <v>190</v>
      </c>
      <c r="W523" t="s">
        <v>1245</v>
      </c>
    </row>
    <row r="524" spans="1:23" x14ac:dyDescent="0.25">
      <c r="A524" s="17">
        <v>44775</v>
      </c>
      <c r="B524" s="1" t="s">
        <v>236</v>
      </c>
      <c r="C524" s="1">
        <v>1</v>
      </c>
      <c r="F524" s="9" t="s">
        <v>91</v>
      </c>
      <c r="G524" s="10">
        <v>10</v>
      </c>
      <c r="H524" s="10">
        <v>3</v>
      </c>
      <c r="I524" s="10">
        <v>3</v>
      </c>
      <c r="J524" s="10">
        <v>3</v>
      </c>
      <c r="K524" s="10">
        <v>7</v>
      </c>
      <c r="L524" s="10">
        <v>26</v>
      </c>
      <c r="O524" t="s">
        <v>499</v>
      </c>
      <c r="P524">
        <v>1</v>
      </c>
      <c r="Q524">
        <f t="shared" si="32"/>
        <v>6</v>
      </c>
      <c r="R524">
        <f t="shared" si="33"/>
        <v>6.2155775398998981E-4</v>
      </c>
      <c r="S524">
        <f t="shared" si="35"/>
        <v>0.84239722398262618</v>
      </c>
      <c r="T524" t="str">
        <f t="shared" si="34"/>
        <v>B</v>
      </c>
      <c r="V524" t="s">
        <v>499</v>
      </c>
      <c r="W524" t="s">
        <v>1245</v>
      </c>
    </row>
    <row r="525" spans="1:23" x14ac:dyDescent="0.25">
      <c r="A525" s="17">
        <v>44775</v>
      </c>
      <c r="B525" s="1" t="s">
        <v>236</v>
      </c>
      <c r="C525" s="1">
        <v>1</v>
      </c>
      <c r="F525" s="9" t="s">
        <v>1009</v>
      </c>
      <c r="G525" s="10"/>
      <c r="H525" s="10"/>
      <c r="I525" s="10"/>
      <c r="J525" s="10">
        <v>1</v>
      </c>
      <c r="K525" s="10">
        <v>1</v>
      </c>
      <c r="L525" s="10">
        <v>2</v>
      </c>
      <c r="O525" t="s">
        <v>873</v>
      </c>
      <c r="P525">
        <v>1</v>
      </c>
      <c r="Q525">
        <f t="shared" si="32"/>
        <v>6</v>
      </c>
      <c r="R525">
        <f t="shared" si="33"/>
        <v>6.2155775398998981E-4</v>
      </c>
      <c r="S525">
        <f t="shared" si="35"/>
        <v>0.84301878173661615</v>
      </c>
      <c r="T525" t="str">
        <f t="shared" si="34"/>
        <v>B</v>
      </c>
      <c r="V525" t="s">
        <v>873</v>
      </c>
      <c r="W525" t="s">
        <v>1245</v>
      </c>
    </row>
    <row r="526" spans="1:23" x14ac:dyDescent="0.25">
      <c r="A526" s="17">
        <v>44775</v>
      </c>
      <c r="B526" s="1" t="s">
        <v>236</v>
      </c>
      <c r="C526" s="1">
        <v>1</v>
      </c>
      <c r="F526" s="9" t="s">
        <v>987</v>
      </c>
      <c r="G526" s="10"/>
      <c r="H526" s="10"/>
      <c r="I526" s="10"/>
      <c r="J526" s="10">
        <v>1</v>
      </c>
      <c r="K526" s="10"/>
      <c r="L526" s="10">
        <v>1</v>
      </c>
      <c r="O526" t="s">
        <v>1044</v>
      </c>
      <c r="P526">
        <v>1</v>
      </c>
      <c r="Q526">
        <f t="shared" si="32"/>
        <v>6</v>
      </c>
      <c r="R526">
        <f t="shared" si="33"/>
        <v>6.2155775398998981E-4</v>
      </c>
      <c r="S526">
        <f t="shared" si="35"/>
        <v>0.84364033949060613</v>
      </c>
      <c r="T526" t="str">
        <f t="shared" si="34"/>
        <v>B</v>
      </c>
      <c r="V526" t="s">
        <v>1044</v>
      </c>
      <c r="W526" t="s">
        <v>1245</v>
      </c>
    </row>
    <row r="527" spans="1:23" x14ac:dyDescent="0.25">
      <c r="A527" s="17">
        <v>44775</v>
      </c>
      <c r="B527" s="1" t="s">
        <v>236</v>
      </c>
      <c r="C527" s="1">
        <v>1</v>
      </c>
      <c r="F527" s="9" t="s">
        <v>1220</v>
      </c>
      <c r="G527" s="10"/>
      <c r="H527" s="10"/>
      <c r="I527" s="10"/>
      <c r="J527" s="10"/>
      <c r="K527" s="10">
        <v>1</v>
      </c>
      <c r="L527" s="10">
        <v>1</v>
      </c>
      <c r="O527" t="s">
        <v>603</v>
      </c>
      <c r="P527">
        <v>1</v>
      </c>
      <c r="Q527">
        <f t="shared" si="32"/>
        <v>6</v>
      </c>
      <c r="R527">
        <f t="shared" si="33"/>
        <v>6.2155775398998981E-4</v>
      </c>
      <c r="S527">
        <f t="shared" si="35"/>
        <v>0.8442618972445961</v>
      </c>
      <c r="T527" t="str">
        <f t="shared" si="34"/>
        <v>B</v>
      </c>
      <c r="V527" t="s">
        <v>603</v>
      </c>
      <c r="W527" t="s">
        <v>1245</v>
      </c>
    </row>
    <row r="528" spans="1:23" x14ac:dyDescent="0.25">
      <c r="A528" s="17">
        <v>44775</v>
      </c>
      <c r="B528" s="1" t="s">
        <v>613</v>
      </c>
      <c r="C528" s="1">
        <v>1</v>
      </c>
      <c r="F528" s="9" t="s">
        <v>214</v>
      </c>
      <c r="G528" s="10">
        <v>6</v>
      </c>
      <c r="H528" s="10"/>
      <c r="I528" s="10"/>
      <c r="J528" s="10">
        <v>1</v>
      </c>
      <c r="K528" s="10"/>
      <c r="L528" s="10">
        <v>7</v>
      </c>
      <c r="O528" t="s">
        <v>937</v>
      </c>
      <c r="P528">
        <v>1</v>
      </c>
      <c r="Q528">
        <f t="shared" si="32"/>
        <v>6</v>
      </c>
      <c r="R528">
        <f t="shared" si="33"/>
        <v>6.2155775398998981E-4</v>
      </c>
      <c r="S528">
        <f t="shared" si="35"/>
        <v>0.84488345499858608</v>
      </c>
      <c r="T528" t="str">
        <f t="shared" si="34"/>
        <v>B</v>
      </c>
      <c r="V528" t="s">
        <v>937</v>
      </c>
      <c r="W528" t="s">
        <v>1245</v>
      </c>
    </row>
    <row r="529" spans="1:23" x14ac:dyDescent="0.25">
      <c r="A529" s="17">
        <v>44775</v>
      </c>
      <c r="B529" s="1" t="s">
        <v>614</v>
      </c>
      <c r="C529" s="1">
        <v>1</v>
      </c>
      <c r="F529" s="9" t="s">
        <v>443</v>
      </c>
      <c r="G529" s="10">
        <v>1</v>
      </c>
      <c r="H529" s="10">
        <v>1</v>
      </c>
      <c r="I529" s="10"/>
      <c r="J529" s="10"/>
      <c r="K529" s="10"/>
      <c r="L529" s="10">
        <v>2</v>
      </c>
      <c r="O529" t="s">
        <v>1092</v>
      </c>
      <c r="P529">
        <v>1</v>
      </c>
      <c r="Q529">
        <f t="shared" si="32"/>
        <v>6</v>
      </c>
      <c r="R529">
        <f t="shared" si="33"/>
        <v>6.2155775398998981E-4</v>
      </c>
      <c r="S529">
        <f t="shared" si="35"/>
        <v>0.84550501275257606</v>
      </c>
      <c r="T529" t="str">
        <f t="shared" si="34"/>
        <v>B</v>
      </c>
      <c r="V529" t="s">
        <v>1092</v>
      </c>
      <c r="W529" t="s">
        <v>1245</v>
      </c>
    </row>
    <row r="530" spans="1:23" x14ac:dyDescent="0.25">
      <c r="A530" s="17">
        <v>44775</v>
      </c>
      <c r="B530" s="1" t="s">
        <v>614</v>
      </c>
      <c r="C530" s="1">
        <v>1</v>
      </c>
      <c r="F530" s="9" t="s">
        <v>798</v>
      </c>
      <c r="G530" s="10"/>
      <c r="H530" s="10"/>
      <c r="I530" s="10">
        <v>1</v>
      </c>
      <c r="J530" s="10"/>
      <c r="K530" s="10"/>
      <c r="L530" s="10">
        <v>1</v>
      </c>
      <c r="O530" t="s">
        <v>690</v>
      </c>
      <c r="P530">
        <v>1</v>
      </c>
      <c r="Q530">
        <f t="shared" si="32"/>
        <v>6</v>
      </c>
      <c r="R530">
        <f t="shared" si="33"/>
        <v>6.2155775398998981E-4</v>
      </c>
      <c r="S530">
        <f t="shared" si="35"/>
        <v>0.84612657050656603</v>
      </c>
      <c r="T530" t="str">
        <f t="shared" si="34"/>
        <v>B</v>
      </c>
      <c r="V530" t="s">
        <v>690</v>
      </c>
      <c r="W530" t="s">
        <v>1245</v>
      </c>
    </row>
    <row r="531" spans="1:23" x14ac:dyDescent="0.25">
      <c r="A531" s="17">
        <v>44775</v>
      </c>
      <c r="B531" s="1" t="s">
        <v>615</v>
      </c>
      <c r="C531" s="1">
        <v>1</v>
      </c>
      <c r="F531" s="9" t="s">
        <v>118</v>
      </c>
      <c r="G531" s="10">
        <v>2</v>
      </c>
      <c r="H531" s="10"/>
      <c r="I531" s="10">
        <v>1</v>
      </c>
      <c r="J531" s="10"/>
      <c r="K531" s="10">
        <v>1</v>
      </c>
      <c r="L531" s="10">
        <v>4</v>
      </c>
      <c r="O531" t="s">
        <v>974</v>
      </c>
      <c r="P531">
        <v>1</v>
      </c>
      <c r="Q531">
        <f t="shared" si="32"/>
        <v>6</v>
      </c>
      <c r="R531">
        <f t="shared" si="33"/>
        <v>6.2155775398998981E-4</v>
      </c>
      <c r="S531">
        <f t="shared" si="35"/>
        <v>0.84674812826055601</v>
      </c>
      <c r="T531" t="str">
        <f t="shared" si="34"/>
        <v>B</v>
      </c>
      <c r="V531" t="s">
        <v>974</v>
      </c>
      <c r="W531" t="s">
        <v>1245</v>
      </c>
    </row>
    <row r="532" spans="1:23" x14ac:dyDescent="0.25">
      <c r="A532" s="17">
        <v>44775</v>
      </c>
      <c r="B532" s="1" t="s">
        <v>615</v>
      </c>
      <c r="C532" s="1">
        <v>1</v>
      </c>
      <c r="F532" s="9" t="s">
        <v>917</v>
      </c>
      <c r="G532" s="10"/>
      <c r="H532" s="10"/>
      <c r="I532" s="10">
        <v>2</v>
      </c>
      <c r="J532" s="10"/>
      <c r="K532" s="10"/>
      <c r="L532" s="10">
        <v>2</v>
      </c>
      <c r="O532" t="s">
        <v>988</v>
      </c>
      <c r="P532">
        <v>1</v>
      </c>
      <c r="Q532">
        <f t="shared" si="32"/>
        <v>6</v>
      </c>
      <c r="R532">
        <f t="shared" si="33"/>
        <v>6.2155775398998981E-4</v>
      </c>
      <c r="S532">
        <f t="shared" si="35"/>
        <v>0.84736968601454599</v>
      </c>
      <c r="T532" t="str">
        <f t="shared" si="34"/>
        <v>B</v>
      </c>
      <c r="V532" t="s">
        <v>988</v>
      </c>
      <c r="W532" t="s">
        <v>1245</v>
      </c>
    </row>
    <row r="533" spans="1:23" x14ac:dyDescent="0.25">
      <c r="A533" s="17">
        <v>44775</v>
      </c>
      <c r="B533" s="1" t="s">
        <v>615</v>
      </c>
      <c r="C533" s="1">
        <v>1</v>
      </c>
      <c r="F533" s="9" t="s">
        <v>47</v>
      </c>
      <c r="G533" s="10">
        <v>2</v>
      </c>
      <c r="H533" s="10"/>
      <c r="I533" s="10"/>
      <c r="J533" s="10"/>
      <c r="K533" s="10"/>
      <c r="L533" s="10">
        <v>2</v>
      </c>
      <c r="O533" t="s">
        <v>1051</v>
      </c>
      <c r="P533">
        <v>1</v>
      </c>
      <c r="Q533">
        <f t="shared" si="32"/>
        <v>6</v>
      </c>
      <c r="R533">
        <f t="shared" si="33"/>
        <v>6.2155775398998981E-4</v>
      </c>
      <c r="S533">
        <f t="shared" si="35"/>
        <v>0.84799124376853596</v>
      </c>
      <c r="T533" t="str">
        <f t="shared" si="34"/>
        <v>B</v>
      </c>
      <c r="V533" t="s">
        <v>1051</v>
      </c>
      <c r="W533" t="s">
        <v>1245</v>
      </c>
    </row>
    <row r="534" spans="1:23" x14ac:dyDescent="0.25">
      <c r="A534" s="17">
        <v>44775</v>
      </c>
      <c r="B534" s="1" t="s">
        <v>548</v>
      </c>
      <c r="C534" s="1">
        <v>1</v>
      </c>
      <c r="F534" s="9" t="s">
        <v>112</v>
      </c>
      <c r="G534" s="10">
        <v>2</v>
      </c>
      <c r="H534" s="10"/>
      <c r="I534" s="10">
        <v>3</v>
      </c>
      <c r="J534" s="10">
        <v>1</v>
      </c>
      <c r="K534" s="10"/>
      <c r="L534" s="10">
        <v>6</v>
      </c>
      <c r="O534" t="s">
        <v>447</v>
      </c>
      <c r="P534">
        <v>1</v>
      </c>
      <c r="Q534">
        <f t="shared" si="32"/>
        <v>6</v>
      </c>
      <c r="R534">
        <f t="shared" si="33"/>
        <v>6.2155775398998981E-4</v>
      </c>
      <c r="S534">
        <f t="shared" si="35"/>
        <v>0.84861280152252594</v>
      </c>
      <c r="T534" t="str">
        <f t="shared" si="34"/>
        <v>B</v>
      </c>
      <c r="V534" t="s">
        <v>447</v>
      </c>
      <c r="W534" t="s">
        <v>1245</v>
      </c>
    </row>
    <row r="535" spans="1:23" x14ac:dyDescent="0.25">
      <c r="A535" s="17">
        <v>44775</v>
      </c>
      <c r="B535" s="1" t="s">
        <v>616</v>
      </c>
      <c r="C535" s="1">
        <v>1</v>
      </c>
      <c r="F535" s="9" t="s">
        <v>492</v>
      </c>
      <c r="G535" s="10"/>
      <c r="H535" s="10">
        <v>1</v>
      </c>
      <c r="I535" s="10">
        <v>2</v>
      </c>
      <c r="J535" s="10">
        <v>2</v>
      </c>
      <c r="K535" s="10"/>
      <c r="L535" s="10">
        <v>5</v>
      </c>
      <c r="O535" t="s">
        <v>481</v>
      </c>
      <c r="P535">
        <v>1</v>
      </c>
      <c r="Q535">
        <f t="shared" si="32"/>
        <v>6</v>
      </c>
      <c r="R535">
        <f t="shared" si="33"/>
        <v>6.2155775398998981E-4</v>
      </c>
      <c r="S535">
        <f t="shared" si="35"/>
        <v>0.84923435927651592</v>
      </c>
      <c r="T535" t="str">
        <f t="shared" si="34"/>
        <v>B</v>
      </c>
      <c r="V535" t="s">
        <v>481</v>
      </c>
      <c r="W535" t="s">
        <v>1245</v>
      </c>
    </row>
    <row r="536" spans="1:23" x14ac:dyDescent="0.25">
      <c r="A536" s="17">
        <v>44775</v>
      </c>
      <c r="B536" s="1" t="s">
        <v>83</v>
      </c>
      <c r="C536" s="1">
        <v>1</v>
      </c>
      <c r="F536" s="9" t="s">
        <v>1158</v>
      </c>
      <c r="G536" s="10"/>
      <c r="H536" s="10"/>
      <c r="I536" s="10"/>
      <c r="J536" s="10"/>
      <c r="K536" s="10">
        <v>1</v>
      </c>
      <c r="L536" s="10">
        <v>1</v>
      </c>
      <c r="O536" t="s">
        <v>1035</v>
      </c>
      <c r="P536">
        <v>1</v>
      </c>
      <c r="Q536">
        <f t="shared" si="32"/>
        <v>6</v>
      </c>
      <c r="R536">
        <f t="shared" si="33"/>
        <v>6.2155775398998981E-4</v>
      </c>
      <c r="S536">
        <f t="shared" si="35"/>
        <v>0.84985591703050589</v>
      </c>
      <c r="T536" t="str">
        <f t="shared" si="34"/>
        <v>B</v>
      </c>
      <c r="V536" t="s">
        <v>1035</v>
      </c>
      <c r="W536" t="s">
        <v>1245</v>
      </c>
    </row>
    <row r="537" spans="1:23" x14ac:dyDescent="0.25">
      <c r="A537" s="17">
        <v>44775</v>
      </c>
      <c r="B537" s="1" t="s">
        <v>618</v>
      </c>
      <c r="C537" s="1">
        <v>1</v>
      </c>
      <c r="F537" s="9" t="s">
        <v>98</v>
      </c>
      <c r="G537" s="10">
        <v>2</v>
      </c>
      <c r="H537" s="10">
        <v>2</v>
      </c>
      <c r="I537" s="10">
        <v>1</v>
      </c>
      <c r="J537" s="10">
        <v>4</v>
      </c>
      <c r="K537" s="10">
        <v>1</v>
      </c>
      <c r="L537" s="10">
        <v>10</v>
      </c>
      <c r="O537" t="s">
        <v>893</v>
      </c>
      <c r="P537">
        <v>1</v>
      </c>
      <c r="Q537">
        <f t="shared" si="32"/>
        <v>6</v>
      </c>
      <c r="R537">
        <f t="shared" si="33"/>
        <v>6.2155775398998981E-4</v>
      </c>
      <c r="S537">
        <f t="shared" si="35"/>
        <v>0.85047747478449587</v>
      </c>
      <c r="T537" t="str">
        <f t="shared" si="34"/>
        <v>B</v>
      </c>
      <c r="V537" t="s">
        <v>893</v>
      </c>
      <c r="W537" t="s">
        <v>1245</v>
      </c>
    </row>
    <row r="538" spans="1:23" x14ac:dyDescent="0.25">
      <c r="A538" s="17">
        <v>44775</v>
      </c>
      <c r="B538" s="1" t="s">
        <v>620</v>
      </c>
      <c r="C538" s="1">
        <v>1</v>
      </c>
      <c r="F538" s="9" t="s">
        <v>449</v>
      </c>
      <c r="G538" s="10">
        <v>1</v>
      </c>
      <c r="H538" s="10"/>
      <c r="I538" s="10"/>
      <c r="J538" s="10"/>
      <c r="K538" s="10"/>
      <c r="L538" s="10">
        <v>1</v>
      </c>
      <c r="O538" t="s">
        <v>713</v>
      </c>
      <c r="P538">
        <v>1</v>
      </c>
      <c r="Q538">
        <f t="shared" si="32"/>
        <v>6</v>
      </c>
      <c r="R538">
        <f t="shared" si="33"/>
        <v>6.2155775398998981E-4</v>
      </c>
      <c r="S538">
        <f t="shared" si="35"/>
        <v>0.85109903253848584</v>
      </c>
      <c r="T538" t="str">
        <f t="shared" si="34"/>
        <v>B</v>
      </c>
      <c r="V538" t="s">
        <v>713</v>
      </c>
      <c r="W538" t="s">
        <v>1245</v>
      </c>
    </row>
    <row r="539" spans="1:23" x14ac:dyDescent="0.25">
      <c r="A539" s="17">
        <v>44775</v>
      </c>
      <c r="B539" s="1" t="s">
        <v>621</v>
      </c>
      <c r="C539" s="1">
        <v>1</v>
      </c>
      <c r="F539" s="9" t="s">
        <v>1013</v>
      </c>
      <c r="G539" s="10"/>
      <c r="H539" s="10"/>
      <c r="I539" s="10"/>
      <c r="J539" s="10">
        <v>1</v>
      </c>
      <c r="K539" s="10"/>
      <c r="L539" s="10">
        <v>1</v>
      </c>
      <c r="O539" t="s">
        <v>820</v>
      </c>
      <c r="P539">
        <v>1</v>
      </c>
      <c r="Q539">
        <f t="shared" si="32"/>
        <v>6</v>
      </c>
      <c r="R539">
        <f t="shared" si="33"/>
        <v>6.2155775398998981E-4</v>
      </c>
      <c r="S539">
        <f t="shared" si="35"/>
        <v>0.85172059029247582</v>
      </c>
      <c r="T539" t="str">
        <f t="shared" si="34"/>
        <v>B</v>
      </c>
      <c r="V539" t="s">
        <v>820</v>
      </c>
      <c r="W539" t="s">
        <v>1245</v>
      </c>
    </row>
    <row r="540" spans="1:23" x14ac:dyDescent="0.25">
      <c r="A540" s="17">
        <v>44775</v>
      </c>
      <c r="B540" s="1" t="s">
        <v>622</v>
      </c>
      <c r="C540" s="1">
        <v>2</v>
      </c>
      <c r="F540" s="9" t="s">
        <v>591</v>
      </c>
      <c r="G540" s="10"/>
      <c r="H540" s="10">
        <v>5</v>
      </c>
      <c r="I540" s="10">
        <v>2</v>
      </c>
      <c r="J540" s="10">
        <v>1</v>
      </c>
      <c r="K540" s="10">
        <v>5</v>
      </c>
      <c r="L540" s="10">
        <v>13</v>
      </c>
      <c r="O540" t="s">
        <v>488</v>
      </c>
      <c r="P540">
        <v>1</v>
      </c>
      <c r="Q540">
        <f t="shared" si="32"/>
        <v>6</v>
      </c>
      <c r="R540">
        <f t="shared" si="33"/>
        <v>6.2155775398998981E-4</v>
      </c>
      <c r="S540">
        <f t="shared" si="35"/>
        <v>0.8523421480464658</v>
      </c>
      <c r="T540" t="str">
        <f t="shared" si="34"/>
        <v>B</v>
      </c>
      <c r="V540" t="s">
        <v>488</v>
      </c>
      <c r="W540" t="s">
        <v>1245</v>
      </c>
    </row>
    <row r="541" spans="1:23" x14ac:dyDescent="0.25">
      <c r="A541" s="17">
        <v>44775</v>
      </c>
      <c r="B541" s="1" t="s">
        <v>624</v>
      </c>
      <c r="C541" s="1">
        <v>1</v>
      </c>
      <c r="F541" s="9" t="s">
        <v>93</v>
      </c>
      <c r="G541" s="10">
        <v>2</v>
      </c>
      <c r="H541" s="10"/>
      <c r="I541" s="10"/>
      <c r="J541" s="10"/>
      <c r="K541" s="10"/>
      <c r="L541" s="10">
        <v>2</v>
      </c>
      <c r="O541" t="s">
        <v>723</v>
      </c>
      <c r="P541">
        <v>1</v>
      </c>
      <c r="Q541">
        <f t="shared" si="32"/>
        <v>6</v>
      </c>
      <c r="R541">
        <f t="shared" si="33"/>
        <v>6.2155775398998981E-4</v>
      </c>
      <c r="S541">
        <f t="shared" si="35"/>
        <v>0.85296370580045577</v>
      </c>
      <c r="T541" t="str">
        <f t="shared" si="34"/>
        <v>B</v>
      </c>
      <c r="V541" t="s">
        <v>723</v>
      </c>
      <c r="W541" t="s">
        <v>1245</v>
      </c>
    </row>
    <row r="542" spans="1:23" x14ac:dyDescent="0.25">
      <c r="A542" s="17">
        <v>44775</v>
      </c>
      <c r="B542" s="1" t="s">
        <v>624</v>
      </c>
      <c r="C542" s="1">
        <v>1</v>
      </c>
      <c r="F542" s="9" t="s">
        <v>1005</v>
      </c>
      <c r="G542" s="10"/>
      <c r="H542" s="10"/>
      <c r="I542" s="10"/>
      <c r="J542" s="10">
        <v>2</v>
      </c>
      <c r="K542" s="10"/>
      <c r="L542" s="10">
        <v>2</v>
      </c>
      <c r="O542" t="s">
        <v>1068</v>
      </c>
      <c r="P542">
        <v>1</v>
      </c>
      <c r="Q542">
        <f t="shared" si="32"/>
        <v>6</v>
      </c>
      <c r="R542">
        <f t="shared" si="33"/>
        <v>6.2155775398998981E-4</v>
      </c>
      <c r="S542">
        <f t="shared" si="35"/>
        <v>0.85358526355444575</v>
      </c>
      <c r="T542" t="str">
        <f t="shared" si="34"/>
        <v>B</v>
      </c>
      <c r="V542" t="s">
        <v>1068</v>
      </c>
      <c r="W542" t="s">
        <v>1245</v>
      </c>
    </row>
    <row r="543" spans="1:23" x14ac:dyDescent="0.25">
      <c r="A543" s="17">
        <v>44775</v>
      </c>
      <c r="B543" s="1" t="s">
        <v>625</v>
      </c>
      <c r="C543" s="1">
        <v>0.2</v>
      </c>
      <c r="F543" s="9" t="s">
        <v>592</v>
      </c>
      <c r="G543" s="10"/>
      <c r="H543" s="10">
        <v>5</v>
      </c>
      <c r="I543" s="10"/>
      <c r="J543" s="10"/>
      <c r="K543" s="10"/>
      <c r="L543" s="10">
        <v>5</v>
      </c>
      <c r="O543" t="s">
        <v>765</v>
      </c>
      <c r="P543">
        <v>1</v>
      </c>
      <c r="Q543">
        <f t="shared" si="32"/>
        <v>6</v>
      </c>
      <c r="R543">
        <f t="shared" si="33"/>
        <v>6.2155775398998981E-4</v>
      </c>
      <c r="S543">
        <f t="shared" si="35"/>
        <v>0.85420682130843573</v>
      </c>
      <c r="T543" t="str">
        <f t="shared" si="34"/>
        <v>B</v>
      </c>
      <c r="V543" t="s">
        <v>765</v>
      </c>
      <c r="W543" t="s">
        <v>1245</v>
      </c>
    </row>
    <row r="544" spans="1:23" x14ac:dyDescent="0.25">
      <c r="A544" s="17">
        <v>44775</v>
      </c>
      <c r="B544" s="1" t="s">
        <v>416</v>
      </c>
      <c r="C544" s="1">
        <v>10</v>
      </c>
      <c r="F544" s="9" t="s">
        <v>1014</v>
      </c>
      <c r="G544" s="10"/>
      <c r="H544" s="10"/>
      <c r="I544" s="10"/>
      <c r="J544" s="10">
        <v>1</v>
      </c>
      <c r="K544" s="10"/>
      <c r="L544" s="10">
        <v>1</v>
      </c>
      <c r="O544" t="s">
        <v>1170</v>
      </c>
      <c r="P544">
        <v>1</v>
      </c>
      <c r="Q544">
        <f t="shared" si="32"/>
        <v>6</v>
      </c>
      <c r="R544">
        <f t="shared" si="33"/>
        <v>6.2155775398998981E-4</v>
      </c>
      <c r="S544">
        <f t="shared" si="35"/>
        <v>0.8548283790624257</v>
      </c>
      <c r="T544" t="str">
        <f t="shared" si="34"/>
        <v>B</v>
      </c>
      <c r="V544" t="s">
        <v>1170</v>
      </c>
      <c r="W544" t="s">
        <v>1245</v>
      </c>
    </row>
    <row r="545" spans="1:23" x14ac:dyDescent="0.25">
      <c r="A545" s="17">
        <v>44775</v>
      </c>
      <c r="B545" s="1" t="s">
        <v>627</v>
      </c>
      <c r="C545" s="1">
        <v>1</v>
      </c>
      <c r="F545" s="9" t="s">
        <v>702</v>
      </c>
      <c r="G545" s="10"/>
      <c r="H545" s="10">
        <v>1</v>
      </c>
      <c r="I545" s="10"/>
      <c r="J545" s="10">
        <v>1</v>
      </c>
      <c r="K545" s="10"/>
      <c r="L545" s="10">
        <v>2</v>
      </c>
      <c r="O545" t="s">
        <v>640</v>
      </c>
      <c r="P545">
        <v>1</v>
      </c>
      <c r="Q545">
        <f t="shared" si="32"/>
        <v>6</v>
      </c>
      <c r="R545">
        <f t="shared" si="33"/>
        <v>6.2155775398998981E-4</v>
      </c>
      <c r="S545">
        <f t="shared" si="35"/>
        <v>0.85544993681641568</v>
      </c>
      <c r="T545" t="str">
        <f t="shared" si="34"/>
        <v>B</v>
      </c>
      <c r="V545" t="s">
        <v>640</v>
      </c>
      <c r="W545" t="s">
        <v>1245</v>
      </c>
    </row>
    <row r="546" spans="1:23" x14ac:dyDescent="0.25">
      <c r="A546" s="17">
        <v>44775</v>
      </c>
      <c r="B546" s="1" t="s">
        <v>629</v>
      </c>
      <c r="C546" s="1">
        <v>1</v>
      </c>
      <c r="F546" s="9" t="s">
        <v>434</v>
      </c>
      <c r="G546" s="10">
        <v>2</v>
      </c>
      <c r="H546" s="10"/>
      <c r="I546" s="10"/>
      <c r="J546" s="10"/>
      <c r="K546" s="10"/>
      <c r="L546" s="10">
        <v>2</v>
      </c>
      <c r="O546" t="s">
        <v>546</v>
      </c>
      <c r="P546">
        <v>1</v>
      </c>
      <c r="Q546">
        <f t="shared" si="32"/>
        <v>6</v>
      </c>
      <c r="R546">
        <f t="shared" si="33"/>
        <v>6.2155775398998981E-4</v>
      </c>
      <c r="S546">
        <f t="shared" si="35"/>
        <v>0.85607149457040566</v>
      </c>
      <c r="T546" t="str">
        <f t="shared" si="34"/>
        <v>B</v>
      </c>
      <c r="V546" t="s">
        <v>546</v>
      </c>
      <c r="W546" t="s">
        <v>1245</v>
      </c>
    </row>
    <row r="547" spans="1:23" x14ac:dyDescent="0.25">
      <c r="A547" s="17">
        <v>44775</v>
      </c>
      <c r="B547" s="1" t="s">
        <v>631</v>
      </c>
      <c r="C547" s="1">
        <v>1</v>
      </c>
      <c r="F547" s="9" t="s">
        <v>285</v>
      </c>
      <c r="G547" s="10">
        <v>2</v>
      </c>
      <c r="H547" s="10"/>
      <c r="I547" s="10"/>
      <c r="J547" s="10"/>
      <c r="K547" s="10">
        <v>1</v>
      </c>
      <c r="L547" s="10">
        <v>3</v>
      </c>
      <c r="O547" t="s">
        <v>1059</v>
      </c>
      <c r="P547">
        <v>1</v>
      </c>
      <c r="Q547">
        <f t="shared" si="32"/>
        <v>6</v>
      </c>
      <c r="R547">
        <f t="shared" si="33"/>
        <v>6.2155775398998981E-4</v>
      </c>
      <c r="S547">
        <f t="shared" si="35"/>
        <v>0.85669305232439563</v>
      </c>
      <c r="T547" t="str">
        <f t="shared" si="34"/>
        <v>B</v>
      </c>
      <c r="V547" t="s">
        <v>1059</v>
      </c>
      <c r="W547" t="s">
        <v>1245</v>
      </c>
    </row>
    <row r="548" spans="1:23" x14ac:dyDescent="0.25">
      <c r="A548" s="17">
        <v>44775</v>
      </c>
      <c r="B548" s="1" t="s">
        <v>632</v>
      </c>
      <c r="C548" s="1">
        <v>1</v>
      </c>
      <c r="F548" s="9" t="s">
        <v>129</v>
      </c>
      <c r="G548" s="10">
        <v>1</v>
      </c>
      <c r="H548" s="10"/>
      <c r="I548" s="10"/>
      <c r="J548" s="10"/>
      <c r="K548" s="10"/>
      <c r="L548" s="10">
        <v>1</v>
      </c>
      <c r="O548" t="s">
        <v>364</v>
      </c>
      <c r="P548">
        <v>1</v>
      </c>
      <c r="Q548">
        <f t="shared" si="32"/>
        <v>6</v>
      </c>
      <c r="R548">
        <f t="shared" si="33"/>
        <v>6.2155775398998981E-4</v>
      </c>
      <c r="S548">
        <f t="shared" si="35"/>
        <v>0.85731461007838561</v>
      </c>
      <c r="T548" t="str">
        <f t="shared" si="34"/>
        <v>B</v>
      </c>
      <c r="V548" t="s">
        <v>364</v>
      </c>
      <c r="W548" t="s">
        <v>1245</v>
      </c>
    </row>
    <row r="549" spans="1:23" x14ac:dyDescent="0.25">
      <c r="A549" s="17">
        <v>44775</v>
      </c>
      <c r="B549" s="1" t="s">
        <v>633</v>
      </c>
      <c r="C549" s="1">
        <v>1</v>
      </c>
      <c r="F549" s="9" t="s">
        <v>964</v>
      </c>
      <c r="G549" s="10"/>
      <c r="H549" s="10"/>
      <c r="I549" s="10"/>
      <c r="J549" s="10">
        <v>2</v>
      </c>
      <c r="K549" s="10"/>
      <c r="L549" s="10">
        <v>2</v>
      </c>
      <c r="O549" t="s">
        <v>684</v>
      </c>
      <c r="P549">
        <v>1</v>
      </c>
      <c r="Q549">
        <f t="shared" si="32"/>
        <v>6</v>
      </c>
      <c r="R549">
        <f t="shared" si="33"/>
        <v>6.2155775398998981E-4</v>
      </c>
      <c r="S549">
        <f t="shared" si="35"/>
        <v>0.85793616783237558</v>
      </c>
      <c r="T549" t="str">
        <f t="shared" si="34"/>
        <v>B</v>
      </c>
      <c r="V549" t="s">
        <v>684</v>
      </c>
      <c r="W549" t="s">
        <v>1245</v>
      </c>
    </row>
    <row r="550" spans="1:23" x14ac:dyDescent="0.25">
      <c r="A550" s="17">
        <v>44775</v>
      </c>
      <c r="B550" s="1" t="s">
        <v>634</v>
      </c>
      <c r="C550" s="1">
        <v>1</v>
      </c>
      <c r="F550" s="9" t="s">
        <v>896</v>
      </c>
      <c r="G550" s="10"/>
      <c r="H550" s="10"/>
      <c r="I550" s="10">
        <v>2</v>
      </c>
      <c r="J550" s="10"/>
      <c r="K550" s="10"/>
      <c r="L550" s="10">
        <v>2</v>
      </c>
      <c r="O550" t="s">
        <v>547</v>
      </c>
      <c r="P550">
        <v>1</v>
      </c>
      <c r="Q550">
        <f t="shared" si="32"/>
        <v>6</v>
      </c>
      <c r="R550">
        <f t="shared" si="33"/>
        <v>6.2155775398998981E-4</v>
      </c>
      <c r="S550">
        <f t="shared" si="35"/>
        <v>0.85855772558636556</v>
      </c>
      <c r="T550" t="str">
        <f t="shared" si="34"/>
        <v>B</v>
      </c>
      <c r="V550" t="s">
        <v>547</v>
      </c>
      <c r="W550" t="s">
        <v>1245</v>
      </c>
    </row>
    <row r="551" spans="1:23" x14ac:dyDescent="0.25">
      <c r="A551" s="17">
        <v>44775</v>
      </c>
      <c r="B551" s="1" t="s">
        <v>636</v>
      </c>
      <c r="C551" s="1">
        <v>1</v>
      </c>
      <c r="F551" s="9" t="s">
        <v>60</v>
      </c>
      <c r="G551" s="10">
        <v>1</v>
      </c>
      <c r="H551" s="10"/>
      <c r="I551" s="10"/>
      <c r="J551" s="10"/>
      <c r="K551" s="10"/>
      <c r="L551" s="10">
        <v>1</v>
      </c>
      <c r="O551" t="s">
        <v>423</v>
      </c>
      <c r="P551">
        <v>1</v>
      </c>
      <c r="Q551">
        <f t="shared" si="32"/>
        <v>6</v>
      </c>
      <c r="R551">
        <f t="shared" si="33"/>
        <v>6.2155775398998981E-4</v>
      </c>
      <c r="S551">
        <f t="shared" si="35"/>
        <v>0.85917928334035554</v>
      </c>
      <c r="T551" t="str">
        <f t="shared" si="34"/>
        <v>B</v>
      </c>
      <c r="V551" t="s">
        <v>423</v>
      </c>
      <c r="W551" t="s">
        <v>1245</v>
      </c>
    </row>
    <row r="552" spans="1:23" x14ac:dyDescent="0.25">
      <c r="A552" s="17">
        <v>44775</v>
      </c>
      <c r="B552" s="1" t="s">
        <v>413</v>
      </c>
      <c r="C552" s="1">
        <v>0.1</v>
      </c>
      <c r="F552" s="9" t="s">
        <v>698</v>
      </c>
      <c r="G552" s="10"/>
      <c r="H552" s="10">
        <v>1</v>
      </c>
      <c r="I552" s="10"/>
      <c r="J552" s="10"/>
      <c r="K552" s="10"/>
      <c r="L552" s="10">
        <v>1</v>
      </c>
      <c r="O552" t="s">
        <v>810</v>
      </c>
      <c r="P552">
        <v>1</v>
      </c>
      <c r="Q552">
        <f t="shared" si="32"/>
        <v>6</v>
      </c>
      <c r="R552">
        <f t="shared" si="33"/>
        <v>6.2155775398998981E-4</v>
      </c>
      <c r="S552">
        <f t="shared" si="35"/>
        <v>0.85980084109434551</v>
      </c>
      <c r="T552" t="str">
        <f t="shared" si="34"/>
        <v>B</v>
      </c>
      <c r="V552" t="s">
        <v>810</v>
      </c>
      <c r="W552" t="s">
        <v>1245</v>
      </c>
    </row>
    <row r="553" spans="1:23" x14ac:dyDescent="0.25">
      <c r="A553" s="17">
        <v>44775</v>
      </c>
      <c r="B553" s="1" t="s">
        <v>638</v>
      </c>
      <c r="C553" s="1">
        <v>1</v>
      </c>
      <c r="F553" s="9" t="s">
        <v>159</v>
      </c>
      <c r="G553" s="10">
        <v>1</v>
      </c>
      <c r="H553" s="10"/>
      <c r="I553" s="10">
        <v>1</v>
      </c>
      <c r="J553" s="10"/>
      <c r="K553" s="10"/>
      <c r="L553" s="10">
        <v>2</v>
      </c>
      <c r="O553" t="s">
        <v>812</v>
      </c>
      <c r="P553">
        <v>1</v>
      </c>
      <c r="Q553">
        <f t="shared" si="32"/>
        <v>6</v>
      </c>
      <c r="R553">
        <f t="shared" si="33"/>
        <v>6.2155775398998981E-4</v>
      </c>
      <c r="S553">
        <f t="shared" si="35"/>
        <v>0.86042239884833549</v>
      </c>
      <c r="T553" t="str">
        <f t="shared" si="34"/>
        <v>B</v>
      </c>
      <c r="V553" t="s">
        <v>812</v>
      </c>
      <c r="W553" t="s">
        <v>1245</v>
      </c>
    </row>
    <row r="554" spans="1:23" x14ac:dyDescent="0.25">
      <c r="A554" s="17">
        <v>44775</v>
      </c>
      <c r="B554" s="1" t="s">
        <v>638</v>
      </c>
      <c r="C554" s="1">
        <v>2</v>
      </c>
      <c r="F554" s="9" t="s">
        <v>580</v>
      </c>
      <c r="G554" s="10"/>
      <c r="H554" s="10">
        <v>1</v>
      </c>
      <c r="I554" s="10"/>
      <c r="J554" s="10"/>
      <c r="K554" s="10"/>
      <c r="L554" s="10">
        <v>1</v>
      </c>
      <c r="O554" t="s">
        <v>811</v>
      </c>
      <c r="P554">
        <v>1</v>
      </c>
      <c r="Q554">
        <f t="shared" si="32"/>
        <v>6</v>
      </c>
      <c r="R554">
        <f t="shared" si="33"/>
        <v>6.2155775398998981E-4</v>
      </c>
      <c r="S554">
        <f t="shared" si="35"/>
        <v>0.86104395660232547</v>
      </c>
      <c r="T554" t="str">
        <f t="shared" si="34"/>
        <v>B</v>
      </c>
      <c r="V554" t="s">
        <v>811</v>
      </c>
      <c r="W554" t="s">
        <v>1245</v>
      </c>
    </row>
    <row r="555" spans="1:23" x14ac:dyDescent="0.25">
      <c r="A555" s="17">
        <v>44775</v>
      </c>
      <c r="B555" s="1" t="s">
        <v>405</v>
      </c>
      <c r="C555" s="1">
        <v>1</v>
      </c>
      <c r="F555" s="9" t="s">
        <v>1058</v>
      </c>
      <c r="G555" s="10"/>
      <c r="H555" s="10"/>
      <c r="I555" s="10"/>
      <c r="J555" s="10">
        <v>1</v>
      </c>
      <c r="K555" s="10"/>
      <c r="L555" s="10">
        <v>1</v>
      </c>
      <c r="O555" t="s">
        <v>454</v>
      </c>
      <c r="P555">
        <v>1</v>
      </c>
      <c r="Q555">
        <f t="shared" si="32"/>
        <v>6</v>
      </c>
      <c r="R555">
        <f t="shared" si="33"/>
        <v>6.2155775398998981E-4</v>
      </c>
      <c r="S555">
        <f t="shared" si="35"/>
        <v>0.86166551435631544</v>
      </c>
      <c r="T555" t="str">
        <f t="shared" si="34"/>
        <v>B</v>
      </c>
      <c r="V555" t="s">
        <v>454</v>
      </c>
      <c r="W555" t="s">
        <v>1245</v>
      </c>
    </row>
    <row r="556" spans="1:23" x14ac:dyDescent="0.25">
      <c r="A556" s="17">
        <v>44775</v>
      </c>
      <c r="B556" s="1" t="s">
        <v>639</v>
      </c>
      <c r="C556" s="1">
        <v>1</v>
      </c>
      <c r="F556" s="9" t="s">
        <v>351</v>
      </c>
      <c r="G556" s="10">
        <v>1</v>
      </c>
      <c r="H556" s="10"/>
      <c r="I556" s="10"/>
      <c r="J556" s="10"/>
      <c r="K556" s="10"/>
      <c r="L556" s="10">
        <v>1</v>
      </c>
      <c r="O556" t="s">
        <v>1161</v>
      </c>
      <c r="P556">
        <v>1</v>
      </c>
      <c r="Q556">
        <f t="shared" si="32"/>
        <v>6</v>
      </c>
      <c r="R556">
        <f t="shared" si="33"/>
        <v>6.2155775398998981E-4</v>
      </c>
      <c r="S556">
        <f t="shared" si="35"/>
        <v>0.86228707211030542</v>
      </c>
      <c r="T556" t="str">
        <f t="shared" si="34"/>
        <v>B</v>
      </c>
      <c r="V556" t="s">
        <v>1161</v>
      </c>
      <c r="W556" t="s">
        <v>1245</v>
      </c>
    </row>
    <row r="557" spans="1:23" x14ac:dyDescent="0.25">
      <c r="A557" s="17">
        <v>44775</v>
      </c>
      <c r="B557" s="1" t="s">
        <v>78</v>
      </c>
      <c r="C557" s="1">
        <v>1</v>
      </c>
      <c r="F557" s="9" t="s">
        <v>1027</v>
      </c>
      <c r="G557" s="10"/>
      <c r="H557" s="10"/>
      <c r="I557" s="10"/>
      <c r="J557" s="10">
        <v>1</v>
      </c>
      <c r="K557" s="10"/>
      <c r="L557" s="10">
        <v>1</v>
      </c>
      <c r="O557" t="s">
        <v>725</v>
      </c>
      <c r="P557">
        <v>1</v>
      </c>
      <c r="Q557">
        <f t="shared" si="32"/>
        <v>6</v>
      </c>
      <c r="R557">
        <f t="shared" si="33"/>
        <v>6.2155775398998981E-4</v>
      </c>
      <c r="S557">
        <f t="shared" si="35"/>
        <v>0.8629086298642954</v>
      </c>
      <c r="T557" t="str">
        <f t="shared" si="34"/>
        <v>B</v>
      </c>
      <c r="V557" t="s">
        <v>725</v>
      </c>
      <c r="W557" t="s">
        <v>1245</v>
      </c>
    </row>
    <row r="558" spans="1:23" x14ac:dyDescent="0.25">
      <c r="A558" s="17">
        <v>44775</v>
      </c>
      <c r="B558" s="1" t="s">
        <v>640</v>
      </c>
      <c r="C558" s="1">
        <v>1</v>
      </c>
      <c r="F558" s="9" t="s">
        <v>576</v>
      </c>
      <c r="G558" s="10"/>
      <c r="H558" s="10">
        <v>1</v>
      </c>
      <c r="I558" s="10"/>
      <c r="J558" s="10"/>
      <c r="K558" s="10"/>
      <c r="L558" s="10">
        <v>1</v>
      </c>
      <c r="O558" t="s">
        <v>632</v>
      </c>
      <c r="P558">
        <v>1</v>
      </c>
      <c r="Q558">
        <f t="shared" si="32"/>
        <v>6</v>
      </c>
      <c r="R558">
        <f t="shared" si="33"/>
        <v>6.2155775398998981E-4</v>
      </c>
      <c r="S558">
        <f t="shared" si="35"/>
        <v>0.86353018761828537</v>
      </c>
      <c r="T558" t="str">
        <f t="shared" si="34"/>
        <v>B</v>
      </c>
      <c r="V558" t="s">
        <v>632</v>
      </c>
      <c r="W558" t="s">
        <v>1245</v>
      </c>
    </row>
    <row r="559" spans="1:23" x14ac:dyDescent="0.25">
      <c r="A559" s="17">
        <v>44775</v>
      </c>
      <c r="B559" s="1" t="s">
        <v>641</v>
      </c>
      <c r="C559" s="1">
        <v>1</v>
      </c>
      <c r="F559" s="9" t="s">
        <v>997</v>
      </c>
      <c r="G559" s="10"/>
      <c r="H559" s="10"/>
      <c r="I559" s="10"/>
      <c r="J559" s="10">
        <v>1</v>
      </c>
      <c r="K559" s="10"/>
      <c r="L559" s="10">
        <v>1</v>
      </c>
      <c r="O559" t="s">
        <v>848</v>
      </c>
      <c r="P559">
        <v>1</v>
      </c>
      <c r="Q559">
        <f t="shared" si="32"/>
        <v>6</v>
      </c>
      <c r="R559">
        <f t="shared" si="33"/>
        <v>6.2155775398998981E-4</v>
      </c>
      <c r="S559">
        <f t="shared" si="35"/>
        <v>0.86415174537227535</v>
      </c>
      <c r="T559" t="str">
        <f t="shared" si="34"/>
        <v>B</v>
      </c>
      <c r="V559" t="s">
        <v>848</v>
      </c>
      <c r="W559" t="s">
        <v>1245</v>
      </c>
    </row>
    <row r="560" spans="1:23" x14ac:dyDescent="0.25">
      <c r="A560" s="17">
        <v>44775</v>
      </c>
      <c r="B560" s="1" t="s">
        <v>642</v>
      </c>
      <c r="C560" s="1">
        <v>1</v>
      </c>
      <c r="F560" s="9" t="s">
        <v>1018</v>
      </c>
      <c r="G560" s="10"/>
      <c r="H560" s="10"/>
      <c r="I560" s="10"/>
      <c r="J560" s="10">
        <v>0.33333332999999998</v>
      </c>
      <c r="K560" s="10"/>
      <c r="L560" s="10">
        <v>0.33333332999999998</v>
      </c>
      <c r="O560" t="s">
        <v>1083</v>
      </c>
      <c r="P560">
        <v>1</v>
      </c>
      <c r="Q560">
        <f t="shared" si="32"/>
        <v>6</v>
      </c>
      <c r="R560">
        <f t="shared" si="33"/>
        <v>6.2155775398998981E-4</v>
      </c>
      <c r="S560">
        <f t="shared" si="35"/>
        <v>0.86477330312626532</v>
      </c>
      <c r="T560" t="str">
        <f t="shared" si="34"/>
        <v>B</v>
      </c>
      <c r="V560" t="s">
        <v>1083</v>
      </c>
      <c r="W560" t="s">
        <v>1245</v>
      </c>
    </row>
    <row r="561" spans="1:23" x14ac:dyDescent="0.25">
      <c r="A561" s="17">
        <v>44775</v>
      </c>
      <c r="B561" s="1" t="s">
        <v>52</v>
      </c>
      <c r="C561" s="1">
        <v>1</v>
      </c>
      <c r="F561" s="9" t="s">
        <v>175</v>
      </c>
      <c r="G561" s="10">
        <v>1</v>
      </c>
      <c r="H561" s="10"/>
      <c r="I561" s="10"/>
      <c r="J561" s="10"/>
      <c r="K561" s="10"/>
      <c r="L561" s="10">
        <v>1</v>
      </c>
      <c r="O561" t="s">
        <v>1114</v>
      </c>
      <c r="P561">
        <v>1</v>
      </c>
      <c r="Q561">
        <f t="shared" si="32"/>
        <v>6</v>
      </c>
      <c r="R561">
        <f t="shared" si="33"/>
        <v>6.2155775398998981E-4</v>
      </c>
      <c r="S561">
        <f t="shared" si="35"/>
        <v>0.8653948608802553</v>
      </c>
      <c r="T561" t="str">
        <f t="shared" si="34"/>
        <v>B</v>
      </c>
      <c r="V561" t="s">
        <v>1114</v>
      </c>
      <c r="W561" t="s">
        <v>1245</v>
      </c>
    </row>
    <row r="562" spans="1:23" x14ac:dyDescent="0.25">
      <c r="A562" s="17">
        <v>44775</v>
      </c>
      <c r="B562" s="1" t="s">
        <v>643</v>
      </c>
      <c r="C562" s="1">
        <v>1</v>
      </c>
      <c r="F562" s="9" t="s">
        <v>906</v>
      </c>
      <c r="G562" s="10"/>
      <c r="H562" s="10"/>
      <c r="I562" s="10">
        <v>1</v>
      </c>
      <c r="J562" s="10"/>
      <c r="K562" s="10"/>
      <c r="L562" s="10">
        <v>1</v>
      </c>
      <c r="O562" t="s">
        <v>1123</v>
      </c>
      <c r="P562">
        <v>1</v>
      </c>
      <c r="Q562">
        <f t="shared" si="32"/>
        <v>6</v>
      </c>
      <c r="R562">
        <f t="shared" si="33"/>
        <v>6.2155775398998981E-4</v>
      </c>
      <c r="S562">
        <f t="shared" si="35"/>
        <v>0.86601641863424528</v>
      </c>
      <c r="T562" t="str">
        <f t="shared" si="34"/>
        <v>B</v>
      </c>
      <c r="V562" t="s">
        <v>1123</v>
      </c>
      <c r="W562" t="s">
        <v>1245</v>
      </c>
    </row>
    <row r="563" spans="1:23" x14ac:dyDescent="0.25">
      <c r="A563" s="17">
        <v>44775</v>
      </c>
      <c r="B563" s="1" t="s">
        <v>645</v>
      </c>
      <c r="C563" s="1">
        <v>1</v>
      </c>
      <c r="F563" s="9" t="s">
        <v>612</v>
      </c>
      <c r="G563" s="10"/>
      <c r="H563" s="10">
        <v>2</v>
      </c>
      <c r="I563" s="10"/>
      <c r="J563" s="10"/>
      <c r="K563" s="10"/>
      <c r="L563" s="10">
        <v>2</v>
      </c>
      <c r="O563" t="s">
        <v>308</v>
      </c>
      <c r="P563">
        <v>1</v>
      </c>
      <c r="Q563">
        <f t="shared" si="32"/>
        <v>6</v>
      </c>
      <c r="R563">
        <f t="shared" si="33"/>
        <v>6.2155775398998981E-4</v>
      </c>
      <c r="S563">
        <f t="shared" si="35"/>
        <v>0.86663797638823525</v>
      </c>
      <c r="T563" t="str">
        <f t="shared" si="34"/>
        <v>B</v>
      </c>
      <c r="V563" t="s">
        <v>308</v>
      </c>
      <c r="W563" t="s">
        <v>1245</v>
      </c>
    </row>
    <row r="564" spans="1:23" x14ac:dyDescent="0.25">
      <c r="A564" s="17">
        <v>44775</v>
      </c>
      <c r="B564" s="1" t="s">
        <v>646</v>
      </c>
      <c r="C564" s="1">
        <v>1</v>
      </c>
      <c r="F564" s="9" t="s">
        <v>782</v>
      </c>
      <c r="G564" s="10"/>
      <c r="H564" s="10"/>
      <c r="I564" s="10">
        <v>1</v>
      </c>
      <c r="J564" s="10"/>
      <c r="K564" s="10"/>
      <c r="L564" s="10">
        <v>1</v>
      </c>
      <c r="O564" t="s">
        <v>99</v>
      </c>
      <c r="P564">
        <v>1</v>
      </c>
      <c r="Q564">
        <f t="shared" si="32"/>
        <v>6</v>
      </c>
      <c r="R564">
        <f t="shared" si="33"/>
        <v>6.2155775398998981E-4</v>
      </c>
      <c r="S564">
        <f t="shared" si="35"/>
        <v>0.86725953414222523</v>
      </c>
      <c r="T564" t="str">
        <f t="shared" si="34"/>
        <v>B</v>
      </c>
      <c r="V564" t="s">
        <v>99</v>
      </c>
      <c r="W564" t="s">
        <v>1245</v>
      </c>
    </row>
    <row r="565" spans="1:23" x14ac:dyDescent="0.25">
      <c r="A565" s="17">
        <v>44775</v>
      </c>
      <c r="B565" s="1" t="s">
        <v>647</v>
      </c>
      <c r="C565" s="1">
        <v>1</v>
      </c>
      <c r="F565" s="9" t="s">
        <v>781</v>
      </c>
      <c r="G565" s="10"/>
      <c r="H565" s="10"/>
      <c r="I565" s="10">
        <v>2</v>
      </c>
      <c r="J565" s="10"/>
      <c r="K565" s="10"/>
      <c r="L565" s="10">
        <v>2</v>
      </c>
      <c r="O565" t="s">
        <v>650</v>
      </c>
      <c r="P565">
        <v>1</v>
      </c>
      <c r="Q565">
        <f t="shared" si="32"/>
        <v>6</v>
      </c>
      <c r="R565">
        <f t="shared" si="33"/>
        <v>6.2155775398998981E-4</v>
      </c>
      <c r="S565">
        <f t="shared" si="35"/>
        <v>0.86788109189621521</v>
      </c>
      <c r="T565" t="str">
        <f t="shared" si="34"/>
        <v>B</v>
      </c>
      <c r="V565" t="s">
        <v>650</v>
      </c>
      <c r="W565" t="s">
        <v>1245</v>
      </c>
    </row>
    <row r="566" spans="1:23" x14ac:dyDescent="0.25">
      <c r="A566" s="17">
        <v>44775</v>
      </c>
      <c r="B566" s="1" t="s">
        <v>649</v>
      </c>
      <c r="C566" s="1">
        <v>0.1</v>
      </c>
      <c r="F566" s="9" t="s">
        <v>1138</v>
      </c>
      <c r="G566" s="10"/>
      <c r="H566" s="10"/>
      <c r="I566" s="10"/>
      <c r="J566" s="10"/>
      <c r="K566" s="10">
        <v>1</v>
      </c>
      <c r="L566" s="10">
        <v>1</v>
      </c>
      <c r="O566" t="s">
        <v>368</v>
      </c>
      <c r="P566">
        <v>1</v>
      </c>
      <c r="Q566">
        <f t="shared" si="32"/>
        <v>6</v>
      </c>
      <c r="R566">
        <f t="shared" si="33"/>
        <v>6.2155775398998981E-4</v>
      </c>
      <c r="S566">
        <f t="shared" si="35"/>
        <v>0.86850264965020518</v>
      </c>
      <c r="T566" t="str">
        <f t="shared" si="34"/>
        <v>B</v>
      </c>
      <c r="V566" t="s">
        <v>368</v>
      </c>
      <c r="W566" t="s">
        <v>1245</v>
      </c>
    </row>
    <row r="567" spans="1:23" x14ac:dyDescent="0.25">
      <c r="A567" s="17">
        <v>44775</v>
      </c>
      <c r="B567" s="1" t="s">
        <v>650</v>
      </c>
      <c r="C567" s="1">
        <v>1</v>
      </c>
      <c r="F567" s="9" t="s">
        <v>180</v>
      </c>
      <c r="G567" s="10">
        <v>1</v>
      </c>
      <c r="H567" s="10"/>
      <c r="I567" s="10"/>
      <c r="J567" s="10"/>
      <c r="K567" s="10"/>
      <c r="L567" s="10">
        <v>1</v>
      </c>
      <c r="O567" t="s">
        <v>509</v>
      </c>
      <c r="P567">
        <v>1</v>
      </c>
      <c r="Q567">
        <f t="shared" si="32"/>
        <v>6</v>
      </c>
      <c r="R567">
        <f t="shared" si="33"/>
        <v>6.2155775398998981E-4</v>
      </c>
      <c r="S567">
        <f t="shared" si="35"/>
        <v>0.86912420740419516</v>
      </c>
      <c r="T567" t="str">
        <f t="shared" si="34"/>
        <v>B</v>
      </c>
      <c r="V567" t="s">
        <v>509</v>
      </c>
      <c r="W567" t="s">
        <v>1245</v>
      </c>
    </row>
    <row r="568" spans="1:23" x14ac:dyDescent="0.25">
      <c r="A568" s="17">
        <v>44775</v>
      </c>
      <c r="B568" s="1" t="s">
        <v>519</v>
      </c>
      <c r="C568" s="1">
        <v>1</v>
      </c>
      <c r="F568" s="9" t="s">
        <v>1021</v>
      </c>
      <c r="G568" s="10"/>
      <c r="H568" s="10"/>
      <c r="I568" s="10"/>
      <c r="J568" s="10">
        <v>1</v>
      </c>
      <c r="K568" s="10"/>
      <c r="L568" s="10">
        <v>1</v>
      </c>
      <c r="O568" t="s">
        <v>1074</v>
      </c>
      <c r="P568">
        <v>1</v>
      </c>
      <c r="Q568">
        <f t="shared" si="32"/>
        <v>6</v>
      </c>
      <c r="R568">
        <f t="shared" si="33"/>
        <v>6.2155775398998981E-4</v>
      </c>
      <c r="S568">
        <f t="shared" si="35"/>
        <v>0.86974576515818514</v>
      </c>
      <c r="T568" t="str">
        <f t="shared" si="34"/>
        <v>B</v>
      </c>
      <c r="V568" t="s">
        <v>1074</v>
      </c>
      <c r="W568" t="s">
        <v>1245</v>
      </c>
    </row>
    <row r="569" spans="1:23" x14ac:dyDescent="0.25">
      <c r="A569" s="17">
        <v>44775</v>
      </c>
      <c r="B569" s="1" t="s">
        <v>652</v>
      </c>
      <c r="C569" s="1">
        <v>1</v>
      </c>
      <c r="F569" s="9" t="s">
        <v>123</v>
      </c>
      <c r="G569" s="10">
        <v>1</v>
      </c>
      <c r="H569" s="10"/>
      <c r="I569" s="10"/>
      <c r="J569" s="10"/>
      <c r="K569" s="10"/>
      <c r="L569" s="10">
        <v>1</v>
      </c>
      <c r="O569" t="s">
        <v>297</v>
      </c>
      <c r="P569">
        <v>1</v>
      </c>
      <c r="Q569">
        <f t="shared" si="32"/>
        <v>6</v>
      </c>
      <c r="R569">
        <f t="shared" si="33"/>
        <v>6.2155775398998981E-4</v>
      </c>
      <c r="S569">
        <f t="shared" si="35"/>
        <v>0.87036732291217511</v>
      </c>
      <c r="T569" t="str">
        <f t="shared" si="34"/>
        <v>B</v>
      </c>
      <c r="V569" t="s">
        <v>297</v>
      </c>
      <c r="W569" t="s">
        <v>1245</v>
      </c>
    </row>
    <row r="570" spans="1:23" x14ac:dyDescent="0.25">
      <c r="A570" s="17">
        <v>44775</v>
      </c>
      <c r="B570" s="1" t="s">
        <v>654</v>
      </c>
      <c r="C570" s="1">
        <v>0.16666666999999999</v>
      </c>
      <c r="F570" s="9" t="s">
        <v>507</v>
      </c>
      <c r="G570" s="10"/>
      <c r="H570" s="10">
        <v>1</v>
      </c>
      <c r="I570" s="10"/>
      <c r="J570" s="10"/>
      <c r="K570" s="10"/>
      <c r="L570" s="10">
        <v>1</v>
      </c>
      <c r="O570" t="s">
        <v>931</v>
      </c>
      <c r="P570">
        <v>1</v>
      </c>
      <c r="Q570">
        <f t="shared" si="32"/>
        <v>6</v>
      </c>
      <c r="R570">
        <f t="shared" si="33"/>
        <v>6.2155775398998981E-4</v>
      </c>
      <c r="S570">
        <f t="shared" si="35"/>
        <v>0.87098888066616509</v>
      </c>
      <c r="T570" t="str">
        <f t="shared" si="34"/>
        <v>B</v>
      </c>
      <c r="V570" t="s">
        <v>931</v>
      </c>
      <c r="W570" t="s">
        <v>1245</v>
      </c>
    </row>
    <row r="571" spans="1:23" x14ac:dyDescent="0.25">
      <c r="A571" s="17">
        <v>44775</v>
      </c>
      <c r="B571" s="1" t="s">
        <v>655</v>
      </c>
      <c r="C571" s="1">
        <v>1</v>
      </c>
      <c r="F571" s="9" t="s">
        <v>599</v>
      </c>
      <c r="G571" s="10"/>
      <c r="H571" s="10">
        <v>1</v>
      </c>
      <c r="I571" s="10"/>
      <c r="J571" s="10"/>
      <c r="K571" s="10"/>
      <c r="L571" s="10">
        <v>1</v>
      </c>
      <c r="O571" t="s">
        <v>1181</v>
      </c>
      <c r="P571">
        <v>1</v>
      </c>
      <c r="Q571">
        <f t="shared" si="32"/>
        <v>6</v>
      </c>
      <c r="R571">
        <f t="shared" si="33"/>
        <v>6.2155775398998981E-4</v>
      </c>
      <c r="S571">
        <f t="shared" si="35"/>
        <v>0.87161043842015506</v>
      </c>
      <c r="T571" t="str">
        <f t="shared" si="34"/>
        <v>B</v>
      </c>
      <c r="V571" t="s">
        <v>1181</v>
      </c>
      <c r="W571" t="s">
        <v>1245</v>
      </c>
    </row>
    <row r="572" spans="1:23" x14ac:dyDescent="0.25">
      <c r="A572" s="17">
        <v>44775</v>
      </c>
      <c r="B572" s="1" t="s">
        <v>656</v>
      </c>
      <c r="C572" s="1">
        <v>1</v>
      </c>
      <c r="F572" s="9" t="s">
        <v>895</v>
      </c>
      <c r="G572" s="10"/>
      <c r="H572" s="10"/>
      <c r="I572" s="10">
        <v>1</v>
      </c>
      <c r="J572" s="10"/>
      <c r="K572" s="10"/>
      <c r="L572" s="10">
        <v>1</v>
      </c>
      <c r="O572" t="s">
        <v>531</v>
      </c>
      <c r="P572">
        <v>1</v>
      </c>
      <c r="Q572">
        <f t="shared" si="32"/>
        <v>6</v>
      </c>
      <c r="R572">
        <f t="shared" si="33"/>
        <v>6.2155775398998981E-4</v>
      </c>
      <c r="S572">
        <f t="shared" si="35"/>
        <v>0.87223199617414504</v>
      </c>
      <c r="T572" t="str">
        <f t="shared" si="34"/>
        <v>B</v>
      </c>
      <c r="V572" t="s">
        <v>531</v>
      </c>
      <c r="W572" t="s">
        <v>1245</v>
      </c>
    </row>
    <row r="573" spans="1:23" x14ac:dyDescent="0.25">
      <c r="A573" s="17">
        <v>44775</v>
      </c>
      <c r="B573" s="1" t="s">
        <v>656</v>
      </c>
      <c r="C573" s="1">
        <v>1</v>
      </c>
      <c r="F573" s="9" t="s">
        <v>464</v>
      </c>
      <c r="G573" s="10">
        <v>1</v>
      </c>
      <c r="H573" s="10"/>
      <c r="I573" s="10"/>
      <c r="J573" s="10"/>
      <c r="K573" s="10"/>
      <c r="L573" s="10">
        <v>1</v>
      </c>
      <c r="O573" t="s">
        <v>469</v>
      </c>
      <c r="P573">
        <v>1</v>
      </c>
      <c r="Q573">
        <f t="shared" si="32"/>
        <v>6</v>
      </c>
      <c r="R573">
        <f t="shared" si="33"/>
        <v>6.2155775398998981E-4</v>
      </c>
      <c r="S573">
        <f t="shared" si="35"/>
        <v>0.87285355392813502</v>
      </c>
      <c r="T573" t="str">
        <f t="shared" si="34"/>
        <v>B</v>
      </c>
      <c r="V573" t="s">
        <v>469</v>
      </c>
      <c r="W573" t="s">
        <v>1245</v>
      </c>
    </row>
    <row r="574" spans="1:23" x14ac:dyDescent="0.25">
      <c r="A574" s="17">
        <v>44775</v>
      </c>
      <c r="B574" s="1" t="s">
        <v>355</v>
      </c>
      <c r="C574" s="1">
        <v>1</v>
      </c>
      <c r="F574" s="9" t="s">
        <v>602</v>
      </c>
      <c r="G574" s="10"/>
      <c r="H574" s="10">
        <v>0.25</v>
      </c>
      <c r="I574" s="10">
        <v>0.25</v>
      </c>
      <c r="J574" s="10"/>
      <c r="K574" s="10"/>
      <c r="L574" s="10">
        <v>0.5</v>
      </c>
      <c r="O574" t="s">
        <v>828</v>
      </c>
      <c r="P574">
        <v>1</v>
      </c>
      <c r="Q574">
        <f t="shared" si="32"/>
        <v>6</v>
      </c>
      <c r="R574">
        <f t="shared" si="33"/>
        <v>6.2155775398998981E-4</v>
      </c>
      <c r="S574">
        <f t="shared" si="35"/>
        <v>0.87347511168212499</v>
      </c>
      <c r="T574" t="str">
        <f t="shared" si="34"/>
        <v>B</v>
      </c>
      <c r="V574" t="s">
        <v>828</v>
      </c>
      <c r="W574" t="s">
        <v>1245</v>
      </c>
    </row>
    <row r="575" spans="1:23" x14ac:dyDescent="0.25">
      <c r="A575" s="17">
        <v>44775</v>
      </c>
      <c r="B575" s="1" t="s">
        <v>657</v>
      </c>
      <c r="C575" s="1">
        <v>1</v>
      </c>
      <c r="F575" s="9" t="s">
        <v>247</v>
      </c>
      <c r="G575" s="10">
        <v>2</v>
      </c>
      <c r="H575" s="10"/>
      <c r="I575" s="10">
        <v>1</v>
      </c>
      <c r="J575" s="10">
        <v>2</v>
      </c>
      <c r="K575" s="10">
        <v>2</v>
      </c>
      <c r="L575" s="10">
        <v>7</v>
      </c>
      <c r="O575" t="s">
        <v>1072</v>
      </c>
      <c r="P575">
        <v>1</v>
      </c>
      <c r="Q575">
        <f t="shared" si="32"/>
        <v>6</v>
      </c>
      <c r="R575">
        <f t="shared" si="33"/>
        <v>6.2155775398998981E-4</v>
      </c>
      <c r="S575">
        <f t="shared" si="35"/>
        <v>0.87409666943611497</v>
      </c>
      <c r="T575" t="str">
        <f t="shared" si="34"/>
        <v>B</v>
      </c>
      <c r="V575" t="s">
        <v>1072</v>
      </c>
      <c r="W575" t="s">
        <v>1245</v>
      </c>
    </row>
    <row r="576" spans="1:23" x14ac:dyDescent="0.25">
      <c r="A576" s="17">
        <v>44775</v>
      </c>
      <c r="B576" s="1" t="s">
        <v>65</v>
      </c>
      <c r="C576" s="1">
        <v>1</v>
      </c>
      <c r="F576" s="9" t="s">
        <v>825</v>
      </c>
      <c r="G576" s="10"/>
      <c r="H576" s="10"/>
      <c r="I576" s="10">
        <v>2</v>
      </c>
      <c r="J576" s="10">
        <v>3</v>
      </c>
      <c r="K576" s="10">
        <v>1</v>
      </c>
      <c r="L576" s="10">
        <v>6</v>
      </c>
      <c r="O576" t="s">
        <v>520</v>
      </c>
      <c r="P576">
        <v>1</v>
      </c>
      <c r="Q576">
        <f t="shared" si="32"/>
        <v>6</v>
      </c>
      <c r="R576">
        <f t="shared" si="33"/>
        <v>6.2155775398998981E-4</v>
      </c>
      <c r="S576">
        <f t="shared" si="35"/>
        <v>0.87471822719010495</v>
      </c>
      <c r="T576" t="str">
        <f t="shared" si="34"/>
        <v>B</v>
      </c>
      <c r="V576" t="s">
        <v>520</v>
      </c>
      <c r="W576" t="s">
        <v>1245</v>
      </c>
    </row>
    <row r="577" spans="1:23" x14ac:dyDescent="0.25">
      <c r="A577" s="17">
        <v>44775</v>
      </c>
      <c r="B577" s="1" t="s">
        <v>339</v>
      </c>
      <c r="C577" s="1">
        <v>1</v>
      </c>
      <c r="F577" s="9" t="s">
        <v>898</v>
      </c>
      <c r="G577" s="10"/>
      <c r="H577" s="10"/>
      <c r="I577" s="10">
        <v>1</v>
      </c>
      <c r="J577" s="10"/>
      <c r="K577" s="10"/>
      <c r="L577" s="10">
        <v>1</v>
      </c>
      <c r="O577" t="s">
        <v>496</v>
      </c>
      <c r="P577">
        <v>1</v>
      </c>
      <c r="Q577">
        <f t="shared" si="32"/>
        <v>6</v>
      </c>
      <c r="R577">
        <f t="shared" si="33"/>
        <v>6.2155775398998981E-4</v>
      </c>
      <c r="S577">
        <f t="shared" si="35"/>
        <v>0.87533978494409492</v>
      </c>
      <c r="T577" t="str">
        <f t="shared" si="34"/>
        <v>B</v>
      </c>
      <c r="V577" t="s">
        <v>496</v>
      </c>
      <c r="W577" t="s">
        <v>1245</v>
      </c>
    </row>
    <row r="578" spans="1:23" x14ac:dyDescent="0.25">
      <c r="A578" s="17">
        <v>44775</v>
      </c>
      <c r="B578" s="1" t="s">
        <v>658</v>
      </c>
      <c r="C578" s="1">
        <v>1</v>
      </c>
      <c r="F578" s="9" t="s">
        <v>149</v>
      </c>
      <c r="G578" s="10">
        <v>1</v>
      </c>
      <c r="H578" s="10"/>
      <c r="I578" s="10"/>
      <c r="J578" s="10"/>
      <c r="K578" s="10"/>
      <c r="L578" s="10">
        <v>1</v>
      </c>
      <c r="O578" t="s">
        <v>490</v>
      </c>
      <c r="P578">
        <v>1</v>
      </c>
      <c r="Q578">
        <f t="shared" si="32"/>
        <v>6</v>
      </c>
      <c r="R578">
        <f t="shared" si="33"/>
        <v>6.2155775398998981E-4</v>
      </c>
      <c r="S578">
        <f t="shared" si="35"/>
        <v>0.8759613426980849</v>
      </c>
      <c r="T578" t="str">
        <f t="shared" si="34"/>
        <v>B</v>
      </c>
      <c r="V578" t="s">
        <v>490</v>
      </c>
      <c r="W578" t="s">
        <v>1245</v>
      </c>
    </row>
    <row r="579" spans="1:23" x14ac:dyDescent="0.25">
      <c r="A579" s="17">
        <v>44775</v>
      </c>
      <c r="B579" s="1" t="s">
        <v>135</v>
      </c>
      <c r="C579" s="1">
        <v>1</v>
      </c>
      <c r="F579" s="9" t="s">
        <v>511</v>
      </c>
      <c r="G579" s="10"/>
      <c r="H579" s="10">
        <v>1</v>
      </c>
      <c r="I579" s="10"/>
      <c r="J579" s="10"/>
      <c r="K579" s="10"/>
      <c r="L579" s="10">
        <v>1</v>
      </c>
      <c r="O579" t="s">
        <v>907</v>
      </c>
      <c r="P579">
        <v>1</v>
      </c>
      <c r="Q579">
        <f t="shared" si="32"/>
        <v>6</v>
      </c>
      <c r="R579">
        <f t="shared" si="33"/>
        <v>6.2155775398998981E-4</v>
      </c>
      <c r="S579">
        <f t="shared" si="35"/>
        <v>0.87658290045207488</v>
      </c>
      <c r="T579" t="str">
        <f t="shared" si="34"/>
        <v>B</v>
      </c>
      <c r="V579" t="s">
        <v>907</v>
      </c>
      <c r="W579" t="s">
        <v>1245</v>
      </c>
    </row>
    <row r="580" spans="1:23" x14ac:dyDescent="0.25">
      <c r="A580" s="17">
        <v>44775</v>
      </c>
      <c r="B580" s="1" t="s">
        <v>660</v>
      </c>
      <c r="C580" s="1">
        <v>1</v>
      </c>
      <c r="F580" s="9" t="s">
        <v>1140</v>
      </c>
      <c r="G580" s="10"/>
      <c r="H580" s="10"/>
      <c r="I580" s="10"/>
      <c r="J580" s="10"/>
      <c r="K580" s="10">
        <v>13</v>
      </c>
      <c r="L580" s="10">
        <v>13</v>
      </c>
      <c r="O580" t="s">
        <v>922</v>
      </c>
      <c r="P580">
        <v>1</v>
      </c>
      <c r="Q580">
        <f t="shared" si="32"/>
        <v>6</v>
      </c>
      <c r="R580">
        <f t="shared" si="33"/>
        <v>6.2155775398998981E-4</v>
      </c>
      <c r="S580">
        <f t="shared" si="35"/>
        <v>0.87720445820606485</v>
      </c>
      <c r="T580" t="str">
        <f t="shared" si="34"/>
        <v>B</v>
      </c>
      <c r="V580" t="s">
        <v>922</v>
      </c>
      <c r="W580" t="s">
        <v>1245</v>
      </c>
    </row>
    <row r="581" spans="1:23" x14ac:dyDescent="0.25">
      <c r="A581" s="17">
        <v>44775</v>
      </c>
      <c r="B581" s="1" t="s">
        <v>662</v>
      </c>
      <c r="C581" s="1">
        <v>7.1428400000000003E-2</v>
      </c>
      <c r="F581" s="9" t="s">
        <v>1098</v>
      </c>
      <c r="G581" s="10"/>
      <c r="H581" s="10"/>
      <c r="I581" s="10"/>
      <c r="J581" s="10"/>
      <c r="K581" s="10">
        <v>2</v>
      </c>
      <c r="L581" s="10">
        <v>2</v>
      </c>
      <c r="O581" t="s">
        <v>272</v>
      </c>
      <c r="P581">
        <v>1</v>
      </c>
      <c r="Q581">
        <f t="shared" ref="Q581:Q644" si="36">(P581/5)*30</f>
        <v>6</v>
      </c>
      <c r="R581">
        <f t="shared" ref="R581:R644" si="37">Q581/SUM($Q$4:$Q$806)</f>
        <v>6.2155775398998981E-4</v>
      </c>
      <c r="S581">
        <f t="shared" si="35"/>
        <v>0.87782601596005483</v>
      </c>
      <c r="T581" t="str">
        <f t="shared" ref="T581:T644" si="38">IF(S581&lt;0.8,"A", IF(S581&lt;0.95,"B","C"))</f>
        <v>B</v>
      </c>
      <c r="V581" t="s">
        <v>272</v>
      </c>
      <c r="W581" t="s">
        <v>1245</v>
      </c>
    </row>
    <row r="582" spans="1:23" x14ac:dyDescent="0.25">
      <c r="A582" s="17">
        <v>44775</v>
      </c>
      <c r="B582" s="1" t="s">
        <v>664</v>
      </c>
      <c r="C582" s="1">
        <v>1</v>
      </c>
      <c r="F582" s="9" t="s">
        <v>161</v>
      </c>
      <c r="G582" s="10">
        <v>1</v>
      </c>
      <c r="H582" s="10"/>
      <c r="I582" s="10"/>
      <c r="J582" s="10"/>
      <c r="K582" s="10"/>
      <c r="L582" s="10">
        <v>1</v>
      </c>
      <c r="O582" t="s">
        <v>600</v>
      </c>
      <c r="P582">
        <v>1</v>
      </c>
      <c r="Q582">
        <f t="shared" si="36"/>
        <v>6</v>
      </c>
      <c r="R582">
        <f t="shared" si="37"/>
        <v>6.2155775398998981E-4</v>
      </c>
      <c r="S582">
        <f t="shared" ref="S582:S645" si="39">R582+S581</f>
        <v>0.8784475737140448</v>
      </c>
      <c r="T582" t="str">
        <f t="shared" si="38"/>
        <v>B</v>
      </c>
      <c r="V582" t="s">
        <v>600</v>
      </c>
      <c r="W582" t="s">
        <v>1245</v>
      </c>
    </row>
    <row r="583" spans="1:23" x14ac:dyDescent="0.25">
      <c r="A583" s="17">
        <v>44775</v>
      </c>
      <c r="B583" s="1" t="s">
        <v>251</v>
      </c>
      <c r="C583" s="1">
        <v>1</v>
      </c>
      <c r="F583" s="9" t="s">
        <v>876</v>
      </c>
      <c r="G583" s="10"/>
      <c r="H583" s="10"/>
      <c r="I583" s="10">
        <v>0.1</v>
      </c>
      <c r="J583" s="10"/>
      <c r="K583" s="10"/>
      <c r="L583" s="10">
        <v>0.1</v>
      </c>
      <c r="O583" t="s">
        <v>1046</v>
      </c>
      <c r="P583">
        <v>1</v>
      </c>
      <c r="Q583">
        <f t="shared" si="36"/>
        <v>6</v>
      </c>
      <c r="R583">
        <f t="shared" si="37"/>
        <v>6.2155775398998981E-4</v>
      </c>
      <c r="S583">
        <f t="shared" si="39"/>
        <v>0.87906913146803478</v>
      </c>
      <c r="T583" t="str">
        <f t="shared" si="38"/>
        <v>B</v>
      </c>
      <c r="V583" t="s">
        <v>1046</v>
      </c>
      <c r="W583" t="s">
        <v>1245</v>
      </c>
    </row>
    <row r="584" spans="1:23" x14ac:dyDescent="0.25">
      <c r="A584" s="17">
        <v>44775</v>
      </c>
      <c r="B584" s="1" t="s">
        <v>248</v>
      </c>
      <c r="C584" s="1">
        <v>1</v>
      </c>
      <c r="F584" s="9" t="s">
        <v>1082</v>
      </c>
      <c r="G584" s="10"/>
      <c r="H584" s="10"/>
      <c r="I584" s="10"/>
      <c r="J584" s="10"/>
      <c r="K584" s="10">
        <v>0.33333332999999998</v>
      </c>
      <c r="L584" s="10">
        <v>0.33333332999999998</v>
      </c>
      <c r="O584" t="s">
        <v>445</v>
      </c>
      <c r="P584">
        <v>1</v>
      </c>
      <c r="Q584">
        <f t="shared" si="36"/>
        <v>6</v>
      </c>
      <c r="R584">
        <f t="shared" si="37"/>
        <v>6.2155775398998981E-4</v>
      </c>
      <c r="S584">
        <f t="shared" si="39"/>
        <v>0.87969068922202476</v>
      </c>
      <c r="T584" t="str">
        <f t="shared" si="38"/>
        <v>B</v>
      </c>
      <c r="V584" t="s">
        <v>445</v>
      </c>
      <c r="W584" t="s">
        <v>1245</v>
      </c>
    </row>
    <row r="585" spans="1:23" x14ac:dyDescent="0.25">
      <c r="A585" s="17">
        <v>44775</v>
      </c>
      <c r="B585" s="1" t="s">
        <v>248</v>
      </c>
      <c r="C585" s="1">
        <v>1</v>
      </c>
      <c r="F585" s="9" t="s">
        <v>889</v>
      </c>
      <c r="G585" s="10"/>
      <c r="H585" s="10"/>
      <c r="I585" s="10">
        <v>1</v>
      </c>
      <c r="J585" s="10"/>
      <c r="K585" s="10"/>
      <c r="L585" s="10">
        <v>1</v>
      </c>
      <c r="O585" t="s">
        <v>535</v>
      </c>
      <c r="P585">
        <v>1</v>
      </c>
      <c r="Q585">
        <f t="shared" si="36"/>
        <v>6</v>
      </c>
      <c r="R585">
        <f t="shared" si="37"/>
        <v>6.2155775398998981E-4</v>
      </c>
      <c r="S585">
        <f t="shared" si="39"/>
        <v>0.88031224697601473</v>
      </c>
      <c r="T585" t="str">
        <f t="shared" si="38"/>
        <v>B</v>
      </c>
      <c r="V585" t="s">
        <v>535</v>
      </c>
      <c r="W585" t="s">
        <v>1245</v>
      </c>
    </row>
    <row r="586" spans="1:23" x14ac:dyDescent="0.25">
      <c r="A586" s="17">
        <v>44775</v>
      </c>
      <c r="B586" s="1" t="s">
        <v>514</v>
      </c>
      <c r="C586" s="1">
        <v>1</v>
      </c>
      <c r="F586" s="9" t="s">
        <v>1172</v>
      </c>
      <c r="G586" s="10"/>
      <c r="H586" s="10"/>
      <c r="I586" s="10"/>
      <c r="J586" s="10"/>
      <c r="K586" s="10">
        <v>2</v>
      </c>
      <c r="L586" s="10">
        <v>2</v>
      </c>
      <c r="O586" t="s">
        <v>1191</v>
      </c>
      <c r="P586">
        <v>1</v>
      </c>
      <c r="Q586">
        <f t="shared" si="36"/>
        <v>6</v>
      </c>
      <c r="R586">
        <f t="shared" si="37"/>
        <v>6.2155775398998981E-4</v>
      </c>
      <c r="S586">
        <f t="shared" si="39"/>
        <v>0.88093380473000471</v>
      </c>
      <c r="T586" t="str">
        <f t="shared" si="38"/>
        <v>B</v>
      </c>
      <c r="V586" t="s">
        <v>1191</v>
      </c>
      <c r="W586" t="s">
        <v>1245</v>
      </c>
    </row>
    <row r="587" spans="1:23" x14ac:dyDescent="0.25">
      <c r="A587" s="17">
        <v>44775</v>
      </c>
      <c r="B587" s="1" t="s">
        <v>328</v>
      </c>
      <c r="C587" s="1">
        <v>0.1071429</v>
      </c>
      <c r="F587" s="9" t="s">
        <v>409</v>
      </c>
      <c r="G587" s="10">
        <v>1</v>
      </c>
      <c r="H587" s="10"/>
      <c r="I587" s="10"/>
      <c r="J587" s="10"/>
      <c r="K587" s="10"/>
      <c r="L587" s="10">
        <v>1</v>
      </c>
      <c r="O587" t="s">
        <v>188</v>
      </c>
      <c r="P587">
        <v>1</v>
      </c>
      <c r="Q587">
        <f t="shared" si="36"/>
        <v>6</v>
      </c>
      <c r="R587">
        <f t="shared" si="37"/>
        <v>6.2155775398998981E-4</v>
      </c>
      <c r="S587">
        <f t="shared" si="39"/>
        <v>0.88155536248399469</v>
      </c>
      <c r="T587" t="str">
        <f t="shared" si="38"/>
        <v>B</v>
      </c>
      <c r="V587" t="s">
        <v>188</v>
      </c>
      <c r="W587" t="s">
        <v>1245</v>
      </c>
    </row>
    <row r="588" spans="1:23" x14ac:dyDescent="0.25">
      <c r="A588" s="17">
        <v>44775</v>
      </c>
      <c r="B588" s="1" t="s">
        <v>382</v>
      </c>
      <c r="C588" s="1">
        <v>1</v>
      </c>
      <c r="F588" s="9" t="s">
        <v>1129</v>
      </c>
      <c r="G588" s="10"/>
      <c r="H588" s="10"/>
      <c r="I588" s="10"/>
      <c r="J588" s="10"/>
      <c r="K588" s="10">
        <v>1</v>
      </c>
      <c r="L588" s="10">
        <v>1</v>
      </c>
      <c r="O588" t="s">
        <v>570</v>
      </c>
      <c r="P588">
        <v>1</v>
      </c>
      <c r="Q588">
        <f t="shared" si="36"/>
        <v>6</v>
      </c>
      <c r="R588">
        <f t="shared" si="37"/>
        <v>6.2155775398998981E-4</v>
      </c>
      <c r="S588">
        <f t="shared" si="39"/>
        <v>0.88217692023798466</v>
      </c>
      <c r="T588" t="str">
        <f t="shared" si="38"/>
        <v>B</v>
      </c>
      <c r="V588" t="s">
        <v>570</v>
      </c>
      <c r="W588" t="s">
        <v>1245</v>
      </c>
    </row>
    <row r="589" spans="1:23" x14ac:dyDescent="0.25">
      <c r="A589" s="17">
        <v>44775</v>
      </c>
      <c r="B589" s="1" t="s">
        <v>666</v>
      </c>
      <c r="C589" s="1">
        <v>1</v>
      </c>
      <c r="F589" s="9" t="s">
        <v>627</v>
      </c>
      <c r="G589" s="10"/>
      <c r="H589" s="10">
        <v>1</v>
      </c>
      <c r="I589" s="10"/>
      <c r="J589" s="10"/>
      <c r="K589" s="10"/>
      <c r="L589" s="10">
        <v>1</v>
      </c>
      <c r="O589" t="s">
        <v>1064</v>
      </c>
      <c r="P589">
        <v>1</v>
      </c>
      <c r="Q589">
        <f t="shared" si="36"/>
        <v>6</v>
      </c>
      <c r="R589">
        <f t="shared" si="37"/>
        <v>6.2155775398998981E-4</v>
      </c>
      <c r="S589">
        <f t="shared" si="39"/>
        <v>0.88279847799197464</v>
      </c>
      <c r="T589" t="str">
        <f t="shared" si="38"/>
        <v>B</v>
      </c>
      <c r="V589" t="s">
        <v>1064</v>
      </c>
      <c r="W589" t="s">
        <v>1245</v>
      </c>
    </row>
    <row r="590" spans="1:23" x14ac:dyDescent="0.25">
      <c r="A590" s="17">
        <v>44775</v>
      </c>
      <c r="B590" s="1" t="s">
        <v>667</v>
      </c>
      <c r="C590" s="1">
        <v>1</v>
      </c>
      <c r="F590" s="9" t="s">
        <v>1206</v>
      </c>
      <c r="G590" s="10"/>
      <c r="H590" s="10"/>
      <c r="I590" s="10"/>
      <c r="J590" s="10"/>
      <c r="K590" s="10">
        <v>1</v>
      </c>
      <c r="L590" s="10">
        <v>1</v>
      </c>
      <c r="O590" t="s">
        <v>948</v>
      </c>
      <c r="P590">
        <v>1</v>
      </c>
      <c r="Q590">
        <f t="shared" si="36"/>
        <v>6</v>
      </c>
      <c r="R590">
        <f t="shared" si="37"/>
        <v>6.2155775398998981E-4</v>
      </c>
      <c r="S590">
        <f t="shared" si="39"/>
        <v>0.88342003574596462</v>
      </c>
      <c r="T590" t="str">
        <f t="shared" si="38"/>
        <v>B</v>
      </c>
      <c r="V590" t="s">
        <v>948</v>
      </c>
      <c r="W590" t="s">
        <v>1245</v>
      </c>
    </row>
    <row r="591" spans="1:23" x14ac:dyDescent="0.25">
      <c r="A591" s="17">
        <v>44775</v>
      </c>
      <c r="B591" s="1" t="s">
        <v>667</v>
      </c>
      <c r="C591" s="1">
        <v>1</v>
      </c>
      <c r="F591" s="9" t="s">
        <v>587</v>
      </c>
      <c r="G591" s="10"/>
      <c r="H591" s="10">
        <v>3</v>
      </c>
      <c r="I591" s="10"/>
      <c r="J591" s="10"/>
      <c r="K591" s="10"/>
      <c r="L591" s="10">
        <v>3</v>
      </c>
      <c r="O591" t="s">
        <v>1080</v>
      </c>
      <c r="P591">
        <v>1</v>
      </c>
      <c r="Q591">
        <f t="shared" si="36"/>
        <v>6</v>
      </c>
      <c r="R591">
        <f t="shared" si="37"/>
        <v>6.2155775398998981E-4</v>
      </c>
      <c r="S591">
        <f t="shared" si="39"/>
        <v>0.88404159349995459</v>
      </c>
      <c r="T591" t="str">
        <f t="shared" si="38"/>
        <v>B</v>
      </c>
      <c r="V591" t="s">
        <v>1080</v>
      </c>
      <c r="W591" t="s">
        <v>1245</v>
      </c>
    </row>
    <row r="592" spans="1:23" x14ac:dyDescent="0.25">
      <c r="A592" s="17">
        <v>44775</v>
      </c>
      <c r="B592" s="1" t="s">
        <v>667</v>
      </c>
      <c r="C592" s="1">
        <v>1</v>
      </c>
      <c r="F592" s="9" t="s">
        <v>1017</v>
      </c>
      <c r="G592" s="10"/>
      <c r="H592" s="10"/>
      <c r="I592" s="10"/>
      <c r="J592" s="10">
        <v>2</v>
      </c>
      <c r="K592" s="10"/>
      <c r="L592" s="10">
        <v>2</v>
      </c>
      <c r="O592" t="s">
        <v>363</v>
      </c>
      <c r="P592">
        <v>1</v>
      </c>
      <c r="Q592">
        <f t="shared" si="36"/>
        <v>6</v>
      </c>
      <c r="R592">
        <f t="shared" si="37"/>
        <v>6.2155775398998981E-4</v>
      </c>
      <c r="S592">
        <f t="shared" si="39"/>
        <v>0.88466315125394457</v>
      </c>
      <c r="T592" t="str">
        <f t="shared" si="38"/>
        <v>B</v>
      </c>
      <c r="V592" t="s">
        <v>363</v>
      </c>
      <c r="W592" t="s">
        <v>1245</v>
      </c>
    </row>
    <row r="593" spans="1:23" x14ac:dyDescent="0.25">
      <c r="A593" s="17">
        <v>44775</v>
      </c>
      <c r="B593" s="1" t="s">
        <v>667</v>
      </c>
      <c r="C593" s="1">
        <v>1</v>
      </c>
      <c r="F593" s="9" t="s">
        <v>760</v>
      </c>
      <c r="G593" s="10"/>
      <c r="H593" s="10"/>
      <c r="I593" s="10">
        <v>0.66666667000000002</v>
      </c>
      <c r="J593" s="10">
        <v>0.33333332999999998</v>
      </c>
      <c r="K593" s="10"/>
      <c r="L593" s="10">
        <v>1</v>
      </c>
      <c r="O593" t="s">
        <v>738</v>
      </c>
      <c r="P593">
        <v>1</v>
      </c>
      <c r="Q593">
        <f t="shared" si="36"/>
        <v>6</v>
      </c>
      <c r="R593">
        <f t="shared" si="37"/>
        <v>6.2155775398998981E-4</v>
      </c>
      <c r="S593">
        <f t="shared" si="39"/>
        <v>0.88528470900793454</v>
      </c>
      <c r="T593" t="str">
        <f t="shared" si="38"/>
        <v>B</v>
      </c>
      <c r="V593" t="s">
        <v>738</v>
      </c>
      <c r="W593" t="s">
        <v>1245</v>
      </c>
    </row>
    <row r="594" spans="1:23" x14ac:dyDescent="0.25">
      <c r="A594" s="17">
        <v>44775</v>
      </c>
      <c r="B594" s="1" t="s">
        <v>667</v>
      </c>
      <c r="C594" s="1">
        <v>1</v>
      </c>
      <c r="F594" s="9" t="s">
        <v>1091</v>
      </c>
      <c r="G594" s="10"/>
      <c r="H594" s="10"/>
      <c r="I594" s="10"/>
      <c r="J594" s="10"/>
      <c r="K594" s="10">
        <v>1</v>
      </c>
      <c r="L594" s="10">
        <v>1</v>
      </c>
      <c r="O594" t="s">
        <v>186</v>
      </c>
      <c r="P594">
        <v>1</v>
      </c>
      <c r="Q594">
        <f t="shared" si="36"/>
        <v>6</v>
      </c>
      <c r="R594">
        <f t="shared" si="37"/>
        <v>6.2155775398998981E-4</v>
      </c>
      <c r="S594">
        <f t="shared" si="39"/>
        <v>0.88590626676192452</v>
      </c>
      <c r="T594" t="str">
        <f t="shared" si="38"/>
        <v>B</v>
      </c>
      <c r="V594" t="s">
        <v>186</v>
      </c>
      <c r="W594" t="s">
        <v>1245</v>
      </c>
    </row>
    <row r="595" spans="1:23" x14ac:dyDescent="0.25">
      <c r="A595" s="17">
        <v>44775</v>
      </c>
      <c r="B595" s="1" t="s">
        <v>668</v>
      </c>
      <c r="C595" s="1">
        <v>1</v>
      </c>
      <c r="F595" s="9" t="s">
        <v>692</v>
      </c>
      <c r="G595" s="10"/>
      <c r="H595" s="10">
        <v>1</v>
      </c>
      <c r="I595" s="10"/>
      <c r="J595" s="10"/>
      <c r="K595" s="10"/>
      <c r="L595" s="10">
        <v>1</v>
      </c>
      <c r="O595" t="s">
        <v>202</v>
      </c>
      <c r="P595">
        <v>1</v>
      </c>
      <c r="Q595">
        <f t="shared" si="36"/>
        <v>6</v>
      </c>
      <c r="R595">
        <f t="shared" si="37"/>
        <v>6.2155775398998981E-4</v>
      </c>
      <c r="S595">
        <f t="shared" si="39"/>
        <v>0.8865278245159145</v>
      </c>
      <c r="T595" t="str">
        <f t="shared" si="38"/>
        <v>B</v>
      </c>
      <c r="V595" t="s">
        <v>202</v>
      </c>
      <c r="W595" t="s">
        <v>1245</v>
      </c>
    </row>
    <row r="596" spans="1:23" x14ac:dyDescent="0.25">
      <c r="A596" s="17">
        <v>44775</v>
      </c>
      <c r="B596" s="1" t="s">
        <v>548</v>
      </c>
      <c r="C596" s="1">
        <v>1</v>
      </c>
      <c r="F596" s="9" t="s">
        <v>52</v>
      </c>
      <c r="G596" s="10">
        <v>2</v>
      </c>
      <c r="H596" s="10">
        <v>1</v>
      </c>
      <c r="I596" s="10"/>
      <c r="J596" s="10"/>
      <c r="K596" s="10"/>
      <c r="L596" s="10">
        <v>3</v>
      </c>
      <c r="O596" t="s">
        <v>1067</v>
      </c>
      <c r="P596">
        <v>1</v>
      </c>
      <c r="Q596">
        <f t="shared" si="36"/>
        <v>6</v>
      </c>
      <c r="R596">
        <f t="shared" si="37"/>
        <v>6.2155775398998981E-4</v>
      </c>
      <c r="S596">
        <f t="shared" si="39"/>
        <v>0.88714938226990447</v>
      </c>
      <c r="T596" t="str">
        <f t="shared" si="38"/>
        <v>B</v>
      </c>
      <c r="V596" t="s">
        <v>1067</v>
      </c>
      <c r="W596" t="s">
        <v>1245</v>
      </c>
    </row>
    <row r="597" spans="1:23" x14ac:dyDescent="0.25">
      <c r="A597" s="17">
        <v>44775</v>
      </c>
      <c r="B597" s="1" t="s">
        <v>195</v>
      </c>
      <c r="C597" s="1">
        <v>1</v>
      </c>
      <c r="F597" s="9" t="s">
        <v>614</v>
      </c>
      <c r="G597" s="10"/>
      <c r="H597" s="10">
        <v>2</v>
      </c>
      <c r="I597" s="10"/>
      <c r="J597" s="10"/>
      <c r="K597" s="10">
        <v>1</v>
      </c>
      <c r="L597" s="10">
        <v>3</v>
      </c>
      <c r="O597" t="s">
        <v>645</v>
      </c>
      <c r="P597">
        <v>1</v>
      </c>
      <c r="Q597">
        <f t="shared" si="36"/>
        <v>6</v>
      </c>
      <c r="R597">
        <f t="shared" si="37"/>
        <v>6.2155775398998981E-4</v>
      </c>
      <c r="S597">
        <f t="shared" si="39"/>
        <v>0.88777094002389445</v>
      </c>
      <c r="T597" t="str">
        <f t="shared" si="38"/>
        <v>B</v>
      </c>
      <c r="V597" t="s">
        <v>645</v>
      </c>
      <c r="W597" t="s">
        <v>1245</v>
      </c>
    </row>
    <row r="598" spans="1:23" x14ac:dyDescent="0.25">
      <c r="A598" s="17">
        <v>44775</v>
      </c>
      <c r="B598" s="1" t="s">
        <v>670</v>
      </c>
      <c r="C598" s="1">
        <v>1</v>
      </c>
      <c r="F598" s="9" t="s">
        <v>875</v>
      </c>
      <c r="G598" s="10"/>
      <c r="H598" s="10"/>
      <c r="I598" s="10">
        <v>1</v>
      </c>
      <c r="J598" s="10"/>
      <c r="K598" s="10"/>
      <c r="L598" s="10">
        <v>1</v>
      </c>
      <c r="O598" t="s">
        <v>204</v>
      </c>
      <c r="P598">
        <v>1</v>
      </c>
      <c r="Q598">
        <f t="shared" si="36"/>
        <v>6</v>
      </c>
      <c r="R598">
        <f t="shared" si="37"/>
        <v>6.2155775398998981E-4</v>
      </c>
      <c r="S598">
        <f t="shared" si="39"/>
        <v>0.88839249777788443</v>
      </c>
      <c r="T598" t="str">
        <f t="shared" si="38"/>
        <v>B</v>
      </c>
      <c r="V598" t="s">
        <v>204</v>
      </c>
      <c r="W598" t="s">
        <v>1245</v>
      </c>
    </row>
    <row r="599" spans="1:23" x14ac:dyDescent="0.25">
      <c r="A599" s="17">
        <v>44775</v>
      </c>
      <c r="B599" s="1" t="s">
        <v>671</v>
      </c>
      <c r="C599" s="1">
        <v>1</v>
      </c>
      <c r="F599" s="9" t="s">
        <v>673</v>
      </c>
      <c r="G599" s="10"/>
      <c r="H599" s="10">
        <v>1</v>
      </c>
      <c r="I599" s="10">
        <v>2</v>
      </c>
      <c r="J599" s="10"/>
      <c r="K599" s="10"/>
      <c r="L599" s="10">
        <v>3</v>
      </c>
      <c r="O599" t="s">
        <v>1208</v>
      </c>
      <c r="P599">
        <v>1</v>
      </c>
      <c r="Q599">
        <f t="shared" si="36"/>
        <v>6</v>
      </c>
      <c r="R599">
        <f t="shared" si="37"/>
        <v>6.2155775398998981E-4</v>
      </c>
      <c r="S599">
        <f t="shared" si="39"/>
        <v>0.8890140555318744</v>
      </c>
      <c r="T599" t="str">
        <f t="shared" si="38"/>
        <v>B</v>
      </c>
      <c r="V599" t="s">
        <v>1208</v>
      </c>
      <c r="W599" t="s">
        <v>1245</v>
      </c>
    </row>
    <row r="600" spans="1:23" x14ac:dyDescent="0.25">
      <c r="A600" s="17">
        <v>44775</v>
      </c>
      <c r="B600" s="1" t="s">
        <v>672</v>
      </c>
      <c r="C600" s="1">
        <v>1</v>
      </c>
      <c r="F600" s="9" t="s">
        <v>278</v>
      </c>
      <c r="G600" s="10">
        <v>1</v>
      </c>
      <c r="H600" s="10"/>
      <c r="I600" s="10"/>
      <c r="J600" s="10">
        <v>1</v>
      </c>
      <c r="K600" s="10">
        <v>1</v>
      </c>
      <c r="L600" s="10">
        <v>3</v>
      </c>
      <c r="O600" t="s">
        <v>350</v>
      </c>
      <c r="P600">
        <v>1</v>
      </c>
      <c r="Q600">
        <f t="shared" si="36"/>
        <v>6</v>
      </c>
      <c r="R600">
        <f t="shared" si="37"/>
        <v>6.2155775398998981E-4</v>
      </c>
      <c r="S600">
        <f t="shared" si="39"/>
        <v>0.88963561328586438</v>
      </c>
      <c r="T600" t="str">
        <f t="shared" si="38"/>
        <v>B</v>
      </c>
      <c r="V600" t="s">
        <v>350</v>
      </c>
      <c r="W600" t="s">
        <v>1245</v>
      </c>
    </row>
    <row r="601" spans="1:23" x14ac:dyDescent="0.25">
      <c r="A601" s="17">
        <v>44775</v>
      </c>
      <c r="B601" s="1" t="s">
        <v>673</v>
      </c>
      <c r="C601" s="1">
        <v>1</v>
      </c>
      <c r="F601" s="9" t="s">
        <v>131</v>
      </c>
      <c r="G601" s="10">
        <v>1</v>
      </c>
      <c r="H601" s="10"/>
      <c r="I601" s="10"/>
      <c r="J601" s="10"/>
      <c r="K601" s="10"/>
      <c r="L601" s="10">
        <v>1</v>
      </c>
      <c r="O601" t="s">
        <v>1122</v>
      </c>
      <c r="P601">
        <v>1</v>
      </c>
      <c r="Q601">
        <f t="shared" si="36"/>
        <v>6</v>
      </c>
      <c r="R601">
        <f t="shared" si="37"/>
        <v>6.2155775398998981E-4</v>
      </c>
      <c r="S601">
        <f t="shared" si="39"/>
        <v>0.89025717103985436</v>
      </c>
      <c r="T601" t="str">
        <f t="shared" si="38"/>
        <v>B</v>
      </c>
      <c r="V601" t="s">
        <v>1122</v>
      </c>
      <c r="W601" t="s">
        <v>1245</v>
      </c>
    </row>
    <row r="602" spans="1:23" x14ac:dyDescent="0.25">
      <c r="A602" s="17">
        <v>44775</v>
      </c>
      <c r="B602" s="1" t="s">
        <v>674</v>
      </c>
      <c r="C602" s="1">
        <v>1</v>
      </c>
      <c r="F602" s="9" t="s">
        <v>1217</v>
      </c>
      <c r="G602" s="10"/>
      <c r="H602" s="10"/>
      <c r="I602" s="10"/>
      <c r="J602" s="10"/>
      <c r="K602" s="10">
        <v>0.33333333999999998</v>
      </c>
      <c r="L602" s="10">
        <v>0.33333333999999998</v>
      </c>
      <c r="O602" t="s">
        <v>1144</v>
      </c>
      <c r="P602">
        <v>1</v>
      </c>
      <c r="Q602">
        <f t="shared" si="36"/>
        <v>6</v>
      </c>
      <c r="R602">
        <f t="shared" si="37"/>
        <v>6.2155775398998981E-4</v>
      </c>
      <c r="S602">
        <f t="shared" si="39"/>
        <v>0.89087872879384433</v>
      </c>
      <c r="T602" t="str">
        <f t="shared" si="38"/>
        <v>B</v>
      </c>
      <c r="V602" t="s">
        <v>1144</v>
      </c>
      <c r="W602" t="s">
        <v>1245</v>
      </c>
    </row>
    <row r="603" spans="1:23" x14ac:dyDescent="0.25">
      <c r="A603" s="17">
        <v>44775</v>
      </c>
      <c r="B603" s="1" t="s">
        <v>675</v>
      </c>
      <c r="C603" s="1">
        <v>1</v>
      </c>
      <c r="F603" s="9" t="s">
        <v>813</v>
      </c>
      <c r="G603" s="10"/>
      <c r="H603" s="10"/>
      <c r="I603" s="10">
        <v>1</v>
      </c>
      <c r="J603" s="10"/>
      <c r="K603" s="10"/>
      <c r="L603" s="10">
        <v>1</v>
      </c>
      <c r="O603" t="s">
        <v>987</v>
      </c>
      <c r="P603">
        <v>1</v>
      </c>
      <c r="Q603">
        <f t="shared" si="36"/>
        <v>6</v>
      </c>
      <c r="R603">
        <f t="shared" si="37"/>
        <v>6.2155775398998981E-4</v>
      </c>
      <c r="S603">
        <f t="shared" si="39"/>
        <v>0.89150028654783431</v>
      </c>
      <c r="T603" t="str">
        <f t="shared" si="38"/>
        <v>B</v>
      </c>
      <c r="V603" t="s">
        <v>987</v>
      </c>
      <c r="W603" t="s">
        <v>1245</v>
      </c>
    </row>
    <row r="604" spans="1:23" x14ac:dyDescent="0.25">
      <c r="A604" s="17">
        <v>44775</v>
      </c>
      <c r="B604" s="1" t="s">
        <v>677</v>
      </c>
      <c r="C604" s="1">
        <v>1</v>
      </c>
      <c r="F604" s="9" t="s">
        <v>1089</v>
      </c>
      <c r="G604" s="10"/>
      <c r="H604" s="10"/>
      <c r="I604" s="10"/>
      <c r="J604" s="10"/>
      <c r="K604" s="10">
        <v>1</v>
      </c>
      <c r="L604" s="10">
        <v>1</v>
      </c>
      <c r="O604" t="s">
        <v>1220</v>
      </c>
      <c r="P604">
        <v>1</v>
      </c>
      <c r="Q604">
        <f t="shared" si="36"/>
        <v>6</v>
      </c>
      <c r="R604">
        <f t="shared" si="37"/>
        <v>6.2155775398998981E-4</v>
      </c>
      <c r="S604">
        <f t="shared" si="39"/>
        <v>0.89212184430182428</v>
      </c>
      <c r="T604" t="str">
        <f t="shared" si="38"/>
        <v>B</v>
      </c>
      <c r="V604" t="s">
        <v>1220</v>
      </c>
      <c r="W604" t="s">
        <v>1245</v>
      </c>
    </row>
    <row r="605" spans="1:23" x14ac:dyDescent="0.25">
      <c r="A605" s="17">
        <v>44775</v>
      </c>
      <c r="B605" s="1" t="s">
        <v>678</v>
      </c>
      <c r="C605" s="1">
        <v>1</v>
      </c>
      <c r="F605" s="9" t="s">
        <v>146</v>
      </c>
      <c r="G605" s="10">
        <v>2</v>
      </c>
      <c r="H605" s="10"/>
      <c r="I605" s="10"/>
      <c r="J605" s="10">
        <v>1</v>
      </c>
      <c r="K605" s="10"/>
      <c r="L605" s="10">
        <v>3</v>
      </c>
      <c r="O605" t="s">
        <v>798</v>
      </c>
      <c r="P605">
        <v>1</v>
      </c>
      <c r="Q605">
        <f t="shared" si="36"/>
        <v>6</v>
      </c>
      <c r="R605">
        <f t="shared" si="37"/>
        <v>6.2155775398998981E-4</v>
      </c>
      <c r="S605">
        <f t="shared" si="39"/>
        <v>0.89274340205581426</v>
      </c>
      <c r="T605" t="str">
        <f t="shared" si="38"/>
        <v>B</v>
      </c>
      <c r="V605" t="s">
        <v>798</v>
      </c>
      <c r="W605" t="s">
        <v>1245</v>
      </c>
    </row>
    <row r="606" spans="1:23" x14ac:dyDescent="0.25">
      <c r="A606" s="17">
        <v>44775</v>
      </c>
      <c r="B606" s="1" t="s">
        <v>44</v>
      </c>
      <c r="C606" s="1">
        <v>2</v>
      </c>
      <c r="F606" s="9" t="s">
        <v>1007</v>
      </c>
      <c r="G606" s="10"/>
      <c r="H606" s="10"/>
      <c r="I606" s="10"/>
      <c r="J606" s="10">
        <v>1</v>
      </c>
      <c r="K606" s="10"/>
      <c r="L606" s="10">
        <v>1</v>
      </c>
      <c r="O606" t="s">
        <v>1158</v>
      </c>
      <c r="P606">
        <v>1</v>
      </c>
      <c r="Q606">
        <f t="shared" si="36"/>
        <v>6</v>
      </c>
      <c r="R606">
        <f t="shared" si="37"/>
        <v>6.2155775398998981E-4</v>
      </c>
      <c r="S606">
        <f t="shared" si="39"/>
        <v>0.89336495980980424</v>
      </c>
      <c r="T606" t="str">
        <f t="shared" si="38"/>
        <v>B</v>
      </c>
      <c r="V606" t="s">
        <v>1158</v>
      </c>
      <c r="W606" t="s">
        <v>1245</v>
      </c>
    </row>
    <row r="607" spans="1:23" x14ac:dyDescent="0.25">
      <c r="A607" s="17">
        <v>44775</v>
      </c>
      <c r="B607" s="1" t="s">
        <v>679</v>
      </c>
      <c r="C607" s="1">
        <v>0.33333332999999998</v>
      </c>
      <c r="F607" s="9" t="s">
        <v>268</v>
      </c>
      <c r="G607" s="10">
        <v>1</v>
      </c>
      <c r="H607" s="10"/>
      <c r="I607" s="10"/>
      <c r="J607" s="10"/>
      <c r="K607" s="10"/>
      <c r="L607" s="10">
        <v>1</v>
      </c>
      <c r="O607" t="s">
        <v>449</v>
      </c>
      <c r="P607">
        <v>1</v>
      </c>
      <c r="Q607">
        <f t="shared" si="36"/>
        <v>6</v>
      </c>
      <c r="R607">
        <f t="shared" si="37"/>
        <v>6.2155775398998981E-4</v>
      </c>
      <c r="S607">
        <f t="shared" si="39"/>
        <v>0.89398651756379421</v>
      </c>
      <c r="T607" t="str">
        <f t="shared" si="38"/>
        <v>B</v>
      </c>
      <c r="V607" t="s">
        <v>449</v>
      </c>
      <c r="W607" t="s">
        <v>1245</v>
      </c>
    </row>
    <row r="608" spans="1:23" x14ac:dyDescent="0.25">
      <c r="A608" s="17">
        <v>44775</v>
      </c>
      <c r="B608" s="1" t="s">
        <v>140</v>
      </c>
      <c r="C608" s="1">
        <v>1</v>
      </c>
      <c r="F608" s="9" t="s">
        <v>301</v>
      </c>
      <c r="G608" s="10">
        <v>1</v>
      </c>
      <c r="H608" s="10"/>
      <c r="I608" s="10"/>
      <c r="J608" s="10"/>
      <c r="K608" s="10">
        <v>2</v>
      </c>
      <c r="L608" s="10">
        <v>3</v>
      </c>
      <c r="O608" t="s">
        <v>1013</v>
      </c>
      <c r="P608">
        <v>1</v>
      </c>
      <c r="Q608">
        <f t="shared" si="36"/>
        <v>6</v>
      </c>
      <c r="R608">
        <f t="shared" si="37"/>
        <v>6.2155775398998981E-4</v>
      </c>
      <c r="S608">
        <f t="shared" si="39"/>
        <v>0.89460807531778419</v>
      </c>
      <c r="T608" t="str">
        <f t="shared" si="38"/>
        <v>B</v>
      </c>
      <c r="V608" t="s">
        <v>1013</v>
      </c>
      <c r="W608" t="s">
        <v>1245</v>
      </c>
    </row>
    <row r="609" spans="1:23" x14ac:dyDescent="0.25">
      <c r="A609" s="17">
        <v>44775</v>
      </c>
      <c r="B609" s="1" t="s">
        <v>265</v>
      </c>
      <c r="C609" s="1">
        <v>1</v>
      </c>
      <c r="F609" s="9" t="s">
        <v>965</v>
      </c>
      <c r="G609" s="10"/>
      <c r="H609" s="10"/>
      <c r="I609" s="10"/>
      <c r="J609" s="10">
        <v>1</v>
      </c>
      <c r="K609" s="10"/>
      <c r="L609" s="10">
        <v>1</v>
      </c>
      <c r="O609" t="s">
        <v>1014</v>
      </c>
      <c r="P609">
        <v>1</v>
      </c>
      <c r="Q609">
        <f t="shared" si="36"/>
        <v>6</v>
      </c>
      <c r="R609">
        <f t="shared" si="37"/>
        <v>6.2155775398998981E-4</v>
      </c>
      <c r="S609">
        <f t="shared" si="39"/>
        <v>0.89522963307177417</v>
      </c>
      <c r="T609" t="str">
        <f t="shared" si="38"/>
        <v>B</v>
      </c>
      <c r="V609" t="s">
        <v>1014</v>
      </c>
      <c r="W609" t="s">
        <v>1245</v>
      </c>
    </row>
    <row r="610" spans="1:23" x14ac:dyDescent="0.25">
      <c r="A610" s="17">
        <v>44775</v>
      </c>
      <c r="B610" s="1" t="s">
        <v>680</v>
      </c>
      <c r="C610" s="1">
        <v>1</v>
      </c>
      <c r="F610" s="9" t="s">
        <v>234</v>
      </c>
      <c r="G610" s="10">
        <v>2</v>
      </c>
      <c r="H610" s="10"/>
      <c r="I610" s="10"/>
      <c r="J610" s="10"/>
      <c r="K610" s="10">
        <v>1</v>
      </c>
      <c r="L610" s="10">
        <v>3</v>
      </c>
      <c r="O610" t="s">
        <v>129</v>
      </c>
      <c r="P610">
        <v>1</v>
      </c>
      <c r="Q610">
        <f t="shared" si="36"/>
        <v>6</v>
      </c>
      <c r="R610">
        <f t="shared" si="37"/>
        <v>6.2155775398998981E-4</v>
      </c>
      <c r="S610">
        <f t="shared" si="39"/>
        <v>0.89585119082576414</v>
      </c>
      <c r="T610" t="str">
        <f t="shared" si="38"/>
        <v>B</v>
      </c>
      <c r="V610" t="s">
        <v>129</v>
      </c>
      <c r="W610" t="s">
        <v>1245</v>
      </c>
    </row>
    <row r="611" spans="1:23" x14ac:dyDescent="0.25">
      <c r="A611" s="17">
        <v>44775</v>
      </c>
      <c r="B611" s="1" t="s">
        <v>681</v>
      </c>
      <c r="C611" s="1">
        <v>1</v>
      </c>
      <c r="F611" s="9" t="s">
        <v>264</v>
      </c>
      <c r="G611" s="10">
        <v>2</v>
      </c>
      <c r="H611" s="10"/>
      <c r="I611" s="10"/>
      <c r="J611" s="10"/>
      <c r="K611" s="10"/>
      <c r="L611" s="10">
        <v>2</v>
      </c>
      <c r="O611" t="s">
        <v>60</v>
      </c>
      <c r="P611">
        <v>1</v>
      </c>
      <c r="Q611">
        <f t="shared" si="36"/>
        <v>6</v>
      </c>
      <c r="R611">
        <f t="shared" si="37"/>
        <v>6.2155775398998981E-4</v>
      </c>
      <c r="S611">
        <f t="shared" si="39"/>
        <v>0.89647274857975412</v>
      </c>
      <c r="T611" t="str">
        <f t="shared" si="38"/>
        <v>B</v>
      </c>
      <c r="V611" t="s">
        <v>60</v>
      </c>
      <c r="W611" t="s">
        <v>1245</v>
      </c>
    </row>
    <row r="612" spans="1:23" x14ac:dyDescent="0.25">
      <c r="A612" s="17">
        <v>44775</v>
      </c>
      <c r="B612" s="1" t="s">
        <v>683</v>
      </c>
      <c r="C612" s="1">
        <v>1</v>
      </c>
      <c r="F612" s="9" t="s">
        <v>994</v>
      </c>
      <c r="G612" s="10"/>
      <c r="H612" s="10"/>
      <c r="I612" s="10"/>
      <c r="J612" s="10">
        <v>2</v>
      </c>
      <c r="K612" s="10"/>
      <c r="L612" s="10">
        <v>2</v>
      </c>
      <c r="O612" t="s">
        <v>698</v>
      </c>
      <c r="P612">
        <v>1</v>
      </c>
      <c r="Q612">
        <f t="shared" si="36"/>
        <v>6</v>
      </c>
      <c r="R612">
        <f t="shared" si="37"/>
        <v>6.2155775398998981E-4</v>
      </c>
      <c r="S612">
        <f t="shared" si="39"/>
        <v>0.8970943063337441</v>
      </c>
      <c r="T612" t="str">
        <f t="shared" si="38"/>
        <v>B</v>
      </c>
      <c r="V612" t="s">
        <v>698</v>
      </c>
      <c r="W612" t="s">
        <v>1245</v>
      </c>
    </row>
    <row r="613" spans="1:23" x14ac:dyDescent="0.25">
      <c r="A613" s="17">
        <v>44775</v>
      </c>
      <c r="B613" s="1" t="s">
        <v>684</v>
      </c>
      <c r="C613" s="1">
        <v>1</v>
      </c>
      <c r="F613" s="9" t="s">
        <v>403</v>
      </c>
      <c r="G613" s="10">
        <v>1</v>
      </c>
      <c r="H613" s="10"/>
      <c r="I613" s="10"/>
      <c r="J613" s="10"/>
      <c r="K613" s="10"/>
      <c r="L613" s="10">
        <v>1</v>
      </c>
      <c r="O613" t="s">
        <v>580</v>
      </c>
      <c r="P613">
        <v>1</v>
      </c>
      <c r="Q613">
        <f t="shared" si="36"/>
        <v>6</v>
      </c>
      <c r="R613">
        <f t="shared" si="37"/>
        <v>6.2155775398998981E-4</v>
      </c>
      <c r="S613">
        <f t="shared" si="39"/>
        <v>0.89771586408773407</v>
      </c>
      <c r="T613" t="str">
        <f t="shared" si="38"/>
        <v>B</v>
      </c>
      <c r="V613" t="s">
        <v>580</v>
      </c>
      <c r="W613" t="s">
        <v>1245</v>
      </c>
    </row>
    <row r="614" spans="1:23" x14ac:dyDescent="0.25">
      <c r="A614" s="17">
        <v>44775</v>
      </c>
      <c r="B614" s="1" t="s">
        <v>78</v>
      </c>
      <c r="C614" s="1">
        <v>1</v>
      </c>
      <c r="F614" s="9" t="s">
        <v>638</v>
      </c>
      <c r="G614" s="10"/>
      <c r="H614" s="10">
        <v>3</v>
      </c>
      <c r="I614" s="10"/>
      <c r="J614" s="10"/>
      <c r="K614" s="10"/>
      <c r="L614" s="10">
        <v>3</v>
      </c>
      <c r="O614" t="s">
        <v>1058</v>
      </c>
      <c r="P614">
        <v>1</v>
      </c>
      <c r="Q614">
        <f t="shared" si="36"/>
        <v>6</v>
      </c>
      <c r="R614">
        <f t="shared" si="37"/>
        <v>6.2155775398998981E-4</v>
      </c>
      <c r="S614">
        <f t="shared" si="39"/>
        <v>0.89833742184172405</v>
      </c>
      <c r="T614" t="str">
        <f t="shared" si="38"/>
        <v>B</v>
      </c>
      <c r="V614" t="s">
        <v>1058</v>
      </c>
      <c r="W614" t="s">
        <v>1245</v>
      </c>
    </row>
    <row r="615" spans="1:23" x14ac:dyDescent="0.25">
      <c r="A615" s="17">
        <v>44775</v>
      </c>
      <c r="B615" s="1" t="s">
        <v>304</v>
      </c>
      <c r="C615" s="1">
        <v>1</v>
      </c>
      <c r="F615" s="9" t="s">
        <v>262</v>
      </c>
      <c r="G615" s="10">
        <v>1</v>
      </c>
      <c r="H615" s="10"/>
      <c r="I615" s="10"/>
      <c r="J615" s="10"/>
      <c r="K615" s="10"/>
      <c r="L615" s="10">
        <v>1</v>
      </c>
      <c r="O615" t="s">
        <v>351</v>
      </c>
      <c r="P615">
        <v>1</v>
      </c>
      <c r="Q615">
        <f t="shared" si="36"/>
        <v>6</v>
      </c>
      <c r="R615">
        <f t="shared" si="37"/>
        <v>6.2155775398998981E-4</v>
      </c>
      <c r="S615">
        <f t="shared" si="39"/>
        <v>0.89895897959571403</v>
      </c>
      <c r="T615" t="str">
        <f t="shared" si="38"/>
        <v>B</v>
      </c>
      <c r="V615" t="s">
        <v>351</v>
      </c>
      <c r="W615" t="s">
        <v>1245</v>
      </c>
    </row>
    <row r="616" spans="1:23" x14ac:dyDescent="0.25">
      <c r="A616" s="17">
        <v>44775</v>
      </c>
      <c r="B616" s="1" t="s">
        <v>304</v>
      </c>
      <c r="C616" s="1">
        <v>1</v>
      </c>
      <c r="F616" s="9" t="s">
        <v>500</v>
      </c>
      <c r="G616" s="10"/>
      <c r="H616" s="10">
        <v>1</v>
      </c>
      <c r="I616" s="10"/>
      <c r="J616" s="10"/>
      <c r="K616" s="10"/>
      <c r="L616" s="10">
        <v>1</v>
      </c>
      <c r="O616" t="s">
        <v>1027</v>
      </c>
      <c r="P616">
        <v>1</v>
      </c>
      <c r="Q616">
        <f t="shared" si="36"/>
        <v>6</v>
      </c>
      <c r="R616">
        <f t="shared" si="37"/>
        <v>6.2155775398998981E-4</v>
      </c>
      <c r="S616">
        <f t="shared" si="39"/>
        <v>0.899580537349704</v>
      </c>
      <c r="T616" t="str">
        <f t="shared" si="38"/>
        <v>B</v>
      </c>
      <c r="V616" t="s">
        <v>1027</v>
      </c>
      <c r="W616" t="s">
        <v>1245</v>
      </c>
    </row>
    <row r="617" spans="1:23" x14ac:dyDescent="0.25">
      <c r="A617" s="17">
        <v>44775</v>
      </c>
      <c r="B617" s="1" t="s">
        <v>686</v>
      </c>
      <c r="C617" s="1">
        <v>1</v>
      </c>
      <c r="F617" s="9" t="s">
        <v>400</v>
      </c>
      <c r="G617" s="10">
        <v>1</v>
      </c>
      <c r="H617" s="10"/>
      <c r="I617" s="10"/>
      <c r="J617" s="10"/>
      <c r="K617" s="10"/>
      <c r="L617" s="10">
        <v>1</v>
      </c>
      <c r="O617" t="s">
        <v>576</v>
      </c>
      <c r="P617">
        <v>1</v>
      </c>
      <c r="Q617">
        <f t="shared" si="36"/>
        <v>6</v>
      </c>
      <c r="R617">
        <f t="shared" si="37"/>
        <v>6.2155775398998981E-4</v>
      </c>
      <c r="S617">
        <f t="shared" si="39"/>
        <v>0.90020209510369398</v>
      </c>
      <c r="T617" t="str">
        <f t="shared" si="38"/>
        <v>B</v>
      </c>
      <c r="V617" t="s">
        <v>576</v>
      </c>
      <c r="W617" t="s">
        <v>1245</v>
      </c>
    </row>
    <row r="618" spans="1:23" x14ac:dyDescent="0.25">
      <c r="A618" s="17">
        <v>44775</v>
      </c>
      <c r="B618" s="1" t="s">
        <v>686</v>
      </c>
      <c r="C618" s="1">
        <v>1</v>
      </c>
      <c r="F618" s="9" t="s">
        <v>427</v>
      </c>
      <c r="G618" s="10">
        <v>1</v>
      </c>
      <c r="H618" s="10"/>
      <c r="I618" s="10"/>
      <c r="J618" s="10"/>
      <c r="K618" s="10"/>
      <c r="L618" s="10">
        <v>1</v>
      </c>
      <c r="O618" t="s">
        <v>997</v>
      </c>
      <c r="P618">
        <v>1</v>
      </c>
      <c r="Q618">
        <f t="shared" si="36"/>
        <v>6</v>
      </c>
      <c r="R618">
        <f t="shared" si="37"/>
        <v>6.2155775398998981E-4</v>
      </c>
      <c r="S618">
        <f t="shared" si="39"/>
        <v>0.90082365285768395</v>
      </c>
      <c r="T618" t="str">
        <f t="shared" si="38"/>
        <v>B</v>
      </c>
      <c r="V618" t="s">
        <v>997</v>
      </c>
      <c r="W618" t="s">
        <v>1245</v>
      </c>
    </row>
    <row r="619" spans="1:23" x14ac:dyDescent="0.25">
      <c r="A619" s="17">
        <v>44775</v>
      </c>
      <c r="B619" s="1" t="s">
        <v>689</v>
      </c>
      <c r="C619" s="1">
        <v>1</v>
      </c>
      <c r="F619" s="9" t="s">
        <v>431</v>
      </c>
      <c r="G619" s="10">
        <v>3</v>
      </c>
      <c r="H619" s="10"/>
      <c r="I619" s="10"/>
      <c r="J619" s="10"/>
      <c r="K619" s="10"/>
      <c r="L619" s="10">
        <v>3</v>
      </c>
      <c r="O619" t="s">
        <v>175</v>
      </c>
      <c r="P619">
        <v>1</v>
      </c>
      <c r="Q619">
        <f t="shared" si="36"/>
        <v>6</v>
      </c>
      <c r="R619">
        <f t="shared" si="37"/>
        <v>6.2155775398998981E-4</v>
      </c>
      <c r="S619">
        <f t="shared" si="39"/>
        <v>0.90144521061167393</v>
      </c>
      <c r="T619" t="str">
        <f t="shared" si="38"/>
        <v>B</v>
      </c>
      <c r="V619" t="s">
        <v>175</v>
      </c>
      <c r="W619" t="s">
        <v>1245</v>
      </c>
    </row>
    <row r="620" spans="1:23" x14ac:dyDescent="0.25">
      <c r="A620" s="17">
        <v>44775</v>
      </c>
      <c r="B620" s="1" t="s">
        <v>689</v>
      </c>
      <c r="C620" s="1">
        <v>1</v>
      </c>
      <c r="F620" s="9" t="s">
        <v>173</v>
      </c>
      <c r="G620" s="10">
        <v>1</v>
      </c>
      <c r="H620" s="10"/>
      <c r="I620" s="10">
        <v>3</v>
      </c>
      <c r="J620" s="10"/>
      <c r="K620" s="10">
        <v>2</v>
      </c>
      <c r="L620" s="10">
        <v>6</v>
      </c>
      <c r="O620" t="s">
        <v>906</v>
      </c>
      <c r="P620">
        <v>1</v>
      </c>
      <c r="Q620">
        <f t="shared" si="36"/>
        <v>6</v>
      </c>
      <c r="R620">
        <f t="shared" si="37"/>
        <v>6.2155775398998981E-4</v>
      </c>
      <c r="S620">
        <f t="shared" si="39"/>
        <v>0.90206676836566391</v>
      </c>
      <c r="T620" t="str">
        <f t="shared" si="38"/>
        <v>B</v>
      </c>
      <c r="V620" t="s">
        <v>906</v>
      </c>
      <c r="W620" t="s">
        <v>1245</v>
      </c>
    </row>
    <row r="621" spans="1:23" x14ac:dyDescent="0.25">
      <c r="A621" s="17">
        <v>44775</v>
      </c>
      <c r="B621" s="1" t="s">
        <v>690</v>
      </c>
      <c r="C621" s="1">
        <v>1</v>
      </c>
      <c r="F621" s="9" t="s">
        <v>856</v>
      </c>
      <c r="G621" s="10"/>
      <c r="H621" s="10"/>
      <c r="I621" s="10">
        <v>1</v>
      </c>
      <c r="J621" s="10"/>
      <c r="K621" s="10"/>
      <c r="L621" s="10">
        <v>1</v>
      </c>
      <c r="O621" t="s">
        <v>782</v>
      </c>
      <c r="P621">
        <v>1</v>
      </c>
      <c r="Q621">
        <f t="shared" si="36"/>
        <v>6</v>
      </c>
      <c r="R621">
        <f t="shared" si="37"/>
        <v>6.2155775398998981E-4</v>
      </c>
      <c r="S621">
        <f t="shared" si="39"/>
        <v>0.90268832611965388</v>
      </c>
      <c r="T621" t="str">
        <f t="shared" si="38"/>
        <v>B</v>
      </c>
      <c r="V621" t="s">
        <v>782</v>
      </c>
      <c r="W621" t="s">
        <v>1245</v>
      </c>
    </row>
    <row r="622" spans="1:23" x14ac:dyDescent="0.25">
      <c r="A622" s="17">
        <v>44775</v>
      </c>
      <c r="B622" s="1" t="s">
        <v>692</v>
      </c>
      <c r="C622" s="1">
        <v>1</v>
      </c>
      <c r="F622" s="9" t="s">
        <v>957</v>
      </c>
      <c r="G622" s="10"/>
      <c r="H622" s="10"/>
      <c r="I622" s="10"/>
      <c r="J622" s="10">
        <v>0.28000000000000003</v>
      </c>
      <c r="K622" s="10"/>
      <c r="L622" s="10">
        <v>0.28000000000000003</v>
      </c>
      <c r="O622" t="s">
        <v>1138</v>
      </c>
      <c r="P622">
        <v>1</v>
      </c>
      <c r="Q622">
        <f t="shared" si="36"/>
        <v>6</v>
      </c>
      <c r="R622">
        <f t="shared" si="37"/>
        <v>6.2155775398998981E-4</v>
      </c>
      <c r="S622">
        <f t="shared" si="39"/>
        <v>0.90330988387364386</v>
      </c>
      <c r="T622" t="str">
        <f t="shared" si="38"/>
        <v>B</v>
      </c>
      <c r="V622" t="s">
        <v>1138</v>
      </c>
      <c r="W622" t="s">
        <v>1245</v>
      </c>
    </row>
    <row r="623" spans="1:23" x14ac:dyDescent="0.25">
      <c r="A623" s="17">
        <v>44775</v>
      </c>
      <c r="B623" s="1" t="s">
        <v>693</v>
      </c>
      <c r="C623" s="1">
        <v>1</v>
      </c>
      <c r="F623" s="9" t="s">
        <v>1215</v>
      </c>
      <c r="G623" s="10"/>
      <c r="H623" s="10"/>
      <c r="I623" s="10"/>
      <c r="J623" s="10"/>
      <c r="K623" s="10">
        <v>0.33333332999999998</v>
      </c>
      <c r="L623" s="10">
        <v>0.33333332999999998</v>
      </c>
      <c r="O623" t="s">
        <v>180</v>
      </c>
      <c r="P623">
        <v>1</v>
      </c>
      <c r="Q623">
        <f t="shared" si="36"/>
        <v>6</v>
      </c>
      <c r="R623">
        <f t="shared" si="37"/>
        <v>6.2155775398998981E-4</v>
      </c>
      <c r="S623">
        <f t="shared" si="39"/>
        <v>0.90393144162763384</v>
      </c>
      <c r="T623" t="str">
        <f t="shared" si="38"/>
        <v>B</v>
      </c>
      <c r="V623" t="s">
        <v>180</v>
      </c>
      <c r="W623" t="s">
        <v>1245</v>
      </c>
    </row>
    <row r="624" spans="1:23" x14ac:dyDescent="0.25">
      <c r="A624" s="17">
        <v>44775</v>
      </c>
      <c r="B624" s="1" t="s">
        <v>72</v>
      </c>
      <c r="C624" s="1">
        <v>1</v>
      </c>
      <c r="F624" s="9" t="s">
        <v>918</v>
      </c>
      <c r="G624" s="10"/>
      <c r="H624" s="10"/>
      <c r="I624" s="10">
        <v>0.33333332999999998</v>
      </c>
      <c r="J624" s="10"/>
      <c r="K624" s="10"/>
      <c r="L624" s="10">
        <v>0.33333332999999998</v>
      </c>
      <c r="O624" t="s">
        <v>1021</v>
      </c>
      <c r="P624">
        <v>1</v>
      </c>
      <c r="Q624">
        <f t="shared" si="36"/>
        <v>6</v>
      </c>
      <c r="R624">
        <f t="shared" si="37"/>
        <v>6.2155775398998981E-4</v>
      </c>
      <c r="S624">
        <f t="shared" si="39"/>
        <v>0.90455299938162381</v>
      </c>
      <c r="T624" t="str">
        <f t="shared" si="38"/>
        <v>B</v>
      </c>
      <c r="V624" t="s">
        <v>1021</v>
      </c>
      <c r="W624" t="s">
        <v>1245</v>
      </c>
    </row>
    <row r="625" spans="1:23" x14ac:dyDescent="0.25">
      <c r="A625" s="17">
        <v>44775</v>
      </c>
      <c r="B625" s="1" t="s">
        <v>437</v>
      </c>
      <c r="C625" s="1">
        <v>1</v>
      </c>
      <c r="F625" s="9" t="s">
        <v>1038</v>
      </c>
      <c r="G625" s="10"/>
      <c r="H625" s="10"/>
      <c r="I625" s="10"/>
      <c r="J625" s="10">
        <v>1</v>
      </c>
      <c r="K625" s="10"/>
      <c r="L625" s="10">
        <v>1</v>
      </c>
      <c r="O625" t="s">
        <v>123</v>
      </c>
      <c r="P625">
        <v>1</v>
      </c>
      <c r="Q625">
        <f t="shared" si="36"/>
        <v>6</v>
      </c>
      <c r="R625">
        <f t="shared" si="37"/>
        <v>6.2155775398998981E-4</v>
      </c>
      <c r="S625">
        <f t="shared" si="39"/>
        <v>0.90517455713561379</v>
      </c>
      <c r="T625" t="str">
        <f t="shared" si="38"/>
        <v>B</v>
      </c>
      <c r="V625" t="s">
        <v>123</v>
      </c>
      <c r="W625" t="s">
        <v>1245</v>
      </c>
    </row>
    <row r="626" spans="1:23" x14ac:dyDescent="0.25">
      <c r="A626" s="17">
        <v>44775</v>
      </c>
      <c r="B626" s="1" t="s">
        <v>222</v>
      </c>
      <c r="C626" s="1">
        <v>2</v>
      </c>
      <c r="F626" s="9" t="s">
        <v>1086</v>
      </c>
      <c r="G626" s="10"/>
      <c r="H626" s="10"/>
      <c r="I626" s="10"/>
      <c r="J626" s="10"/>
      <c r="K626" s="10">
        <v>2</v>
      </c>
      <c r="L626" s="10">
        <v>2</v>
      </c>
      <c r="O626" t="s">
        <v>507</v>
      </c>
      <c r="P626">
        <v>1</v>
      </c>
      <c r="Q626">
        <f t="shared" si="36"/>
        <v>6</v>
      </c>
      <c r="R626">
        <f t="shared" si="37"/>
        <v>6.2155775398998981E-4</v>
      </c>
      <c r="S626">
        <f t="shared" si="39"/>
        <v>0.90579611488960377</v>
      </c>
      <c r="T626" t="str">
        <f t="shared" si="38"/>
        <v>B</v>
      </c>
      <c r="V626" t="s">
        <v>507</v>
      </c>
      <c r="W626" t="s">
        <v>1245</v>
      </c>
    </row>
    <row r="627" spans="1:23" x14ac:dyDescent="0.25">
      <c r="A627" s="17">
        <v>44775</v>
      </c>
      <c r="B627" s="1" t="s">
        <v>695</v>
      </c>
      <c r="C627" s="1">
        <v>1</v>
      </c>
      <c r="F627" s="9" t="s">
        <v>337</v>
      </c>
      <c r="G627" s="10">
        <v>1</v>
      </c>
      <c r="H627" s="10"/>
      <c r="I627" s="10"/>
      <c r="J627" s="10">
        <v>1</v>
      </c>
      <c r="K627" s="10"/>
      <c r="L627" s="10">
        <v>2</v>
      </c>
      <c r="O627" t="s">
        <v>599</v>
      </c>
      <c r="P627">
        <v>1</v>
      </c>
      <c r="Q627">
        <f t="shared" si="36"/>
        <v>6</v>
      </c>
      <c r="R627">
        <f t="shared" si="37"/>
        <v>6.2155775398998981E-4</v>
      </c>
      <c r="S627">
        <f t="shared" si="39"/>
        <v>0.90641767264359374</v>
      </c>
      <c r="T627" t="str">
        <f t="shared" si="38"/>
        <v>B</v>
      </c>
      <c r="V627" t="s">
        <v>599</v>
      </c>
      <c r="W627" t="s">
        <v>1245</v>
      </c>
    </row>
    <row r="628" spans="1:23" x14ac:dyDescent="0.25">
      <c r="A628" s="17">
        <v>44775</v>
      </c>
      <c r="B628" s="1" t="s">
        <v>696</v>
      </c>
      <c r="C628" s="1">
        <v>1</v>
      </c>
      <c r="F628" s="9" t="s">
        <v>237</v>
      </c>
      <c r="G628" s="10">
        <v>1</v>
      </c>
      <c r="H628" s="10"/>
      <c r="I628" s="10"/>
      <c r="J628" s="10"/>
      <c r="K628" s="10"/>
      <c r="L628" s="10">
        <v>1</v>
      </c>
      <c r="O628" t="s">
        <v>895</v>
      </c>
      <c r="P628">
        <v>1</v>
      </c>
      <c r="Q628">
        <f t="shared" si="36"/>
        <v>6</v>
      </c>
      <c r="R628">
        <f t="shared" si="37"/>
        <v>6.2155775398998981E-4</v>
      </c>
      <c r="S628">
        <f t="shared" si="39"/>
        <v>0.90703923039758372</v>
      </c>
      <c r="T628" t="str">
        <f t="shared" si="38"/>
        <v>B</v>
      </c>
      <c r="V628" t="s">
        <v>895</v>
      </c>
      <c r="W628" t="s">
        <v>1245</v>
      </c>
    </row>
    <row r="629" spans="1:23" x14ac:dyDescent="0.25">
      <c r="A629" s="17">
        <v>44775</v>
      </c>
      <c r="B629" s="1" t="s">
        <v>698</v>
      </c>
      <c r="C629" s="1">
        <v>1</v>
      </c>
      <c r="F629" s="9" t="s">
        <v>534</v>
      </c>
      <c r="G629" s="10"/>
      <c r="H629" s="10">
        <v>1</v>
      </c>
      <c r="I629" s="10"/>
      <c r="J629" s="10"/>
      <c r="K629" s="10"/>
      <c r="L629" s="10">
        <v>1</v>
      </c>
      <c r="O629" t="s">
        <v>464</v>
      </c>
      <c r="P629">
        <v>1</v>
      </c>
      <c r="Q629">
        <f t="shared" si="36"/>
        <v>6</v>
      </c>
      <c r="R629">
        <f t="shared" si="37"/>
        <v>6.2155775398998981E-4</v>
      </c>
      <c r="S629">
        <f t="shared" si="39"/>
        <v>0.90766078815157369</v>
      </c>
      <c r="T629" t="str">
        <f t="shared" si="38"/>
        <v>B</v>
      </c>
      <c r="V629" t="s">
        <v>464</v>
      </c>
      <c r="W629" t="s">
        <v>1245</v>
      </c>
    </row>
    <row r="630" spans="1:23" x14ac:dyDescent="0.25">
      <c r="A630" s="17">
        <v>44775</v>
      </c>
      <c r="B630" s="1" t="s">
        <v>33</v>
      </c>
      <c r="C630" s="1">
        <v>1</v>
      </c>
      <c r="F630" s="9" t="s">
        <v>678</v>
      </c>
      <c r="G630" s="10"/>
      <c r="H630" s="10">
        <v>1</v>
      </c>
      <c r="I630" s="10"/>
      <c r="J630" s="10"/>
      <c r="K630" s="10"/>
      <c r="L630" s="10">
        <v>1</v>
      </c>
      <c r="O630" t="s">
        <v>898</v>
      </c>
      <c r="P630">
        <v>1</v>
      </c>
      <c r="Q630">
        <f t="shared" si="36"/>
        <v>6</v>
      </c>
      <c r="R630">
        <f t="shared" si="37"/>
        <v>6.2155775398998981E-4</v>
      </c>
      <c r="S630">
        <f t="shared" si="39"/>
        <v>0.90828234590556367</v>
      </c>
      <c r="T630" t="str">
        <f t="shared" si="38"/>
        <v>B</v>
      </c>
      <c r="V630" t="s">
        <v>898</v>
      </c>
      <c r="W630" t="s">
        <v>1245</v>
      </c>
    </row>
    <row r="631" spans="1:23" x14ac:dyDescent="0.25">
      <c r="A631" s="17">
        <v>44775</v>
      </c>
      <c r="B631" s="1" t="s">
        <v>699</v>
      </c>
      <c r="C631" s="1">
        <v>1</v>
      </c>
      <c r="F631" s="9" t="s">
        <v>468</v>
      </c>
      <c r="G631" s="10">
        <v>1</v>
      </c>
      <c r="H631" s="10"/>
      <c r="I631" s="10"/>
      <c r="J631" s="10"/>
      <c r="K631" s="10"/>
      <c r="L631" s="10">
        <v>1</v>
      </c>
      <c r="O631" t="s">
        <v>149</v>
      </c>
      <c r="P631">
        <v>1</v>
      </c>
      <c r="Q631">
        <f t="shared" si="36"/>
        <v>6</v>
      </c>
      <c r="R631">
        <f t="shared" si="37"/>
        <v>6.2155775398998981E-4</v>
      </c>
      <c r="S631">
        <f t="shared" si="39"/>
        <v>0.90890390365955365</v>
      </c>
      <c r="T631" t="str">
        <f t="shared" si="38"/>
        <v>B</v>
      </c>
      <c r="V631" t="s">
        <v>149</v>
      </c>
      <c r="W631" t="s">
        <v>1245</v>
      </c>
    </row>
    <row r="632" spans="1:23" x14ac:dyDescent="0.25">
      <c r="A632" s="17">
        <v>44775</v>
      </c>
      <c r="B632" s="1" t="s">
        <v>701</v>
      </c>
      <c r="C632" s="1">
        <v>1</v>
      </c>
      <c r="F632" s="9" t="s">
        <v>341</v>
      </c>
      <c r="G632" s="10">
        <v>1</v>
      </c>
      <c r="H632" s="10"/>
      <c r="I632" s="10"/>
      <c r="J632" s="10"/>
      <c r="K632" s="10"/>
      <c r="L632" s="10">
        <v>1</v>
      </c>
      <c r="O632" t="s">
        <v>511</v>
      </c>
      <c r="P632">
        <v>1</v>
      </c>
      <c r="Q632">
        <f t="shared" si="36"/>
        <v>6</v>
      </c>
      <c r="R632">
        <f t="shared" si="37"/>
        <v>6.2155775398998981E-4</v>
      </c>
      <c r="S632">
        <f t="shared" si="39"/>
        <v>0.90952546141354362</v>
      </c>
      <c r="T632" t="str">
        <f t="shared" si="38"/>
        <v>B</v>
      </c>
      <c r="V632" t="s">
        <v>511</v>
      </c>
      <c r="W632" t="s">
        <v>1245</v>
      </c>
    </row>
    <row r="633" spans="1:23" x14ac:dyDescent="0.25">
      <c r="A633" s="17">
        <v>44775</v>
      </c>
      <c r="B633" s="1" t="s">
        <v>702</v>
      </c>
      <c r="C633" s="1">
        <v>1</v>
      </c>
      <c r="F633" s="9" t="s">
        <v>240</v>
      </c>
      <c r="G633" s="10">
        <v>1</v>
      </c>
      <c r="H633" s="10"/>
      <c r="I633" s="10"/>
      <c r="J633" s="10"/>
      <c r="K633" s="10"/>
      <c r="L633" s="10">
        <v>1</v>
      </c>
      <c r="O633" t="s">
        <v>161</v>
      </c>
      <c r="P633">
        <v>1</v>
      </c>
      <c r="Q633">
        <f t="shared" si="36"/>
        <v>6</v>
      </c>
      <c r="R633">
        <f t="shared" si="37"/>
        <v>6.2155775398998981E-4</v>
      </c>
      <c r="S633">
        <f t="shared" si="39"/>
        <v>0.9101470191675336</v>
      </c>
      <c r="T633" t="str">
        <f t="shared" si="38"/>
        <v>B</v>
      </c>
      <c r="V633" t="s">
        <v>161</v>
      </c>
      <c r="W633" t="s">
        <v>1245</v>
      </c>
    </row>
    <row r="634" spans="1:23" x14ac:dyDescent="0.25">
      <c r="A634" s="17">
        <v>44775</v>
      </c>
      <c r="B634" s="1" t="s">
        <v>703</v>
      </c>
      <c r="C634" s="1">
        <v>1</v>
      </c>
      <c r="F634" s="9" t="s">
        <v>764</v>
      </c>
      <c r="G634" s="10"/>
      <c r="H634" s="10"/>
      <c r="I634" s="10">
        <v>2</v>
      </c>
      <c r="J634" s="10">
        <v>1</v>
      </c>
      <c r="K634" s="10">
        <v>1</v>
      </c>
      <c r="L634" s="10">
        <v>4</v>
      </c>
      <c r="O634" t="s">
        <v>889</v>
      </c>
      <c r="P634">
        <v>1</v>
      </c>
      <c r="Q634">
        <f t="shared" si="36"/>
        <v>6</v>
      </c>
      <c r="R634">
        <f t="shared" si="37"/>
        <v>6.2155775398998981E-4</v>
      </c>
      <c r="S634">
        <f t="shared" si="39"/>
        <v>0.91076857692152358</v>
      </c>
      <c r="T634" t="str">
        <f t="shared" si="38"/>
        <v>B</v>
      </c>
      <c r="V634" t="s">
        <v>889</v>
      </c>
      <c r="W634" t="s">
        <v>1245</v>
      </c>
    </row>
    <row r="635" spans="1:23" x14ac:dyDescent="0.25">
      <c r="A635" s="17">
        <v>44775</v>
      </c>
      <c r="B635" s="1" t="s">
        <v>537</v>
      </c>
      <c r="C635" s="1">
        <v>0.1</v>
      </c>
      <c r="F635" s="9" t="s">
        <v>367</v>
      </c>
      <c r="G635" s="10">
        <v>1</v>
      </c>
      <c r="H635" s="10"/>
      <c r="I635" s="10"/>
      <c r="J635" s="10"/>
      <c r="K635" s="10"/>
      <c r="L635" s="10">
        <v>1</v>
      </c>
      <c r="O635" t="s">
        <v>409</v>
      </c>
      <c r="P635">
        <v>1</v>
      </c>
      <c r="Q635">
        <f t="shared" si="36"/>
        <v>6</v>
      </c>
      <c r="R635">
        <f t="shared" si="37"/>
        <v>6.2155775398998981E-4</v>
      </c>
      <c r="S635">
        <f t="shared" si="39"/>
        <v>0.91139013467551355</v>
      </c>
      <c r="T635" t="str">
        <f t="shared" si="38"/>
        <v>B</v>
      </c>
      <c r="V635" t="s">
        <v>409</v>
      </c>
      <c r="W635" t="s">
        <v>1245</v>
      </c>
    </row>
    <row r="636" spans="1:23" x14ac:dyDescent="0.25">
      <c r="A636" s="17">
        <v>44776</v>
      </c>
      <c r="B636" s="1" t="s">
        <v>704</v>
      </c>
      <c r="C636" s="1">
        <v>1</v>
      </c>
      <c r="F636" s="9" t="s">
        <v>356</v>
      </c>
      <c r="G636" s="10">
        <v>2</v>
      </c>
      <c r="H636" s="10"/>
      <c r="I636" s="10"/>
      <c r="J636" s="10"/>
      <c r="K636" s="10"/>
      <c r="L636" s="10">
        <v>2</v>
      </c>
      <c r="O636" t="s">
        <v>1129</v>
      </c>
      <c r="P636">
        <v>1</v>
      </c>
      <c r="Q636">
        <f t="shared" si="36"/>
        <v>6</v>
      </c>
      <c r="R636">
        <f t="shared" si="37"/>
        <v>6.2155775398998981E-4</v>
      </c>
      <c r="S636">
        <f t="shared" si="39"/>
        <v>0.91201169242950353</v>
      </c>
      <c r="T636" t="str">
        <f t="shared" si="38"/>
        <v>B</v>
      </c>
      <c r="V636" t="s">
        <v>1129</v>
      </c>
      <c r="W636" t="s">
        <v>1245</v>
      </c>
    </row>
    <row r="637" spans="1:23" x14ac:dyDescent="0.25">
      <c r="A637" s="17">
        <v>44776</v>
      </c>
      <c r="B637" s="1" t="s">
        <v>247</v>
      </c>
      <c r="C637" s="1">
        <v>1</v>
      </c>
      <c r="F637" s="9" t="s">
        <v>358</v>
      </c>
      <c r="G637" s="10">
        <v>1</v>
      </c>
      <c r="H637" s="10"/>
      <c r="I637" s="10"/>
      <c r="J637" s="10"/>
      <c r="K637" s="10"/>
      <c r="L637" s="10">
        <v>1</v>
      </c>
      <c r="O637" t="s">
        <v>627</v>
      </c>
      <c r="P637">
        <v>1</v>
      </c>
      <c r="Q637">
        <f t="shared" si="36"/>
        <v>6</v>
      </c>
      <c r="R637">
        <f t="shared" si="37"/>
        <v>6.2155775398998981E-4</v>
      </c>
      <c r="S637">
        <f t="shared" si="39"/>
        <v>0.91263325018349351</v>
      </c>
      <c r="T637" t="str">
        <f t="shared" si="38"/>
        <v>B</v>
      </c>
      <c r="V637" t="s">
        <v>627</v>
      </c>
      <c r="W637" t="s">
        <v>1245</v>
      </c>
    </row>
    <row r="638" spans="1:23" x14ac:dyDescent="0.25">
      <c r="A638" s="17">
        <v>44776</v>
      </c>
      <c r="B638" s="1" t="s">
        <v>624</v>
      </c>
      <c r="C638" s="1">
        <v>1</v>
      </c>
      <c r="F638" s="9" t="s">
        <v>863</v>
      </c>
      <c r="G638" s="10"/>
      <c r="H638" s="10"/>
      <c r="I638" s="10">
        <v>3</v>
      </c>
      <c r="J638" s="10"/>
      <c r="K638" s="10">
        <v>2</v>
      </c>
      <c r="L638" s="10">
        <v>5</v>
      </c>
      <c r="O638" t="s">
        <v>1206</v>
      </c>
      <c r="P638">
        <v>1</v>
      </c>
      <c r="Q638">
        <f t="shared" si="36"/>
        <v>6</v>
      </c>
      <c r="R638">
        <f t="shared" si="37"/>
        <v>6.2155775398998981E-4</v>
      </c>
      <c r="S638">
        <f t="shared" si="39"/>
        <v>0.91325480793748348</v>
      </c>
      <c r="T638" t="str">
        <f t="shared" si="38"/>
        <v>B</v>
      </c>
      <c r="V638" t="s">
        <v>1206</v>
      </c>
      <c r="W638" t="s">
        <v>1245</v>
      </c>
    </row>
    <row r="639" spans="1:23" x14ac:dyDescent="0.25">
      <c r="A639" s="17">
        <v>44776</v>
      </c>
      <c r="B639" s="1" t="s">
        <v>707</v>
      </c>
      <c r="C639" s="1">
        <v>1</v>
      </c>
      <c r="F639" s="9" t="s">
        <v>1071</v>
      </c>
      <c r="G639" s="10"/>
      <c r="H639" s="10"/>
      <c r="I639" s="10"/>
      <c r="J639" s="10">
        <v>3</v>
      </c>
      <c r="K639" s="10"/>
      <c r="L639" s="10">
        <v>3</v>
      </c>
      <c r="O639" t="s">
        <v>760</v>
      </c>
      <c r="P639">
        <v>1</v>
      </c>
      <c r="Q639">
        <f t="shared" si="36"/>
        <v>6</v>
      </c>
      <c r="R639">
        <f t="shared" si="37"/>
        <v>6.2155775398998981E-4</v>
      </c>
      <c r="S639">
        <f t="shared" si="39"/>
        <v>0.91387636569147346</v>
      </c>
      <c r="T639" t="str">
        <f t="shared" si="38"/>
        <v>B</v>
      </c>
      <c r="V639" t="s">
        <v>760</v>
      </c>
      <c r="W639" t="s">
        <v>1245</v>
      </c>
    </row>
    <row r="640" spans="1:23" x14ac:dyDescent="0.25">
      <c r="A640" s="17">
        <v>44776</v>
      </c>
      <c r="B640" s="1" t="s">
        <v>65</v>
      </c>
      <c r="C640" s="1">
        <v>1</v>
      </c>
      <c r="F640" s="9" t="s">
        <v>1222</v>
      </c>
      <c r="G640" s="10"/>
      <c r="H640" s="10"/>
      <c r="I640" s="10"/>
      <c r="J640" s="10"/>
      <c r="K640" s="10">
        <v>1</v>
      </c>
      <c r="L640" s="10">
        <v>1</v>
      </c>
      <c r="O640" t="s">
        <v>1091</v>
      </c>
      <c r="P640">
        <v>1</v>
      </c>
      <c r="Q640">
        <f t="shared" si="36"/>
        <v>6</v>
      </c>
      <c r="R640">
        <f t="shared" si="37"/>
        <v>6.2155775398998981E-4</v>
      </c>
      <c r="S640">
        <f t="shared" si="39"/>
        <v>0.91449792344546343</v>
      </c>
      <c r="T640" t="str">
        <f t="shared" si="38"/>
        <v>B</v>
      </c>
      <c r="V640" t="s">
        <v>1091</v>
      </c>
      <c r="W640" t="s">
        <v>1245</v>
      </c>
    </row>
    <row r="641" spans="1:23" x14ac:dyDescent="0.25">
      <c r="A641" s="17">
        <v>44776</v>
      </c>
      <c r="B641" s="1" t="s">
        <v>708</v>
      </c>
      <c r="C641" s="1">
        <v>1</v>
      </c>
      <c r="F641" s="9" t="s">
        <v>977</v>
      </c>
      <c r="G641" s="10"/>
      <c r="H641" s="10"/>
      <c r="I641" s="10"/>
      <c r="J641" s="10">
        <v>1</v>
      </c>
      <c r="K641" s="10"/>
      <c r="L641" s="10">
        <v>1</v>
      </c>
      <c r="O641" t="s">
        <v>692</v>
      </c>
      <c r="P641">
        <v>1</v>
      </c>
      <c r="Q641">
        <f t="shared" si="36"/>
        <v>6</v>
      </c>
      <c r="R641">
        <f t="shared" si="37"/>
        <v>6.2155775398998981E-4</v>
      </c>
      <c r="S641">
        <f t="shared" si="39"/>
        <v>0.91511948119945341</v>
      </c>
      <c r="T641" t="str">
        <f t="shared" si="38"/>
        <v>B</v>
      </c>
      <c r="V641" t="s">
        <v>692</v>
      </c>
      <c r="W641" t="s">
        <v>1245</v>
      </c>
    </row>
    <row r="642" spans="1:23" x14ac:dyDescent="0.25">
      <c r="A642" s="17">
        <v>44776</v>
      </c>
      <c r="B642" s="1" t="s">
        <v>602</v>
      </c>
      <c r="C642" s="1">
        <v>0.25</v>
      </c>
      <c r="F642" s="9" t="s">
        <v>1193</v>
      </c>
      <c r="G642" s="10"/>
      <c r="H642" s="10"/>
      <c r="I642" s="10"/>
      <c r="J642" s="10"/>
      <c r="K642" s="10">
        <v>1</v>
      </c>
      <c r="L642" s="10">
        <v>1</v>
      </c>
      <c r="O642" t="s">
        <v>875</v>
      </c>
      <c r="P642">
        <v>1</v>
      </c>
      <c r="Q642">
        <f t="shared" si="36"/>
        <v>6</v>
      </c>
      <c r="R642">
        <f t="shared" si="37"/>
        <v>6.2155775398998981E-4</v>
      </c>
      <c r="S642">
        <f t="shared" si="39"/>
        <v>0.91574103895344339</v>
      </c>
      <c r="T642" t="str">
        <f t="shared" si="38"/>
        <v>B</v>
      </c>
      <c r="V642" t="s">
        <v>875</v>
      </c>
      <c r="W642" t="s">
        <v>1245</v>
      </c>
    </row>
    <row r="643" spans="1:23" x14ac:dyDescent="0.25">
      <c r="A643" s="17">
        <v>44776</v>
      </c>
      <c r="B643" s="1" t="s">
        <v>709</v>
      </c>
      <c r="C643" s="1">
        <v>1</v>
      </c>
      <c r="F643" s="9" t="s">
        <v>795</v>
      </c>
      <c r="G643" s="10"/>
      <c r="H643" s="10"/>
      <c r="I643" s="10">
        <v>1</v>
      </c>
      <c r="J643" s="10"/>
      <c r="K643" s="10"/>
      <c r="L643" s="10">
        <v>1</v>
      </c>
      <c r="O643" t="s">
        <v>131</v>
      </c>
      <c r="P643">
        <v>1</v>
      </c>
      <c r="Q643">
        <f t="shared" si="36"/>
        <v>6</v>
      </c>
      <c r="R643">
        <f t="shared" si="37"/>
        <v>6.2155775398998981E-4</v>
      </c>
      <c r="S643">
        <f t="shared" si="39"/>
        <v>0.91636259670743336</v>
      </c>
      <c r="T643" t="str">
        <f t="shared" si="38"/>
        <v>B</v>
      </c>
      <c r="V643" t="s">
        <v>131</v>
      </c>
      <c r="W643" t="s">
        <v>1245</v>
      </c>
    </row>
    <row r="644" spans="1:23" x14ac:dyDescent="0.25">
      <c r="A644" s="17">
        <v>44776</v>
      </c>
      <c r="B644" s="1" t="s">
        <v>709</v>
      </c>
      <c r="C644" s="1">
        <v>1</v>
      </c>
      <c r="F644" s="9" t="s">
        <v>157</v>
      </c>
      <c r="G644" s="10">
        <v>2</v>
      </c>
      <c r="H644" s="10"/>
      <c r="I644" s="10">
        <v>2</v>
      </c>
      <c r="J644" s="10"/>
      <c r="K644" s="10"/>
      <c r="L644" s="10">
        <v>4</v>
      </c>
      <c r="O644" t="s">
        <v>813</v>
      </c>
      <c r="P644">
        <v>1</v>
      </c>
      <c r="Q644">
        <f t="shared" si="36"/>
        <v>6</v>
      </c>
      <c r="R644">
        <f t="shared" si="37"/>
        <v>6.2155775398998981E-4</v>
      </c>
      <c r="S644">
        <f t="shared" si="39"/>
        <v>0.91698415446142334</v>
      </c>
      <c r="T644" t="str">
        <f t="shared" si="38"/>
        <v>B</v>
      </c>
      <c r="V644" t="s">
        <v>813</v>
      </c>
      <c r="W644" t="s">
        <v>1245</v>
      </c>
    </row>
    <row r="645" spans="1:23" x14ac:dyDescent="0.25">
      <c r="A645" s="17">
        <v>44776</v>
      </c>
      <c r="B645" s="1" t="s">
        <v>710</v>
      </c>
      <c r="C645" s="1">
        <v>1</v>
      </c>
      <c r="F645" s="9" t="s">
        <v>842</v>
      </c>
      <c r="G645" s="10"/>
      <c r="H645" s="10"/>
      <c r="I645" s="10">
        <v>1</v>
      </c>
      <c r="J645" s="10"/>
      <c r="K645" s="10">
        <v>1</v>
      </c>
      <c r="L645" s="10">
        <v>2</v>
      </c>
      <c r="O645" t="s">
        <v>1089</v>
      </c>
      <c r="P645">
        <v>1</v>
      </c>
      <c r="Q645">
        <f t="shared" ref="Q645:Q708" si="40">(P645/5)*30</f>
        <v>6</v>
      </c>
      <c r="R645">
        <f t="shared" ref="R645:R708" si="41">Q645/SUM($Q$4:$Q$806)</f>
        <v>6.2155775398998981E-4</v>
      </c>
      <c r="S645">
        <f t="shared" si="39"/>
        <v>0.91760571221541332</v>
      </c>
      <c r="T645" t="str">
        <f t="shared" ref="T645:T708" si="42">IF(S645&lt;0.8,"A", IF(S645&lt;0.95,"B","C"))</f>
        <v>B</v>
      </c>
      <c r="V645" t="s">
        <v>1089</v>
      </c>
      <c r="W645" t="s">
        <v>1245</v>
      </c>
    </row>
    <row r="646" spans="1:23" x14ac:dyDescent="0.25">
      <c r="A646" s="17">
        <v>44776</v>
      </c>
      <c r="B646" s="1" t="s">
        <v>711</v>
      </c>
      <c r="C646" s="1">
        <v>0.03</v>
      </c>
      <c r="F646" s="9" t="s">
        <v>216</v>
      </c>
      <c r="G646" s="10">
        <v>1</v>
      </c>
      <c r="H646" s="10"/>
      <c r="I646" s="10"/>
      <c r="J646" s="10"/>
      <c r="K646" s="10"/>
      <c r="L646" s="10">
        <v>1</v>
      </c>
      <c r="O646" t="s">
        <v>1007</v>
      </c>
      <c r="P646">
        <v>1</v>
      </c>
      <c r="Q646">
        <f t="shared" si="40"/>
        <v>6</v>
      </c>
      <c r="R646">
        <f t="shared" si="41"/>
        <v>6.2155775398998981E-4</v>
      </c>
      <c r="S646">
        <f t="shared" ref="S646:S709" si="43">R646+S645</f>
        <v>0.91822726996940329</v>
      </c>
      <c r="T646" t="str">
        <f t="shared" si="42"/>
        <v>B</v>
      </c>
      <c r="V646" t="s">
        <v>1007</v>
      </c>
      <c r="W646" t="s">
        <v>1245</v>
      </c>
    </row>
    <row r="647" spans="1:23" x14ac:dyDescent="0.25">
      <c r="A647" s="17">
        <v>44776</v>
      </c>
      <c r="B647" s="1" t="s">
        <v>116</v>
      </c>
      <c r="C647" s="1">
        <v>1</v>
      </c>
      <c r="F647" s="9" t="s">
        <v>290</v>
      </c>
      <c r="G647" s="10">
        <v>1</v>
      </c>
      <c r="H647" s="10">
        <v>1</v>
      </c>
      <c r="I647" s="10"/>
      <c r="J647" s="10">
        <v>1</v>
      </c>
      <c r="K647" s="10"/>
      <c r="L647" s="10">
        <v>3</v>
      </c>
      <c r="O647" t="s">
        <v>268</v>
      </c>
      <c r="P647">
        <v>1</v>
      </c>
      <c r="Q647">
        <f t="shared" si="40"/>
        <v>6</v>
      </c>
      <c r="R647">
        <f t="shared" si="41"/>
        <v>6.2155775398998981E-4</v>
      </c>
      <c r="S647">
        <f t="shared" si="43"/>
        <v>0.91884882772339327</v>
      </c>
      <c r="T647" t="str">
        <f t="shared" si="42"/>
        <v>B</v>
      </c>
      <c r="V647" t="s">
        <v>268</v>
      </c>
      <c r="W647" t="s">
        <v>1245</v>
      </c>
    </row>
    <row r="648" spans="1:23" x14ac:dyDescent="0.25">
      <c r="A648" s="17">
        <v>44776</v>
      </c>
      <c r="B648" s="1" t="s">
        <v>116</v>
      </c>
      <c r="C648" s="1">
        <v>1</v>
      </c>
      <c r="F648" s="9" t="s">
        <v>787</v>
      </c>
      <c r="G648" s="10"/>
      <c r="H648" s="10"/>
      <c r="I648" s="10">
        <v>1</v>
      </c>
      <c r="J648" s="10"/>
      <c r="K648" s="10"/>
      <c r="L648" s="10">
        <v>1</v>
      </c>
      <c r="O648" t="s">
        <v>965</v>
      </c>
      <c r="P648">
        <v>1</v>
      </c>
      <c r="Q648">
        <f t="shared" si="40"/>
        <v>6</v>
      </c>
      <c r="R648">
        <f t="shared" si="41"/>
        <v>6.2155775398998981E-4</v>
      </c>
      <c r="S648">
        <f t="shared" si="43"/>
        <v>0.91947038547738325</v>
      </c>
      <c r="T648" t="str">
        <f t="shared" si="42"/>
        <v>B</v>
      </c>
      <c r="V648" t="s">
        <v>965</v>
      </c>
      <c r="W648" t="s">
        <v>1245</v>
      </c>
    </row>
    <row r="649" spans="1:23" x14ac:dyDescent="0.25">
      <c r="A649" s="17">
        <v>44776</v>
      </c>
      <c r="B649" s="1" t="s">
        <v>116</v>
      </c>
      <c r="C649" s="1">
        <v>1</v>
      </c>
      <c r="F649" s="9" t="s">
        <v>1023</v>
      </c>
      <c r="G649" s="10"/>
      <c r="H649" s="10"/>
      <c r="I649" s="10"/>
      <c r="J649" s="10">
        <v>1</v>
      </c>
      <c r="K649" s="10"/>
      <c r="L649" s="10">
        <v>1</v>
      </c>
      <c r="O649" t="s">
        <v>403</v>
      </c>
      <c r="P649">
        <v>1</v>
      </c>
      <c r="Q649">
        <f t="shared" si="40"/>
        <v>6</v>
      </c>
      <c r="R649">
        <f t="shared" si="41"/>
        <v>6.2155775398998981E-4</v>
      </c>
      <c r="S649">
        <f t="shared" si="43"/>
        <v>0.92009194323137322</v>
      </c>
      <c r="T649" t="str">
        <f t="shared" si="42"/>
        <v>B</v>
      </c>
      <c r="V649" t="s">
        <v>403</v>
      </c>
      <c r="W649" t="s">
        <v>1245</v>
      </c>
    </row>
    <row r="650" spans="1:23" x14ac:dyDescent="0.25">
      <c r="A650" s="17">
        <v>44776</v>
      </c>
      <c r="B650" s="1" t="s">
        <v>116</v>
      </c>
      <c r="C650" s="1">
        <v>1</v>
      </c>
      <c r="F650" s="9" t="s">
        <v>970</v>
      </c>
      <c r="G650" s="10"/>
      <c r="H650" s="10"/>
      <c r="I650" s="10"/>
      <c r="J650" s="10">
        <v>0.2</v>
      </c>
      <c r="K650" s="10"/>
      <c r="L650" s="10">
        <v>0.2</v>
      </c>
      <c r="O650" t="s">
        <v>262</v>
      </c>
      <c r="P650">
        <v>1</v>
      </c>
      <c r="Q650">
        <f t="shared" si="40"/>
        <v>6</v>
      </c>
      <c r="R650">
        <f t="shared" si="41"/>
        <v>6.2155775398998981E-4</v>
      </c>
      <c r="S650">
        <f t="shared" si="43"/>
        <v>0.9207135009853632</v>
      </c>
      <c r="T650" t="str">
        <f t="shared" si="42"/>
        <v>B</v>
      </c>
      <c r="V650" t="s">
        <v>262</v>
      </c>
      <c r="W650" t="s">
        <v>1245</v>
      </c>
    </row>
    <row r="651" spans="1:23" x14ac:dyDescent="0.25">
      <c r="A651" s="17">
        <v>44776</v>
      </c>
      <c r="B651" s="1" t="s">
        <v>116</v>
      </c>
      <c r="C651" s="1">
        <v>1</v>
      </c>
      <c r="F651" s="9" t="s">
        <v>559</v>
      </c>
      <c r="G651" s="10"/>
      <c r="H651" s="10">
        <v>1</v>
      </c>
      <c r="I651" s="10"/>
      <c r="J651" s="10"/>
      <c r="K651" s="10"/>
      <c r="L651" s="10">
        <v>1</v>
      </c>
      <c r="O651" t="s">
        <v>500</v>
      </c>
      <c r="P651">
        <v>1</v>
      </c>
      <c r="Q651">
        <f t="shared" si="40"/>
        <v>6</v>
      </c>
      <c r="R651">
        <f t="shared" si="41"/>
        <v>6.2155775398998981E-4</v>
      </c>
      <c r="S651">
        <f t="shared" si="43"/>
        <v>0.92133505873935317</v>
      </c>
      <c r="T651" t="str">
        <f t="shared" si="42"/>
        <v>B</v>
      </c>
      <c r="V651" t="s">
        <v>500</v>
      </c>
      <c r="W651" t="s">
        <v>1245</v>
      </c>
    </row>
    <row r="652" spans="1:23" x14ac:dyDescent="0.25">
      <c r="A652" s="17">
        <v>44776</v>
      </c>
      <c r="B652" s="1" t="s">
        <v>712</v>
      </c>
      <c r="C652" s="1">
        <v>1</v>
      </c>
      <c r="F652" s="9" t="s">
        <v>567</v>
      </c>
      <c r="G652" s="10"/>
      <c r="H652" s="10">
        <v>1</v>
      </c>
      <c r="I652" s="10"/>
      <c r="J652" s="10"/>
      <c r="K652" s="10">
        <v>1</v>
      </c>
      <c r="L652" s="10">
        <v>2</v>
      </c>
      <c r="O652" t="s">
        <v>400</v>
      </c>
      <c r="P652">
        <v>1</v>
      </c>
      <c r="Q652">
        <f t="shared" si="40"/>
        <v>6</v>
      </c>
      <c r="R652">
        <f t="shared" si="41"/>
        <v>6.2155775398998981E-4</v>
      </c>
      <c r="S652">
        <f t="shared" si="43"/>
        <v>0.92195661649334315</v>
      </c>
      <c r="T652" t="str">
        <f t="shared" si="42"/>
        <v>B</v>
      </c>
      <c r="V652" t="s">
        <v>400</v>
      </c>
      <c r="W652" t="s">
        <v>1245</v>
      </c>
    </row>
    <row r="653" spans="1:23" x14ac:dyDescent="0.25">
      <c r="A653" s="17">
        <v>44776</v>
      </c>
      <c r="B653" s="1" t="s">
        <v>712</v>
      </c>
      <c r="C653" s="1">
        <v>1</v>
      </c>
      <c r="F653" s="9" t="s">
        <v>571</v>
      </c>
      <c r="G653" s="10"/>
      <c r="H653" s="10">
        <v>1</v>
      </c>
      <c r="I653" s="10">
        <v>2</v>
      </c>
      <c r="J653" s="10"/>
      <c r="K653" s="10"/>
      <c r="L653" s="10">
        <v>3</v>
      </c>
      <c r="O653" t="s">
        <v>427</v>
      </c>
      <c r="P653">
        <v>1</v>
      </c>
      <c r="Q653">
        <f t="shared" si="40"/>
        <v>6</v>
      </c>
      <c r="R653">
        <f t="shared" si="41"/>
        <v>6.2155775398998981E-4</v>
      </c>
      <c r="S653">
        <f t="shared" si="43"/>
        <v>0.92257817424733313</v>
      </c>
      <c r="T653" t="str">
        <f t="shared" si="42"/>
        <v>B</v>
      </c>
      <c r="V653" t="s">
        <v>427</v>
      </c>
      <c r="W653" t="s">
        <v>1245</v>
      </c>
    </row>
    <row r="654" spans="1:23" x14ac:dyDescent="0.25">
      <c r="A654" s="17">
        <v>44776</v>
      </c>
      <c r="B654" s="1" t="s">
        <v>712</v>
      </c>
      <c r="C654" s="1">
        <v>1</v>
      </c>
      <c r="F654" s="9" t="s">
        <v>102</v>
      </c>
      <c r="G654" s="10">
        <v>1</v>
      </c>
      <c r="H654" s="10"/>
      <c r="I654" s="10"/>
      <c r="J654" s="10"/>
      <c r="K654" s="10"/>
      <c r="L654" s="10">
        <v>1</v>
      </c>
      <c r="O654" t="s">
        <v>856</v>
      </c>
      <c r="P654">
        <v>1</v>
      </c>
      <c r="Q654">
        <f t="shared" si="40"/>
        <v>6</v>
      </c>
      <c r="R654">
        <f t="shared" si="41"/>
        <v>6.2155775398998981E-4</v>
      </c>
      <c r="S654">
        <f t="shared" si="43"/>
        <v>0.9231997320013231</v>
      </c>
      <c r="T654" t="str">
        <f t="shared" si="42"/>
        <v>B</v>
      </c>
      <c r="V654" t="s">
        <v>856</v>
      </c>
      <c r="W654" t="s">
        <v>1245</v>
      </c>
    </row>
    <row r="655" spans="1:23" x14ac:dyDescent="0.25">
      <c r="A655" s="17">
        <v>44776</v>
      </c>
      <c r="B655" s="1" t="s">
        <v>91</v>
      </c>
      <c r="C655" s="1">
        <v>1</v>
      </c>
      <c r="F655" s="9" t="s">
        <v>568</v>
      </c>
      <c r="G655" s="10"/>
      <c r="H655" s="10">
        <v>1</v>
      </c>
      <c r="I655" s="10">
        <v>1</v>
      </c>
      <c r="J655" s="10">
        <v>1</v>
      </c>
      <c r="K655" s="10"/>
      <c r="L655" s="10">
        <v>3</v>
      </c>
      <c r="O655" t="s">
        <v>1038</v>
      </c>
      <c r="P655">
        <v>1</v>
      </c>
      <c r="Q655">
        <f t="shared" si="40"/>
        <v>6</v>
      </c>
      <c r="R655">
        <f t="shared" si="41"/>
        <v>6.2155775398998981E-4</v>
      </c>
      <c r="S655">
        <f t="shared" si="43"/>
        <v>0.92382128975531308</v>
      </c>
      <c r="T655" t="str">
        <f t="shared" si="42"/>
        <v>B</v>
      </c>
      <c r="V655" t="s">
        <v>1038</v>
      </c>
      <c r="W655" t="s">
        <v>1245</v>
      </c>
    </row>
    <row r="656" spans="1:23" x14ac:dyDescent="0.25">
      <c r="A656" s="17">
        <v>44776</v>
      </c>
      <c r="B656" s="1" t="s">
        <v>91</v>
      </c>
      <c r="C656" s="1">
        <v>1</v>
      </c>
      <c r="F656" s="9" t="s">
        <v>1042</v>
      </c>
      <c r="G656" s="10"/>
      <c r="H656" s="10"/>
      <c r="I656" s="10"/>
      <c r="J656" s="10">
        <v>1</v>
      </c>
      <c r="K656" s="10"/>
      <c r="L656" s="10">
        <v>1</v>
      </c>
      <c r="O656" t="s">
        <v>237</v>
      </c>
      <c r="P656">
        <v>1</v>
      </c>
      <c r="Q656">
        <f t="shared" si="40"/>
        <v>6</v>
      </c>
      <c r="R656">
        <f t="shared" si="41"/>
        <v>6.2155775398998981E-4</v>
      </c>
      <c r="S656">
        <f t="shared" si="43"/>
        <v>0.92444284750930306</v>
      </c>
      <c r="T656" t="str">
        <f t="shared" si="42"/>
        <v>B</v>
      </c>
      <c r="V656" t="s">
        <v>237</v>
      </c>
      <c r="W656" t="s">
        <v>1245</v>
      </c>
    </row>
    <row r="657" spans="1:23" x14ac:dyDescent="0.25">
      <c r="A657" s="17">
        <v>44776</v>
      </c>
      <c r="B657" s="1" t="s">
        <v>91</v>
      </c>
      <c r="C657" s="1">
        <v>1</v>
      </c>
      <c r="F657" s="9" t="s">
        <v>757</v>
      </c>
      <c r="G657" s="10"/>
      <c r="H657" s="10"/>
      <c r="I657" s="10">
        <v>1</v>
      </c>
      <c r="J657" s="10"/>
      <c r="K657" s="10"/>
      <c r="L657" s="10">
        <v>1</v>
      </c>
      <c r="O657" t="s">
        <v>534</v>
      </c>
      <c r="P657">
        <v>1</v>
      </c>
      <c r="Q657">
        <f t="shared" si="40"/>
        <v>6</v>
      </c>
      <c r="R657">
        <f t="shared" si="41"/>
        <v>6.2155775398998981E-4</v>
      </c>
      <c r="S657">
        <f t="shared" si="43"/>
        <v>0.92506440526329303</v>
      </c>
      <c r="T657" t="str">
        <f t="shared" si="42"/>
        <v>B</v>
      </c>
      <c r="V657" t="s">
        <v>534</v>
      </c>
      <c r="W657" t="s">
        <v>1245</v>
      </c>
    </row>
    <row r="658" spans="1:23" x14ac:dyDescent="0.25">
      <c r="A658" s="17">
        <v>44776</v>
      </c>
      <c r="B658" s="1" t="s">
        <v>713</v>
      </c>
      <c r="C658" s="1">
        <v>1</v>
      </c>
      <c r="F658" s="9" t="s">
        <v>1164</v>
      </c>
      <c r="G658" s="10"/>
      <c r="H658" s="10"/>
      <c r="I658" s="10"/>
      <c r="J658" s="10"/>
      <c r="K658" s="10">
        <v>1</v>
      </c>
      <c r="L658" s="10">
        <v>1</v>
      </c>
      <c r="O658" t="s">
        <v>678</v>
      </c>
      <c r="P658">
        <v>1</v>
      </c>
      <c r="Q658">
        <f t="shared" si="40"/>
        <v>6</v>
      </c>
      <c r="R658">
        <f t="shared" si="41"/>
        <v>6.2155775398998981E-4</v>
      </c>
      <c r="S658">
        <f t="shared" si="43"/>
        <v>0.92568596301728301</v>
      </c>
      <c r="T658" t="str">
        <f t="shared" si="42"/>
        <v>B</v>
      </c>
      <c r="V658" t="s">
        <v>678</v>
      </c>
      <c r="W658" t="s">
        <v>1245</v>
      </c>
    </row>
    <row r="659" spans="1:23" x14ac:dyDescent="0.25">
      <c r="A659" s="17">
        <v>44776</v>
      </c>
      <c r="B659" s="1" t="s">
        <v>715</v>
      </c>
      <c r="C659" s="1">
        <v>0.16666666999999999</v>
      </c>
      <c r="F659" s="9" t="s">
        <v>44</v>
      </c>
      <c r="G659" s="10">
        <v>1</v>
      </c>
      <c r="H659" s="10">
        <v>2</v>
      </c>
      <c r="I659" s="10"/>
      <c r="J659" s="10"/>
      <c r="K659" s="10">
        <v>1</v>
      </c>
      <c r="L659" s="10">
        <v>4</v>
      </c>
      <c r="O659" t="s">
        <v>468</v>
      </c>
      <c r="P659">
        <v>1</v>
      </c>
      <c r="Q659">
        <f t="shared" si="40"/>
        <v>6</v>
      </c>
      <c r="R659">
        <f t="shared" si="41"/>
        <v>6.2155775398998981E-4</v>
      </c>
      <c r="S659">
        <f t="shared" si="43"/>
        <v>0.92630752077127299</v>
      </c>
      <c r="T659" t="str">
        <f t="shared" si="42"/>
        <v>B</v>
      </c>
      <c r="V659" t="s">
        <v>468</v>
      </c>
      <c r="W659" t="s">
        <v>1245</v>
      </c>
    </row>
    <row r="660" spans="1:23" x14ac:dyDescent="0.25">
      <c r="A660" s="17">
        <v>44776</v>
      </c>
      <c r="B660" s="1" t="s">
        <v>716</v>
      </c>
      <c r="C660" s="1">
        <v>0.5</v>
      </c>
      <c r="F660" s="9" t="s">
        <v>616</v>
      </c>
      <c r="G660" s="10"/>
      <c r="H660" s="10">
        <v>1</v>
      </c>
      <c r="I660" s="10"/>
      <c r="J660" s="10"/>
      <c r="K660" s="10"/>
      <c r="L660" s="10">
        <v>1</v>
      </c>
      <c r="O660" t="s">
        <v>341</v>
      </c>
      <c r="P660">
        <v>1</v>
      </c>
      <c r="Q660">
        <f t="shared" si="40"/>
        <v>6</v>
      </c>
      <c r="R660">
        <f t="shared" si="41"/>
        <v>6.2155775398998981E-4</v>
      </c>
      <c r="S660">
        <f t="shared" si="43"/>
        <v>0.92692907852526296</v>
      </c>
      <c r="T660" t="str">
        <f t="shared" si="42"/>
        <v>B</v>
      </c>
      <c r="V660" t="s">
        <v>341</v>
      </c>
      <c r="W660" t="s">
        <v>1245</v>
      </c>
    </row>
    <row r="661" spans="1:23" x14ac:dyDescent="0.25">
      <c r="A661" s="17">
        <v>44776</v>
      </c>
      <c r="B661" s="1" t="s">
        <v>718</v>
      </c>
      <c r="C661" s="1">
        <v>1</v>
      </c>
      <c r="F661" s="9" t="s">
        <v>1133</v>
      </c>
      <c r="G661" s="10"/>
      <c r="H661" s="10"/>
      <c r="I661" s="10"/>
      <c r="J661" s="10"/>
      <c r="K661" s="10">
        <v>1</v>
      </c>
      <c r="L661" s="10">
        <v>1</v>
      </c>
      <c r="O661" t="s">
        <v>240</v>
      </c>
      <c r="P661">
        <v>1</v>
      </c>
      <c r="Q661">
        <f t="shared" si="40"/>
        <v>6</v>
      </c>
      <c r="R661">
        <f t="shared" si="41"/>
        <v>6.2155775398998981E-4</v>
      </c>
      <c r="S661">
        <f t="shared" si="43"/>
        <v>0.92755063627925294</v>
      </c>
      <c r="T661" t="str">
        <f t="shared" si="42"/>
        <v>B</v>
      </c>
      <c r="V661" t="s">
        <v>240</v>
      </c>
      <c r="W661" t="s">
        <v>1245</v>
      </c>
    </row>
    <row r="662" spans="1:23" x14ac:dyDescent="0.25">
      <c r="A662" s="17">
        <v>44776</v>
      </c>
      <c r="B662" s="1" t="s">
        <v>719</v>
      </c>
      <c r="C662" s="1">
        <v>1</v>
      </c>
      <c r="F662" s="9" t="s">
        <v>558</v>
      </c>
      <c r="G662" s="10"/>
      <c r="H662" s="10">
        <v>1</v>
      </c>
      <c r="I662" s="10"/>
      <c r="J662" s="10"/>
      <c r="K662" s="10"/>
      <c r="L662" s="10">
        <v>1</v>
      </c>
      <c r="O662" t="s">
        <v>367</v>
      </c>
      <c r="P662">
        <v>1</v>
      </c>
      <c r="Q662">
        <f t="shared" si="40"/>
        <v>6</v>
      </c>
      <c r="R662">
        <f t="shared" si="41"/>
        <v>6.2155775398998981E-4</v>
      </c>
      <c r="S662">
        <f t="shared" si="43"/>
        <v>0.92817219403324291</v>
      </c>
      <c r="T662" t="str">
        <f t="shared" si="42"/>
        <v>B</v>
      </c>
      <c r="V662" t="s">
        <v>367</v>
      </c>
      <c r="W662" t="s">
        <v>1245</v>
      </c>
    </row>
    <row r="663" spans="1:23" x14ac:dyDescent="0.25">
      <c r="A663" s="17">
        <v>44776</v>
      </c>
      <c r="B663" s="1" t="s">
        <v>719</v>
      </c>
      <c r="C663" s="1">
        <v>1</v>
      </c>
      <c r="F663" s="9" t="s">
        <v>393</v>
      </c>
      <c r="G663" s="10">
        <v>1</v>
      </c>
      <c r="H663" s="10"/>
      <c r="I663" s="10"/>
      <c r="J663" s="10"/>
      <c r="K663" s="10">
        <v>1</v>
      </c>
      <c r="L663" s="10">
        <v>2</v>
      </c>
      <c r="O663" t="s">
        <v>358</v>
      </c>
      <c r="P663">
        <v>1</v>
      </c>
      <c r="Q663">
        <f t="shared" si="40"/>
        <v>6</v>
      </c>
      <c r="R663">
        <f t="shared" si="41"/>
        <v>6.2155775398998981E-4</v>
      </c>
      <c r="S663">
        <f t="shared" si="43"/>
        <v>0.92879375178723289</v>
      </c>
      <c r="T663" t="str">
        <f t="shared" si="42"/>
        <v>B</v>
      </c>
      <c r="V663" t="s">
        <v>358</v>
      </c>
      <c r="W663" t="s">
        <v>1245</v>
      </c>
    </row>
    <row r="664" spans="1:23" x14ac:dyDescent="0.25">
      <c r="A664" s="17">
        <v>44776</v>
      </c>
      <c r="B664" s="1" t="s">
        <v>721</v>
      </c>
      <c r="C664" s="1">
        <v>1</v>
      </c>
      <c r="F664" s="9" t="s">
        <v>1136</v>
      </c>
      <c r="G664" s="10"/>
      <c r="H664" s="10"/>
      <c r="I664" s="10"/>
      <c r="J664" s="10"/>
      <c r="K664" s="10">
        <v>1</v>
      </c>
      <c r="L664" s="10">
        <v>1</v>
      </c>
      <c r="O664" t="s">
        <v>1222</v>
      </c>
      <c r="P664">
        <v>1</v>
      </c>
      <c r="Q664">
        <f t="shared" si="40"/>
        <v>6</v>
      </c>
      <c r="R664">
        <f t="shared" si="41"/>
        <v>6.2155775398998981E-4</v>
      </c>
      <c r="S664">
        <f t="shared" si="43"/>
        <v>0.92941530954122287</v>
      </c>
      <c r="T664" t="str">
        <f t="shared" si="42"/>
        <v>B</v>
      </c>
      <c r="V664" t="s">
        <v>1222</v>
      </c>
      <c r="W664" t="s">
        <v>1245</v>
      </c>
    </row>
    <row r="665" spans="1:23" x14ac:dyDescent="0.25">
      <c r="A665" s="17">
        <v>44776</v>
      </c>
      <c r="B665" s="1" t="s">
        <v>711</v>
      </c>
      <c r="C665" s="1">
        <v>0.02</v>
      </c>
      <c r="F665" s="9" t="s">
        <v>1168</v>
      </c>
      <c r="G665" s="10"/>
      <c r="H665" s="10"/>
      <c r="I665" s="10"/>
      <c r="J665" s="10"/>
      <c r="K665" s="10">
        <v>1</v>
      </c>
      <c r="L665" s="10">
        <v>1</v>
      </c>
      <c r="O665" t="s">
        <v>977</v>
      </c>
      <c r="P665">
        <v>1</v>
      </c>
      <c r="Q665">
        <f t="shared" si="40"/>
        <v>6</v>
      </c>
      <c r="R665">
        <f t="shared" si="41"/>
        <v>6.2155775398998981E-4</v>
      </c>
      <c r="S665">
        <f t="shared" si="43"/>
        <v>0.93003686729521284</v>
      </c>
      <c r="T665" t="str">
        <f t="shared" si="42"/>
        <v>B</v>
      </c>
      <c r="V665" t="s">
        <v>977</v>
      </c>
      <c r="W665" t="s">
        <v>1245</v>
      </c>
    </row>
    <row r="666" spans="1:23" x14ac:dyDescent="0.25">
      <c r="A666" s="17">
        <v>44776</v>
      </c>
      <c r="B666" s="1" t="s">
        <v>723</v>
      </c>
      <c r="C666" s="1">
        <v>1</v>
      </c>
      <c r="F666" s="9" t="s">
        <v>693</v>
      </c>
      <c r="G666" s="10"/>
      <c r="H666" s="10">
        <v>1</v>
      </c>
      <c r="I666" s="10"/>
      <c r="J666" s="10"/>
      <c r="K666" s="10"/>
      <c r="L666" s="10">
        <v>1</v>
      </c>
      <c r="O666" t="s">
        <v>1193</v>
      </c>
      <c r="P666">
        <v>1</v>
      </c>
      <c r="Q666">
        <f t="shared" si="40"/>
        <v>6</v>
      </c>
      <c r="R666">
        <f t="shared" si="41"/>
        <v>6.2155775398998981E-4</v>
      </c>
      <c r="S666">
        <f t="shared" si="43"/>
        <v>0.93065842504920282</v>
      </c>
      <c r="T666" t="str">
        <f t="shared" si="42"/>
        <v>B</v>
      </c>
      <c r="V666" t="s">
        <v>1193</v>
      </c>
      <c r="W666" t="s">
        <v>1245</v>
      </c>
    </row>
    <row r="667" spans="1:23" x14ac:dyDescent="0.25">
      <c r="A667" s="17">
        <v>44776</v>
      </c>
      <c r="B667" s="1" t="s">
        <v>725</v>
      </c>
      <c r="C667" s="1">
        <v>1</v>
      </c>
      <c r="F667" s="9" t="s">
        <v>1031</v>
      </c>
      <c r="G667" s="10"/>
      <c r="H667" s="10"/>
      <c r="I667" s="10"/>
      <c r="J667" s="10">
        <v>2</v>
      </c>
      <c r="K667" s="10"/>
      <c r="L667" s="10">
        <v>2</v>
      </c>
      <c r="O667" t="s">
        <v>795</v>
      </c>
      <c r="P667">
        <v>1</v>
      </c>
      <c r="Q667">
        <f t="shared" si="40"/>
        <v>6</v>
      </c>
      <c r="R667">
        <f t="shared" si="41"/>
        <v>6.2155775398998981E-4</v>
      </c>
      <c r="S667">
        <f t="shared" si="43"/>
        <v>0.9312799828031928</v>
      </c>
      <c r="T667" t="str">
        <f t="shared" si="42"/>
        <v>B</v>
      </c>
      <c r="V667" t="s">
        <v>795</v>
      </c>
      <c r="W667" t="s">
        <v>1245</v>
      </c>
    </row>
    <row r="668" spans="1:23" x14ac:dyDescent="0.25">
      <c r="A668" s="17">
        <v>44776</v>
      </c>
      <c r="B668" s="1" t="s">
        <v>727</v>
      </c>
      <c r="C668" s="1">
        <v>1</v>
      </c>
      <c r="F668" s="9" t="s">
        <v>752</v>
      </c>
      <c r="G668" s="10"/>
      <c r="H668" s="10"/>
      <c r="I668" s="10">
        <v>2</v>
      </c>
      <c r="J668" s="10"/>
      <c r="K668" s="10"/>
      <c r="L668" s="10">
        <v>2</v>
      </c>
      <c r="O668" t="s">
        <v>216</v>
      </c>
      <c r="P668">
        <v>1</v>
      </c>
      <c r="Q668">
        <f t="shared" si="40"/>
        <v>6</v>
      </c>
      <c r="R668">
        <f t="shared" si="41"/>
        <v>6.2155775398998981E-4</v>
      </c>
      <c r="S668">
        <f t="shared" si="43"/>
        <v>0.93190154055718277</v>
      </c>
      <c r="T668" t="str">
        <f t="shared" si="42"/>
        <v>B</v>
      </c>
      <c r="V668" t="s">
        <v>216</v>
      </c>
      <c r="W668" t="s">
        <v>1245</v>
      </c>
    </row>
    <row r="669" spans="1:23" x14ac:dyDescent="0.25">
      <c r="A669" s="17">
        <v>44776</v>
      </c>
      <c r="B669" s="1" t="s">
        <v>505</v>
      </c>
      <c r="C669" s="1">
        <v>1</v>
      </c>
      <c r="F669" s="9" t="s">
        <v>888</v>
      </c>
      <c r="G669" s="10"/>
      <c r="H669" s="10"/>
      <c r="I669" s="10">
        <v>1</v>
      </c>
      <c r="J669" s="10"/>
      <c r="K669" s="10"/>
      <c r="L669" s="10">
        <v>1</v>
      </c>
      <c r="O669" t="s">
        <v>787</v>
      </c>
      <c r="P669">
        <v>1</v>
      </c>
      <c r="Q669">
        <f t="shared" si="40"/>
        <v>6</v>
      </c>
      <c r="R669">
        <f t="shared" si="41"/>
        <v>6.2155775398998981E-4</v>
      </c>
      <c r="S669">
        <f t="shared" si="43"/>
        <v>0.93252309831117275</v>
      </c>
      <c r="T669" t="str">
        <f t="shared" si="42"/>
        <v>B</v>
      </c>
      <c r="V669" t="s">
        <v>787</v>
      </c>
      <c r="W669" t="s">
        <v>1245</v>
      </c>
    </row>
    <row r="670" spans="1:23" x14ac:dyDescent="0.25">
      <c r="A670" s="17">
        <v>44776</v>
      </c>
      <c r="B670" s="1" t="s">
        <v>729</v>
      </c>
      <c r="C670" s="1">
        <v>1</v>
      </c>
      <c r="F670" s="9" t="s">
        <v>344</v>
      </c>
      <c r="G670" s="10">
        <v>1</v>
      </c>
      <c r="H670" s="10"/>
      <c r="I670" s="10"/>
      <c r="J670" s="10"/>
      <c r="K670" s="10"/>
      <c r="L670" s="10">
        <v>1</v>
      </c>
      <c r="O670" t="s">
        <v>1023</v>
      </c>
      <c r="P670">
        <v>1</v>
      </c>
      <c r="Q670">
        <f t="shared" si="40"/>
        <v>6</v>
      </c>
      <c r="R670">
        <f t="shared" si="41"/>
        <v>6.2155775398998981E-4</v>
      </c>
      <c r="S670">
        <f t="shared" si="43"/>
        <v>0.93314465606516273</v>
      </c>
      <c r="T670" t="str">
        <f t="shared" si="42"/>
        <v>B</v>
      </c>
      <c r="V670" t="s">
        <v>1023</v>
      </c>
      <c r="W670" t="s">
        <v>1245</v>
      </c>
    </row>
    <row r="671" spans="1:23" x14ac:dyDescent="0.25">
      <c r="A671" s="17">
        <v>44776</v>
      </c>
      <c r="B671" s="1" t="s">
        <v>730</v>
      </c>
      <c r="C671" s="1">
        <v>1</v>
      </c>
      <c r="F671" s="9" t="s">
        <v>1088</v>
      </c>
      <c r="G671" s="10"/>
      <c r="H671" s="10"/>
      <c r="I671" s="10"/>
      <c r="J671" s="10"/>
      <c r="K671" s="10">
        <v>1</v>
      </c>
      <c r="L671" s="10">
        <v>1</v>
      </c>
      <c r="O671" t="s">
        <v>559</v>
      </c>
      <c r="P671">
        <v>1</v>
      </c>
      <c r="Q671">
        <f t="shared" si="40"/>
        <v>6</v>
      </c>
      <c r="R671">
        <f t="shared" si="41"/>
        <v>6.2155775398998981E-4</v>
      </c>
      <c r="S671">
        <f t="shared" si="43"/>
        <v>0.9337662138191527</v>
      </c>
      <c r="T671" t="str">
        <f t="shared" si="42"/>
        <v>B</v>
      </c>
      <c r="V671" t="s">
        <v>559</v>
      </c>
      <c r="W671" t="s">
        <v>1245</v>
      </c>
    </row>
    <row r="672" spans="1:23" x14ac:dyDescent="0.25">
      <c r="A672" s="17">
        <v>44776</v>
      </c>
      <c r="B672" s="1" t="s">
        <v>571</v>
      </c>
      <c r="C672" s="1">
        <v>2</v>
      </c>
      <c r="F672" s="9" t="s">
        <v>664</v>
      </c>
      <c r="G672" s="10"/>
      <c r="H672" s="10">
        <v>1</v>
      </c>
      <c r="I672" s="10"/>
      <c r="J672" s="10">
        <v>3</v>
      </c>
      <c r="K672" s="10"/>
      <c r="L672" s="10">
        <v>4</v>
      </c>
      <c r="O672" t="s">
        <v>102</v>
      </c>
      <c r="P672">
        <v>1</v>
      </c>
      <c r="Q672">
        <f t="shared" si="40"/>
        <v>6</v>
      </c>
      <c r="R672">
        <f t="shared" si="41"/>
        <v>6.2155775398998981E-4</v>
      </c>
      <c r="S672">
        <f t="shared" si="43"/>
        <v>0.93438777157314268</v>
      </c>
      <c r="T672" t="str">
        <f t="shared" si="42"/>
        <v>B</v>
      </c>
      <c r="V672" t="s">
        <v>102</v>
      </c>
      <c r="W672" t="s">
        <v>1245</v>
      </c>
    </row>
    <row r="673" spans="1:23" x14ac:dyDescent="0.25">
      <c r="A673" s="17">
        <v>44776</v>
      </c>
      <c r="B673" s="1" t="s">
        <v>732</v>
      </c>
      <c r="C673" s="1">
        <v>1</v>
      </c>
      <c r="F673" s="9" t="s">
        <v>1111</v>
      </c>
      <c r="G673" s="10"/>
      <c r="H673" s="10"/>
      <c r="I673" s="10"/>
      <c r="J673" s="10"/>
      <c r="K673" s="10">
        <v>0.05</v>
      </c>
      <c r="L673" s="10">
        <v>0.05</v>
      </c>
      <c r="O673" t="s">
        <v>1042</v>
      </c>
      <c r="P673">
        <v>1</v>
      </c>
      <c r="Q673">
        <f t="shared" si="40"/>
        <v>6</v>
      </c>
      <c r="R673">
        <f t="shared" si="41"/>
        <v>6.2155775398998981E-4</v>
      </c>
      <c r="S673">
        <f t="shared" si="43"/>
        <v>0.93500932932713265</v>
      </c>
      <c r="T673" t="str">
        <f t="shared" si="42"/>
        <v>B</v>
      </c>
      <c r="V673" t="s">
        <v>1042</v>
      </c>
      <c r="W673" t="s">
        <v>1245</v>
      </c>
    </row>
    <row r="674" spans="1:23" x14ac:dyDescent="0.25">
      <c r="A674" s="17">
        <v>44776</v>
      </c>
      <c r="B674" s="1" t="s">
        <v>375</v>
      </c>
      <c r="C674" s="1">
        <v>4</v>
      </c>
      <c r="F674" s="9" t="s">
        <v>800</v>
      </c>
      <c r="G674" s="10"/>
      <c r="H674" s="10"/>
      <c r="I674" s="10">
        <v>0.01</v>
      </c>
      <c r="J674" s="10"/>
      <c r="K674" s="10">
        <v>0.13</v>
      </c>
      <c r="L674" s="10">
        <v>0.14000000000000001</v>
      </c>
      <c r="O674" t="s">
        <v>757</v>
      </c>
      <c r="P674">
        <v>1</v>
      </c>
      <c r="Q674">
        <f t="shared" si="40"/>
        <v>6</v>
      </c>
      <c r="R674">
        <f t="shared" si="41"/>
        <v>6.2155775398998981E-4</v>
      </c>
      <c r="S674">
        <f t="shared" si="43"/>
        <v>0.93563088708112263</v>
      </c>
      <c r="T674" t="str">
        <f t="shared" si="42"/>
        <v>B</v>
      </c>
      <c r="V674" t="s">
        <v>757</v>
      </c>
      <c r="W674" t="s">
        <v>1245</v>
      </c>
    </row>
    <row r="675" spans="1:23" x14ac:dyDescent="0.25">
      <c r="A675" s="17">
        <v>44776</v>
      </c>
      <c r="B675" s="1" t="s">
        <v>733</v>
      </c>
      <c r="C675" s="1">
        <v>1</v>
      </c>
      <c r="F675" s="9" t="s">
        <v>1066</v>
      </c>
      <c r="G675" s="10"/>
      <c r="H675" s="10"/>
      <c r="I675" s="10"/>
      <c r="J675" s="10">
        <v>0.05</v>
      </c>
      <c r="K675" s="10"/>
      <c r="L675" s="10">
        <v>0.05</v>
      </c>
      <c r="O675" t="s">
        <v>1164</v>
      </c>
      <c r="P675">
        <v>1</v>
      </c>
      <c r="Q675">
        <f t="shared" si="40"/>
        <v>6</v>
      </c>
      <c r="R675">
        <f t="shared" si="41"/>
        <v>6.2155775398998981E-4</v>
      </c>
      <c r="S675">
        <f t="shared" si="43"/>
        <v>0.93625244483511261</v>
      </c>
      <c r="T675" t="str">
        <f t="shared" si="42"/>
        <v>B</v>
      </c>
      <c r="V675" t="s">
        <v>1164</v>
      </c>
      <c r="W675" t="s">
        <v>1245</v>
      </c>
    </row>
    <row r="676" spans="1:23" x14ac:dyDescent="0.25">
      <c r="A676" s="17">
        <v>44776</v>
      </c>
      <c r="B676" s="1" t="s">
        <v>734</v>
      </c>
      <c r="C676" s="1">
        <v>1</v>
      </c>
      <c r="F676" s="9" t="s">
        <v>711</v>
      </c>
      <c r="G676" s="10"/>
      <c r="H676" s="10"/>
      <c r="I676" s="10">
        <v>6.0000000000000005E-2</v>
      </c>
      <c r="J676" s="10"/>
      <c r="K676" s="10">
        <v>0.05</v>
      </c>
      <c r="L676" s="10">
        <v>0.11000000000000001</v>
      </c>
      <c r="O676" t="s">
        <v>616</v>
      </c>
      <c r="P676">
        <v>1</v>
      </c>
      <c r="Q676">
        <f t="shared" si="40"/>
        <v>6</v>
      </c>
      <c r="R676">
        <f t="shared" si="41"/>
        <v>6.2155775398998981E-4</v>
      </c>
      <c r="S676">
        <f t="shared" si="43"/>
        <v>0.93687400258910258</v>
      </c>
      <c r="T676" t="str">
        <f t="shared" si="42"/>
        <v>B</v>
      </c>
      <c r="V676" t="s">
        <v>616</v>
      </c>
      <c r="W676" t="s">
        <v>1245</v>
      </c>
    </row>
    <row r="677" spans="1:23" x14ac:dyDescent="0.25">
      <c r="A677" s="17">
        <v>44776</v>
      </c>
      <c r="B677" s="1" t="s">
        <v>591</v>
      </c>
      <c r="C677" s="1">
        <v>2</v>
      </c>
      <c r="F677" s="9" t="s">
        <v>946</v>
      </c>
      <c r="G677" s="10"/>
      <c r="H677" s="10"/>
      <c r="I677" s="10"/>
      <c r="J677" s="10">
        <v>1</v>
      </c>
      <c r="K677" s="10"/>
      <c r="L677" s="10">
        <v>1</v>
      </c>
      <c r="O677" t="s">
        <v>1133</v>
      </c>
      <c r="P677">
        <v>1</v>
      </c>
      <c r="Q677">
        <f t="shared" si="40"/>
        <v>6</v>
      </c>
      <c r="R677">
        <f t="shared" si="41"/>
        <v>6.2155775398998981E-4</v>
      </c>
      <c r="S677">
        <f t="shared" si="43"/>
        <v>0.93749556034309256</v>
      </c>
      <c r="T677" t="str">
        <f t="shared" si="42"/>
        <v>B</v>
      </c>
      <c r="V677" t="s">
        <v>1133</v>
      </c>
      <c r="W677" t="s">
        <v>1245</v>
      </c>
    </row>
    <row r="678" spans="1:23" x14ac:dyDescent="0.25">
      <c r="A678" s="17">
        <v>44776</v>
      </c>
      <c r="B678" s="1" t="s">
        <v>735</v>
      </c>
      <c r="C678" s="1">
        <v>2</v>
      </c>
      <c r="F678" s="9" t="s">
        <v>497</v>
      </c>
      <c r="G678" s="10"/>
      <c r="H678" s="10">
        <v>1</v>
      </c>
      <c r="I678" s="10"/>
      <c r="J678" s="10"/>
      <c r="K678" s="10"/>
      <c r="L678" s="10">
        <v>1</v>
      </c>
      <c r="O678" t="s">
        <v>558</v>
      </c>
      <c r="P678">
        <v>1</v>
      </c>
      <c r="Q678">
        <f t="shared" si="40"/>
        <v>6</v>
      </c>
      <c r="R678">
        <f t="shared" si="41"/>
        <v>6.2155775398998981E-4</v>
      </c>
      <c r="S678">
        <f t="shared" si="43"/>
        <v>0.93811711809708254</v>
      </c>
      <c r="T678" t="str">
        <f t="shared" si="42"/>
        <v>B</v>
      </c>
      <c r="V678" t="s">
        <v>558</v>
      </c>
      <c r="W678" t="s">
        <v>1245</v>
      </c>
    </row>
    <row r="679" spans="1:23" x14ac:dyDescent="0.25">
      <c r="A679" s="17">
        <v>44776</v>
      </c>
      <c r="B679" s="1" t="s">
        <v>737</v>
      </c>
      <c r="C679" s="1">
        <v>1</v>
      </c>
      <c r="F679" s="9" t="s">
        <v>561</v>
      </c>
      <c r="G679" s="10"/>
      <c r="H679" s="10">
        <v>1</v>
      </c>
      <c r="I679" s="10"/>
      <c r="J679" s="10"/>
      <c r="K679" s="10"/>
      <c r="L679" s="10">
        <v>1</v>
      </c>
      <c r="O679" t="s">
        <v>1136</v>
      </c>
      <c r="P679">
        <v>1</v>
      </c>
      <c r="Q679">
        <f t="shared" si="40"/>
        <v>6</v>
      </c>
      <c r="R679">
        <f t="shared" si="41"/>
        <v>6.2155775398998981E-4</v>
      </c>
      <c r="S679">
        <f t="shared" si="43"/>
        <v>0.93873867585107251</v>
      </c>
      <c r="T679" t="str">
        <f t="shared" si="42"/>
        <v>B</v>
      </c>
      <c r="V679" t="s">
        <v>1136</v>
      </c>
      <c r="W679" t="s">
        <v>1245</v>
      </c>
    </row>
    <row r="680" spans="1:23" x14ac:dyDescent="0.25">
      <c r="A680" s="17">
        <v>44776</v>
      </c>
      <c r="B680" s="1" t="s">
        <v>78</v>
      </c>
      <c r="C680" s="1">
        <v>1</v>
      </c>
      <c r="F680" s="9" t="s">
        <v>348</v>
      </c>
      <c r="G680" s="10">
        <v>1</v>
      </c>
      <c r="H680" s="10"/>
      <c r="I680" s="10"/>
      <c r="J680" s="10"/>
      <c r="K680" s="10"/>
      <c r="L680" s="10">
        <v>1</v>
      </c>
      <c r="O680" t="s">
        <v>1168</v>
      </c>
      <c r="P680">
        <v>1</v>
      </c>
      <c r="Q680">
        <f t="shared" si="40"/>
        <v>6</v>
      </c>
      <c r="R680">
        <f t="shared" si="41"/>
        <v>6.2155775398998981E-4</v>
      </c>
      <c r="S680">
        <f t="shared" si="43"/>
        <v>0.93936023360506249</v>
      </c>
      <c r="T680" t="str">
        <f t="shared" si="42"/>
        <v>B</v>
      </c>
      <c r="V680" t="s">
        <v>1168</v>
      </c>
      <c r="W680" t="s">
        <v>1245</v>
      </c>
    </row>
    <row r="681" spans="1:23" x14ac:dyDescent="0.25">
      <c r="A681" s="17">
        <v>44776</v>
      </c>
      <c r="B681" s="1" t="s">
        <v>738</v>
      </c>
      <c r="C681" s="1">
        <v>1</v>
      </c>
      <c r="F681" s="9" t="s">
        <v>169</v>
      </c>
      <c r="G681" s="10">
        <v>3</v>
      </c>
      <c r="H681" s="10"/>
      <c r="I681" s="10"/>
      <c r="J681" s="10"/>
      <c r="K681" s="10">
        <v>4</v>
      </c>
      <c r="L681" s="10">
        <v>7</v>
      </c>
      <c r="O681" t="s">
        <v>693</v>
      </c>
      <c r="P681">
        <v>1</v>
      </c>
      <c r="Q681">
        <f t="shared" si="40"/>
        <v>6</v>
      </c>
      <c r="R681">
        <f t="shared" si="41"/>
        <v>6.2155775398998981E-4</v>
      </c>
      <c r="S681">
        <f t="shared" si="43"/>
        <v>0.93998179135905247</v>
      </c>
      <c r="T681" t="str">
        <f t="shared" si="42"/>
        <v>B</v>
      </c>
      <c r="V681" t="s">
        <v>693</v>
      </c>
      <c r="W681" t="s">
        <v>1245</v>
      </c>
    </row>
    <row r="682" spans="1:23" x14ac:dyDescent="0.25">
      <c r="A682" s="17">
        <v>44776</v>
      </c>
      <c r="B682" s="1" t="s">
        <v>413</v>
      </c>
      <c r="C682" s="1">
        <v>1</v>
      </c>
      <c r="F682" s="9" t="s">
        <v>514</v>
      </c>
      <c r="G682" s="10"/>
      <c r="H682" s="10">
        <v>4</v>
      </c>
      <c r="I682" s="10">
        <v>2</v>
      </c>
      <c r="J682" s="10">
        <v>2</v>
      </c>
      <c r="K682" s="10">
        <v>3</v>
      </c>
      <c r="L682" s="10">
        <v>11</v>
      </c>
      <c r="O682" t="s">
        <v>888</v>
      </c>
      <c r="P682">
        <v>1</v>
      </c>
      <c r="Q682">
        <f t="shared" si="40"/>
        <v>6</v>
      </c>
      <c r="R682">
        <f t="shared" si="41"/>
        <v>6.2155775398998981E-4</v>
      </c>
      <c r="S682">
        <f t="shared" si="43"/>
        <v>0.94060334911304244</v>
      </c>
      <c r="T682" t="str">
        <f t="shared" si="42"/>
        <v>B</v>
      </c>
      <c r="V682" t="s">
        <v>888</v>
      </c>
      <c r="W682" t="s">
        <v>1245</v>
      </c>
    </row>
    <row r="683" spans="1:23" x14ac:dyDescent="0.25">
      <c r="A683" s="17">
        <v>44776</v>
      </c>
      <c r="B683" s="1" t="s">
        <v>741</v>
      </c>
      <c r="C683" s="1">
        <v>1</v>
      </c>
      <c r="F683" s="9" t="s">
        <v>343</v>
      </c>
      <c r="G683" s="10">
        <v>1</v>
      </c>
      <c r="H683" s="10"/>
      <c r="I683" s="10"/>
      <c r="J683" s="10"/>
      <c r="K683" s="10"/>
      <c r="L683" s="10">
        <v>1</v>
      </c>
      <c r="O683" t="s">
        <v>344</v>
      </c>
      <c r="P683">
        <v>1</v>
      </c>
      <c r="Q683">
        <f t="shared" si="40"/>
        <v>6</v>
      </c>
      <c r="R683">
        <f t="shared" si="41"/>
        <v>6.2155775398998981E-4</v>
      </c>
      <c r="S683">
        <f t="shared" si="43"/>
        <v>0.94122490686703242</v>
      </c>
      <c r="T683" t="str">
        <f t="shared" si="42"/>
        <v>B</v>
      </c>
      <c r="V683" t="s">
        <v>344</v>
      </c>
      <c r="W683" t="s">
        <v>1245</v>
      </c>
    </row>
    <row r="684" spans="1:23" x14ac:dyDescent="0.25">
      <c r="A684" s="17">
        <v>44776</v>
      </c>
      <c r="B684" s="1" t="s">
        <v>741</v>
      </c>
      <c r="C684" s="1">
        <v>1</v>
      </c>
      <c r="F684" s="9" t="s">
        <v>754</v>
      </c>
      <c r="G684" s="10"/>
      <c r="H684" s="10"/>
      <c r="I684" s="10">
        <v>1</v>
      </c>
      <c r="J684" s="10"/>
      <c r="K684" s="10"/>
      <c r="L684" s="10">
        <v>1</v>
      </c>
      <c r="O684" t="s">
        <v>1088</v>
      </c>
      <c r="P684">
        <v>1</v>
      </c>
      <c r="Q684">
        <f t="shared" si="40"/>
        <v>6</v>
      </c>
      <c r="R684">
        <f t="shared" si="41"/>
        <v>6.2155775398998981E-4</v>
      </c>
      <c r="S684">
        <f t="shared" si="43"/>
        <v>0.94184646462102239</v>
      </c>
      <c r="T684" t="str">
        <f t="shared" si="42"/>
        <v>B</v>
      </c>
      <c r="V684" t="s">
        <v>1088</v>
      </c>
      <c r="W684" t="s">
        <v>1245</v>
      </c>
    </row>
    <row r="685" spans="1:23" x14ac:dyDescent="0.25">
      <c r="A685" s="17">
        <v>44776</v>
      </c>
      <c r="B685" s="1" t="s">
        <v>741</v>
      </c>
      <c r="C685" s="1">
        <v>1</v>
      </c>
      <c r="F685" s="9" t="s">
        <v>1137</v>
      </c>
      <c r="G685" s="10"/>
      <c r="H685" s="10"/>
      <c r="I685" s="10"/>
      <c r="J685" s="10"/>
      <c r="K685" s="10">
        <v>1</v>
      </c>
      <c r="L685" s="10">
        <v>1</v>
      </c>
      <c r="O685" t="s">
        <v>946</v>
      </c>
      <c r="P685">
        <v>1</v>
      </c>
      <c r="Q685">
        <f t="shared" si="40"/>
        <v>6</v>
      </c>
      <c r="R685">
        <f t="shared" si="41"/>
        <v>6.2155775398998981E-4</v>
      </c>
      <c r="S685">
        <f t="shared" si="43"/>
        <v>0.94246802237501237</v>
      </c>
      <c r="T685" t="str">
        <f t="shared" si="42"/>
        <v>B</v>
      </c>
      <c r="V685" t="s">
        <v>946</v>
      </c>
      <c r="W685" t="s">
        <v>1245</v>
      </c>
    </row>
    <row r="686" spans="1:23" x14ac:dyDescent="0.25">
      <c r="A686" s="17">
        <v>44776</v>
      </c>
      <c r="B686" s="1" t="s">
        <v>741</v>
      </c>
      <c r="C686" s="1">
        <v>1</v>
      </c>
      <c r="F686" s="9" t="s">
        <v>206</v>
      </c>
      <c r="G686" s="10">
        <v>1</v>
      </c>
      <c r="H686" s="10"/>
      <c r="I686" s="10"/>
      <c r="J686" s="10"/>
      <c r="K686" s="10"/>
      <c r="L686" s="10">
        <v>1</v>
      </c>
      <c r="O686" t="s">
        <v>497</v>
      </c>
      <c r="P686">
        <v>1</v>
      </c>
      <c r="Q686">
        <f t="shared" si="40"/>
        <v>6</v>
      </c>
      <c r="R686">
        <f t="shared" si="41"/>
        <v>6.2155775398998981E-4</v>
      </c>
      <c r="S686">
        <f t="shared" si="43"/>
        <v>0.94308958012900235</v>
      </c>
      <c r="T686" t="str">
        <f t="shared" si="42"/>
        <v>B</v>
      </c>
      <c r="V686" t="s">
        <v>497</v>
      </c>
      <c r="W686" t="s">
        <v>1245</v>
      </c>
    </row>
    <row r="687" spans="1:23" x14ac:dyDescent="0.25">
      <c r="A687" s="17">
        <v>44776</v>
      </c>
      <c r="B687" s="1" t="s">
        <v>741</v>
      </c>
      <c r="C687" s="1">
        <v>1</v>
      </c>
      <c r="F687" s="9" t="s">
        <v>359</v>
      </c>
      <c r="G687" s="10">
        <v>1</v>
      </c>
      <c r="H687" s="10"/>
      <c r="I687" s="10"/>
      <c r="J687" s="10"/>
      <c r="K687" s="10"/>
      <c r="L687" s="10">
        <v>1</v>
      </c>
      <c r="O687" t="s">
        <v>561</v>
      </c>
      <c r="P687">
        <v>1</v>
      </c>
      <c r="Q687">
        <f t="shared" si="40"/>
        <v>6</v>
      </c>
      <c r="R687">
        <f t="shared" si="41"/>
        <v>6.2155775398998981E-4</v>
      </c>
      <c r="S687">
        <f t="shared" si="43"/>
        <v>0.94371113788299232</v>
      </c>
      <c r="T687" t="str">
        <f t="shared" si="42"/>
        <v>B</v>
      </c>
      <c r="V687" t="s">
        <v>561</v>
      </c>
      <c r="W687" t="s">
        <v>1245</v>
      </c>
    </row>
    <row r="688" spans="1:23" x14ac:dyDescent="0.25">
      <c r="A688" s="17">
        <v>44776</v>
      </c>
      <c r="B688" s="1" t="s">
        <v>741</v>
      </c>
      <c r="C688" s="1">
        <v>1</v>
      </c>
      <c r="F688" s="9" t="s">
        <v>625</v>
      </c>
      <c r="G688" s="10"/>
      <c r="H688" s="10">
        <v>0.2</v>
      </c>
      <c r="I688" s="10"/>
      <c r="J688" s="10"/>
      <c r="K688" s="10">
        <v>0.60000000000000009</v>
      </c>
      <c r="L688" s="10">
        <v>0.8</v>
      </c>
      <c r="O688" t="s">
        <v>348</v>
      </c>
      <c r="P688">
        <v>1</v>
      </c>
      <c r="Q688">
        <f t="shared" si="40"/>
        <v>6</v>
      </c>
      <c r="R688">
        <f t="shared" si="41"/>
        <v>6.2155775398998981E-4</v>
      </c>
      <c r="S688">
        <f t="shared" si="43"/>
        <v>0.9443326956369823</v>
      </c>
      <c r="T688" t="str">
        <f t="shared" si="42"/>
        <v>B</v>
      </c>
      <c r="V688" t="s">
        <v>348</v>
      </c>
      <c r="W688" t="s">
        <v>1245</v>
      </c>
    </row>
    <row r="689" spans="1:23" x14ac:dyDescent="0.25">
      <c r="A689" s="17">
        <v>44776</v>
      </c>
      <c r="B689" s="1" t="s">
        <v>741</v>
      </c>
      <c r="C689" s="1">
        <v>1</v>
      </c>
      <c r="F689" s="9" t="s">
        <v>857</v>
      </c>
      <c r="G689" s="10"/>
      <c r="H689" s="10"/>
      <c r="I689" s="10">
        <v>1</v>
      </c>
      <c r="J689" s="10"/>
      <c r="K689" s="10"/>
      <c r="L689" s="10">
        <v>1</v>
      </c>
      <c r="O689" t="s">
        <v>343</v>
      </c>
      <c r="P689">
        <v>1</v>
      </c>
      <c r="Q689">
        <f t="shared" si="40"/>
        <v>6</v>
      </c>
      <c r="R689">
        <f t="shared" si="41"/>
        <v>6.2155775398998981E-4</v>
      </c>
      <c r="S689">
        <f t="shared" si="43"/>
        <v>0.94495425339097228</v>
      </c>
      <c r="T689" t="str">
        <f t="shared" si="42"/>
        <v>B</v>
      </c>
      <c r="V689" t="s">
        <v>343</v>
      </c>
      <c r="W689" t="s">
        <v>1245</v>
      </c>
    </row>
    <row r="690" spans="1:23" x14ac:dyDescent="0.25">
      <c r="A690" s="17">
        <v>44776</v>
      </c>
      <c r="B690" s="1" t="s">
        <v>741</v>
      </c>
      <c r="C690" s="1">
        <v>1</v>
      </c>
      <c r="F690" s="9" t="s">
        <v>200</v>
      </c>
      <c r="G690" s="10">
        <v>0.21428570999999999</v>
      </c>
      <c r="H690" s="10"/>
      <c r="I690" s="10"/>
      <c r="J690" s="10"/>
      <c r="K690" s="10"/>
      <c r="L690" s="10">
        <v>0.21428570999999999</v>
      </c>
      <c r="O690" t="s">
        <v>754</v>
      </c>
      <c r="P690">
        <v>1</v>
      </c>
      <c r="Q690">
        <f t="shared" si="40"/>
        <v>6</v>
      </c>
      <c r="R690">
        <f t="shared" si="41"/>
        <v>6.2155775398998981E-4</v>
      </c>
      <c r="S690">
        <f t="shared" si="43"/>
        <v>0.94557581114496225</v>
      </c>
      <c r="T690" t="str">
        <f t="shared" si="42"/>
        <v>B</v>
      </c>
      <c r="V690" t="s">
        <v>754</v>
      </c>
      <c r="W690" t="s">
        <v>1245</v>
      </c>
    </row>
    <row r="691" spans="1:23" x14ac:dyDescent="0.25">
      <c r="A691" s="17">
        <v>44776</v>
      </c>
      <c r="B691" s="1" t="s">
        <v>741</v>
      </c>
      <c r="C691" s="1">
        <v>1</v>
      </c>
      <c r="F691" s="9" t="s">
        <v>573</v>
      </c>
      <c r="G691" s="10"/>
      <c r="H691" s="10">
        <v>1</v>
      </c>
      <c r="I691" s="10"/>
      <c r="J691" s="10"/>
      <c r="K691" s="10"/>
      <c r="L691" s="10">
        <v>1</v>
      </c>
      <c r="O691" t="s">
        <v>1137</v>
      </c>
      <c r="P691">
        <v>1</v>
      </c>
      <c r="Q691">
        <f t="shared" si="40"/>
        <v>6</v>
      </c>
      <c r="R691">
        <f t="shared" si="41"/>
        <v>6.2155775398998981E-4</v>
      </c>
      <c r="S691">
        <f t="shared" si="43"/>
        <v>0.94619736889895223</v>
      </c>
      <c r="T691" t="str">
        <f t="shared" si="42"/>
        <v>B</v>
      </c>
      <c r="V691" t="s">
        <v>1137</v>
      </c>
      <c r="W691" t="s">
        <v>1245</v>
      </c>
    </row>
    <row r="692" spans="1:23" x14ac:dyDescent="0.25">
      <c r="A692" s="17">
        <v>44776</v>
      </c>
      <c r="B692" s="1" t="s">
        <v>742</v>
      </c>
      <c r="C692" s="1">
        <v>1</v>
      </c>
      <c r="F692" s="9" t="s">
        <v>226</v>
      </c>
      <c r="G692" s="10">
        <v>1</v>
      </c>
      <c r="H692" s="10"/>
      <c r="I692" s="10">
        <v>2</v>
      </c>
      <c r="J692" s="10">
        <v>2</v>
      </c>
      <c r="K692" s="10"/>
      <c r="L692" s="10">
        <v>5</v>
      </c>
      <c r="O692" t="s">
        <v>206</v>
      </c>
      <c r="P692">
        <v>1</v>
      </c>
      <c r="Q692">
        <f t="shared" si="40"/>
        <v>6</v>
      </c>
      <c r="R692">
        <f t="shared" si="41"/>
        <v>6.2155775398998981E-4</v>
      </c>
      <c r="S692">
        <f t="shared" si="43"/>
        <v>0.94681892665294221</v>
      </c>
      <c r="T692" t="str">
        <f t="shared" si="42"/>
        <v>B</v>
      </c>
      <c r="V692" t="s">
        <v>206</v>
      </c>
      <c r="W692" t="s">
        <v>1245</v>
      </c>
    </row>
    <row r="693" spans="1:23" x14ac:dyDescent="0.25">
      <c r="A693" s="17">
        <v>44776</v>
      </c>
      <c r="B693" s="1" t="s">
        <v>742</v>
      </c>
      <c r="C693" s="1">
        <v>1</v>
      </c>
      <c r="F693" s="9" t="s">
        <v>165</v>
      </c>
      <c r="G693" s="10">
        <v>2</v>
      </c>
      <c r="H693" s="10"/>
      <c r="I693" s="10"/>
      <c r="J693" s="10"/>
      <c r="K693" s="10"/>
      <c r="L693" s="10">
        <v>2</v>
      </c>
      <c r="O693" t="s">
        <v>359</v>
      </c>
      <c r="P693">
        <v>1</v>
      </c>
      <c r="Q693">
        <f t="shared" si="40"/>
        <v>6</v>
      </c>
      <c r="R693">
        <f t="shared" si="41"/>
        <v>6.2155775398998981E-4</v>
      </c>
      <c r="S693">
        <f t="shared" si="43"/>
        <v>0.94744048440693218</v>
      </c>
      <c r="T693" t="str">
        <f t="shared" si="42"/>
        <v>B</v>
      </c>
      <c r="V693" t="s">
        <v>359</v>
      </c>
      <c r="W693" t="s">
        <v>1245</v>
      </c>
    </row>
    <row r="694" spans="1:23" x14ac:dyDescent="0.25">
      <c r="A694" s="17">
        <v>44776</v>
      </c>
      <c r="B694" s="1" t="s">
        <v>742</v>
      </c>
      <c r="C694" s="1">
        <v>1</v>
      </c>
      <c r="F694" s="9" t="s">
        <v>336</v>
      </c>
      <c r="G694" s="10">
        <v>1</v>
      </c>
      <c r="H694" s="10"/>
      <c r="I694" s="10"/>
      <c r="J694" s="10"/>
      <c r="K694" s="10"/>
      <c r="L694" s="10">
        <v>1</v>
      </c>
      <c r="O694" t="s">
        <v>857</v>
      </c>
      <c r="P694">
        <v>1</v>
      </c>
      <c r="Q694">
        <f t="shared" si="40"/>
        <v>6</v>
      </c>
      <c r="R694">
        <f t="shared" si="41"/>
        <v>6.2155775398998981E-4</v>
      </c>
      <c r="S694">
        <f t="shared" si="43"/>
        <v>0.94806204216092216</v>
      </c>
      <c r="T694" t="str">
        <f t="shared" si="42"/>
        <v>B</v>
      </c>
      <c r="V694" t="s">
        <v>857</v>
      </c>
      <c r="W694" t="s">
        <v>1245</v>
      </c>
    </row>
    <row r="695" spans="1:23" x14ac:dyDescent="0.25">
      <c r="A695" s="17">
        <v>44776</v>
      </c>
      <c r="B695" s="1" t="s">
        <v>742</v>
      </c>
      <c r="C695" s="1">
        <v>1</v>
      </c>
      <c r="F695" s="9" t="s">
        <v>74</v>
      </c>
      <c r="G695" s="10">
        <v>1</v>
      </c>
      <c r="H695" s="10"/>
      <c r="I695" s="10"/>
      <c r="J695" s="10"/>
      <c r="K695" s="10"/>
      <c r="L695" s="10">
        <v>1</v>
      </c>
      <c r="O695" t="s">
        <v>573</v>
      </c>
      <c r="P695">
        <v>1</v>
      </c>
      <c r="Q695">
        <f t="shared" si="40"/>
        <v>6</v>
      </c>
      <c r="R695">
        <f t="shared" si="41"/>
        <v>6.2155775398998981E-4</v>
      </c>
      <c r="S695">
        <f t="shared" si="43"/>
        <v>0.94868359991491213</v>
      </c>
      <c r="T695" t="str">
        <f t="shared" si="42"/>
        <v>B</v>
      </c>
      <c r="V695" t="s">
        <v>573</v>
      </c>
      <c r="W695" t="s">
        <v>1245</v>
      </c>
    </row>
    <row r="696" spans="1:23" x14ac:dyDescent="0.25">
      <c r="A696" s="17">
        <v>44776</v>
      </c>
      <c r="B696" s="1" t="s">
        <v>744</v>
      </c>
      <c r="C696" s="1">
        <v>1</v>
      </c>
      <c r="F696" s="9" t="s">
        <v>920</v>
      </c>
      <c r="G696" s="10"/>
      <c r="H696" s="10"/>
      <c r="I696" s="10">
        <v>2</v>
      </c>
      <c r="J696" s="10"/>
      <c r="K696" s="10"/>
      <c r="L696" s="10">
        <v>2</v>
      </c>
      <c r="O696" t="s">
        <v>336</v>
      </c>
      <c r="P696">
        <v>1</v>
      </c>
      <c r="Q696">
        <f t="shared" si="40"/>
        <v>6</v>
      </c>
      <c r="R696">
        <f t="shared" si="41"/>
        <v>6.2155775398998981E-4</v>
      </c>
      <c r="S696">
        <f t="shared" si="43"/>
        <v>0.94930515766890211</v>
      </c>
      <c r="T696" t="str">
        <f t="shared" si="42"/>
        <v>B</v>
      </c>
      <c r="V696" t="s">
        <v>336</v>
      </c>
      <c r="W696" t="s">
        <v>1245</v>
      </c>
    </row>
    <row r="697" spans="1:23" x14ac:dyDescent="0.25">
      <c r="A697" s="17">
        <v>44776</v>
      </c>
      <c r="B697" s="1" t="s">
        <v>745</v>
      </c>
      <c r="C697" s="1">
        <v>1</v>
      </c>
      <c r="F697" s="9" t="s">
        <v>1003</v>
      </c>
      <c r="G697" s="10"/>
      <c r="H697" s="10"/>
      <c r="I697" s="10"/>
      <c r="J697" s="10">
        <v>1</v>
      </c>
      <c r="K697" s="10"/>
      <c r="L697" s="10">
        <v>1</v>
      </c>
      <c r="O697" t="s">
        <v>74</v>
      </c>
      <c r="P697">
        <v>1</v>
      </c>
      <c r="Q697">
        <f t="shared" si="40"/>
        <v>6</v>
      </c>
      <c r="R697">
        <f t="shared" si="41"/>
        <v>6.2155775398998981E-4</v>
      </c>
      <c r="S697">
        <f t="shared" si="43"/>
        <v>0.94992671542289209</v>
      </c>
      <c r="T697" t="str">
        <f t="shared" si="42"/>
        <v>B</v>
      </c>
      <c r="V697" t="s">
        <v>74</v>
      </c>
      <c r="W697" t="s">
        <v>1245</v>
      </c>
    </row>
    <row r="698" spans="1:23" x14ac:dyDescent="0.25">
      <c r="A698" s="17">
        <v>44776</v>
      </c>
      <c r="B698" s="1" t="s">
        <v>746</v>
      </c>
      <c r="C698" s="1">
        <v>1</v>
      </c>
      <c r="F698" s="9" t="s">
        <v>23</v>
      </c>
      <c r="G698" s="10">
        <v>1</v>
      </c>
      <c r="H698" s="10"/>
      <c r="I698" s="10"/>
      <c r="J698" s="10"/>
      <c r="K698" s="10"/>
      <c r="L698" s="10">
        <v>1</v>
      </c>
      <c r="O698" t="s">
        <v>1003</v>
      </c>
      <c r="P698">
        <v>1</v>
      </c>
      <c r="Q698">
        <f t="shared" si="40"/>
        <v>6</v>
      </c>
      <c r="R698">
        <f t="shared" si="41"/>
        <v>6.2155775398998981E-4</v>
      </c>
      <c r="S698">
        <f t="shared" si="43"/>
        <v>0.95054827317688206</v>
      </c>
      <c r="T698" t="str">
        <f t="shared" si="42"/>
        <v>C</v>
      </c>
      <c r="V698" t="s">
        <v>1003</v>
      </c>
      <c r="W698" t="s">
        <v>1246</v>
      </c>
    </row>
    <row r="699" spans="1:23" x14ac:dyDescent="0.25">
      <c r="A699" s="17">
        <v>44776</v>
      </c>
      <c r="B699" s="1" t="s">
        <v>415</v>
      </c>
      <c r="C699" s="1">
        <v>1</v>
      </c>
      <c r="F699" s="9" t="s">
        <v>485</v>
      </c>
      <c r="G699" s="10"/>
      <c r="H699" s="10">
        <v>1</v>
      </c>
      <c r="I699" s="10">
        <v>1</v>
      </c>
      <c r="J699" s="10"/>
      <c r="K699" s="10"/>
      <c r="L699" s="10">
        <v>2</v>
      </c>
      <c r="O699" t="s">
        <v>23</v>
      </c>
      <c r="P699">
        <v>1</v>
      </c>
      <c r="Q699">
        <f t="shared" si="40"/>
        <v>6</v>
      </c>
      <c r="R699">
        <f t="shared" si="41"/>
        <v>6.2155775398998981E-4</v>
      </c>
      <c r="S699">
        <f t="shared" si="43"/>
        <v>0.95116983093087204</v>
      </c>
      <c r="T699" t="str">
        <f t="shared" si="42"/>
        <v>C</v>
      </c>
      <c r="V699" t="s">
        <v>23</v>
      </c>
      <c r="W699" t="s">
        <v>1246</v>
      </c>
    </row>
    <row r="700" spans="1:23" x14ac:dyDescent="0.25">
      <c r="A700" s="17">
        <v>44776</v>
      </c>
      <c r="B700" s="1" t="s">
        <v>415</v>
      </c>
      <c r="C700" s="1">
        <v>1</v>
      </c>
      <c r="F700" s="9" t="s">
        <v>1015</v>
      </c>
      <c r="G700" s="10"/>
      <c r="H700" s="10"/>
      <c r="I700" s="10"/>
      <c r="J700" s="10">
        <v>1</v>
      </c>
      <c r="K700" s="10"/>
      <c r="L700" s="10">
        <v>1</v>
      </c>
      <c r="O700" t="s">
        <v>1015</v>
      </c>
      <c r="P700">
        <v>1</v>
      </c>
      <c r="Q700">
        <f t="shared" si="40"/>
        <v>6</v>
      </c>
      <c r="R700">
        <f t="shared" si="41"/>
        <v>6.2155775398998981E-4</v>
      </c>
      <c r="S700">
        <f t="shared" si="43"/>
        <v>0.95179138868486202</v>
      </c>
      <c r="T700" t="str">
        <f t="shared" si="42"/>
        <v>C</v>
      </c>
      <c r="V700" t="s">
        <v>1015</v>
      </c>
      <c r="W700" t="s">
        <v>1246</v>
      </c>
    </row>
    <row r="701" spans="1:23" x14ac:dyDescent="0.25">
      <c r="A701" s="17">
        <v>44776</v>
      </c>
      <c r="B701" s="1" t="s">
        <v>415</v>
      </c>
      <c r="C701" s="1">
        <v>1</v>
      </c>
      <c r="F701" s="9" t="s">
        <v>564</v>
      </c>
      <c r="G701" s="10"/>
      <c r="H701" s="10">
        <v>1</v>
      </c>
      <c r="I701" s="10"/>
      <c r="J701" s="10"/>
      <c r="K701" s="10"/>
      <c r="L701" s="10">
        <v>1</v>
      </c>
      <c r="O701" t="s">
        <v>564</v>
      </c>
      <c r="P701">
        <v>1</v>
      </c>
      <c r="Q701">
        <f t="shared" si="40"/>
        <v>6</v>
      </c>
      <c r="R701">
        <f t="shared" si="41"/>
        <v>6.2155775398998981E-4</v>
      </c>
      <c r="S701">
        <f t="shared" si="43"/>
        <v>0.95241294643885199</v>
      </c>
      <c r="T701" t="str">
        <f t="shared" si="42"/>
        <v>C</v>
      </c>
      <c r="V701" t="s">
        <v>564</v>
      </c>
      <c r="W701" t="s">
        <v>1246</v>
      </c>
    </row>
    <row r="702" spans="1:23" x14ac:dyDescent="0.25">
      <c r="A702" s="17">
        <v>44776</v>
      </c>
      <c r="B702" s="1" t="s">
        <v>415</v>
      </c>
      <c r="C702" s="1">
        <v>1</v>
      </c>
      <c r="F702" s="9" t="s">
        <v>1054</v>
      </c>
      <c r="G702" s="10"/>
      <c r="H702" s="10"/>
      <c r="I702" s="10"/>
      <c r="J702" s="10">
        <v>1</v>
      </c>
      <c r="K702" s="10"/>
      <c r="L702" s="10">
        <v>1</v>
      </c>
      <c r="O702" t="s">
        <v>1054</v>
      </c>
      <c r="P702">
        <v>1</v>
      </c>
      <c r="Q702">
        <f t="shared" si="40"/>
        <v>6</v>
      </c>
      <c r="R702">
        <f t="shared" si="41"/>
        <v>6.2155775398998981E-4</v>
      </c>
      <c r="S702">
        <f t="shared" si="43"/>
        <v>0.95303450419284197</v>
      </c>
      <c r="T702" t="str">
        <f t="shared" si="42"/>
        <v>C</v>
      </c>
      <c r="V702" t="s">
        <v>1054</v>
      </c>
      <c r="W702" t="s">
        <v>1246</v>
      </c>
    </row>
    <row r="703" spans="1:23" x14ac:dyDescent="0.25">
      <c r="A703" s="17">
        <v>44776</v>
      </c>
      <c r="B703" s="1" t="s">
        <v>748</v>
      </c>
      <c r="C703" s="1">
        <v>1</v>
      </c>
      <c r="F703" s="9" t="s">
        <v>539</v>
      </c>
      <c r="G703" s="10"/>
      <c r="H703" s="10">
        <v>1</v>
      </c>
      <c r="I703" s="10"/>
      <c r="J703" s="10"/>
      <c r="K703" s="10"/>
      <c r="L703" s="10">
        <v>1</v>
      </c>
      <c r="O703" t="s">
        <v>539</v>
      </c>
      <c r="P703">
        <v>1</v>
      </c>
      <c r="Q703">
        <f t="shared" si="40"/>
        <v>6</v>
      </c>
      <c r="R703">
        <f t="shared" si="41"/>
        <v>6.2155775398998981E-4</v>
      </c>
      <c r="S703">
        <f t="shared" si="43"/>
        <v>0.95365606194683195</v>
      </c>
      <c r="T703" t="str">
        <f t="shared" si="42"/>
        <v>C</v>
      </c>
      <c r="V703" t="s">
        <v>539</v>
      </c>
      <c r="W703" t="s">
        <v>1246</v>
      </c>
    </row>
    <row r="704" spans="1:23" x14ac:dyDescent="0.25">
      <c r="A704" s="17">
        <v>44776</v>
      </c>
      <c r="B704" s="1" t="s">
        <v>750</v>
      </c>
      <c r="C704" s="1">
        <v>1</v>
      </c>
      <c r="F704" s="9" t="s">
        <v>85</v>
      </c>
      <c r="G704" s="10">
        <v>1</v>
      </c>
      <c r="H704" s="10"/>
      <c r="I704" s="10"/>
      <c r="J704" s="10"/>
      <c r="K704" s="10"/>
      <c r="L704" s="10">
        <v>1</v>
      </c>
      <c r="O704" t="s">
        <v>85</v>
      </c>
      <c r="P704">
        <v>1</v>
      </c>
      <c r="Q704">
        <f t="shared" si="40"/>
        <v>6</v>
      </c>
      <c r="R704">
        <f t="shared" si="41"/>
        <v>6.2155775398998981E-4</v>
      </c>
      <c r="S704">
        <f t="shared" si="43"/>
        <v>0.95427761970082192</v>
      </c>
      <c r="T704" t="str">
        <f t="shared" si="42"/>
        <v>C</v>
      </c>
      <c r="V704" t="s">
        <v>85</v>
      </c>
      <c r="W704" t="s">
        <v>1246</v>
      </c>
    </row>
    <row r="705" spans="1:23" x14ac:dyDescent="0.25">
      <c r="A705" s="17">
        <v>44776</v>
      </c>
      <c r="B705" s="1" t="s">
        <v>173</v>
      </c>
      <c r="C705" s="1">
        <v>1</v>
      </c>
      <c r="F705" s="9" t="s">
        <v>1200</v>
      </c>
      <c r="G705" s="10"/>
      <c r="H705" s="10"/>
      <c r="I705" s="10"/>
      <c r="J705" s="10"/>
      <c r="K705" s="10">
        <v>1</v>
      </c>
      <c r="L705" s="10">
        <v>1</v>
      </c>
      <c r="O705" t="s">
        <v>1200</v>
      </c>
      <c r="P705">
        <v>1</v>
      </c>
      <c r="Q705">
        <f t="shared" si="40"/>
        <v>6</v>
      </c>
      <c r="R705">
        <f t="shared" si="41"/>
        <v>6.2155775398998981E-4</v>
      </c>
      <c r="S705">
        <f t="shared" si="43"/>
        <v>0.9548991774548119</v>
      </c>
      <c r="T705" t="str">
        <f t="shared" si="42"/>
        <v>C</v>
      </c>
      <c r="V705" t="s">
        <v>1200</v>
      </c>
      <c r="W705" t="s">
        <v>1246</v>
      </c>
    </row>
    <row r="706" spans="1:23" x14ac:dyDescent="0.25">
      <c r="A706" s="17">
        <v>44776</v>
      </c>
      <c r="B706" s="1" t="s">
        <v>173</v>
      </c>
      <c r="C706" s="1">
        <v>1</v>
      </c>
      <c r="F706" s="9" t="s">
        <v>1116</v>
      </c>
      <c r="G706" s="10"/>
      <c r="H706" s="10"/>
      <c r="I706" s="10"/>
      <c r="J706" s="10"/>
      <c r="K706" s="10">
        <v>1</v>
      </c>
      <c r="L706" s="10">
        <v>1</v>
      </c>
      <c r="O706" t="s">
        <v>1116</v>
      </c>
      <c r="P706">
        <v>1</v>
      </c>
      <c r="Q706">
        <f t="shared" si="40"/>
        <v>6</v>
      </c>
      <c r="R706">
        <f t="shared" si="41"/>
        <v>6.2155775398998981E-4</v>
      </c>
      <c r="S706">
        <f t="shared" si="43"/>
        <v>0.95552073520880187</v>
      </c>
      <c r="T706" t="str">
        <f t="shared" si="42"/>
        <v>C</v>
      </c>
      <c r="V706" t="s">
        <v>1116</v>
      </c>
      <c r="W706" t="s">
        <v>1246</v>
      </c>
    </row>
    <row r="707" spans="1:23" x14ac:dyDescent="0.25">
      <c r="A707" s="17">
        <v>44776</v>
      </c>
      <c r="B707" s="1" t="s">
        <v>173</v>
      </c>
      <c r="C707" s="1">
        <v>1</v>
      </c>
      <c r="F707" s="9" t="s">
        <v>646</v>
      </c>
      <c r="G707" s="10"/>
      <c r="H707" s="10">
        <v>1</v>
      </c>
      <c r="I707" s="10"/>
      <c r="J707" s="10"/>
      <c r="K707" s="10"/>
      <c r="L707" s="10">
        <v>1</v>
      </c>
      <c r="O707" t="s">
        <v>646</v>
      </c>
      <c r="P707">
        <v>1</v>
      </c>
      <c r="Q707">
        <f t="shared" si="40"/>
        <v>6</v>
      </c>
      <c r="R707">
        <f t="shared" si="41"/>
        <v>6.2155775398998981E-4</v>
      </c>
      <c r="S707">
        <f t="shared" si="43"/>
        <v>0.95614229296279185</v>
      </c>
      <c r="T707" t="str">
        <f t="shared" si="42"/>
        <v>C</v>
      </c>
      <c r="V707" t="s">
        <v>646</v>
      </c>
      <c r="W707" t="s">
        <v>1246</v>
      </c>
    </row>
    <row r="708" spans="1:23" x14ac:dyDescent="0.25">
      <c r="A708" s="17">
        <v>44776</v>
      </c>
      <c r="B708" s="1" t="s">
        <v>752</v>
      </c>
      <c r="C708" s="1">
        <v>1</v>
      </c>
      <c r="F708" s="9" t="s">
        <v>699</v>
      </c>
      <c r="G708" s="10"/>
      <c r="H708" s="10">
        <v>1</v>
      </c>
      <c r="I708" s="10">
        <v>1</v>
      </c>
      <c r="J708" s="10"/>
      <c r="K708" s="10"/>
      <c r="L708" s="10">
        <v>2</v>
      </c>
      <c r="O708" t="s">
        <v>1033</v>
      </c>
      <c r="P708">
        <v>1</v>
      </c>
      <c r="Q708">
        <f t="shared" si="40"/>
        <v>6</v>
      </c>
      <c r="R708">
        <f t="shared" si="41"/>
        <v>6.2155775398998981E-4</v>
      </c>
      <c r="S708">
        <f t="shared" si="43"/>
        <v>0.95676385071678183</v>
      </c>
      <c r="T708" t="str">
        <f t="shared" si="42"/>
        <v>C</v>
      </c>
      <c r="V708" t="s">
        <v>1033</v>
      </c>
      <c r="W708" t="s">
        <v>1246</v>
      </c>
    </row>
    <row r="709" spans="1:23" x14ac:dyDescent="0.25">
      <c r="A709" s="17">
        <v>44776</v>
      </c>
      <c r="B709" s="1" t="s">
        <v>125</v>
      </c>
      <c r="C709" s="1">
        <v>1</v>
      </c>
      <c r="F709" s="9" t="s">
        <v>1033</v>
      </c>
      <c r="G709" s="10"/>
      <c r="H709" s="10"/>
      <c r="I709" s="10"/>
      <c r="J709" s="10">
        <v>1</v>
      </c>
      <c r="K709" s="10"/>
      <c r="L709" s="10">
        <v>1</v>
      </c>
      <c r="O709" t="s">
        <v>372</v>
      </c>
      <c r="P709">
        <v>1</v>
      </c>
      <c r="Q709">
        <f t="shared" ref="Q709:Q772" si="44">(P709/5)*30</f>
        <v>6</v>
      </c>
      <c r="R709">
        <f t="shared" ref="R709:R772" si="45">Q709/SUM($Q$4:$Q$806)</f>
        <v>6.2155775398998981E-4</v>
      </c>
      <c r="S709">
        <f t="shared" si="43"/>
        <v>0.9573854084707718</v>
      </c>
      <c r="T709" t="str">
        <f t="shared" ref="T709:T772" si="46">IF(S709&lt;0.8,"A", IF(S709&lt;0.95,"B","C"))</f>
        <v>C</v>
      </c>
      <c r="V709" t="s">
        <v>372</v>
      </c>
      <c r="W709" t="s">
        <v>1246</v>
      </c>
    </row>
    <row r="710" spans="1:23" x14ac:dyDescent="0.25">
      <c r="A710" s="17">
        <v>44776</v>
      </c>
      <c r="B710" s="1" t="s">
        <v>754</v>
      </c>
      <c r="C710" s="1">
        <v>1</v>
      </c>
      <c r="F710" s="9" t="s">
        <v>476</v>
      </c>
      <c r="G710" s="10"/>
      <c r="H710" s="10">
        <v>2</v>
      </c>
      <c r="I710" s="10"/>
      <c r="J710" s="10"/>
      <c r="K710" s="10"/>
      <c r="L710" s="10">
        <v>2</v>
      </c>
      <c r="O710" t="s">
        <v>843</v>
      </c>
      <c r="P710">
        <v>1</v>
      </c>
      <c r="Q710">
        <f t="shared" si="44"/>
        <v>6</v>
      </c>
      <c r="R710">
        <f t="shared" si="45"/>
        <v>6.2155775398998981E-4</v>
      </c>
      <c r="S710">
        <f t="shared" ref="S710:S773" si="47">R710+S709</f>
        <v>0.95800696622476178</v>
      </c>
      <c r="T710" t="str">
        <f t="shared" si="46"/>
        <v>C</v>
      </c>
      <c r="V710" t="s">
        <v>843</v>
      </c>
      <c r="W710" t="s">
        <v>1246</v>
      </c>
    </row>
    <row r="711" spans="1:23" x14ac:dyDescent="0.25">
      <c r="A711" s="17">
        <v>44776</v>
      </c>
      <c r="B711" s="1" t="s">
        <v>755</v>
      </c>
      <c r="C711" s="1">
        <v>1</v>
      </c>
      <c r="F711" s="9" t="s">
        <v>372</v>
      </c>
      <c r="G711" s="10">
        <v>1</v>
      </c>
      <c r="H711" s="10"/>
      <c r="I711" s="10"/>
      <c r="J711" s="10"/>
      <c r="K711" s="10"/>
      <c r="L711" s="10">
        <v>1</v>
      </c>
      <c r="O711" t="s">
        <v>815</v>
      </c>
      <c r="P711">
        <v>1</v>
      </c>
      <c r="Q711">
        <f t="shared" si="44"/>
        <v>6</v>
      </c>
      <c r="R711">
        <f t="shared" si="45"/>
        <v>6.2155775398998981E-4</v>
      </c>
      <c r="S711">
        <f t="shared" si="47"/>
        <v>0.95862852397875176</v>
      </c>
      <c r="T711" t="str">
        <f t="shared" si="46"/>
        <v>C</v>
      </c>
      <c r="V711" t="s">
        <v>815</v>
      </c>
      <c r="W711" t="s">
        <v>1246</v>
      </c>
    </row>
    <row r="712" spans="1:23" x14ac:dyDescent="0.25">
      <c r="A712" s="17">
        <v>44776</v>
      </c>
      <c r="B712" s="1" t="s">
        <v>757</v>
      </c>
      <c r="C712" s="1">
        <v>1</v>
      </c>
      <c r="F712" s="9" t="s">
        <v>843</v>
      </c>
      <c r="G712" s="10"/>
      <c r="H712" s="10"/>
      <c r="I712" s="10">
        <v>1</v>
      </c>
      <c r="J712" s="10"/>
      <c r="K712" s="10"/>
      <c r="L712" s="10">
        <v>1</v>
      </c>
      <c r="O712" t="s">
        <v>817</v>
      </c>
      <c r="P712">
        <v>1</v>
      </c>
      <c r="Q712">
        <f t="shared" si="44"/>
        <v>6</v>
      </c>
      <c r="R712">
        <f t="shared" si="45"/>
        <v>6.2155775398998981E-4</v>
      </c>
      <c r="S712">
        <f t="shared" si="47"/>
        <v>0.95925008173274173</v>
      </c>
      <c r="T712" t="str">
        <f t="shared" si="46"/>
        <v>C</v>
      </c>
      <c r="V712" t="s">
        <v>817</v>
      </c>
      <c r="W712" t="s">
        <v>1246</v>
      </c>
    </row>
    <row r="713" spans="1:23" x14ac:dyDescent="0.25">
      <c r="A713" s="17">
        <v>44776</v>
      </c>
      <c r="B713" s="1" t="s">
        <v>759</v>
      </c>
      <c r="C713" s="1">
        <v>1</v>
      </c>
      <c r="F713" s="9" t="s">
        <v>815</v>
      </c>
      <c r="G713" s="10"/>
      <c r="H713" s="10"/>
      <c r="I713" s="10">
        <v>1</v>
      </c>
      <c r="J713" s="10"/>
      <c r="K713" s="10"/>
      <c r="L713" s="10">
        <v>1</v>
      </c>
      <c r="O713" t="s">
        <v>729</v>
      </c>
      <c r="P713">
        <v>1</v>
      </c>
      <c r="Q713">
        <f t="shared" si="44"/>
        <v>6</v>
      </c>
      <c r="R713">
        <f t="shared" si="45"/>
        <v>6.2155775398998981E-4</v>
      </c>
      <c r="S713">
        <f t="shared" si="47"/>
        <v>0.95987163948673171</v>
      </c>
      <c r="T713" t="str">
        <f t="shared" si="46"/>
        <v>C</v>
      </c>
      <c r="V713" t="s">
        <v>729</v>
      </c>
      <c r="W713" t="s">
        <v>1246</v>
      </c>
    </row>
    <row r="714" spans="1:23" x14ac:dyDescent="0.25">
      <c r="A714" s="17">
        <v>44776</v>
      </c>
      <c r="B714" s="1" t="s">
        <v>760</v>
      </c>
      <c r="C714" s="1">
        <v>0.66666667000000002</v>
      </c>
      <c r="F714" s="9" t="s">
        <v>299</v>
      </c>
      <c r="G714" s="10">
        <v>2</v>
      </c>
      <c r="H714" s="10">
        <v>3</v>
      </c>
      <c r="I714" s="10">
        <v>1</v>
      </c>
      <c r="J714" s="10"/>
      <c r="K714" s="10"/>
      <c r="L714" s="10">
        <v>6</v>
      </c>
      <c r="O714" t="s">
        <v>1186</v>
      </c>
      <c r="P714">
        <v>1</v>
      </c>
      <c r="Q714">
        <f t="shared" si="44"/>
        <v>6</v>
      </c>
      <c r="R714">
        <f t="shared" si="45"/>
        <v>6.2155775398998981E-4</v>
      </c>
      <c r="S714">
        <f t="shared" si="47"/>
        <v>0.96049319724072169</v>
      </c>
      <c r="T714" t="str">
        <f t="shared" si="46"/>
        <v>C</v>
      </c>
      <c r="V714" t="s">
        <v>1186</v>
      </c>
      <c r="W714" t="s">
        <v>1246</v>
      </c>
    </row>
    <row r="715" spans="1:23" x14ac:dyDescent="0.25">
      <c r="A715" s="17">
        <v>44776</v>
      </c>
      <c r="B715" s="1" t="s">
        <v>236</v>
      </c>
      <c r="C715" s="1">
        <v>1</v>
      </c>
      <c r="F715" s="9" t="s">
        <v>817</v>
      </c>
      <c r="G715" s="10"/>
      <c r="H715" s="10"/>
      <c r="I715" s="10">
        <v>1</v>
      </c>
      <c r="J715" s="10"/>
      <c r="K715" s="10"/>
      <c r="L715" s="10">
        <v>1</v>
      </c>
      <c r="O715" t="s">
        <v>836</v>
      </c>
      <c r="P715">
        <v>1</v>
      </c>
      <c r="Q715">
        <f t="shared" si="44"/>
        <v>6</v>
      </c>
      <c r="R715">
        <f t="shared" si="45"/>
        <v>6.2155775398998981E-4</v>
      </c>
      <c r="S715">
        <f t="shared" si="47"/>
        <v>0.96111475499471166</v>
      </c>
      <c r="T715" t="str">
        <f t="shared" si="46"/>
        <v>C</v>
      </c>
      <c r="V715" t="s">
        <v>836</v>
      </c>
      <c r="W715" t="s">
        <v>1246</v>
      </c>
    </row>
    <row r="716" spans="1:23" x14ac:dyDescent="0.25">
      <c r="A716" s="17">
        <v>44776</v>
      </c>
      <c r="B716" s="1" t="s">
        <v>236</v>
      </c>
      <c r="C716" s="1">
        <v>1</v>
      </c>
      <c r="F716" s="9" t="s">
        <v>377</v>
      </c>
      <c r="G716" s="10">
        <v>2</v>
      </c>
      <c r="H716" s="10"/>
      <c r="I716" s="10"/>
      <c r="J716" s="10"/>
      <c r="K716" s="10"/>
      <c r="L716" s="10">
        <v>2</v>
      </c>
      <c r="O716" t="s">
        <v>903</v>
      </c>
      <c r="P716">
        <v>1</v>
      </c>
      <c r="Q716">
        <f t="shared" si="44"/>
        <v>6</v>
      </c>
      <c r="R716">
        <f t="shared" si="45"/>
        <v>6.2155775398998981E-4</v>
      </c>
      <c r="S716">
        <f t="shared" si="47"/>
        <v>0.96173631274870164</v>
      </c>
      <c r="T716" t="str">
        <f t="shared" si="46"/>
        <v>C</v>
      </c>
      <c r="V716" t="s">
        <v>903</v>
      </c>
      <c r="W716" t="s">
        <v>1246</v>
      </c>
    </row>
    <row r="717" spans="1:23" x14ac:dyDescent="0.25">
      <c r="A717" s="17">
        <v>44776</v>
      </c>
      <c r="B717" s="1" t="s">
        <v>236</v>
      </c>
      <c r="C717" s="1">
        <v>1</v>
      </c>
      <c r="F717" s="9" t="s">
        <v>366</v>
      </c>
      <c r="G717" s="10">
        <v>2</v>
      </c>
      <c r="H717" s="10">
        <v>2</v>
      </c>
      <c r="I717" s="10">
        <v>1</v>
      </c>
      <c r="J717" s="10">
        <v>1</v>
      </c>
      <c r="K717" s="10">
        <v>4</v>
      </c>
      <c r="L717" s="10">
        <v>10</v>
      </c>
      <c r="O717" t="s">
        <v>928</v>
      </c>
      <c r="P717">
        <v>1</v>
      </c>
      <c r="Q717">
        <f t="shared" si="44"/>
        <v>6</v>
      </c>
      <c r="R717">
        <f t="shared" si="45"/>
        <v>6.2155775398998981E-4</v>
      </c>
      <c r="S717">
        <f t="shared" si="47"/>
        <v>0.96235787050269161</v>
      </c>
      <c r="T717" t="str">
        <f t="shared" si="46"/>
        <v>C</v>
      </c>
      <c r="V717" t="s">
        <v>928</v>
      </c>
      <c r="W717" t="s">
        <v>1246</v>
      </c>
    </row>
    <row r="718" spans="1:23" x14ac:dyDescent="0.25">
      <c r="A718" s="17">
        <v>44776</v>
      </c>
      <c r="B718" s="1" t="s">
        <v>140</v>
      </c>
      <c r="C718" s="1">
        <v>1</v>
      </c>
      <c r="F718" s="9" t="s">
        <v>729</v>
      </c>
      <c r="G718" s="10"/>
      <c r="H718" s="10"/>
      <c r="I718" s="10">
        <v>1</v>
      </c>
      <c r="J718" s="10"/>
      <c r="K718" s="10"/>
      <c r="L718" s="10">
        <v>1</v>
      </c>
      <c r="O718" t="s">
        <v>295</v>
      </c>
      <c r="P718">
        <v>1</v>
      </c>
      <c r="Q718">
        <f t="shared" si="44"/>
        <v>6</v>
      </c>
      <c r="R718">
        <f t="shared" si="45"/>
        <v>6.2155775398998981E-4</v>
      </c>
      <c r="S718">
        <f t="shared" si="47"/>
        <v>0.96297942825668159</v>
      </c>
      <c r="T718" t="str">
        <f t="shared" si="46"/>
        <v>C</v>
      </c>
      <c r="V718" t="s">
        <v>295</v>
      </c>
      <c r="W718" t="s">
        <v>1246</v>
      </c>
    </row>
    <row r="719" spans="1:23" x14ac:dyDescent="0.25">
      <c r="A719" s="17">
        <v>44776</v>
      </c>
      <c r="B719" s="1" t="s">
        <v>140</v>
      </c>
      <c r="C719" s="1">
        <v>1</v>
      </c>
      <c r="F719" s="9" t="s">
        <v>1186</v>
      </c>
      <c r="G719" s="10"/>
      <c r="H719" s="10"/>
      <c r="I719" s="10"/>
      <c r="J719" s="10"/>
      <c r="K719" s="10">
        <v>1</v>
      </c>
      <c r="L719" s="10">
        <v>1</v>
      </c>
      <c r="O719" t="s">
        <v>479</v>
      </c>
      <c r="P719">
        <v>1</v>
      </c>
      <c r="Q719">
        <f t="shared" si="44"/>
        <v>6</v>
      </c>
      <c r="R719">
        <f t="shared" si="45"/>
        <v>6.2155775398998981E-4</v>
      </c>
      <c r="S719">
        <f t="shared" si="47"/>
        <v>0.96360098601067157</v>
      </c>
      <c r="T719" t="str">
        <f t="shared" si="46"/>
        <v>C</v>
      </c>
      <c r="V719" t="s">
        <v>479</v>
      </c>
      <c r="W719" t="s">
        <v>1246</v>
      </c>
    </row>
    <row r="720" spans="1:23" x14ac:dyDescent="0.25">
      <c r="A720" s="17">
        <v>44776</v>
      </c>
      <c r="B720" s="1" t="s">
        <v>140</v>
      </c>
      <c r="C720" s="1">
        <v>1</v>
      </c>
      <c r="F720" s="9" t="s">
        <v>836</v>
      </c>
      <c r="G720" s="10"/>
      <c r="H720" s="10"/>
      <c r="I720" s="10">
        <v>1</v>
      </c>
      <c r="J720" s="10"/>
      <c r="K720" s="10"/>
      <c r="L720" s="10">
        <v>1</v>
      </c>
      <c r="O720" t="s">
        <v>1214</v>
      </c>
      <c r="P720">
        <v>1</v>
      </c>
      <c r="Q720">
        <f t="shared" si="44"/>
        <v>6</v>
      </c>
      <c r="R720">
        <f t="shared" si="45"/>
        <v>6.2155775398998981E-4</v>
      </c>
      <c r="S720">
        <f t="shared" si="47"/>
        <v>0.96422254376466154</v>
      </c>
      <c r="T720" t="str">
        <f t="shared" si="46"/>
        <v>C</v>
      </c>
      <c r="V720" t="s">
        <v>1214</v>
      </c>
      <c r="W720" t="s">
        <v>1246</v>
      </c>
    </row>
    <row r="721" spans="1:23" x14ac:dyDescent="0.25">
      <c r="A721" s="17">
        <v>44776</v>
      </c>
      <c r="B721" s="1" t="s">
        <v>761</v>
      </c>
      <c r="C721" s="1">
        <v>1</v>
      </c>
      <c r="F721" s="9" t="s">
        <v>903</v>
      </c>
      <c r="G721" s="10"/>
      <c r="H721" s="10"/>
      <c r="I721" s="10">
        <v>1</v>
      </c>
      <c r="J721" s="10"/>
      <c r="K721" s="10"/>
      <c r="L721" s="10">
        <v>1</v>
      </c>
      <c r="O721" t="s">
        <v>1108</v>
      </c>
      <c r="P721">
        <v>1</v>
      </c>
      <c r="Q721">
        <f t="shared" si="44"/>
        <v>6</v>
      </c>
      <c r="R721">
        <f t="shared" si="45"/>
        <v>6.2155775398998981E-4</v>
      </c>
      <c r="S721">
        <f t="shared" si="47"/>
        <v>0.96484410151865152</v>
      </c>
      <c r="T721" t="str">
        <f t="shared" si="46"/>
        <v>C</v>
      </c>
      <c r="V721" t="s">
        <v>1108</v>
      </c>
      <c r="W721" t="s">
        <v>1246</v>
      </c>
    </row>
    <row r="722" spans="1:23" x14ac:dyDescent="0.25">
      <c r="A722" s="17">
        <v>44776</v>
      </c>
      <c r="B722" s="1" t="s">
        <v>763</v>
      </c>
      <c r="C722" s="1">
        <v>1</v>
      </c>
      <c r="F722" s="9" t="s">
        <v>465</v>
      </c>
      <c r="G722" s="10">
        <v>2</v>
      </c>
      <c r="H722" s="10">
        <v>1</v>
      </c>
      <c r="I722" s="10">
        <v>3</v>
      </c>
      <c r="J722" s="10"/>
      <c r="K722" s="10">
        <v>1</v>
      </c>
      <c r="L722" s="10">
        <v>7</v>
      </c>
      <c r="O722" t="s">
        <v>808</v>
      </c>
      <c r="P722">
        <v>1</v>
      </c>
      <c r="Q722">
        <f t="shared" si="44"/>
        <v>6</v>
      </c>
      <c r="R722">
        <f t="shared" si="45"/>
        <v>6.2155775398998981E-4</v>
      </c>
      <c r="S722">
        <f t="shared" si="47"/>
        <v>0.9654656592726415</v>
      </c>
      <c r="T722" t="str">
        <f t="shared" si="46"/>
        <v>C</v>
      </c>
      <c r="V722" t="s">
        <v>808</v>
      </c>
      <c r="W722" t="s">
        <v>1246</v>
      </c>
    </row>
    <row r="723" spans="1:23" x14ac:dyDescent="0.25">
      <c r="A723" s="17">
        <v>44776</v>
      </c>
      <c r="B723" s="1" t="s">
        <v>764</v>
      </c>
      <c r="C723" s="1">
        <v>1</v>
      </c>
      <c r="F723" s="9" t="s">
        <v>928</v>
      </c>
      <c r="G723" s="10"/>
      <c r="H723" s="10"/>
      <c r="I723" s="10"/>
      <c r="J723" s="10">
        <v>1</v>
      </c>
      <c r="K723" s="10"/>
      <c r="L723" s="10">
        <v>1</v>
      </c>
      <c r="O723" t="s">
        <v>383</v>
      </c>
      <c r="P723">
        <v>1</v>
      </c>
      <c r="Q723">
        <f t="shared" si="44"/>
        <v>6</v>
      </c>
      <c r="R723">
        <f t="shared" si="45"/>
        <v>6.2155775398998981E-4</v>
      </c>
      <c r="S723">
        <f t="shared" si="47"/>
        <v>0.96608721702663147</v>
      </c>
      <c r="T723" t="str">
        <f t="shared" si="46"/>
        <v>C</v>
      </c>
      <c r="V723" t="s">
        <v>383</v>
      </c>
      <c r="W723" t="s">
        <v>1246</v>
      </c>
    </row>
    <row r="724" spans="1:23" x14ac:dyDescent="0.25">
      <c r="A724" s="17">
        <v>44776</v>
      </c>
      <c r="B724" s="1" t="s">
        <v>764</v>
      </c>
      <c r="C724" s="1">
        <v>1</v>
      </c>
      <c r="F724" s="9" t="s">
        <v>295</v>
      </c>
      <c r="G724" s="10">
        <v>1</v>
      </c>
      <c r="H724" s="10"/>
      <c r="I724" s="10"/>
      <c r="J724" s="10"/>
      <c r="K724" s="10"/>
      <c r="L724" s="10">
        <v>1</v>
      </c>
      <c r="O724" t="s">
        <v>1037</v>
      </c>
      <c r="P724">
        <v>1</v>
      </c>
      <c r="Q724">
        <f t="shared" si="44"/>
        <v>6</v>
      </c>
      <c r="R724">
        <f t="shared" si="45"/>
        <v>6.2155775398998981E-4</v>
      </c>
      <c r="S724">
        <f t="shared" si="47"/>
        <v>0.96670877478062145</v>
      </c>
      <c r="T724" t="str">
        <f t="shared" si="46"/>
        <v>C</v>
      </c>
      <c r="V724" t="s">
        <v>1037</v>
      </c>
      <c r="W724" t="s">
        <v>1246</v>
      </c>
    </row>
    <row r="725" spans="1:23" x14ac:dyDescent="0.25">
      <c r="A725" s="17">
        <v>44776</v>
      </c>
      <c r="B725" s="1" t="s">
        <v>157</v>
      </c>
      <c r="C725" s="1">
        <v>1</v>
      </c>
      <c r="F725" s="9" t="s">
        <v>912</v>
      </c>
      <c r="G725" s="10"/>
      <c r="H725" s="10"/>
      <c r="I725" s="10">
        <v>0.2</v>
      </c>
      <c r="J725" s="10"/>
      <c r="K725" s="10"/>
      <c r="L725" s="10">
        <v>0.2</v>
      </c>
      <c r="O725" t="s">
        <v>924</v>
      </c>
      <c r="P725">
        <v>1</v>
      </c>
      <c r="Q725">
        <f t="shared" si="44"/>
        <v>6</v>
      </c>
      <c r="R725">
        <f t="shared" si="45"/>
        <v>6.2155775398998981E-4</v>
      </c>
      <c r="S725">
        <f t="shared" si="47"/>
        <v>0.96733033253461143</v>
      </c>
      <c r="T725" t="str">
        <f t="shared" si="46"/>
        <v>C</v>
      </c>
      <c r="V725" t="s">
        <v>924</v>
      </c>
      <c r="W725" t="s">
        <v>1246</v>
      </c>
    </row>
    <row r="726" spans="1:23" x14ac:dyDescent="0.25">
      <c r="A726" s="17">
        <v>44776</v>
      </c>
      <c r="B726" s="1" t="s">
        <v>157</v>
      </c>
      <c r="C726" s="1">
        <v>1</v>
      </c>
      <c r="F726" s="9" t="s">
        <v>479</v>
      </c>
      <c r="G726" s="10"/>
      <c r="H726" s="10">
        <v>1</v>
      </c>
      <c r="I726" s="10"/>
      <c r="J726" s="10"/>
      <c r="K726" s="10"/>
      <c r="L726" s="10">
        <v>1</v>
      </c>
      <c r="O726" t="s">
        <v>1188</v>
      </c>
      <c r="P726">
        <v>1</v>
      </c>
      <c r="Q726">
        <f t="shared" si="44"/>
        <v>6</v>
      </c>
      <c r="R726">
        <f t="shared" si="45"/>
        <v>6.2155775398998981E-4</v>
      </c>
      <c r="S726">
        <f t="shared" si="47"/>
        <v>0.9679518902886014</v>
      </c>
      <c r="T726" t="str">
        <f t="shared" si="46"/>
        <v>C</v>
      </c>
      <c r="V726" t="s">
        <v>1188</v>
      </c>
      <c r="W726" t="s">
        <v>1246</v>
      </c>
    </row>
    <row r="727" spans="1:23" x14ac:dyDescent="0.25">
      <c r="A727" s="17">
        <v>44776</v>
      </c>
      <c r="B727" s="1" t="s">
        <v>715</v>
      </c>
      <c r="C727" s="1">
        <v>0.49999999000000001</v>
      </c>
      <c r="F727" s="9" t="s">
        <v>1214</v>
      </c>
      <c r="G727" s="10"/>
      <c r="H727" s="10"/>
      <c r="I727" s="10"/>
      <c r="J727" s="10"/>
      <c r="K727" s="10">
        <v>1</v>
      </c>
      <c r="L727" s="10">
        <v>1</v>
      </c>
      <c r="O727" t="s">
        <v>440</v>
      </c>
      <c r="P727">
        <v>1</v>
      </c>
      <c r="Q727">
        <f t="shared" si="44"/>
        <v>6</v>
      </c>
      <c r="R727">
        <f t="shared" si="45"/>
        <v>6.2155775398998981E-4</v>
      </c>
      <c r="S727">
        <f t="shared" si="47"/>
        <v>0.96857344804259138</v>
      </c>
      <c r="T727" t="str">
        <f t="shared" si="46"/>
        <v>C</v>
      </c>
      <c r="V727" t="s">
        <v>440</v>
      </c>
      <c r="W727" t="s">
        <v>1246</v>
      </c>
    </row>
    <row r="728" spans="1:23" x14ac:dyDescent="0.25">
      <c r="A728" s="17">
        <v>44776</v>
      </c>
      <c r="B728" s="1" t="s">
        <v>752</v>
      </c>
      <c r="C728" s="1">
        <v>1</v>
      </c>
      <c r="F728" s="9" t="s">
        <v>1108</v>
      </c>
      <c r="G728" s="10"/>
      <c r="H728" s="10"/>
      <c r="I728" s="10"/>
      <c r="J728" s="10"/>
      <c r="K728" s="10">
        <v>1</v>
      </c>
      <c r="L728" s="10">
        <v>1</v>
      </c>
      <c r="O728" t="s">
        <v>636</v>
      </c>
      <c r="P728">
        <v>1</v>
      </c>
      <c r="Q728">
        <f t="shared" si="44"/>
        <v>6</v>
      </c>
      <c r="R728">
        <f t="shared" si="45"/>
        <v>6.2155775398998981E-4</v>
      </c>
      <c r="S728">
        <f t="shared" si="47"/>
        <v>0.96919500579658135</v>
      </c>
      <c r="T728" t="str">
        <f t="shared" si="46"/>
        <v>C</v>
      </c>
      <c r="V728" t="s">
        <v>636</v>
      </c>
      <c r="W728" t="s">
        <v>1246</v>
      </c>
    </row>
    <row r="729" spans="1:23" x14ac:dyDescent="0.25">
      <c r="A729" s="17">
        <v>44776</v>
      </c>
      <c r="B729" s="1" t="s">
        <v>288</v>
      </c>
      <c r="C729" s="1">
        <v>1</v>
      </c>
      <c r="F729" s="9" t="s">
        <v>808</v>
      </c>
      <c r="G729" s="10"/>
      <c r="H729" s="10"/>
      <c r="I729" s="10">
        <v>1</v>
      </c>
      <c r="J729" s="10"/>
      <c r="K729" s="10"/>
      <c r="L729" s="10">
        <v>1</v>
      </c>
      <c r="O729" t="s">
        <v>253</v>
      </c>
      <c r="P729">
        <v>1</v>
      </c>
      <c r="Q729">
        <f t="shared" si="44"/>
        <v>6</v>
      </c>
      <c r="R729">
        <f t="shared" si="45"/>
        <v>6.2155775398998981E-4</v>
      </c>
      <c r="S729">
        <f t="shared" si="47"/>
        <v>0.96981656355057133</v>
      </c>
      <c r="T729" t="str">
        <f t="shared" si="46"/>
        <v>C</v>
      </c>
      <c r="V729" t="s">
        <v>253</v>
      </c>
      <c r="W729" t="s">
        <v>1246</v>
      </c>
    </row>
    <row r="730" spans="1:23" x14ac:dyDescent="0.25">
      <c r="A730" s="17">
        <v>44776</v>
      </c>
      <c r="B730" s="1" t="s">
        <v>424</v>
      </c>
      <c r="C730" s="1">
        <v>1</v>
      </c>
      <c r="F730" s="9" t="s">
        <v>229</v>
      </c>
      <c r="G730" s="10">
        <v>1</v>
      </c>
      <c r="H730" s="10"/>
      <c r="I730" s="10"/>
      <c r="J730" s="10"/>
      <c r="K730" s="10">
        <v>1</v>
      </c>
      <c r="L730" s="10">
        <v>2</v>
      </c>
      <c r="O730" t="s">
        <v>521</v>
      </c>
      <c r="P730">
        <v>1</v>
      </c>
      <c r="Q730">
        <f t="shared" si="44"/>
        <v>6</v>
      </c>
      <c r="R730">
        <f t="shared" si="45"/>
        <v>6.2155775398998981E-4</v>
      </c>
      <c r="S730">
        <f t="shared" si="47"/>
        <v>0.97043812130456131</v>
      </c>
      <c r="T730" t="str">
        <f t="shared" si="46"/>
        <v>C</v>
      </c>
      <c r="V730" t="s">
        <v>521</v>
      </c>
      <c r="W730" t="s">
        <v>1246</v>
      </c>
    </row>
    <row r="731" spans="1:23" x14ac:dyDescent="0.25">
      <c r="A731" s="17">
        <v>44776</v>
      </c>
      <c r="B731" s="1" t="s">
        <v>765</v>
      </c>
      <c r="C731" s="1">
        <v>1</v>
      </c>
      <c r="F731" s="9" t="s">
        <v>383</v>
      </c>
      <c r="G731" s="10">
        <v>1</v>
      </c>
      <c r="H731" s="10"/>
      <c r="I731" s="10"/>
      <c r="J731" s="10"/>
      <c r="K731" s="10"/>
      <c r="L731" s="10">
        <v>1</v>
      </c>
      <c r="O731" t="s">
        <v>439</v>
      </c>
      <c r="P731">
        <v>1</v>
      </c>
      <c r="Q731">
        <f t="shared" si="44"/>
        <v>6</v>
      </c>
      <c r="R731">
        <f t="shared" si="45"/>
        <v>6.2155775398998981E-4</v>
      </c>
      <c r="S731">
        <f t="shared" si="47"/>
        <v>0.97105967905855128</v>
      </c>
      <c r="T731" t="str">
        <f t="shared" si="46"/>
        <v>C</v>
      </c>
      <c r="V731" t="s">
        <v>439</v>
      </c>
      <c r="W731" t="s">
        <v>1246</v>
      </c>
    </row>
    <row r="732" spans="1:23" x14ac:dyDescent="0.25">
      <c r="A732" s="17">
        <v>44776</v>
      </c>
      <c r="B732" s="1" t="s">
        <v>767</v>
      </c>
      <c r="C732" s="1">
        <v>1</v>
      </c>
      <c r="F732" s="9" t="s">
        <v>1037</v>
      </c>
      <c r="G732" s="10"/>
      <c r="H732" s="10"/>
      <c r="I732" s="10"/>
      <c r="J732" s="10">
        <v>1</v>
      </c>
      <c r="K732" s="10"/>
      <c r="L732" s="10">
        <v>1</v>
      </c>
      <c r="O732" t="s">
        <v>855</v>
      </c>
      <c r="P732">
        <v>1</v>
      </c>
      <c r="Q732">
        <f t="shared" si="44"/>
        <v>6</v>
      </c>
      <c r="R732">
        <f t="shared" si="45"/>
        <v>6.2155775398998981E-4</v>
      </c>
      <c r="S732">
        <f t="shared" si="47"/>
        <v>0.97168123681254126</v>
      </c>
      <c r="T732" t="str">
        <f t="shared" si="46"/>
        <v>C</v>
      </c>
      <c r="V732" t="s">
        <v>855</v>
      </c>
      <c r="W732" t="s">
        <v>1246</v>
      </c>
    </row>
    <row r="733" spans="1:23" x14ac:dyDescent="0.25">
      <c r="A733" s="17">
        <v>44776</v>
      </c>
      <c r="B733" s="1" t="s">
        <v>112</v>
      </c>
      <c r="C733" s="1">
        <v>2</v>
      </c>
      <c r="F733" s="9" t="s">
        <v>537</v>
      </c>
      <c r="G733" s="10"/>
      <c r="H733" s="10">
        <v>0.30000000000000004</v>
      </c>
      <c r="I733" s="10"/>
      <c r="J733" s="10"/>
      <c r="K733" s="10"/>
      <c r="L733" s="10">
        <v>0.30000000000000004</v>
      </c>
      <c r="O733" t="s">
        <v>302</v>
      </c>
      <c r="P733">
        <v>1</v>
      </c>
      <c r="Q733">
        <f t="shared" si="44"/>
        <v>6</v>
      </c>
      <c r="R733">
        <f t="shared" si="45"/>
        <v>6.2155775398998981E-4</v>
      </c>
      <c r="S733">
        <f t="shared" si="47"/>
        <v>0.97230279456653124</v>
      </c>
      <c r="T733" t="str">
        <f t="shared" si="46"/>
        <v>C</v>
      </c>
      <c r="V733" t="s">
        <v>302</v>
      </c>
      <c r="W733" t="s">
        <v>1246</v>
      </c>
    </row>
    <row r="734" spans="1:23" x14ac:dyDescent="0.25">
      <c r="A734" s="17">
        <v>44776</v>
      </c>
      <c r="B734" s="1" t="s">
        <v>112</v>
      </c>
      <c r="C734" s="1">
        <v>1</v>
      </c>
      <c r="F734" s="9" t="s">
        <v>703</v>
      </c>
      <c r="G734" s="10"/>
      <c r="H734" s="10">
        <v>1</v>
      </c>
      <c r="I734" s="10"/>
      <c r="J734" s="10"/>
      <c r="K734" s="10">
        <v>1</v>
      </c>
      <c r="L734" s="10">
        <v>2</v>
      </c>
      <c r="O734" t="s">
        <v>244</v>
      </c>
      <c r="P734">
        <v>1</v>
      </c>
      <c r="Q734">
        <f t="shared" si="44"/>
        <v>6</v>
      </c>
      <c r="R734">
        <f t="shared" si="45"/>
        <v>6.2155775398998981E-4</v>
      </c>
      <c r="S734">
        <f t="shared" si="47"/>
        <v>0.97292435232052121</v>
      </c>
      <c r="T734" t="str">
        <f t="shared" si="46"/>
        <v>C</v>
      </c>
      <c r="V734" t="s">
        <v>244</v>
      </c>
      <c r="W734" t="s">
        <v>1246</v>
      </c>
    </row>
    <row r="735" spans="1:23" x14ac:dyDescent="0.25">
      <c r="A735" s="17">
        <v>44776</v>
      </c>
      <c r="B735" s="1" t="s">
        <v>769</v>
      </c>
      <c r="C735" s="1">
        <v>1</v>
      </c>
      <c r="F735" s="9" t="s">
        <v>924</v>
      </c>
      <c r="G735" s="10"/>
      <c r="H735" s="10"/>
      <c r="I735" s="10"/>
      <c r="J735" s="10">
        <v>1</v>
      </c>
      <c r="K735" s="10"/>
      <c r="L735" s="10">
        <v>1</v>
      </c>
      <c r="O735" t="s">
        <v>493</v>
      </c>
      <c r="P735">
        <v>1</v>
      </c>
      <c r="Q735">
        <f t="shared" si="44"/>
        <v>6</v>
      </c>
      <c r="R735">
        <f t="shared" si="45"/>
        <v>6.2155775398998981E-4</v>
      </c>
      <c r="S735">
        <f t="shared" si="47"/>
        <v>0.97354591007451119</v>
      </c>
      <c r="T735" t="str">
        <f t="shared" si="46"/>
        <v>C</v>
      </c>
      <c r="V735" t="s">
        <v>493</v>
      </c>
      <c r="W735" t="s">
        <v>1246</v>
      </c>
    </row>
    <row r="736" spans="1:23" x14ac:dyDescent="0.25">
      <c r="A736" s="17">
        <v>44776</v>
      </c>
      <c r="B736" s="1" t="s">
        <v>771</v>
      </c>
      <c r="C736" s="1">
        <v>1</v>
      </c>
      <c r="F736" s="9" t="s">
        <v>1188</v>
      </c>
      <c r="G736" s="10"/>
      <c r="H736" s="10"/>
      <c r="I736" s="10"/>
      <c r="J736" s="10"/>
      <c r="K736" s="10">
        <v>1</v>
      </c>
      <c r="L736" s="10">
        <v>1</v>
      </c>
      <c r="O736" t="s">
        <v>1049</v>
      </c>
      <c r="P736">
        <v>1</v>
      </c>
      <c r="Q736">
        <f t="shared" si="44"/>
        <v>6</v>
      </c>
      <c r="R736">
        <f t="shared" si="45"/>
        <v>6.2155775398998981E-4</v>
      </c>
      <c r="S736">
        <f t="shared" si="47"/>
        <v>0.97416746782850117</v>
      </c>
      <c r="T736" t="str">
        <f t="shared" si="46"/>
        <v>C</v>
      </c>
      <c r="V736" t="s">
        <v>1049</v>
      </c>
      <c r="W736" t="s">
        <v>1246</v>
      </c>
    </row>
    <row r="737" spans="1:23" x14ac:dyDescent="0.25">
      <c r="A737" s="17">
        <v>44776</v>
      </c>
      <c r="B737" s="1" t="s">
        <v>773</v>
      </c>
      <c r="C737" s="1">
        <v>1</v>
      </c>
      <c r="F737" s="9" t="s">
        <v>670</v>
      </c>
      <c r="G737" s="10"/>
      <c r="H737" s="10">
        <v>1</v>
      </c>
      <c r="I737" s="10">
        <v>1</v>
      </c>
      <c r="J737" s="10"/>
      <c r="K737" s="10"/>
      <c r="L737" s="10">
        <v>2</v>
      </c>
      <c r="O737" t="s">
        <v>260</v>
      </c>
      <c r="P737">
        <v>1</v>
      </c>
      <c r="Q737">
        <f t="shared" si="44"/>
        <v>6</v>
      </c>
      <c r="R737">
        <f t="shared" si="45"/>
        <v>6.2155775398998981E-4</v>
      </c>
      <c r="S737">
        <f t="shared" si="47"/>
        <v>0.97478902558249114</v>
      </c>
      <c r="T737" t="str">
        <f t="shared" si="46"/>
        <v>C</v>
      </c>
      <c r="V737" t="s">
        <v>260</v>
      </c>
      <c r="W737" t="s">
        <v>1246</v>
      </c>
    </row>
    <row r="738" spans="1:23" x14ac:dyDescent="0.25">
      <c r="A738" s="17">
        <v>44776</v>
      </c>
      <c r="B738" s="1" t="s">
        <v>514</v>
      </c>
      <c r="C738" s="1">
        <v>1</v>
      </c>
      <c r="F738" s="9" t="s">
        <v>316</v>
      </c>
      <c r="G738" s="10">
        <v>2</v>
      </c>
      <c r="H738" s="10"/>
      <c r="I738" s="10"/>
      <c r="J738" s="10"/>
      <c r="K738" s="10"/>
      <c r="L738" s="10">
        <v>2</v>
      </c>
      <c r="O738" t="s">
        <v>590</v>
      </c>
      <c r="P738">
        <v>1</v>
      </c>
      <c r="Q738">
        <f t="shared" si="44"/>
        <v>6</v>
      </c>
      <c r="R738">
        <f t="shared" si="45"/>
        <v>6.2155775398998981E-4</v>
      </c>
      <c r="S738">
        <f t="shared" si="47"/>
        <v>0.97541058333648112</v>
      </c>
      <c r="T738" t="str">
        <f t="shared" si="46"/>
        <v>C</v>
      </c>
      <c r="V738" t="s">
        <v>590</v>
      </c>
      <c r="W738" t="s">
        <v>1246</v>
      </c>
    </row>
    <row r="739" spans="1:23" x14ac:dyDescent="0.25">
      <c r="A739" s="17">
        <v>44776</v>
      </c>
      <c r="B739" s="1" t="s">
        <v>514</v>
      </c>
      <c r="C739" s="1">
        <v>1</v>
      </c>
      <c r="F739" s="9" t="s">
        <v>440</v>
      </c>
      <c r="G739" s="10">
        <v>1</v>
      </c>
      <c r="H739" s="10"/>
      <c r="I739" s="10"/>
      <c r="J739" s="10"/>
      <c r="K739" s="10"/>
      <c r="L739" s="10">
        <v>1</v>
      </c>
      <c r="O739" t="s">
        <v>633</v>
      </c>
      <c r="P739">
        <v>1</v>
      </c>
      <c r="Q739">
        <f t="shared" si="44"/>
        <v>6</v>
      </c>
      <c r="R739">
        <f t="shared" si="45"/>
        <v>6.2155775398998981E-4</v>
      </c>
      <c r="S739">
        <f t="shared" si="47"/>
        <v>0.97603214109047109</v>
      </c>
      <c r="T739" t="str">
        <f t="shared" si="46"/>
        <v>C</v>
      </c>
      <c r="V739" t="s">
        <v>633</v>
      </c>
      <c r="W739" t="s">
        <v>1246</v>
      </c>
    </row>
    <row r="740" spans="1:23" x14ac:dyDescent="0.25">
      <c r="A740" s="17">
        <v>44776</v>
      </c>
      <c r="B740" s="1" t="s">
        <v>774</v>
      </c>
      <c r="C740" s="1">
        <v>1</v>
      </c>
      <c r="F740" s="9" t="s">
        <v>636</v>
      </c>
      <c r="G740" s="10"/>
      <c r="H740" s="10">
        <v>1</v>
      </c>
      <c r="I740" s="10"/>
      <c r="J740" s="10"/>
      <c r="K740" s="10"/>
      <c r="L740" s="10">
        <v>1</v>
      </c>
      <c r="O740" t="s">
        <v>629</v>
      </c>
      <c r="P740">
        <v>1</v>
      </c>
      <c r="Q740">
        <f t="shared" si="44"/>
        <v>6</v>
      </c>
      <c r="R740">
        <f t="shared" si="45"/>
        <v>6.2155775398998981E-4</v>
      </c>
      <c r="S740">
        <f t="shared" si="47"/>
        <v>0.97665369884446107</v>
      </c>
      <c r="T740" t="str">
        <f t="shared" si="46"/>
        <v>C</v>
      </c>
      <c r="V740" t="s">
        <v>629</v>
      </c>
      <c r="W740" t="s">
        <v>1246</v>
      </c>
    </row>
    <row r="741" spans="1:23" x14ac:dyDescent="0.25">
      <c r="A741" s="17">
        <v>44776</v>
      </c>
      <c r="B741" s="1" t="s">
        <v>775</v>
      </c>
      <c r="C741" s="1">
        <v>1</v>
      </c>
      <c r="F741" s="9" t="s">
        <v>253</v>
      </c>
      <c r="G741" s="10">
        <v>1</v>
      </c>
      <c r="H741" s="10"/>
      <c r="I741" s="10"/>
      <c r="J741" s="10"/>
      <c r="K741" s="10"/>
      <c r="L741" s="10">
        <v>1</v>
      </c>
      <c r="O741" t="s">
        <v>913</v>
      </c>
      <c r="P741">
        <v>1</v>
      </c>
      <c r="Q741">
        <f t="shared" si="44"/>
        <v>6</v>
      </c>
      <c r="R741">
        <f t="shared" si="45"/>
        <v>6.2155775398998981E-4</v>
      </c>
      <c r="S741">
        <f t="shared" si="47"/>
        <v>0.97727525659845105</v>
      </c>
      <c r="T741" t="str">
        <f t="shared" si="46"/>
        <v>C</v>
      </c>
      <c r="V741" t="s">
        <v>913</v>
      </c>
      <c r="W741" t="s">
        <v>1246</v>
      </c>
    </row>
    <row r="742" spans="1:23" x14ac:dyDescent="0.25">
      <c r="A742" s="17">
        <v>44776</v>
      </c>
      <c r="B742" s="1" t="s">
        <v>777</v>
      </c>
      <c r="C742" s="1">
        <v>1</v>
      </c>
      <c r="F742" s="9" t="s">
        <v>521</v>
      </c>
      <c r="G742" s="10"/>
      <c r="H742" s="10">
        <v>1</v>
      </c>
      <c r="I742" s="10"/>
      <c r="J742" s="10"/>
      <c r="K742" s="10"/>
      <c r="L742" s="10">
        <v>1</v>
      </c>
      <c r="O742" t="s">
        <v>1139</v>
      </c>
      <c r="P742">
        <v>1</v>
      </c>
      <c r="Q742">
        <f t="shared" si="44"/>
        <v>6</v>
      </c>
      <c r="R742">
        <f t="shared" si="45"/>
        <v>6.2155775398998981E-4</v>
      </c>
      <c r="S742">
        <f t="shared" si="47"/>
        <v>0.97789681435244102</v>
      </c>
      <c r="T742" t="str">
        <f t="shared" si="46"/>
        <v>C</v>
      </c>
      <c r="V742" t="s">
        <v>1139</v>
      </c>
      <c r="W742" t="s">
        <v>1246</v>
      </c>
    </row>
    <row r="743" spans="1:23" x14ac:dyDescent="0.25">
      <c r="A743" s="17">
        <v>44776</v>
      </c>
      <c r="B743" s="1" t="s">
        <v>153</v>
      </c>
      <c r="C743" s="1">
        <v>1</v>
      </c>
      <c r="F743" s="9" t="s">
        <v>439</v>
      </c>
      <c r="G743" s="10">
        <v>1</v>
      </c>
      <c r="H743" s="10"/>
      <c r="I743" s="10"/>
      <c r="J743" s="10"/>
      <c r="K743" s="10"/>
      <c r="L743" s="10">
        <v>1</v>
      </c>
      <c r="O743" t="s">
        <v>718</v>
      </c>
      <c r="P743">
        <v>1</v>
      </c>
      <c r="Q743">
        <f t="shared" si="44"/>
        <v>6</v>
      </c>
      <c r="R743">
        <f t="shared" si="45"/>
        <v>6.2155775398998981E-4</v>
      </c>
      <c r="S743">
        <f t="shared" si="47"/>
        <v>0.978518372106431</v>
      </c>
      <c r="T743" t="str">
        <f t="shared" si="46"/>
        <v>C</v>
      </c>
      <c r="V743" t="s">
        <v>718</v>
      </c>
      <c r="W743" t="s">
        <v>1246</v>
      </c>
    </row>
    <row r="744" spans="1:23" x14ac:dyDescent="0.25">
      <c r="A744" s="17">
        <v>44776</v>
      </c>
      <c r="B744" s="1" t="s">
        <v>153</v>
      </c>
      <c r="C744" s="1">
        <v>1</v>
      </c>
      <c r="F744" s="9" t="s">
        <v>855</v>
      </c>
      <c r="G744" s="10"/>
      <c r="H744" s="10"/>
      <c r="I744" s="10">
        <v>1</v>
      </c>
      <c r="J744" s="10"/>
      <c r="K744" s="10"/>
      <c r="L744" s="10">
        <v>1</v>
      </c>
      <c r="O744" t="s">
        <v>1104</v>
      </c>
      <c r="P744">
        <v>1</v>
      </c>
      <c r="Q744">
        <f t="shared" si="44"/>
        <v>6</v>
      </c>
      <c r="R744">
        <f t="shared" si="45"/>
        <v>6.2155775398998981E-4</v>
      </c>
      <c r="S744">
        <f t="shared" si="47"/>
        <v>0.97913992986042098</v>
      </c>
      <c r="T744" t="str">
        <f t="shared" si="46"/>
        <v>C</v>
      </c>
      <c r="V744" t="s">
        <v>1104</v>
      </c>
      <c r="W744" t="s">
        <v>1246</v>
      </c>
    </row>
    <row r="745" spans="1:23" x14ac:dyDescent="0.25">
      <c r="A745" s="17">
        <v>44776</v>
      </c>
      <c r="B745" s="1" t="s">
        <v>779</v>
      </c>
      <c r="C745" s="1">
        <v>1</v>
      </c>
      <c r="F745" s="9" t="s">
        <v>302</v>
      </c>
      <c r="G745" s="10">
        <v>1</v>
      </c>
      <c r="H745" s="10"/>
      <c r="I745" s="10"/>
      <c r="J745" s="10"/>
      <c r="K745" s="10"/>
      <c r="L745" s="10">
        <v>1</v>
      </c>
      <c r="O745" t="s">
        <v>954</v>
      </c>
      <c r="P745">
        <v>1</v>
      </c>
      <c r="Q745">
        <f t="shared" si="44"/>
        <v>6</v>
      </c>
      <c r="R745">
        <f t="shared" si="45"/>
        <v>6.2155775398998981E-4</v>
      </c>
      <c r="S745">
        <f t="shared" si="47"/>
        <v>0.97976148761441095</v>
      </c>
      <c r="T745" t="str">
        <f t="shared" si="46"/>
        <v>C</v>
      </c>
      <c r="V745" t="s">
        <v>954</v>
      </c>
      <c r="W745" t="s">
        <v>1246</v>
      </c>
    </row>
    <row r="746" spans="1:23" x14ac:dyDescent="0.25">
      <c r="A746" s="17">
        <v>44776</v>
      </c>
      <c r="B746" s="1" t="s">
        <v>226</v>
      </c>
      <c r="C746" s="1">
        <v>1</v>
      </c>
      <c r="F746" s="9" t="s">
        <v>232</v>
      </c>
      <c r="G746" s="10">
        <v>1</v>
      </c>
      <c r="H746" s="10"/>
      <c r="I746" s="10"/>
      <c r="J746" s="10">
        <v>1</v>
      </c>
      <c r="K746" s="10">
        <v>1</v>
      </c>
      <c r="L746" s="10">
        <v>3</v>
      </c>
      <c r="O746" t="s">
        <v>595</v>
      </c>
      <c r="P746">
        <v>1</v>
      </c>
      <c r="Q746">
        <f t="shared" si="44"/>
        <v>6</v>
      </c>
      <c r="R746">
        <f t="shared" si="45"/>
        <v>6.2155775398998981E-4</v>
      </c>
      <c r="S746">
        <f t="shared" si="47"/>
        <v>0.98038304536840093</v>
      </c>
      <c r="T746" t="str">
        <f t="shared" si="46"/>
        <v>C</v>
      </c>
      <c r="V746" t="s">
        <v>595</v>
      </c>
      <c r="W746" t="s">
        <v>1246</v>
      </c>
    </row>
    <row r="747" spans="1:23" x14ac:dyDescent="0.25">
      <c r="A747" s="17">
        <v>44776</v>
      </c>
      <c r="B747" s="1" t="s">
        <v>226</v>
      </c>
      <c r="C747" s="1">
        <v>1</v>
      </c>
      <c r="F747" s="9" t="s">
        <v>244</v>
      </c>
      <c r="G747" s="10">
        <v>1</v>
      </c>
      <c r="H747" s="10"/>
      <c r="I747" s="10"/>
      <c r="J747" s="10"/>
      <c r="K747" s="10"/>
      <c r="L747" s="10">
        <v>1</v>
      </c>
      <c r="O747" t="s">
        <v>620</v>
      </c>
      <c r="P747">
        <v>1</v>
      </c>
      <c r="Q747">
        <f t="shared" si="44"/>
        <v>6</v>
      </c>
      <c r="R747">
        <f t="shared" si="45"/>
        <v>6.2155775398998981E-4</v>
      </c>
      <c r="S747">
        <f t="shared" si="47"/>
        <v>0.98100460312239091</v>
      </c>
      <c r="T747" t="str">
        <f t="shared" si="46"/>
        <v>C</v>
      </c>
      <c r="V747" t="s">
        <v>620</v>
      </c>
      <c r="W747" t="s">
        <v>1246</v>
      </c>
    </row>
    <row r="748" spans="1:23" x14ac:dyDescent="0.25">
      <c r="A748" s="17">
        <v>44776</v>
      </c>
      <c r="B748" s="1" t="s">
        <v>780</v>
      </c>
      <c r="C748" s="1">
        <v>1</v>
      </c>
      <c r="F748" s="9" t="s">
        <v>1034</v>
      </c>
      <c r="G748" s="10"/>
      <c r="H748" s="10"/>
      <c r="I748" s="10"/>
      <c r="J748" s="10">
        <v>6.6666669999999997E-2</v>
      </c>
      <c r="K748" s="10"/>
      <c r="L748" s="10">
        <v>6.6666669999999997E-2</v>
      </c>
      <c r="O748" t="s">
        <v>1192</v>
      </c>
      <c r="P748">
        <v>1</v>
      </c>
      <c r="Q748">
        <f t="shared" si="44"/>
        <v>6</v>
      </c>
      <c r="R748">
        <f t="shared" si="45"/>
        <v>6.2155775398998981E-4</v>
      </c>
      <c r="S748">
        <f t="shared" si="47"/>
        <v>0.98162616087638088</v>
      </c>
      <c r="T748" t="str">
        <f t="shared" si="46"/>
        <v>C</v>
      </c>
      <c r="V748" t="s">
        <v>1192</v>
      </c>
      <c r="W748" t="s">
        <v>1246</v>
      </c>
    </row>
    <row r="749" spans="1:23" x14ac:dyDescent="0.25">
      <c r="A749" s="17">
        <v>44776</v>
      </c>
      <c r="B749" s="1" t="s">
        <v>780</v>
      </c>
      <c r="C749" s="1">
        <v>1</v>
      </c>
      <c r="F749" s="9" t="s">
        <v>932</v>
      </c>
      <c r="G749" s="10"/>
      <c r="H749" s="10"/>
      <c r="I749" s="10"/>
      <c r="J749" s="10">
        <v>0.2</v>
      </c>
      <c r="K749" s="10"/>
      <c r="L749" s="10">
        <v>0.2</v>
      </c>
      <c r="O749" t="s">
        <v>473</v>
      </c>
      <c r="P749">
        <v>1</v>
      </c>
      <c r="Q749">
        <f t="shared" si="44"/>
        <v>6</v>
      </c>
      <c r="R749">
        <f t="shared" si="45"/>
        <v>6.2155775398998981E-4</v>
      </c>
      <c r="S749">
        <f t="shared" si="47"/>
        <v>0.98224771863037086</v>
      </c>
      <c r="T749" t="str">
        <f t="shared" si="46"/>
        <v>C</v>
      </c>
      <c r="V749" t="s">
        <v>473</v>
      </c>
      <c r="W749" t="s">
        <v>1246</v>
      </c>
    </row>
    <row r="750" spans="1:23" x14ac:dyDescent="0.25">
      <c r="A750" s="17">
        <v>44776</v>
      </c>
      <c r="B750" s="1" t="s">
        <v>780</v>
      </c>
      <c r="C750" s="1">
        <v>1</v>
      </c>
      <c r="F750" s="9" t="s">
        <v>806</v>
      </c>
      <c r="G750" s="10"/>
      <c r="H750" s="10"/>
      <c r="I750" s="10">
        <v>0.12</v>
      </c>
      <c r="J750" s="10"/>
      <c r="K750" s="10"/>
      <c r="L750" s="10">
        <v>0.12</v>
      </c>
      <c r="O750" t="s">
        <v>1148</v>
      </c>
      <c r="P750">
        <v>1</v>
      </c>
      <c r="Q750">
        <f t="shared" si="44"/>
        <v>6</v>
      </c>
      <c r="R750">
        <f t="shared" si="45"/>
        <v>6.2155775398998981E-4</v>
      </c>
      <c r="S750">
        <f t="shared" si="47"/>
        <v>0.98286927638436083</v>
      </c>
      <c r="T750" t="str">
        <f t="shared" si="46"/>
        <v>C</v>
      </c>
      <c r="V750" t="s">
        <v>1148</v>
      </c>
      <c r="W750" t="s">
        <v>1246</v>
      </c>
    </row>
    <row r="751" spans="1:23" x14ac:dyDescent="0.25">
      <c r="A751" s="17">
        <v>44776</v>
      </c>
      <c r="B751" s="1" t="s">
        <v>759</v>
      </c>
      <c r="C751" s="1">
        <v>1</v>
      </c>
      <c r="F751" s="9" t="s">
        <v>823</v>
      </c>
      <c r="G751" s="10"/>
      <c r="H751" s="10"/>
      <c r="I751" s="10">
        <v>0.24</v>
      </c>
      <c r="J751" s="10"/>
      <c r="K751" s="10"/>
      <c r="L751" s="10">
        <v>0.24</v>
      </c>
      <c r="O751" t="s">
        <v>748</v>
      </c>
      <c r="P751">
        <v>1</v>
      </c>
      <c r="Q751">
        <f t="shared" si="44"/>
        <v>6</v>
      </c>
      <c r="R751">
        <f t="shared" si="45"/>
        <v>6.2155775398998981E-4</v>
      </c>
      <c r="S751">
        <f t="shared" si="47"/>
        <v>0.98349083413835081</v>
      </c>
      <c r="T751" t="str">
        <f t="shared" si="46"/>
        <v>C</v>
      </c>
      <c r="V751" t="s">
        <v>748</v>
      </c>
      <c r="W751" t="s">
        <v>1246</v>
      </c>
    </row>
    <row r="752" spans="1:23" x14ac:dyDescent="0.25">
      <c r="A752" s="17">
        <v>44776</v>
      </c>
      <c r="B752" s="1" t="s">
        <v>759</v>
      </c>
      <c r="C752" s="1">
        <v>1</v>
      </c>
      <c r="F752" s="9" t="s">
        <v>1008</v>
      </c>
      <c r="G752" s="10"/>
      <c r="H752" s="10"/>
      <c r="I752" s="10"/>
      <c r="J752" s="10">
        <v>0.04</v>
      </c>
      <c r="K752" s="10"/>
      <c r="L752" s="10">
        <v>0.04</v>
      </c>
      <c r="O752" t="s">
        <v>113</v>
      </c>
      <c r="P752">
        <v>1</v>
      </c>
      <c r="Q752">
        <f t="shared" si="44"/>
        <v>6</v>
      </c>
      <c r="R752">
        <f t="shared" si="45"/>
        <v>6.2155775398998981E-4</v>
      </c>
      <c r="S752">
        <f t="shared" si="47"/>
        <v>0.98411239189234079</v>
      </c>
      <c r="T752" t="str">
        <f t="shared" si="46"/>
        <v>C</v>
      </c>
      <c r="V752" t="s">
        <v>113</v>
      </c>
      <c r="W752" t="s">
        <v>1246</v>
      </c>
    </row>
    <row r="753" spans="1:23" x14ac:dyDescent="0.25">
      <c r="A753" s="17">
        <v>44776</v>
      </c>
      <c r="B753" s="1" t="s">
        <v>781</v>
      </c>
      <c r="C753" s="1">
        <v>1</v>
      </c>
      <c r="F753" s="9" t="s">
        <v>493</v>
      </c>
      <c r="G753" s="10"/>
      <c r="H753" s="10">
        <v>1</v>
      </c>
      <c r="I753" s="10"/>
      <c r="J753" s="10"/>
      <c r="K753" s="10"/>
      <c r="L753" s="10">
        <v>1</v>
      </c>
      <c r="O753" t="s">
        <v>279</v>
      </c>
      <c r="P753">
        <v>1</v>
      </c>
      <c r="Q753">
        <f t="shared" si="44"/>
        <v>6</v>
      </c>
      <c r="R753">
        <f t="shared" si="45"/>
        <v>6.2155775398998981E-4</v>
      </c>
      <c r="S753">
        <f t="shared" si="47"/>
        <v>0.98473394964633076</v>
      </c>
      <c r="T753" t="str">
        <f t="shared" si="46"/>
        <v>C</v>
      </c>
      <c r="V753" t="s">
        <v>279</v>
      </c>
      <c r="W753" t="s">
        <v>1246</v>
      </c>
    </row>
    <row r="754" spans="1:23" x14ac:dyDescent="0.25">
      <c r="A754" s="17">
        <v>44776</v>
      </c>
      <c r="B754" s="1" t="s">
        <v>782</v>
      </c>
      <c r="C754" s="1">
        <v>1</v>
      </c>
      <c r="F754" s="9" t="s">
        <v>1049</v>
      </c>
      <c r="G754" s="10"/>
      <c r="H754" s="10"/>
      <c r="I754" s="10"/>
      <c r="J754" s="10">
        <v>1</v>
      </c>
      <c r="K754" s="10"/>
      <c r="L754" s="10">
        <v>1</v>
      </c>
      <c r="O754" t="s">
        <v>1102</v>
      </c>
      <c r="P754">
        <v>1</v>
      </c>
      <c r="Q754">
        <f t="shared" si="44"/>
        <v>6</v>
      </c>
      <c r="R754">
        <f t="shared" si="45"/>
        <v>6.2155775398998981E-4</v>
      </c>
      <c r="S754">
        <f t="shared" si="47"/>
        <v>0.98535550740032074</v>
      </c>
      <c r="T754" t="str">
        <f t="shared" si="46"/>
        <v>C</v>
      </c>
      <c r="V754" t="s">
        <v>1102</v>
      </c>
      <c r="W754" t="s">
        <v>1246</v>
      </c>
    </row>
    <row r="755" spans="1:23" x14ac:dyDescent="0.25">
      <c r="A755" s="17">
        <v>44776</v>
      </c>
      <c r="B755" s="1" t="s">
        <v>783</v>
      </c>
      <c r="C755" s="1">
        <v>1</v>
      </c>
      <c r="F755" s="9" t="s">
        <v>260</v>
      </c>
      <c r="G755" s="10">
        <v>1</v>
      </c>
      <c r="H755" s="10"/>
      <c r="I755" s="10"/>
      <c r="J755" s="10"/>
      <c r="K755" s="10"/>
      <c r="L755" s="10">
        <v>1</v>
      </c>
      <c r="O755" t="s">
        <v>1178</v>
      </c>
      <c r="P755">
        <v>1</v>
      </c>
      <c r="Q755">
        <f t="shared" si="44"/>
        <v>6</v>
      </c>
      <c r="R755">
        <f t="shared" si="45"/>
        <v>6.2155775398998981E-4</v>
      </c>
      <c r="S755">
        <f t="shared" si="47"/>
        <v>0.98597706515431072</v>
      </c>
      <c r="T755" t="str">
        <f t="shared" si="46"/>
        <v>C</v>
      </c>
      <c r="V755" t="s">
        <v>1178</v>
      </c>
      <c r="W755" t="s">
        <v>1246</v>
      </c>
    </row>
    <row r="756" spans="1:23" x14ac:dyDescent="0.25">
      <c r="A756" s="17">
        <v>44776</v>
      </c>
      <c r="B756" s="1" t="s">
        <v>784</v>
      </c>
      <c r="C756" s="1">
        <v>1</v>
      </c>
      <c r="F756" s="9" t="s">
        <v>95</v>
      </c>
      <c r="G756" s="10">
        <v>2</v>
      </c>
      <c r="H756" s="10">
        <v>2</v>
      </c>
      <c r="I756" s="10"/>
      <c r="J756" s="10"/>
      <c r="K756" s="10">
        <v>3</v>
      </c>
      <c r="L756" s="10">
        <v>7</v>
      </c>
      <c r="O756" t="s">
        <v>824</v>
      </c>
      <c r="P756">
        <v>1</v>
      </c>
      <c r="Q756">
        <f t="shared" si="44"/>
        <v>6</v>
      </c>
      <c r="R756">
        <f t="shared" si="45"/>
        <v>6.2155775398998981E-4</v>
      </c>
      <c r="S756">
        <f t="shared" si="47"/>
        <v>0.98659862290830069</v>
      </c>
      <c r="T756" t="str">
        <f t="shared" si="46"/>
        <v>C</v>
      </c>
      <c r="V756" t="s">
        <v>824</v>
      </c>
      <c r="W756" t="s">
        <v>1246</v>
      </c>
    </row>
    <row r="757" spans="1:23" x14ac:dyDescent="0.25">
      <c r="A757" s="17">
        <v>44776</v>
      </c>
      <c r="B757" s="1" t="s">
        <v>785</v>
      </c>
      <c r="C757" s="1">
        <v>1</v>
      </c>
      <c r="F757" s="9" t="s">
        <v>590</v>
      </c>
      <c r="G757" s="10"/>
      <c r="H757" s="10">
        <v>1</v>
      </c>
      <c r="I757" s="10"/>
      <c r="J757" s="10"/>
      <c r="K757" s="10"/>
      <c r="L757" s="10">
        <v>1</v>
      </c>
      <c r="O757" t="s">
        <v>746</v>
      </c>
      <c r="P757">
        <v>1</v>
      </c>
      <c r="Q757">
        <f t="shared" si="44"/>
        <v>6</v>
      </c>
      <c r="R757">
        <f t="shared" si="45"/>
        <v>6.2155775398998981E-4</v>
      </c>
      <c r="S757">
        <f t="shared" si="47"/>
        <v>0.98722018066229067</v>
      </c>
      <c r="T757" t="str">
        <f t="shared" si="46"/>
        <v>C</v>
      </c>
      <c r="V757" t="s">
        <v>746</v>
      </c>
      <c r="W757" t="s">
        <v>1246</v>
      </c>
    </row>
    <row r="758" spans="1:23" x14ac:dyDescent="0.25">
      <c r="A758" s="17">
        <v>44776</v>
      </c>
      <c r="B758" s="1" t="s">
        <v>787</v>
      </c>
      <c r="C758" s="1">
        <v>1</v>
      </c>
      <c r="F758" s="9" t="s">
        <v>633</v>
      </c>
      <c r="G758" s="10"/>
      <c r="H758" s="10">
        <v>1</v>
      </c>
      <c r="I758" s="10"/>
      <c r="J758" s="10"/>
      <c r="K758" s="10"/>
      <c r="L758" s="10">
        <v>1</v>
      </c>
      <c r="O758" t="s">
        <v>171</v>
      </c>
      <c r="P758">
        <v>1</v>
      </c>
      <c r="Q758">
        <f t="shared" si="44"/>
        <v>6</v>
      </c>
      <c r="R758">
        <f t="shared" si="45"/>
        <v>6.2155775398998981E-4</v>
      </c>
      <c r="S758">
        <f t="shared" si="47"/>
        <v>0.98784173841628065</v>
      </c>
      <c r="T758" t="str">
        <f t="shared" si="46"/>
        <v>C</v>
      </c>
      <c r="V758" t="s">
        <v>171</v>
      </c>
      <c r="W758" t="s">
        <v>1246</v>
      </c>
    </row>
    <row r="759" spans="1:23" x14ac:dyDescent="0.25">
      <c r="A759" s="17">
        <v>44776</v>
      </c>
      <c r="B759" s="1" t="s">
        <v>395</v>
      </c>
      <c r="C759" s="1">
        <v>1</v>
      </c>
      <c r="F759" s="9" t="s">
        <v>629</v>
      </c>
      <c r="G759" s="10"/>
      <c r="H759" s="10">
        <v>1</v>
      </c>
      <c r="I759" s="10"/>
      <c r="J759" s="10"/>
      <c r="K759" s="10"/>
      <c r="L759" s="10">
        <v>1</v>
      </c>
      <c r="O759" t="s">
        <v>274</v>
      </c>
      <c r="P759">
        <v>1</v>
      </c>
      <c r="Q759">
        <f t="shared" si="44"/>
        <v>6</v>
      </c>
      <c r="R759">
        <f t="shared" si="45"/>
        <v>6.2155775398998981E-4</v>
      </c>
      <c r="S759">
        <f t="shared" si="47"/>
        <v>0.98846329617027062</v>
      </c>
      <c r="T759" t="str">
        <f t="shared" si="46"/>
        <v>C</v>
      </c>
      <c r="V759" t="s">
        <v>274</v>
      </c>
      <c r="W759" t="s">
        <v>1246</v>
      </c>
    </row>
    <row r="760" spans="1:23" x14ac:dyDescent="0.25">
      <c r="A760" s="17">
        <v>44776</v>
      </c>
      <c r="B760" s="1" t="s">
        <v>789</v>
      </c>
      <c r="C760" s="1">
        <v>1</v>
      </c>
      <c r="F760" s="9" t="s">
        <v>679</v>
      </c>
      <c r="G760" s="10"/>
      <c r="H760" s="10">
        <v>0.33333332999999998</v>
      </c>
      <c r="I760" s="10"/>
      <c r="J760" s="10"/>
      <c r="K760" s="10"/>
      <c r="L760" s="10">
        <v>0.33333332999999998</v>
      </c>
      <c r="O760" t="s">
        <v>978</v>
      </c>
      <c r="P760">
        <v>1</v>
      </c>
      <c r="Q760">
        <f t="shared" si="44"/>
        <v>6</v>
      </c>
      <c r="R760">
        <f t="shared" si="45"/>
        <v>6.2155775398998981E-4</v>
      </c>
      <c r="S760">
        <f t="shared" si="47"/>
        <v>0.9890848539242606</v>
      </c>
      <c r="T760" t="str">
        <f t="shared" si="46"/>
        <v>C</v>
      </c>
      <c r="V760" t="s">
        <v>978</v>
      </c>
      <c r="W760" t="s">
        <v>1246</v>
      </c>
    </row>
    <row r="761" spans="1:23" x14ac:dyDescent="0.25">
      <c r="A761" s="17">
        <v>44776</v>
      </c>
      <c r="B761" s="1" t="s">
        <v>791</v>
      </c>
      <c r="C761" s="1">
        <v>2</v>
      </c>
      <c r="F761" s="9" t="s">
        <v>913</v>
      </c>
      <c r="G761" s="10"/>
      <c r="H761" s="10"/>
      <c r="I761" s="10">
        <v>1</v>
      </c>
      <c r="J761" s="10"/>
      <c r="K761" s="10"/>
      <c r="L761" s="10">
        <v>1</v>
      </c>
      <c r="O761" t="s">
        <v>311</v>
      </c>
      <c r="P761">
        <v>1</v>
      </c>
      <c r="Q761">
        <f t="shared" si="44"/>
        <v>6</v>
      </c>
      <c r="R761">
        <f t="shared" si="45"/>
        <v>6.2155775398998981E-4</v>
      </c>
      <c r="S761">
        <f t="shared" si="47"/>
        <v>0.98970641167825057</v>
      </c>
      <c r="T761" t="str">
        <f t="shared" si="46"/>
        <v>C</v>
      </c>
      <c r="V761" t="s">
        <v>311</v>
      </c>
      <c r="W761" t="s">
        <v>1246</v>
      </c>
    </row>
    <row r="762" spans="1:23" x14ac:dyDescent="0.25">
      <c r="A762" s="17">
        <v>44776</v>
      </c>
      <c r="B762" s="1" t="s">
        <v>793</v>
      </c>
      <c r="C762" s="1">
        <v>1</v>
      </c>
      <c r="F762" s="9" t="s">
        <v>1139</v>
      </c>
      <c r="G762" s="10"/>
      <c r="H762" s="10"/>
      <c r="I762" s="10"/>
      <c r="J762" s="10"/>
      <c r="K762" s="10">
        <v>1</v>
      </c>
      <c r="L762" s="10">
        <v>1</v>
      </c>
      <c r="O762" t="s">
        <v>218</v>
      </c>
      <c r="P762">
        <v>1</v>
      </c>
      <c r="Q762">
        <f t="shared" si="44"/>
        <v>6</v>
      </c>
      <c r="R762">
        <f t="shared" si="45"/>
        <v>6.2155775398998981E-4</v>
      </c>
      <c r="S762">
        <f t="shared" si="47"/>
        <v>0.99032796943224055</v>
      </c>
      <c r="T762" t="str">
        <f t="shared" si="46"/>
        <v>C</v>
      </c>
      <c r="V762" t="s">
        <v>218</v>
      </c>
      <c r="W762" t="s">
        <v>1246</v>
      </c>
    </row>
    <row r="763" spans="1:23" x14ac:dyDescent="0.25">
      <c r="A763" s="17">
        <v>44776</v>
      </c>
      <c r="B763" s="1" t="s">
        <v>795</v>
      </c>
      <c r="C763" s="1">
        <v>1</v>
      </c>
      <c r="F763" s="9" t="s">
        <v>718</v>
      </c>
      <c r="G763" s="10"/>
      <c r="H763" s="10"/>
      <c r="I763" s="10">
        <v>1</v>
      </c>
      <c r="J763" s="10"/>
      <c r="K763" s="10"/>
      <c r="L763" s="10">
        <v>1</v>
      </c>
      <c r="O763" t="s">
        <v>621</v>
      </c>
      <c r="P763">
        <v>1</v>
      </c>
      <c r="Q763">
        <f t="shared" si="44"/>
        <v>6</v>
      </c>
      <c r="R763">
        <f t="shared" si="45"/>
        <v>6.2155775398998981E-4</v>
      </c>
      <c r="S763">
        <f t="shared" si="47"/>
        <v>0.99094952718623053</v>
      </c>
      <c r="T763" t="str">
        <f t="shared" si="46"/>
        <v>C</v>
      </c>
      <c r="V763" t="s">
        <v>621</v>
      </c>
      <c r="W763" t="s">
        <v>1246</v>
      </c>
    </row>
    <row r="764" spans="1:23" x14ac:dyDescent="0.25">
      <c r="A764" s="17">
        <v>44776</v>
      </c>
      <c r="B764" s="1" t="s">
        <v>797</v>
      </c>
      <c r="C764" s="1">
        <v>1</v>
      </c>
      <c r="F764" s="9" t="s">
        <v>1104</v>
      </c>
      <c r="G764" s="10"/>
      <c r="H764" s="10"/>
      <c r="I764" s="10"/>
      <c r="J764" s="10"/>
      <c r="K764" s="10">
        <v>1</v>
      </c>
      <c r="L764" s="10">
        <v>1</v>
      </c>
      <c r="O764" t="s">
        <v>1047</v>
      </c>
      <c r="P764">
        <v>1</v>
      </c>
      <c r="Q764">
        <f t="shared" si="44"/>
        <v>6</v>
      </c>
      <c r="R764">
        <f t="shared" si="45"/>
        <v>6.2155775398998981E-4</v>
      </c>
      <c r="S764">
        <f t="shared" si="47"/>
        <v>0.9915710849402205</v>
      </c>
      <c r="T764" t="str">
        <f t="shared" si="46"/>
        <v>C</v>
      </c>
      <c r="V764" t="s">
        <v>1047</v>
      </c>
      <c r="W764" t="s">
        <v>1246</v>
      </c>
    </row>
    <row r="765" spans="1:23" x14ac:dyDescent="0.25">
      <c r="A765" s="17">
        <v>44776</v>
      </c>
      <c r="B765" s="1" t="s">
        <v>797</v>
      </c>
      <c r="C765" s="1">
        <v>1</v>
      </c>
      <c r="F765" s="9" t="s">
        <v>712</v>
      </c>
      <c r="G765" s="10"/>
      <c r="H765" s="10"/>
      <c r="I765" s="10">
        <v>3</v>
      </c>
      <c r="J765" s="10"/>
      <c r="K765" s="10"/>
      <c r="L765" s="10">
        <v>3</v>
      </c>
      <c r="O765" t="s">
        <v>1184</v>
      </c>
      <c r="P765">
        <v>1</v>
      </c>
      <c r="Q765">
        <f t="shared" si="44"/>
        <v>6</v>
      </c>
      <c r="R765">
        <f t="shared" si="45"/>
        <v>6.2155775398998981E-4</v>
      </c>
      <c r="S765">
        <f t="shared" si="47"/>
        <v>0.99219264269421048</v>
      </c>
      <c r="T765" t="str">
        <f t="shared" si="46"/>
        <v>C</v>
      </c>
      <c r="V765" t="s">
        <v>1184</v>
      </c>
      <c r="W765" t="s">
        <v>1246</v>
      </c>
    </row>
    <row r="766" spans="1:23" x14ac:dyDescent="0.25">
      <c r="A766" s="17">
        <v>44776</v>
      </c>
      <c r="B766" s="1" t="s">
        <v>798</v>
      </c>
      <c r="C766" s="1">
        <v>1</v>
      </c>
      <c r="F766" s="9" t="s">
        <v>954</v>
      </c>
      <c r="G766" s="10"/>
      <c r="H766" s="10"/>
      <c r="I766" s="10"/>
      <c r="J766" s="10">
        <v>1</v>
      </c>
      <c r="K766" s="10"/>
      <c r="L766" s="10">
        <v>1</v>
      </c>
      <c r="O766" t="s">
        <v>133</v>
      </c>
      <c r="P766">
        <v>1</v>
      </c>
      <c r="Q766">
        <f t="shared" si="44"/>
        <v>6</v>
      </c>
      <c r="R766">
        <f t="shared" si="45"/>
        <v>6.2155775398998981E-4</v>
      </c>
      <c r="S766">
        <f t="shared" si="47"/>
        <v>0.99281420044820046</v>
      </c>
      <c r="T766" t="str">
        <f t="shared" si="46"/>
        <v>C</v>
      </c>
      <c r="V766" t="s">
        <v>133</v>
      </c>
      <c r="W766" t="s">
        <v>1246</v>
      </c>
    </row>
    <row r="767" spans="1:23" x14ac:dyDescent="0.25">
      <c r="A767" s="17">
        <v>44776</v>
      </c>
      <c r="B767" s="1" t="s">
        <v>248</v>
      </c>
      <c r="C767" s="1">
        <v>1</v>
      </c>
      <c r="F767" s="9" t="s">
        <v>741</v>
      </c>
      <c r="G767" s="10"/>
      <c r="H767" s="10"/>
      <c r="I767" s="10">
        <v>9</v>
      </c>
      <c r="J767" s="10"/>
      <c r="K767" s="10"/>
      <c r="L767" s="10">
        <v>9</v>
      </c>
      <c r="O767" t="s">
        <v>1093</v>
      </c>
      <c r="P767">
        <v>1</v>
      </c>
      <c r="Q767">
        <f t="shared" si="44"/>
        <v>6</v>
      </c>
      <c r="R767">
        <f t="shared" si="45"/>
        <v>6.2155775398998981E-4</v>
      </c>
      <c r="S767">
        <f t="shared" si="47"/>
        <v>0.99343575820219043</v>
      </c>
      <c r="T767" t="str">
        <f t="shared" si="46"/>
        <v>C</v>
      </c>
      <c r="V767" t="s">
        <v>1093</v>
      </c>
      <c r="W767" t="s">
        <v>1246</v>
      </c>
    </row>
    <row r="768" spans="1:23" x14ac:dyDescent="0.25">
      <c r="A768" s="17">
        <v>44776</v>
      </c>
      <c r="B768" s="1" t="s">
        <v>248</v>
      </c>
      <c r="C768" s="1">
        <v>1</v>
      </c>
      <c r="F768" s="9" t="s">
        <v>851</v>
      </c>
      <c r="G768" s="10"/>
      <c r="H768" s="10"/>
      <c r="I768" s="10">
        <v>10</v>
      </c>
      <c r="J768" s="10"/>
      <c r="K768" s="10"/>
      <c r="L768" s="10">
        <v>10</v>
      </c>
      <c r="O768" t="s">
        <v>625</v>
      </c>
      <c r="P768">
        <v>0.8</v>
      </c>
      <c r="Q768">
        <f t="shared" si="44"/>
        <v>4.8</v>
      </c>
      <c r="R768">
        <f t="shared" si="45"/>
        <v>4.9724620319199189E-4</v>
      </c>
      <c r="S768">
        <f t="shared" si="47"/>
        <v>0.99393300440538246</v>
      </c>
      <c r="T768" t="str">
        <f t="shared" si="46"/>
        <v>C</v>
      </c>
      <c r="V768" t="s">
        <v>625</v>
      </c>
      <c r="W768" t="s">
        <v>1246</v>
      </c>
    </row>
    <row r="769" spans="1:23" x14ac:dyDescent="0.25">
      <c r="A769" s="17">
        <v>44776</v>
      </c>
      <c r="B769" s="1" t="s">
        <v>800</v>
      </c>
      <c r="C769" s="1">
        <v>0.01</v>
      </c>
      <c r="F769" s="9" t="s">
        <v>119</v>
      </c>
      <c r="G769" s="10">
        <v>1</v>
      </c>
      <c r="H769" s="10">
        <v>1</v>
      </c>
      <c r="I769" s="10"/>
      <c r="J769" s="10"/>
      <c r="K769" s="10"/>
      <c r="L769" s="10">
        <v>2</v>
      </c>
      <c r="O769" t="s">
        <v>353</v>
      </c>
      <c r="P769">
        <v>0.7</v>
      </c>
      <c r="Q769">
        <f t="shared" si="44"/>
        <v>4.1999999999999993</v>
      </c>
      <c r="R769">
        <f t="shared" si="45"/>
        <v>4.3509042779299283E-4</v>
      </c>
      <c r="S769">
        <f t="shared" si="47"/>
        <v>0.99436809483317545</v>
      </c>
      <c r="T769" t="str">
        <f t="shared" si="46"/>
        <v>C</v>
      </c>
      <c r="V769" t="s">
        <v>353</v>
      </c>
      <c r="W769" t="s">
        <v>1246</v>
      </c>
    </row>
    <row r="770" spans="1:23" x14ac:dyDescent="0.25">
      <c r="A770" s="17">
        <v>44776</v>
      </c>
      <c r="B770" s="1" t="s">
        <v>801</v>
      </c>
      <c r="C770" s="1">
        <v>0.1</v>
      </c>
      <c r="F770" s="9" t="s">
        <v>595</v>
      </c>
      <c r="G770" s="10"/>
      <c r="H770" s="10">
        <v>1</v>
      </c>
      <c r="I770" s="10"/>
      <c r="J770" s="10"/>
      <c r="K770" s="10"/>
      <c r="L770" s="10">
        <v>1</v>
      </c>
      <c r="O770" t="s">
        <v>715</v>
      </c>
      <c r="P770">
        <v>0.66666665999999997</v>
      </c>
      <c r="Q770">
        <f t="shared" si="44"/>
        <v>3.9999999599999998</v>
      </c>
      <c r="R770">
        <f t="shared" si="45"/>
        <v>4.1437183184960821E-4</v>
      </c>
      <c r="S770">
        <f t="shared" si="47"/>
        <v>0.99478246666502501</v>
      </c>
      <c r="T770" t="str">
        <f t="shared" si="46"/>
        <v>C</v>
      </c>
      <c r="V770" t="s">
        <v>715</v>
      </c>
      <c r="W770" t="s">
        <v>1246</v>
      </c>
    </row>
    <row r="771" spans="1:23" x14ac:dyDescent="0.25">
      <c r="A771" s="17">
        <v>44776</v>
      </c>
      <c r="B771" s="1" t="s">
        <v>802</v>
      </c>
      <c r="C771" s="1">
        <v>1</v>
      </c>
      <c r="F771" s="9" t="s">
        <v>620</v>
      </c>
      <c r="G771" s="10"/>
      <c r="H771" s="10">
        <v>1</v>
      </c>
      <c r="I771" s="10"/>
      <c r="J771" s="10"/>
      <c r="K771" s="10"/>
      <c r="L771" s="10">
        <v>1</v>
      </c>
      <c r="O771" t="s">
        <v>328</v>
      </c>
      <c r="P771">
        <v>0.53571440000000004</v>
      </c>
      <c r="Q771">
        <f t="shared" si="44"/>
        <v>3.2142864000000002</v>
      </c>
      <c r="R771">
        <f t="shared" si="45"/>
        <v>3.3297743924409502E-4</v>
      </c>
      <c r="S771">
        <f t="shared" si="47"/>
        <v>0.99511544410426911</v>
      </c>
      <c r="T771" t="str">
        <f t="shared" si="46"/>
        <v>C</v>
      </c>
      <c r="V771" t="s">
        <v>328</v>
      </c>
      <c r="W771" t="s">
        <v>1246</v>
      </c>
    </row>
    <row r="772" spans="1:23" x14ac:dyDescent="0.25">
      <c r="A772" s="17">
        <v>44776</v>
      </c>
      <c r="B772" s="1" t="s">
        <v>803</v>
      </c>
      <c r="C772" s="1">
        <v>1</v>
      </c>
      <c r="F772" s="9" t="s">
        <v>239</v>
      </c>
      <c r="G772" s="10">
        <v>1</v>
      </c>
      <c r="H772" s="10"/>
      <c r="I772" s="10"/>
      <c r="J772" s="10">
        <v>1</v>
      </c>
      <c r="K772" s="10"/>
      <c r="L772" s="10">
        <v>2</v>
      </c>
      <c r="O772" t="s">
        <v>865</v>
      </c>
      <c r="P772">
        <v>0.5</v>
      </c>
      <c r="Q772">
        <f t="shared" si="44"/>
        <v>3</v>
      </c>
      <c r="R772">
        <f t="shared" si="45"/>
        <v>3.1077887699499491E-4</v>
      </c>
      <c r="S772">
        <f t="shared" si="47"/>
        <v>0.99542622298126415</v>
      </c>
      <c r="T772" t="str">
        <f t="shared" si="46"/>
        <v>C</v>
      </c>
      <c r="V772" t="s">
        <v>865</v>
      </c>
      <c r="W772" t="s">
        <v>1246</v>
      </c>
    </row>
    <row r="773" spans="1:23" x14ac:dyDescent="0.25">
      <c r="A773" s="17">
        <v>44776</v>
      </c>
      <c r="B773" s="1" t="s">
        <v>804</v>
      </c>
      <c r="C773" s="1">
        <v>1</v>
      </c>
      <c r="F773" s="9" t="s">
        <v>527</v>
      </c>
      <c r="G773" s="10"/>
      <c r="H773" s="10">
        <v>1</v>
      </c>
      <c r="I773" s="10">
        <v>1</v>
      </c>
      <c r="J773" s="10"/>
      <c r="K773" s="10"/>
      <c r="L773" s="10">
        <v>2</v>
      </c>
      <c r="O773" t="s">
        <v>716</v>
      </c>
      <c r="P773">
        <v>0.5</v>
      </c>
      <c r="Q773">
        <f t="shared" ref="Q773:Q806" si="48">(P773/5)*30</f>
        <v>3</v>
      </c>
      <c r="R773">
        <f t="shared" ref="R773:R806" si="49">Q773/SUM($Q$4:$Q$806)</f>
        <v>3.1077887699499491E-4</v>
      </c>
      <c r="S773">
        <f t="shared" si="47"/>
        <v>0.9957370018582592</v>
      </c>
      <c r="T773" t="str">
        <f t="shared" ref="T773:T806" si="50">IF(S773&lt;0.8,"A", IF(S773&lt;0.95,"B","C"))</f>
        <v>C</v>
      </c>
      <c r="V773" t="s">
        <v>716</v>
      </c>
      <c r="W773" t="s">
        <v>1246</v>
      </c>
    </row>
    <row r="774" spans="1:23" x14ac:dyDescent="0.25">
      <c r="A774" s="17">
        <v>44776</v>
      </c>
      <c r="B774" s="1" t="s">
        <v>804</v>
      </c>
      <c r="C774" s="1">
        <v>1</v>
      </c>
      <c r="F774" s="9" t="s">
        <v>1192</v>
      </c>
      <c r="G774" s="10"/>
      <c r="H774" s="10"/>
      <c r="I774" s="10"/>
      <c r="J774" s="10"/>
      <c r="K774" s="10">
        <v>1</v>
      </c>
      <c r="L774" s="10">
        <v>1</v>
      </c>
      <c r="O774" t="s">
        <v>602</v>
      </c>
      <c r="P774">
        <v>0.5</v>
      </c>
      <c r="Q774">
        <f t="shared" si="48"/>
        <v>3</v>
      </c>
      <c r="R774">
        <f t="shared" si="49"/>
        <v>3.1077887699499491E-4</v>
      </c>
      <c r="S774">
        <f t="shared" ref="S774:S806" si="51">R774+S773</f>
        <v>0.99604778073525424</v>
      </c>
      <c r="T774" t="str">
        <f t="shared" si="50"/>
        <v>C</v>
      </c>
      <c r="V774" t="s">
        <v>602</v>
      </c>
      <c r="W774" t="s">
        <v>1246</v>
      </c>
    </row>
    <row r="775" spans="1:23" x14ac:dyDescent="0.25">
      <c r="A775" s="17">
        <v>44776</v>
      </c>
      <c r="B775" s="1" t="s">
        <v>805</v>
      </c>
      <c r="C775" s="1">
        <v>1</v>
      </c>
      <c r="F775" s="9" t="s">
        <v>473</v>
      </c>
      <c r="G775" s="10"/>
      <c r="H775" s="10">
        <v>1</v>
      </c>
      <c r="I775" s="10"/>
      <c r="J775" s="10"/>
      <c r="K775" s="10"/>
      <c r="L775" s="10">
        <v>1</v>
      </c>
      <c r="O775" t="s">
        <v>373</v>
      </c>
      <c r="P775">
        <v>0.33333333999999998</v>
      </c>
      <c r="Q775">
        <f t="shared" si="48"/>
        <v>2.0000000399999998</v>
      </c>
      <c r="R775">
        <f t="shared" si="49"/>
        <v>2.0718592214038161E-4</v>
      </c>
      <c r="S775">
        <f t="shared" si="51"/>
        <v>0.99625496665739466</v>
      </c>
      <c r="T775" t="str">
        <f t="shared" si="50"/>
        <v>C</v>
      </c>
      <c r="V775" t="s">
        <v>373</v>
      </c>
      <c r="W775" t="s">
        <v>1246</v>
      </c>
    </row>
    <row r="776" spans="1:23" x14ac:dyDescent="0.25">
      <c r="A776" s="17">
        <v>44776</v>
      </c>
      <c r="B776" s="1" t="s">
        <v>806</v>
      </c>
      <c r="C776" s="1">
        <v>0.12</v>
      </c>
      <c r="F776" s="9" t="s">
        <v>72</v>
      </c>
      <c r="G776" s="10">
        <v>3</v>
      </c>
      <c r="H776" s="10">
        <v>1</v>
      </c>
      <c r="I776" s="10"/>
      <c r="J776" s="10"/>
      <c r="K776" s="10"/>
      <c r="L776" s="10">
        <v>4</v>
      </c>
      <c r="O776" t="s">
        <v>1217</v>
      </c>
      <c r="P776">
        <v>0.33333333999999998</v>
      </c>
      <c r="Q776">
        <f t="shared" si="48"/>
        <v>2.0000000399999998</v>
      </c>
      <c r="R776">
        <f t="shared" si="49"/>
        <v>2.0718592214038161E-4</v>
      </c>
      <c r="S776">
        <f t="shared" si="51"/>
        <v>0.99646215257953508</v>
      </c>
      <c r="T776" t="str">
        <f t="shared" si="50"/>
        <v>C</v>
      </c>
      <c r="V776" t="s">
        <v>1217</v>
      </c>
      <c r="W776" t="s">
        <v>1246</v>
      </c>
    </row>
    <row r="777" spans="1:23" x14ac:dyDescent="0.25">
      <c r="A777" s="17">
        <v>44776</v>
      </c>
      <c r="B777" s="1" t="s">
        <v>182</v>
      </c>
      <c r="C777" s="1">
        <v>1</v>
      </c>
      <c r="F777" s="9" t="s">
        <v>270</v>
      </c>
      <c r="G777" s="10">
        <v>2</v>
      </c>
      <c r="H777" s="10">
        <v>2</v>
      </c>
      <c r="I777" s="10">
        <v>1</v>
      </c>
      <c r="J777" s="10">
        <v>1</v>
      </c>
      <c r="K777" s="10"/>
      <c r="L777" s="10">
        <v>6</v>
      </c>
      <c r="O777" t="s">
        <v>891</v>
      </c>
      <c r="P777">
        <v>0.33333332999999998</v>
      </c>
      <c r="Q777">
        <f t="shared" si="48"/>
        <v>1.9999999799999999</v>
      </c>
      <c r="R777">
        <f t="shared" si="49"/>
        <v>2.071859159248041E-4</v>
      </c>
      <c r="S777">
        <f t="shared" si="51"/>
        <v>0.99666933849545991</v>
      </c>
      <c r="T777" t="str">
        <f t="shared" si="50"/>
        <v>C</v>
      </c>
      <c r="V777" t="s">
        <v>891</v>
      </c>
      <c r="W777" t="s">
        <v>1246</v>
      </c>
    </row>
    <row r="778" spans="1:23" x14ac:dyDescent="0.25">
      <c r="A778" s="17">
        <v>44776</v>
      </c>
      <c r="B778" s="1" t="s">
        <v>65</v>
      </c>
      <c r="C778" s="1">
        <v>1</v>
      </c>
      <c r="F778" s="9" t="s">
        <v>267</v>
      </c>
      <c r="G778" s="10">
        <v>4</v>
      </c>
      <c r="H778" s="10"/>
      <c r="I778" s="10"/>
      <c r="J778" s="10"/>
      <c r="K778" s="10">
        <v>2</v>
      </c>
      <c r="L778" s="10">
        <v>6</v>
      </c>
      <c r="O778" t="s">
        <v>1018</v>
      </c>
      <c r="P778">
        <v>0.33333332999999998</v>
      </c>
      <c r="Q778">
        <f t="shared" si="48"/>
        <v>1.9999999799999999</v>
      </c>
      <c r="R778">
        <f t="shared" si="49"/>
        <v>2.071859159248041E-4</v>
      </c>
      <c r="S778">
        <f t="shared" si="51"/>
        <v>0.99687652441138475</v>
      </c>
      <c r="T778" t="str">
        <f t="shared" si="50"/>
        <v>C</v>
      </c>
      <c r="V778" t="s">
        <v>1018</v>
      </c>
      <c r="W778" t="s">
        <v>1246</v>
      </c>
    </row>
    <row r="779" spans="1:23" x14ac:dyDescent="0.25">
      <c r="A779" s="17">
        <v>44776</v>
      </c>
      <c r="B779" s="1" t="s">
        <v>510</v>
      </c>
      <c r="C779" s="1">
        <v>1</v>
      </c>
      <c r="F779" s="9" t="s">
        <v>1148</v>
      </c>
      <c r="G779" s="10"/>
      <c r="H779" s="10"/>
      <c r="I779" s="10"/>
      <c r="J779" s="10"/>
      <c r="K779" s="10">
        <v>1</v>
      </c>
      <c r="L779" s="10">
        <v>1</v>
      </c>
      <c r="O779" t="s">
        <v>1082</v>
      </c>
      <c r="P779">
        <v>0.33333332999999998</v>
      </c>
      <c r="Q779">
        <f t="shared" si="48"/>
        <v>1.9999999799999999</v>
      </c>
      <c r="R779">
        <f t="shared" si="49"/>
        <v>2.071859159248041E-4</v>
      </c>
      <c r="S779">
        <f t="shared" si="51"/>
        <v>0.99708371032730958</v>
      </c>
      <c r="T779" t="str">
        <f t="shared" si="50"/>
        <v>C</v>
      </c>
      <c r="V779" t="s">
        <v>1082</v>
      </c>
      <c r="W779" t="s">
        <v>1246</v>
      </c>
    </row>
    <row r="780" spans="1:23" x14ac:dyDescent="0.25">
      <c r="A780" s="17">
        <v>44776</v>
      </c>
      <c r="B780" s="1" t="s">
        <v>808</v>
      </c>
      <c r="C780" s="1">
        <v>1</v>
      </c>
      <c r="F780" s="9" t="s">
        <v>748</v>
      </c>
      <c r="G780" s="10"/>
      <c r="H780" s="10"/>
      <c r="I780" s="10">
        <v>1</v>
      </c>
      <c r="J780" s="10"/>
      <c r="K780" s="10"/>
      <c r="L780" s="10">
        <v>1</v>
      </c>
      <c r="O780" t="s">
        <v>1215</v>
      </c>
      <c r="P780">
        <v>0.33333332999999998</v>
      </c>
      <c r="Q780">
        <f t="shared" si="48"/>
        <v>1.9999999799999999</v>
      </c>
      <c r="R780">
        <f t="shared" si="49"/>
        <v>2.071859159248041E-4</v>
      </c>
      <c r="S780">
        <f t="shared" si="51"/>
        <v>0.99729089624323441</v>
      </c>
      <c r="T780" t="str">
        <f t="shared" si="50"/>
        <v>C</v>
      </c>
      <c r="V780" t="s">
        <v>1215</v>
      </c>
      <c r="W780" t="s">
        <v>1246</v>
      </c>
    </row>
    <row r="781" spans="1:23" x14ac:dyDescent="0.25">
      <c r="A781" s="17">
        <v>44776</v>
      </c>
      <c r="B781" s="1" t="s">
        <v>810</v>
      </c>
      <c r="C781" s="1">
        <v>1</v>
      </c>
      <c r="F781" s="9" t="s">
        <v>113</v>
      </c>
      <c r="G781" s="10">
        <v>1</v>
      </c>
      <c r="H781" s="10"/>
      <c r="I781" s="10"/>
      <c r="J781" s="10"/>
      <c r="K781" s="10"/>
      <c r="L781" s="10">
        <v>1</v>
      </c>
      <c r="O781" t="s">
        <v>918</v>
      </c>
      <c r="P781">
        <v>0.33333332999999998</v>
      </c>
      <c r="Q781">
        <f t="shared" si="48"/>
        <v>1.9999999799999999</v>
      </c>
      <c r="R781">
        <f t="shared" si="49"/>
        <v>2.071859159248041E-4</v>
      </c>
      <c r="S781">
        <f t="shared" si="51"/>
        <v>0.99749808215915925</v>
      </c>
      <c r="T781" t="str">
        <f t="shared" si="50"/>
        <v>C</v>
      </c>
      <c r="V781" t="s">
        <v>918</v>
      </c>
      <c r="W781" t="s">
        <v>1246</v>
      </c>
    </row>
    <row r="782" spans="1:23" x14ac:dyDescent="0.25">
      <c r="A782" s="17">
        <v>44776</v>
      </c>
      <c r="B782" s="1" t="s">
        <v>811</v>
      </c>
      <c r="C782" s="1">
        <v>1</v>
      </c>
      <c r="F782" s="9" t="s">
        <v>279</v>
      </c>
      <c r="G782" s="10">
        <v>1</v>
      </c>
      <c r="H782" s="10"/>
      <c r="I782" s="10"/>
      <c r="J782" s="10"/>
      <c r="K782" s="10"/>
      <c r="L782" s="10">
        <v>1</v>
      </c>
      <c r="O782" t="s">
        <v>679</v>
      </c>
      <c r="P782">
        <v>0.33333332999999998</v>
      </c>
      <c r="Q782">
        <f t="shared" si="48"/>
        <v>1.9999999799999999</v>
      </c>
      <c r="R782">
        <f t="shared" si="49"/>
        <v>2.071859159248041E-4</v>
      </c>
      <c r="S782">
        <f t="shared" si="51"/>
        <v>0.99770526807508408</v>
      </c>
      <c r="T782" t="str">
        <f t="shared" si="50"/>
        <v>C</v>
      </c>
      <c r="V782" t="s">
        <v>679</v>
      </c>
      <c r="W782" t="s">
        <v>1246</v>
      </c>
    </row>
    <row r="783" spans="1:23" x14ac:dyDescent="0.25">
      <c r="A783" s="17">
        <v>44776</v>
      </c>
      <c r="B783" s="1" t="s">
        <v>812</v>
      </c>
      <c r="C783" s="1">
        <v>1</v>
      </c>
      <c r="F783" s="9" t="s">
        <v>405</v>
      </c>
      <c r="G783" s="10">
        <v>2</v>
      </c>
      <c r="H783" s="10">
        <v>1</v>
      </c>
      <c r="I783" s="10"/>
      <c r="J783" s="10"/>
      <c r="K783" s="10"/>
      <c r="L783" s="10">
        <v>3</v>
      </c>
      <c r="O783" t="s">
        <v>537</v>
      </c>
      <c r="P783">
        <v>0.30000000000000004</v>
      </c>
      <c r="Q783">
        <f t="shared" si="48"/>
        <v>1.8000000000000003</v>
      </c>
      <c r="R783">
        <f t="shared" si="49"/>
        <v>1.8646732619699699E-4</v>
      </c>
      <c r="S783">
        <f t="shared" si="51"/>
        <v>0.99789173540128107</v>
      </c>
      <c r="T783" t="str">
        <f t="shared" si="50"/>
        <v>C</v>
      </c>
      <c r="V783" t="s">
        <v>537</v>
      </c>
      <c r="W783" t="s">
        <v>1246</v>
      </c>
    </row>
    <row r="784" spans="1:23" x14ac:dyDescent="0.25">
      <c r="A784" s="17">
        <v>44776</v>
      </c>
      <c r="B784" s="1" t="s">
        <v>813</v>
      </c>
      <c r="C784" s="1">
        <v>1</v>
      </c>
      <c r="F784" s="9" t="s">
        <v>1102</v>
      </c>
      <c r="G784" s="10"/>
      <c r="H784" s="10"/>
      <c r="I784" s="10"/>
      <c r="J784" s="10"/>
      <c r="K784" s="10">
        <v>1</v>
      </c>
      <c r="L784" s="10">
        <v>1</v>
      </c>
      <c r="O784" t="s">
        <v>957</v>
      </c>
      <c r="P784">
        <v>0.28000000000000003</v>
      </c>
      <c r="Q784">
        <f t="shared" si="48"/>
        <v>1.6800000000000002</v>
      </c>
      <c r="R784">
        <f t="shared" si="49"/>
        <v>1.7403617111719718E-4</v>
      </c>
      <c r="S784">
        <f t="shared" si="51"/>
        <v>0.99806577157239829</v>
      </c>
      <c r="T784" t="str">
        <f t="shared" si="50"/>
        <v>C</v>
      </c>
      <c r="V784" t="s">
        <v>957</v>
      </c>
      <c r="W784" t="s">
        <v>1246</v>
      </c>
    </row>
    <row r="785" spans="1:23" x14ac:dyDescent="0.25">
      <c r="A785" s="17">
        <v>44776</v>
      </c>
      <c r="B785" s="1" t="s">
        <v>814</v>
      </c>
      <c r="C785" s="1">
        <v>1</v>
      </c>
      <c r="F785" s="9" t="s">
        <v>80</v>
      </c>
      <c r="G785" s="10">
        <v>2</v>
      </c>
      <c r="H785" s="10"/>
      <c r="I785" s="10"/>
      <c r="J785" s="10"/>
      <c r="K785" s="10"/>
      <c r="L785" s="10">
        <v>2</v>
      </c>
      <c r="O785" t="s">
        <v>823</v>
      </c>
      <c r="P785">
        <v>0.24</v>
      </c>
      <c r="Q785">
        <f t="shared" si="48"/>
        <v>1.44</v>
      </c>
      <c r="R785">
        <f t="shared" si="49"/>
        <v>1.4917386095759756E-4</v>
      </c>
      <c r="S785">
        <f t="shared" si="51"/>
        <v>0.99821494543335587</v>
      </c>
      <c r="T785" t="str">
        <f t="shared" si="50"/>
        <v>C</v>
      </c>
      <c r="V785" t="s">
        <v>823</v>
      </c>
      <c r="W785" t="s">
        <v>1246</v>
      </c>
    </row>
    <row r="786" spans="1:23" x14ac:dyDescent="0.25">
      <c r="A786" s="17">
        <v>44776</v>
      </c>
      <c r="B786" s="1" t="s">
        <v>814</v>
      </c>
      <c r="C786" s="1">
        <v>1</v>
      </c>
      <c r="F786" s="9" t="s">
        <v>1178</v>
      </c>
      <c r="G786" s="10"/>
      <c r="H786" s="10"/>
      <c r="I786" s="10"/>
      <c r="J786" s="10"/>
      <c r="K786" s="10">
        <v>1</v>
      </c>
      <c r="L786" s="10">
        <v>1</v>
      </c>
      <c r="O786" t="s">
        <v>200</v>
      </c>
      <c r="P786">
        <v>0.21428570999999999</v>
      </c>
      <c r="Q786">
        <f t="shared" si="48"/>
        <v>1.28571426</v>
      </c>
      <c r="R786">
        <f t="shared" si="49"/>
        <v>1.331909446197503E-4</v>
      </c>
      <c r="S786">
        <f t="shared" si="51"/>
        <v>0.99834813637797559</v>
      </c>
      <c r="T786" t="str">
        <f t="shared" si="50"/>
        <v>C</v>
      </c>
      <c r="V786" t="s">
        <v>200</v>
      </c>
      <c r="W786" t="s">
        <v>1246</v>
      </c>
    </row>
    <row r="787" spans="1:23" x14ac:dyDescent="0.25">
      <c r="A787" s="17">
        <v>44776</v>
      </c>
      <c r="B787" s="1" t="s">
        <v>815</v>
      </c>
      <c r="C787" s="1">
        <v>1</v>
      </c>
      <c r="F787" s="9" t="s">
        <v>1001</v>
      </c>
      <c r="G787" s="10"/>
      <c r="H787" s="10"/>
      <c r="I787" s="10"/>
      <c r="J787" s="10">
        <v>2</v>
      </c>
      <c r="K787" s="10">
        <v>1</v>
      </c>
      <c r="L787" s="10">
        <v>3</v>
      </c>
      <c r="O787" t="s">
        <v>1179</v>
      </c>
      <c r="P787">
        <v>0.2</v>
      </c>
      <c r="Q787">
        <f t="shared" si="48"/>
        <v>1.2</v>
      </c>
      <c r="R787">
        <f t="shared" si="49"/>
        <v>1.2431155079799797E-4</v>
      </c>
      <c r="S787">
        <f t="shared" si="51"/>
        <v>0.99847244792877354</v>
      </c>
      <c r="T787" t="str">
        <f t="shared" si="50"/>
        <v>C</v>
      </c>
      <c r="V787" t="s">
        <v>1179</v>
      </c>
      <c r="W787" t="s">
        <v>1246</v>
      </c>
    </row>
    <row r="788" spans="1:23" x14ac:dyDescent="0.25">
      <c r="A788" s="17">
        <v>44776</v>
      </c>
      <c r="B788" s="1" t="s">
        <v>299</v>
      </c>
      <c r="C788" s="1">
        <v>1</v>
      </c>
      <c r="F788" s="9" t="s">
        <v>824</v>
      </c>
      <c r="G788" s="10"/>
      <c r="H788" s="10"/>
      <c r="I788" s="10">
        <v>1</v>
      </c>
      <c r="J788" s="10"/>
      <c r="K788" s="10"/>
      <c r="L788" s="10">
        <v>1</v>
      </c>
      <c r="O788" t="s">
        <v>421</v>
      </c>
      <c r="P788">
        <v>0.2</v>
      </c>
      <c r="Q788">
        <f t="shared" si="48"/>
        <v>1.2</v>
      </c>
      <c r="R788">
        <f t="shared" si="49"/>
        <v>1.2431155079799797E-4</v>
      </c>
      <c r="S788">
        <f t="shared" si="51"/>
        <v>0.99859675947957149</v>
      </c>
      <c r="T788" t="str">
        <f t="shared" si="50"/>
        <v>C</v>
      </c>
      <c r="V788" t="s">
        <v>421</v>
      </c>
      <c r="W788" t="s">
        <v>1246</v>
      </c>
    </row>
    <row r="789" spans="1:23" x14ac:dyDescent="0.25">
      <c r="A789" s="17">
        <v>44776</v>
      </c>
      <c r="B789" s="1" t="s">
        <v>816</v>
      </c>
      <c r="C789" s="1">
        <v>1</v>
      </c>
      <c r="F789" s="9" t="s">
        <v>68</v>
      </c>
      <c r="G789" s="10">
        <v>2</v>
      </c>
      <c r="H789" s="10"/>
      <c r="I789" s="10"/>
      <c r="J789" s="10"/>
      <c r="K789" s="10"/>
      <c r="L789" s="10">
        <v>2</v>
      </c>
      <c r="O789" t="s">
        <v>1183</v>
      </c>
      <c r="P789">
        <v>0.2</v>
      </c>
      <c r="Q789">
        <f t="shared" si="48"/>
        <v>1.2</v>
      </c>
      <c r="R789">
        <f t="shared" si="49"/>
        <v>1.2431155079799797E-4</v>
      </c>
      <c r="S789">
        <f t="shared" si="51"/>
        <v>0.99872107103036944</v>
      </c>
      <c r="T789" t="str">
        <f t="shared" si="50"/>
        <v>C</v>
      </c>
      <c r="V789" t="s">
        <v>1183</v>
      </c>
      <c r="W789" t="s">
        <v>1246</v>
      </c>
    </row>
    <row r="790" spans="1:23" x14ac:dyDescent="0.25">
      <c r="A790" s="17">
        <v>44776</v>
      </c>
      <c r="B790" s="1" t="s">
        <v>817</v>
      </c>
      <c r="C790" s="1">
        <v>1</v>
      </c>
      <c r="F790" s="9" t="s">
        <v>25</v>
      </c>
      <c r="G790" s="10">
        <v>1</v>
      </c>
      <c r="H790" s="10">
        <v>1</v>
      </c>
      <c r="I790" s="10"/>
      <c r="J790" s="10"/>
      <c r="K790" s="10"/>
      <c r="L790" s="10">
        <v>2</v>
      </c>
      <c r="O790" t="s">
        <v>1078</v>
      </c>
      <c r="P790">
        <v>0.2</v>
      </c>
      <c r="Q790">
        <f t="shared" si="48"/>
        <v>1.2</v>
      </c>
      <c r="R790">
        <f t="shared" si="49"/>
        <v>1.2431155079799797E-4</v>
      </c>
      <c r="S790">
        <f t="shared" si="51"/>
        <v>0.9988453825811674</v>
      </c>
      <c r="T790" t="str">
        <f t="shared" si="50"/>
        <v>C</v>
      </c>
      <c r="V790" t="s">
        <v>1078</v>
      </c>
      <c r="W790" t="s">
        <v>1246</v>
      </c>
    </row>
    <row r="791" spans="1:23" x14ac:dyDescent="0.25">
      <c r="A791" s="17">
        <v>44776</v>
      </c>
      <c r="B791" s="1" t="s">
        <v>818</v>
      </c>
      <c r="C791" s="1">
        <v>1</v>
      </c>
      <c r="F791" s="9" t="s">
        <v>746</v>
      </c>
      <c r="G791" s="10"/>
      <c r="H791" s="10"/>
      <c r="I791" s="10">
        <v>1</v>
      </c>
      <c r="J791" s="10"/>
      <c r="K791" s="10"/>
      <c r="L791" s="10">
        <v>1</v>
      </c>
      <c r="O791" t="s">
        <v>970</v>
      </c>
      <c r="P791">
        <v>0.2</v>
      </c>
      <c r="Q791">
        <f t="shared" si="48"/>
        <v>1.2</v>
      </c>
      <c r="R791">
        <f t="shared" si="49"/>
        <v>1.2431155079799797E-4</v>
      </c>
      <c r="S791">
        <f t="shared" si="51"/>
        <v>0.99896969413196535</v>
      </c>
      <c r="T791" t="str">
        <f t="shared" si="50"/>
        <v>C</v>
      </c>
      <c r="V791" t="s">
        <v>970</v>
      </c>
      <c r="W791" t="s">
        <v>1246</v>
      </c>
    </row>
    <row r="792" spans="1:23" x14ac:dyDescent="0.25">
      <c r="A792" s="17">
        <v>44776</v>
      </c>
      <c r="B792" s="1" t="s">
        <v>820</v>
      </c>
      <c r="C792" s="1">
        <v>1</v>
      </c>
      <c r="F792" s="9" t="s">
        <v>818</v>
      </c>
      <c r="G792" s="10"/>
      <c r="H792" s="10"/>
      <c r="I792" s="10">
        <v>1</v>
      </c>
      <c r="J792" s="10"/>
      <c r="K792" s="10">
        <v>2</v>
      </c>
      <c r="L792" s="10">
        <v>3</v>
      </c>
      <c r="O792" t="s">
        <v>912</v>
      </c>
      <c r="P792">
        <v>0.2</v>
      </c>
      <c r="Q792">
        <f t="shared" si="48"/>
        <v>1.2</v>
      </c>
      <c r="R792">
        <f t="shared" si="49"/>
        <v>1.2431155079799797E-4</v>
      </c>
      <c r="S792">
        <f t="shared" si="51"/>
        <v>0.9990940056827633</v>
      </c>
      <c r="T792" t="str">
        <f t="shared" si="50"/>
        <v>C</v>
      </c>
      <c r="V792" t="s">
        <v>912</v>
      </c>
      <c r="W792" t="s">
        <v>1246</v>
      </c>
    </row>
    <row r="793" spans="1:23" x14ac:dyDescent="0.25">
      <c r="A793" s="17">
        <v>44776</v>
      </c>
      <c r="B793" s="1" t="s">
        <v>821</v>
      </c>
      <c r="C793" s="1">
        <v>1</v>
      </c>
      <c r="F793" s="9" t="s">
        <v>171</v>
      </c>
      <c r="G793" s="10">
        <v>1</v>
      </c>
      <c r="H793" s="10"/>
      <c r="I793" s="10"/>
      <c r="J793" s="10"/>
      <c r="K793" s="10"/>
      <c r="L793" s="10">
        <v>1</v>
      </c>
      <c r="O793" t="s">
        <v>932</v>
      </c>
      <c r="P793">
        <v>0.2</v>
      </c>
      <c r="Q793">
        <f t="shared" si="48"/>
        <v>1.2</v>
      </c>
      <c r="R793">
        <f t="shared" si="49"/>
        <v>1.2431155079799797E-4</v>
      </c>
      <c r="S793">
        <f t="shared" si="51"/>
        <v>0.99921831723356125</v>
      </c>
      <c r="T793" t="str">
        <f t="shared" si="50"/>
        <v>C</v>
      </c>
      <c r="V793" t="s">
        <v>932</v>
      </c>
      <c r="W793" t="s">
        <v>1246</v>
      </c>
    </row>
    <row r="794" spans="1:23" x14ac:dyDescent="0.25">
      <c r="A794" s="17">
        <v>44776</v>
      </c>
      <c r="B794" s="1" t="s">
        <v>163</v>
      </c>
      <c r="C794" s="1">
        <v>4</v>
      </c>
      <c r="F794" s="9" t="s">
        <v>212</v>
      </c>
      <c r="G794" s="10">
        <v>4</v>
      </c>
      <c r="H794" s="10">
        <v>2</v>
      </c>
      <c r="I794" s="10"/>
      <c r="J794" s="10"/>
      <c r="K794" s="10"/>
      <c r="L794" s="10">
        <v>6</v>
      </c>
      <c r="O794" t="s">
        <v>654</v>
      </c>
      <c r="P794">
        <v>0.16666666999999999</v>
      </c>
      <c r="Q794">
        <f t="shared" si="48"/>
        <v>1.0000000199999999</v>
      </c>
      <c r="R794">
        <f t="shared" si="49"/>
        <v>1.035929610701908E-4</v>
      </c>
      <c r="S794">
        <f t="shared" si="51"/>
        <v>0.99932191019463146</v>
      </c>
      <c r="T794" t="str">
        <f t="shared" si="50"/>
        <v>C</v>
      </c>
      <c r="V794" t="s">
        <v>654</v>
      </c>
      <c r="W794" t="s">
        <v>1246</v>
      </c>
    </row>
    <row r="795" spans="1:23" x14ac:dyDescent="0.25">
      <c r="A795" s="17">
        <v>44776</v>
      </c>
      <c r="B795" s="1" t="s">
        <v>163</v>
      </c>
      <c r="C795" s="1">
        <v>2</v>
      </c>
      <c r="F795" s="9" t="s">
        <v>565</v>
      </c>
      <c r="G795" s="10"/>
      <c r="H795" s="10">
        <v>2</v>
      </c>
      <c r="I795" s="10"/>
      <c r="J795" s="10"/>
      <c r="K795" s="10"/>
      <c r="L795" s="10">
        <v>2</v>
      </c>
      <c r="O795" t="s">
        <v>314</v>
      </c>
      <c r="P795">
        <v>0.14285713999999999</v>
      </c>
      <c r="Q795">
        <f t="shared" si="48"/>
        <v>0.85714283999999996</v>
      </c>
      <c r="R795">
        <f t="shared" si="49"/>
        <v>8.8793963079833536E-5</v>
      </c>
      <c r="S795">
        <f t="shared" si="51"/>
        <v>0.99941070415771127</v>
      </c>
      <c r="T795" t="str">
        <f t="shared" si="50"/>
        <v>C</v>
      </c>
      <c r="V795" t="s">
        <v>314</v>
      </c>
      <c r="W795" t="s">
        <v>1246</v>
      </c>
    </row>
    <row r="796" spans="1:23" x14ac:dyDescent="0.25">
      <c r="A796" s="17">
        <v>44776</v>
      </c>
      <c r="B796" s="1" t="s">
        <v>711</v>
      </c>
      <c r="C796" s="1">
        <v>0.01</v>
      </c>
      <c r="F796" s="9" t="s">
        <v>30</v>
      </c>
      <c r="G796" s="10">
        <v>2</v>
      </c>
      <c r="H796" s="10"/>
      <c r="I796" s="10"/>
      <c r="J796" s="10"/>
      <c r="K796" s="10"/>
      <c r="L796" s="10">
        <v>2</v>
      </c>
      <c r="O796" t="s">
        <v>800</v>
      </c>
      <c r="P796">
        <v>0.14000000000000001</v>
      </c>
      <c r="Q796">
        <f t="shared" si="48"/>
        <v>0.84000000000000008</v>
      </c>
      <c r="R796">
        <f t="shared" si="49"/>
        <v>8.701808555859859E-5</v>
      </c>
      <c r="S796">
        <f t="shared" si="51"/>
        <v>0.99949772224326983</v>
      </c>
      <c r="T796" t="str">
        <f t="shared" si="50"/>
        <v>C</v>
      </c>
      <c r="V796" t="s">
        <v>800</v>
      </c>
      <c r="W796" t="s">
        <v>1246</v>
      </c>
    </row>
    <row r="797" spans="1:23" x14ac:dyDescent="0.25">
      <c r="A797" s="17">
        <v>44776</v>
      </c>
      <c r="B797" s="1" t="s">
        <v>432</v>
      </c>
      <c r="C797" s="1">
        <v>1</v>
      </c>
      <c r="F797" s="9" t="s">
        <v>274</v>
      </c>
      <c r="G797" s="10">
        <v>1</v>
      </c>
      <c r="H797" s="10"/>
      <c r="I797" s="10"/>
      <c r="J797" s="10"/>
      <c r="K797" s="10"/>
      <c r="L797" s="10">
        <v>1</v>
      </c>
      <c r="O797" t="s">
        <v>806</v>
      </c>
      <c r="P797">
        <v>0.12</v>
      </c>
      <c r="Q797">
        <f t="shared" si="48"/>
        <v>0.72</v>
      </c>
      <c r="R797">
        <f t="shared" si="49"/>
        <v>7.4586930478798781E-5</v>
      </c>
      <c r="S797">
        <f t="shared" si="51"/>
        <v>0.99957230917374862</v>
      </c>
      <c r="T797" t="str">
        <f t="shared" si="50"/>
        <v>C</v>
      </c>
      <c r="V797" t="s">
        <v>806</v>
      </c>
      <c r="W797" t="s">
        <v>1246</v>
      </c>
    </row>
    <row r="798" spans="1:23" x14ac:dyDescent="0.25">
      <c r="A798" s="17">
        <v>44776</v>
      </c>
      <c r="B798" s="1" t="s">
        <v>823</v>
      </c>
      <c r="C798" s="1">
        <v>0.24</v>
      </c>
      <c r="F798" s="9" t="s">
        <v>978</v>
      </c>
      <c r="G798" s="10"/>
      <c r="H798" s="10"/>
      <c r="I798" s="10"/>
      <c r="J798" s="10">
        <v>1</v>
      </c>
      <c r="K798" s="10"/>
      <c r="L798" s="10">
        <v>1</v>
      </c>
      <c r="O798" t="s">
        <v>711</v>
      </c>
      <c r="P798">
        <v>0.11000000000000001</v>
      </c>
      <c r="Q798">
        <f t="shared" si="48"/>
        <v>0.66</v>
      </c>
      <c r="R798">
        <f t="shared" si="49"/>
        <v>6.8371352938898891E-5</v>
      </c>
      <c r="S798">
        <f t="shared" si="51"/>
        <v>0.99964068052668753</v>
      </c>
      <c r="T798" t="str">
        <f t="shared" si="50"/>
        <v>C</v>
      </c>
      <c r="V798" t="s">
        <v>711</v>
      </c>
      <c r="W798" t="s">
        <v>1246</v>
      </c>
    </row>
    <row r="799" spans="1:23" x14ac:dyDescent="0.25">
      <c r="A799" s="17">
        <v>44776</v>
      </c>
      <c r="B799" s="1" t="s">
        <v>824</v>
      </c>
      <c r="C799" s="1">
        <v>1</v>
      </c>
      <c r="F799" s="9" t="s">
        <v>311</v>
      </c>
      <c r="G799" s="10">
        <v>1</v>
      </c>
      <c r="H799" s="10"/>
      <c r="I799" s="10"/>
      <c r="J799" s="10"/>
      <c r="K799" s="10"/>
      <c r="L799" s="10">
        <v>1</v>
      </c>
      <c r="O799" t="s">
        <v>801</v>
      </c>
      <c r="P799">
        <v>0.1</v>
      </c>
      <c r="Q799">
        <f t="shared" si="48"/>
        <v>0.6</v>
      </c>
      <c r="R799">
        <f t="shared" si="49"/>
        <v>6.2155775398998987E-5</v>
      </c>
      <c r="S799">
        <f t="shared" si="51"/>
        <v>0.99970283630208656</v>
      </c>
      <c r="T799" t="str">
        <f t="shared" si="50"/>
        <v>C</v>
      </c>
      <c r="V799" t="s">
        <v>801</v>
      </c>
      <c r="W799" t="s">
        <v>1246</v>
      </c>
    </row>
    <row r="800" spans="1:23" x14ac:dyDescent="0.25">
      <c r="A800" s="17">
        <v>44776</v>
      </c>
      <c r="B800" s="1" t="s">
        <v>825</v>
      </c>
      <c r="C800" s="1">
        <v>1</v>
      </c>
      <c r="F800" s="9" t="s">
        <v>218</v>
      </c>
      <c r="G800" s="10">
        <v>1</v>
      </c>
      <c r="H800" s="10"/>
      <c r="I800" s="10"/>
      <c r="J800" s="10"/>
      <c r="K800" s="10"/>
      <c r="L800" s="10">
        <v>1</v>
      </c>
      <c r="O800" t="s">
        <v>649</v>
      </c>
      <c r="P800">
        <v>0.1</v>
      </c>
      <c r="Q800">
        <f t="shared" si="48"/>
        <v>0.6</v>
      </c>
      <c r="R800">
        <f t="shared" si="49"/>
        <v>6.2155775398998987E-5</v>
      </c>
      <c r="S800">
        <f t="shared" si="51"/>
        <v>0.99976499207748559</v>
      </c>
      <c r="T800" t="str">
        <f t="shared" si="50"/>
        <v>C</v>
      </c>
      <c r="V800" t="s">
        <v>649</v>
      </c>
      <c r="W800" t="s">
        <v>1246</v>
      </c>
    </row>
    <row r="801" spans="1:23" x14ac:dyDescent="0.25">
      <c r="A801" s="17">
        <v>44776</v>
      </c>
      <c r="B801" s="1" t="s">
        <v>825</v>
      </c>
      <c r="C801" s="1">
        <v>1</v>
      </c>
      <c r="F801" s="9" t="s">
        <v>621</v>
      </c>
      <c r="G801" s="10"/>
      <c r="H801" s="10">
        <v>1</v>
      </c>
      <c r="I801" s="10"/>
      <c r="J801" s="10"/>
      <c r="K801" s="10"/>
      <c r="L801" s="10">
        <v>1</v>
      </c>
      <c r="O801" t="s">
        <v>876</v>
      </c>
      <c r="P801">
        <v>0.1</v>
      </c>
      <c r="Q801">
        <f t="shared" si="48"/>
        <v>0.6</v>
      </c>
      <c r="R801">
        <f t="shared" si="49"/>
        <v>6.2155775398998987E-5</v>
      </c>
      <c r="S801">
        <f t="shared" si="51"/>
        <v>0.99982714785288462</v>
      </c>
      <c r="T801" t="str">
        <f t="shared" si="50"/>
        <v>C</v>
      </c>
      <c r="V801" t="s">
        <v>876</v>
      </c>
      <c r="W801" t="s">
        <v>1246</v>
      </c>
    </row>
    <row r="802" spans="1:23" x14ac:dyDescent="0.25">
      <c r="A802" s="17">
        <v>44776</v>
      </c>
      <c r="B802" s="1" t="s">
        <v>331</v>
      </c>
      <c r="C802" s="1">
        <v>1</v>
      </c>
      <c r="F802" s="9" t="s">
        <v>248</v>
      </c>
      <c r="G802" s="10">
        <v>2</v>
      </c>
      <c r="H802" s="10">
        <v>2</v>
      </c>
      <c r="I802" s="10">
        <v>2</v>
      </c>
      <c r="J802" s="10"/>
      <c r="K802" s="10">
        <v>1</v>
      </c>
      <c r="L802" s="10">
        <v>7</v>
      </c>
      <c r="O802" t="s">
        <v>662</v>
      </c>
      <c r="P802">
        <v>7.1428400000000003E-2</v>
      </c>
      <c r="Q802">
        <f t="shared" si="48"/>
        <v>0.42857040000000002</v>
      </c>
      <c r="R802">
        <f t="shared" si="49"/>
        <v>4.4396875875098591E-5</v>
      </c>
      <c r="S802">
        <f t="shared" si="51"/>
        <v>0.99987154472875972</v>
      </c>
      <c r="T802" t="str">
        <f t="shared" si="50"/>
        <v>C</v>
      </c>
      <c r="V802" t="s">
        <v>662</v>
      </c>
      <c r="W802" t="s">
        <v>1246</v>
      </c>
    </row>
    <row r="803" spans="1:23" x14ac:dyDescent="0.25">
      <c r="A803" s="17">
        <v>44776</v>
      </c>
      <c r="B803" s="1" t="s">
        <v>331</v>
      </c>
      <c r="C803" s="1">
        <v>1</v>
      </c>
      <c r="F803" s="9" t="s">
        <v>1047</v>
      </c>
      <c r="G803" s="10"/>
      <c r="H803" s="10"/>
      <c r="I803" s="10"/>
      <c r="J803" s="10">
        <v>1</v>
      </c>
      <c r="K803" s="10"/>
      <c r="L803" s="10">
        <v>1</v>
      </c>
      <c r="O803" t="s">
        <v>1034</v>
      </c>
      <c r="P803">
        <v>6.6666669999999997E-2</v>
      </c>
      <c r="Q803">
        <f t="shared" si="48"/>
        <v>0.40000001999999996</v>
      </c>
      <c r="R803">
        <f t="shared" si="49"/>
        <v>4.1437185671191831E-5</v>
      </c>
      <c r="S803">
        <f t="shared" si="51"/>
        <v>0.9999129819144309</v>
      </c>
      <c r="T803" t="str">
        <f t="shared" si="50"/>
        <v>C</v>
      </c>
      <c r="V803" t="s">
        <v>1034</v>
      </c>
      <c r="W803" t="s">
        <v>1246</v>
      </c>
    </row>
    <row r="804" spans="1:23" x14ac:dyDescent="0.25">
      <c r="A804" s="17">
        <v>44776</v>
      </c>
      <c r="B804" s="1" t="s">
        <v>331</v>
      </c>
      <c r="C804" s="1">
        <v>1</v>
      </c>
      <c r="F804" s="9" t="s">
        <v>1184</v>
      </c>
      <c r="G804" s="10"/>
      <c r="H804" s="10"/>
      <c r="I804" s="10"/>
      <c r="J804" s="10"/>
      <c r="K804" s="10">
        <v>1</v>
      </c>
      <c r="L804" s="10">
        <v>1</v>
      </c>
      <c r="O804" t="s">
        <v>1111</v>
      </c>
      <c r="P804">
        <v>0.05</v>
      </c>
      <c r="Q804">
        <f t="shared" si="48"/>
        <v>0.3</v>
      </c>
      <c r="R804">
        <f t="shared" si="49"/>
        <v>3.1077887699499493E-5</v>
      </c>
      <c r="S804">
        <f t="shared" si="51"/>
        <v>0.99994405980213041</v>
      </c>
      <c r="T804" t="str">
        <f t="shared" si="50"/>
        <v>C</v>
      </c>
      <c r="V804" t="s">
        <v>1111</v>
      </c>
      <c r="W804" t="s">
        <v>1246</v>
      </c>
    </row>
    <row r="805" spans="1:23" x14ac:dyDescent="0.25">
      <c r="A805" s="17">
        <v>44776</v>
      </c>
      <c r="B805" s="1" t="s">
        <v>331</v>
      </c>
      <c r="C805" s="1">
        <v>1</v>
      </c>
      <c r="F805" s="9" t="s">
        <v>133</v>
      </c>
      <c r="G805" s="10">
        <v>1</v>
      </c>
      <c r="H805" s="10"/>
      <c r="I805" s="10"/>
      <c r="J805" s="10"/>
      <c r="K805" s="10"/>
      <c r="L805" s="10">
        <v>1</v>
      </c>
      <c r="O805" t="s">
        <v>1066</v>
      </c>
      <c r="P805">
        <v>0.05</v>
      </c>
      <c r="Q805">
        <f t="shared" si="48"/>
        <v>0.3</v>
      </c>
      <c r="R805">
        <f t="shared" si="49"/>
        <v>3.1077887699499493E-5</v>
      </c>
      <c r="S805">
        <f t="shared" si="51"/>
        <v>0.99997513768982993</v>
      </c>
      <c r="T805" t="str">
        <f t="shared" si="50"/>
        <v>C</v>
      </c>
      <c r="V805" t="s">
        <v>1066</v>
      </c>
      <c r="W805" t="s">
        <v>1246</v>
      </c>
    </row>
    <row r="806" spans="1:23" x14ac:dyDescent="0.25">
      <c r="A806" s="17">
        <v>44776</v>
      </c>
      <c r="B806" s="1" t="s">
        <v>331</v>
      </c>
      <c r="C806" s="1">
        <v>1</v>
      </c>
      <c r="F806" s="9" t="s">
        <v>1093</v>
      </c>
      <c r="G806" s="10"/>
      <c r="H806" s="10"/>
      <c r="I806" s="10"/>
      <c r="J806" s="10"/>
      <c r="K806" s="10">
        <v>1</v>
      </c>
      <c r="L806" s="10">
        <v>1</v>
      </c>
      <c r="O806" t="s">
        <v>1008</v>
      </c>
      <c r="P806">
        <v>0.04</v>
      </c>
      <c r="Q806">
        <f t="shared" si="48"/>
        <v>0.24</v>
      </c>
      <c r="R806">
        <f t="shared" si="49"/>
        <v>2.4862310159599593E-5</v>
      </c>
      <c r="S806">
        <f t="shared" si="51"/>
        <v>0.99999999999998956</v>
      </c>
      <c r="T806" t="str">
        <f t="shared" si="50"/>
        <v>C</v>
      </c>
      <c r="V806" t="s">
        <v>1008</v>
      </c>
      <c r="W806" t="s">
        <v>1246</v>
      </c>
    </row>
    <row r="807" spans="1:23" x14ac:dyDescent="0.25">
      <c r="A807" s="17">
        <v>44776</v>
      </c>
      <c r="B807" s="1" t="s">
        <v>331</v>
      </c>
      <c r="C807" s="1">
        <v>1</v>
      </c>
      <c r="F807" s="9" t="s">
        <v>1228</v>
      </c>
      <c r="G807" s="10">
        <v>400.79761909000007</v>
      </c>
      <c r="H807" s="10">
        <v>307.62857130000003</v>
      </c>
      <c r="I807" s="10">
        <v>308.40142859000002</v>
      </c>
      <c r="J807" s="10">
        <v>273.60333333</v>
      </c>
      <c r="K807" s="10">
        <v>318.43</v>
      </c>
      <c r="L807" s="10">
        <v>1608.8609523099999</v>
      </c>
    </row>
    <row r="808" spans="1:23" x14ac:dyDescent="0.25">
      <c r="A808" s="17">
        <v>44776</v>
      </c>
      <c r="B808" s="1" t="s">
        <v>257</v>
      </c>
      <c r="C808" s="1">
        <v>1</v>
      </c>
    </row>
    <row r="809" spans="1:23" x14ac:dyDescent="0.25">
      <c r="A809" s="17">
        <v>44776</v>
      </c>
      <c r="B809" s="1" t="s">
        <v>293</v>
      </c>
      <c r="C809" s="1">
        <v>1</v>
      </c>
    </row>
    <row r="810" spans="1:23" x14ac:dyDescent="0.25">
      <c r="A810" s="17">
        <v>44776</v>
      </c>
      <c r="B810" s="1" t="s">
        <v>826</v>
      </c>
      <c r="C810" s="1">
        <v>1</v>
      </c>
    </row>
    <row r="811" spans="1:23" x14ac:dyDescent="0.25">
      <c r="A811" s="17">
        <v>44776</v>
      </c>
      <c r="B811" s="1" t="s">
        <v>826</v>
      </c>
      <c r="C811" s="1">
        <v>1</v>
      </c>
    </row>
    <row r="812" spans="1:23" x14ac:dyDescent="0.25">
      <c r="A812" s="17">
        <v>44776</v>
      </c>
      <c r="B812" s="1" t="s">
        <v>828</v>
      </c>
      <c r="C812" s="1">
        <v>1</v>
      </c>
    </row>
    <row r="813" spans="1:23" x14ac:dyDescent="0.25">
      <c r="A813" s="17">
        <v>44776</v>
      </c>
      <c r="B813" s="1" t="s">
        <v>830</v>
      </c>
      <c r="C813" s="1">
        <v>1</v>
      </c>
    </row>
    <row r="814" spans="1:23" x14ac:dyDescent="0.25">
      <c r="A814" s="17">
        <v>44776</v>
      </c>
      <c r="B814" s="1" t="s">
        <v>465</v>
      </c>
      <c r="C814" s="1">
        <v>2</v>
      </c>
    </row>
    <row r="815" spans="1:23" x14ac:dyDescent="0.25">
      <c r="A815" s="17">
        <v>44776</v>
      </c>
      <c r="B815" s="1" t="s">
        <v>465</v>
      </c>
      <c r="C815" s="1">
        <v>1</v>
      </c>
    </row>
    <row r="816" spans="1:23" x14ac:dyDescent="0.25">
      <c r="A816" s="17">
        <v>44776</v>
      </c>
      <c r="B816" s="1" t="s">
        <v>355</v>
      </c>
      <c r="C816" s="1">
        <v>1</v>
      </c>
    </row>
    <row r="817" spans="1:3" x14ac:dyDescent="0.25">
      <c r="A817" s="17">
        <v>44776</v>
      </c>
      <c r="B817" s="1" t="s">
        <v>831</v>
      </c>
      <c r="C817" s="1">
        <v>1</v>
      </c>
    </row>
    <row r="818" spans="1:3" x14ac:dyDescent="0.25">
      <c r="A818" s="17">
        <v>44776</v>
      </c>
      <c r="B818" s="1" t="s">
        <v>832</v>
      </c>
      <c r="C818" s="1">
        <v>1</v>
      </c>
    </row>
    <row r="819" spans="1:3" x14ac:dyDescent="0.25">
      <c r="A819" s="17">
        <v>44776</v>
      </c>
      <c r="B819" s="1" t="s">
        <v>408</v>
      </c>
      <c r="C819" s="1">
        <v>1</v>
      </c>
    </row>
    <row r="820" spans="1:3" x14ac:dyDescent="0.25">
      <c r="A820" s="17">
        <v>44776</v>
      </c>
      <c r="B820" s="1" t="s">
        <v>408</v>
      </c>
      <c r="C820" s="1">
        <v>1</v>
      </c>
    </row>
    <row r="821" spans="1:3" x14ac:dyDescent="0.25">
      <c r="A821" s="17">
        <v>44776</v>
      </c>
      <c r="B821" s="1" t="s">
        <v>699</v>
      </c>
      <c r="C821" s="1">
        <v>1</v>
      </c>
    </row>
    <row r="822" spans="1:3" x14ac:dyDescent="0.25">
      <c r="A822" s="17">
        <v>44776</v>
      </c>
      <c r="B822" s="1" t="s">
        <v>382</v>
      </c>
      <c r="C822" s="1">
        <v>1</v>
      </c>
    </row>
    <row r="823" spans="1:3" x14ac:dyDescent="0.25">
      <c r="A823" s="17">
        <v>44776</v>
      </c>
      <c r="B823" s="1" t="s">
        <v>834</v>
      </c>
      <c r="C823" s="1">
        <v>1</v>
      </c>
    </row>
    <row r="824" spans="1:3" x14ac:dyDescent="0.25">
      <c r="A824" s="17">
        <v>44776</v>
      </c>
      <c r="B824" s="1" t="s">
        <v>835</v>
      </c>
      <c r="C824" s="1">
        <v>1</v>
      </c>
    </row>
    <row r="825" spans="1:3" x14ac:dyDescent="0.25">
      <c r="A825" s="17">
        <v>44776</v>
      </c>
      <c r="B825" s="1" t="s">
        <v>836</v>
      </c>
      <c r="C825" s="1">
        <v>1</v>
      </c>
    </row>
    <row r="826" spans="1:3" x14ac:dyDescent="0.25">
      <c r="A826" s="17">
        <v>44776</v>
      </c>
      <c r="B826" s="1" t="s">
        <v>838</v>
      </c>
      <c r="C826" s="1">
        <v>1</v>
      </c>
    </row>
    <row r="827" spans="1:3" x14ac:dyDescent="0.25">
      <c r="A827" s="17">
        <v>44776</v>
      </c>
      <c r="B827" s="1" t="s">
        <v>840</v>
      </c>
      <c r="C827" s="1">
        <v>1</v>
      </c>
    </row>
    <row r="828" spans="1:3" x14ac:dyDescent="0.25">
      <c r="A828" s="17">
        <v>44776</v>
      </c>
      <c r="B828" s="1" t="s">
        <v>89</v>
      </c>
      <c r="C828" s="1">
        <v>1</v>
      </c>
    </row>
    <row r="829" spans="1:3" x14ac:dyDescent="0.25">
      <c r="A829" s="17">
        <v>44776</v>
      </c>
      <c r="B829" s="1" t="s">
        <v>842</v>
      </c>
      <c r="C829" s="1">
        <v>1</v>
      </c>
    </row>
    <row r="830" spans="1:3" x14ac:dyDescent="0.25">
      <c r="A830" s="17">
        <v>44776</v>
      </c>
      <c r="B830" s="1" t="s">
        <v>843</v>
      </c>
      <c r="C830" s="1">
        <v>1</v>
      </c>
    </row>
    <row r="831" spans="1:3" x14ac:dyDescent="0.25">
      <c r="A831" s="17">
        <v>44776</v>
      </c>
      <c r="B831" s="1" t="s">
        <v>844</v>
      </c>
      <c r="C831" s="1">
        <v>1</v>
      </c>
    </row>
    <row r="832" spans="1:3" x14ac:dyDescent="0.25">
      <c r="A832" s="17">
        <v>44776</v>
      </c>
      <c r="B832" s="1" t="s">
        <v>844</v>
      </c>
      <c r="C832" s="1">
        <v>1</v>
      </c>
    </row>
    <row r="833" spans="1:3" x14ac:dyDescent="0.25">
      <c r="A833" s="17">
        <v>44776</v>
      </c>
      <c r="B833" s="1" t="s">
        <v>845</v>
      </c>
      <c r="C833" s="1">
        <v>1</v>
      </c>
    </row>
    <row r="834" spans="1:3" x14ac:dyDescent="0.25">
      <c r="A834" s="17">
        <v>44776</v>
      </c>
      <c r="B834" s="1" t="s">
        <v>847</v>
      </c>
      <c r="C834" s="1">
        <v>1</v>
      </c>
    </row>
    <row r="835" spans="1:3" x14ac:dyDescent="0.25">
      <c r="A835" s="17">
        <v>44776</v>
      </c>
      <c r="B835" s="1" t="s">
        <v>848</v>
      </c>
      <c r="C835" s="1">
        <v>1</v>
      </c>
    </row>
    <row r="836" spans="1:3" x14ac:dyDescent="0.25">
      <c r="A836" s="17">
        <v>44776</v>
      </c>
      <c r="B836" s="1" t="s">
        <v>381</v>
      </c>
      <c r="C836" s="1">
        <v>1</v>
      </c>
    </row>
    <row r="837" spans="1:3" x14ac:dyDescent="0.25">
      <c r="A837" s="17">
        <v>44776</v>
      </c>
      <c r="B837" s="1" t="s">
        <v>492</v>
      </c>
      <c r="C837" s="1">
        <v>1</v>
      </c>
    </row>
    <row r="838" spans="1:3" x14ac:dyDescent="0.25">
      <c r="A838" s="17">
        <v>44776</v>
      </c>
      <c r="B838" s="1" t="s">
        <v>492</v>
      </c>
      <c r="C838" s="1">
        <v>1</v>
      </c>
    </row>
    <row r="839" spans="1:3" x14ac:dyDescent="0.25">
      <c r="A839" s="17">
        <v>44776</v>
      </c>
      <c r="B839" s="1" t="s">
        <v>850</v>
      </c>
      <c r="C839" s="1">
        <v>1</v>
      </c>
    </row>
    <row r="840" spans="1:3" x14ac:dyDescent="0.25">
      <c r="A840" s="17">
        <v>44776</v>
      </c>
      <c r="B840" s="1" t="s">
        <v>851</v>
      </c>
      <c r="C840" s="1">
        <v>1</v>
      </c>
    </row>
    <row r="841" spans="1:3" x14ac:dyDescent="0.25">
      <c r="A841" s="17">
        <v>44776</v>
      </c>
      <c r="B841" s="1" t="s">
        <v>851</v>
      </c>
      <c r="C841" s="1">
        <v>1</v>
      </c>
    </row>
    <row r="842" spans="1:3" x14ac:dyDescent="0.25">
      <c r="A842" s="17">
        <v>44776</v>
      </c>
      <c r="B842" s="1" t="s">
        <v>851</v>
      </c>
      <c r="C842" s="1">
        <v>1</v>
      </c>
    </row>
    <row r="843" spans="1:3" x14ac:dyDescent="0.25">
      <c r="A843" s="17">
        <v>44776</v>
      </c>
      <c r="B843" s="1" t="s">
        <v>851</v>
      </c>
      <c r="C843" s="1">
        <v>1</v>
      </c>
    </row>
    <row r="844" spans="1:3" x14ac:dyDescent="0.25">
      <c r="A844" s="17">
        <v>44776</v>
      </c>
      <c r="B844" s="1" t="s">
        <v>851</v>
      </c>
      <c r="C844" s="1">
        <v>1</v>
      </c>
    </row>
    <row r="845" spans="1:3" x14ac:dyDescent="0.25">
      <c r="A845" s="17">
        <v>44776</v>
      </c>
      <c r="B845" s="1" t="s">
        <v>851</v>
      </c>
      <c r="C845" s="1">
        <v>1</v>
      </c>
    </row>
    <row r="846" spans="1:3" x14ac:dyDescent="0.25">
      <c r="A846" s="17">
        <v>44776</v>
      </c>
      <c r="B846" s="1" t="s">
        <v>851</v>
      </c>
      <c r="C846" s="1">
        <v>1</v>
      </c>
    </row>
    <row r="847" spans="1:3" x14ac:dyDescent="0.25">
      <c r="A847" s="17">
        <v>44776</v>
      </c>
      <c r="B847" s="1" t="s">
        <v>851</v>
      </c>
      <c r="C847" s="1">
        <v>1</v>
      </c>
    </row>
    <row r="848" spans="1:3" x14ac:dyDescent="0.25">
      <c r="A848" s="17">
        <v>44776</v>
      </c>
      <c r="B848" s="1" t="s">
        <v>851</v>
      </c>
      <c r="C848" s="1">
        <v>1</v>
      </c>
    </row>
    <row r="849" spans="1:3" x14ac:dyDescent="0.25">
      <c r="A849" s="17">
        <v>44776</v>
      </c>
      <c r="B849" s="1" t="s">
        <v>851</v>
      </c>
      <c r="C849" s="1">
        <v>1</v>
      </c>
    </row>
    <row r="850" spans="1:3" x14ac:dyDescent="0.25">
      <c r="A850" s="17">
        <v>44776</v>
      </c>
      <c r="B850" s="1" t="s">
        <v>853</v>
      </c>
      <c r="C850" s="1">
        <v>1</v>
      </c>
    </row>
    <row r="851" spans="1:3" x14ac:dyDescent="0.25">
      <c r="A851" s="17">
        <v>44776</v>
      </c>
      <c r="B851" s="1" t="s">
        <v>854</v>
      </c>
      <c r="C851" s="1">
        <v>1</v>
      </c>
    </row>
    <row r="852" spans="1:3" x14ac:dyDescent="0.25">
      <c r="A852" s="17">
        <v>44776</v>
      </c>
      <c r="B852" s="1" t="s">
        <v>855</v>
      </c>
      <c r="C852" s="1">
        <v>1</v>
      </c>
    </row>
    <row r="853" spans="1:3" x14ac:dyDescent="0.25">
      <c r="A853" s="17">
        <v>44776</v>
      </c>
      <c r="B853" s="1" t="s">
        <v>779</v>
      </c>
      <c r="C853" s="1">
        <v>1</v>
      </c>
    </row>
    <row r="854" spans="1:3" x14ac:dyDescent="0.25">
      <c r="A854" s="17">
        <v>44776</v>
      </c>
      <c r="B854" s="1" t="s">
        <v>485</v>
      </c>
      <c r="C854" s="1">
        <v>1</v>
      </c>
    </row>
    <row r="855" spans="1:3" x14ac:dyDescent="0.25">
      <c r="A855" s="17">
        <v>44776</v>
      </c>
      <c r="B855" s="1" t="s">
        <v>856</v>
      </c>
      <c r="C855" s="1">
        <v>1</v>
      </c>
    </row>
    <row r="856" spans="1:3" x14ac:dyDescent="0.25">
      <c r="A856" s="17">
        <v>44776</v>
      </c>
      <c r="B856" s="1" t="s">
        <v>781</v>
      </c>
      <c r="C856" s="1">
        <v>1</v>
      </c>
    </row>
    <row r="857" spans="1:3" x14ac:dyDescent="0.25">
      <c r="A857" s="17">
        <v>44776</v>
      </c>
      <c r="B857" s="1" t="s">
        <v>857</v>
      </c>
      <c r="C857" s="1">
        <v>1</v>
      </c>
    </row>
    <row r="858" spans="1:3" x14ac:dyDescent="0.25">
      <c r="A858" s="17">
        <v>44776</v>
      </c>
      <c r="B858" s="1" t="s">
        <v>858</v>
      </c>
      <c r="C858" s="1">
        <v>1</v>
      </c>
    </row>
    <row r="859" spans="1:3" x14ac:dyDescent="0.25">
      <c r="A859" s="17">
        <v>44776</v>
      </c>
      <c r="B859" s="1" t="s">
        <v>858</v>
      </c>
      <c r="C859" s="1">
        <v>1</v>
      </c>
    </row>
    <row r="860" spans="1:3" x14ac:dyDescent="0.25">
      <c r="A860" s="17">
        <v>44776</v>
      </c>
      <c r="B860" s="1" t="s">
        <v>328</v>
      </c>
      <c r="C860" s="1">
        <v>0.32142860000000001</v>
      </c>
    </row>
    <row r="861" spans="1:3" x14ac:dyDescent="0.25">
      <c r="A861" s="17">
        <v>44776</v>
      </c>
      <c r="B861" s="1" t="s">
        <v>860</v>
      </c>
      <c r="C861" s="1">
        <v>1</v>
      </c>
    </row>
    <row r="862" spans="1:3" x14ac:dyDescent="0.25">
      <c r="A862" s="17">
        <v>44776</v>
      </c>
      <c r="B862" s="1" t="s">
        <v>98</v>
      </c>
      <c r="C862" s="1">
        <v>1</v>
      </c>
    </row>
    <row r="863" spans="1:3" x14ac:dyDescent="0.25">
      <c r="A863" s="17">
        <v>44776</v>
      </c>
      <c r="B863" s="1" t="s">
        <v>416</v>
      </c>
      <c r="C863" s="1">
        <v>1</v>
      </c>
    </row>
    <row r="864" spans="1:3" x14ac:dyDescent="0.25">
      <c r="A864" s="17">
        <v>44776</v>
      </c>
      <c r="B864" s="1" t="s">
        <v>416</v>
      </c>
      <c r="C864" s="1">
        <v>4</v>
      </c>
    </row>
    <row r="865" spans="1:3" x14ac:dyDescent="0.25">
      <c r="A865" s="17">
        <v>44776</v>
      </c>
      <c r="B865" s="1" t="s">
        <v>861</v>
      </c>
      <c r="C865" s="1">
        <v>1</v>
      </c>
    </row>
    <row r="866" spans="1:3" x14ac:dyDescent="0.25">
      <c r="A866" s="17">
        <v>44776</v>
      </c>
      <c r="B866" s="1" t="s">
        <v>863</v>
      </c>
      <c r="C866" s="1">
        <v>1</v>
      </c>
    </row>
    <row r="867" spans="1:3" x14ac:dyDescent="0.25">
      <c r="A867" s="17">
        <v>44776</v>
      </c>
      <c r="B867" s="1" t="s">
        <v>863</v>
      </c>
      <c r="C867" s="1">
        <v>1</v>
      </c>
    </row>
    <row r="868" spans="1:3" x14ac:dyDescent="0.25">
      <c r="A868" s="17">
        <v>44776</v>
      </c>
      <c r="B868" s="1" t="s">
        <v>863</v>
      </c>
      <c r="C868" s="1">
        <v>1</v>
      </c>
    </row>
    <row r="869" spans="1:3" x14ac:dyDescent="0.25">
      <c r="A869" s="17">
        <v>44776</v>
      </c>
      <c r="B869" s="1" t="s">
        <v>864</v>
      </c>
      <c r="C869" s="1">
        <v>1</v>
      </c>
    </row>
    <row r="870" spans="1:3" x14ac:dyDescent="0.25">
      <c r="A870" s="17">
        <v>44776</v>
      </c>
      <c r="B870" s="1" t="s">
        <v>265</v>
      </c>
      <c r="C870" s="1">
        <v>1</v>
      </c>
    </row>
    <row r="871" spans="1:3" x14ac:dyDescent="0.25">
      <c r="A871" s="17">
        <v>44776</v>
      </c>
      <c r="B871" s="1" t="s">
        <v>552</v>
      </c>
      <c r="C871" s="1">
        <v>3</v>
      </c>
    </row>
    <row r="872" spans="1:3" x14ac:dyDescent="0.25">
      <c r="A872" s="17">
        <v>44776</v>
      </c>
      <c r="B872" s="1" t="s">
        <v>321</v>
      </c>
      <c r="C872" s="1">
        <v>1</v>
      </c>
    </row>
    <row r="873" spans="1:3" x14ac:dyDescent="0.25">
      <c r="A873" s="17">
        <v>44776</v>
      </c>
      <c r="B873" s="1" t="s">
        <v>865</v>
      </c>
      <c r="C873" s="1">
        <v>0.5</v>
      </c>
    </row>
    <row r="874" spans="1:3" x14ac:dyDescent="0.25">
      <c r="A874" s="17">
        <v>44776</v>
      </c>
      <c r="B874" s="1" t="s">
        <v>867</v>
      </c>
      <c r="C874" s="1">
        <v>1</v>
      </c>
    </row>
    <row r="875" spans="1:3" x14ac:dyDescent="0.25">
      <c r="A875" s="17">
        <v>44776</v>
      </c>
      <c r="B875" s="1" t="s">
        <v>868</v>
      </c>
      <c r="C875" s="1">
        <v>1</v>
      </c>
    </row>
    <row r="876" spans="1:3" x14ac:dyDescent="0.25">
      <c r="A876" s="17">
        <v>44776</v>
      </c>
      <c r="B876" s="1" t="s">
        <v>869</v>
      </c>
      <c r="C876" s="1">
        <v>1</v>
      </c>
    </row>
    <row r="877" spans="1:3" x14ac:dyDescent="0.25">
      <c r="A877" s="17">
        <v>44776</v>
      </c>
      <c r="B877" s="1" t="s">
        <v>870</v>
      </c>
      <c r="C877" s="1">
        <v>1</v>
      </c>
    </row>
    <row r="878" spans="1:3" x14ac:dyDescent="0.25">
      <c r="A878" s="17">
        <v>44776</v>
      </c>
      <c r="B878" s="1" t="s">
        <v>550</v>
      </c>
      <c r="C878" s="1">
        <v>1</v>
      </c>
    </row>
    <row r="879" spans="1:3" x14ac:dyDescent="0.25">
      <c r="A879" s="17">
        <v>44776</v>
      </c>
      <c r="B879" s="1" t="s">
        <v>639</v>
      </c>
      <c r="C879" s="1">
        <v>1</v>
      </c>
    </row>
    <row r="880" spans="1:3" x14ac:dyDescent="0.25">
      <c r="A880" s="17">
        <v>44776</v>
      </c>
      <c r="B880" s="1" t="s">
        <v>872</v>
      </c>
      <c r="C880" s="1">
        <v>1</v>
      </c>
    </row>
    <row r="881" spans="1:3" x14ac:dyDescent="0.25">
      <c r="A881" s="17">
        <v>44776</v>
      </c>
      <c r="B881" s="1" t="s">
        <v>568</v>
      </c>
      <c r="C881" s="1">
        <v>1</v>
      </c>
    </row>
    <row r="882" spans="1:3" x14ac:dyDescent="0.25">
      <c r="A882" s="17">
        <v>44776</v>
      </c>
      <c r="B882" s="1" t="s">
        <v>873</v>
      </c>
      <c r="C882" s="1">
        <v>1</v>
      </c>
    </row>
    <row r="883" spans="1:3" x14ac:dyDescent="0.25">
      <c r="A883" s="17">
        <v>44776</v>
      </c>
      <c r="B883" s="1" t="s">
        <v>153</v>
      </c>
      <c r="C883" s="1">
        <v>1</v>
      </c>
    </row>
    <row r="884" spans="1:3" x14ac:dyDescent="0.25">
      <c r="A884" s="17">
        <v>44776</v>
      </c>
      <c r="B884" s="1" t="s">
        <v>874</v>
      </c>
      <c r="C884" s="1">
        <v>1</v>
      </c>
    </row>
    <row r="885" spans="1:3" x14ac:dyDescent="0.25">
      <c r="A885" s="17">
        <v>44776</v>
      </c>
      <c r="B885" s="1" t="s">
        <v>875</v>
      </c>
      <c r="C885" s="1">
        <v>1</v>
      </c>
    </row>
    <row r="886" spans="1:3" x14ac:dyDescent="0.25">
      <c r="A886" s="17">
        <v>44776</v>
      </c>
      <c r="B886" s="1" t="s">
        <v>527</v>
      </c>
      <c r="C886" s="1">
        <v>1</v>
      </c>
    </row>
    <row r="887" spans="1:3" x14ac:dyDescent="0.25">
      <c r="A887" s="17">
        <v>44776</v>
      </c>
      <c r="B887" s="1" t="s">
        <v>876</v>
      </c>
      <c r="C887" s="1">
        <v>0.1</v>
      </c>
    </row>
    <row r="888" spans="1:3" x14ac:dyDescent="0.25">
      <c r="A888" s="17">
        <v>44776</v>
      </c>
      <c r="B888" s="1" t="s">
        <v>878</v>
      </c>
      <c r="C888" s="1">
        <v>1</v>
      </c>
    </row>
    <row r="889" spans="1:3" x14ac:dyDescent="0.25">
      <c r="A889" s="17">
        <v>44776</v>
      </c>
      <c r="B889" s="1" t="s">
        <v>880</v>
      </c>
      <c r="C889" s="1">
        <v>1</v>
      </c>
    </row>
    <row r="890" spans="1:3" x14ac:dyDescent="0.25">
      <c r="A890" s="17">
        <v>44776</v>
      </c>
      <c r="B890" s="1" t="s">
        <v>882</v>
      </c>
      <c r="C890" s="1">
        <v>1</v>
      </c>
    </row>
    <row r="891" spans="1:3" x14ac:dyDescent="0.25">
      <c r="A891" s="17">
        <v>44776</v>
      </c>
      <c r="B891" s="1" t="s">
        <v>222</v>
      </c>
      <c r="C891" s="1">
        <v>2</v>
      </c>
    </row>
    <row r="892" spans="1:3" x14ac:dyDescent="0.25">
      <c r="A892" s="17">
        <v>44776</v>
      </c>
      <c r="B892" s="1" t="s">
        <v>884</v>
      </c>
      <c r="C892" s="1">
        <v>1</v>
      </c>
    </row>
    <row r="893" spans="1:3" x14ac:dyDescent="0.25">
      <c r="A893" s="17">
        <v>44776</v>
      </c>
      <c r="B893" s="1" t="s">
        <v>886</v>
      </c>
      <c r="C893" s="1">
        <v>1</v>
      </c>
    </row>
    <row r="894" spans="1:3" x14ac:dyDescent="0.25">
      <c r="A894" s="17">
        <v>44776</v>
      </c>
      <c r="B894" s="1" t="s">
        <v>888</v>
      </c>
      <c r="C894" s="1">
        <v>1</v>
      </c>
    </row>
    <row r="895" spans="1:3" x14ac:dyDescent="0.25">
      <c r="A895" s="17">
        <v>44776</v>
      </c>
      <c r="B895" s="1" t="s">
        <v>366</v>
      </c>
      <c r="C895" s="1">
        <v>1</v>
      </c>
    </row>
    <row r="896" spans="1:3" x14ac:dyDescent="0.25">
      <c r="A896" s="17">
        <v>44776</v>
      </c>
      <c r="B896" s="1" t="s">
        <v>889</v>
      </c>
      <c r="C896" s="1">
        <v>1</v>
      </c>
    </row>
    <row r="897" spans="1:3" x14ac:dyDescent="0.25">
      <c r="A897" s="17">
        <v>44776</v>
      </c>
      <c r="B897" s="1" t="s">
        <v>891</v>
      </c>
      <c r="C897" s="1">
        <v>0.33333332999999998</v>
      </c>
    </row>
    <row r="898" spans="1:3" x14ac:dyDescent="0.25">
      <c r="A898" s="17">
        <v>44776</v>
      </c>
      <c r="B898" s="1" t="s">
        <v>118</v>
      </c>
      <c r="C898" s="1">
        <v>1</v>
      </c>
    </row>
    <row r="899" spans="1:3" x14ac:dyDescent="0.25">
      <c r="A899" s="17">
        <v>44776</v>
      </c>
      <c r="B899" s="1" t="s">
        <v>893</v>
      </c>
      <c r="C899" s="1">
        <v>1</v>
      </c>
    </row>
    <row r="900" spans="1:3" x14ac:dyDescent="0.25">
      <c r="A900" s="17">
        <v>44776</v>
      </c>
      <c r="B900" s="1" t="s">
        <v>894</v>
      </c>
      <c r="C900" s="1">
        <v>1</v>
      </c>
    </row>
    <row r="901" spans="1:3" x14ac:dyDescent="0.25">
      <c r="A901" s="17">
        <v>44776</v>
      </c>
      <c r="B901" s="1" t="s">
        <v>159</v>
      </c>
      <c r="C901" s="1">
        <v>1</v>
      </c>
    </row>
    <row r="902" spans="1:3" x14ac:dyDescent="0.25">
      <c r="A902" s="17">
        <v>44776</v>
      </c>
      <c r="B902" s="1" t="s">
        <v>330</v>
      </c>
      <c r="C902" s="1">
        <v>1</v>
      </c>
    </row>
    <row r="903" spans="1:3" x14ac:dyDescent="0.25">
      <c r="A903" s="17">
        <v>44776</v>
      </c>
      <c r="B903" s="1" t="s">
        <v>895</v>
      </c>
      <c r="C903" s="1">
        <v>1</v>
      </c>
    </row>
    <row r="904" spans="1:3" x14ac:dyDescent="0.25">
      <c r="A904" s="17">
        <v>44776</v>
      </c>
      <c r="B904" s="1" t="s">
        <v>896</v>
      </c>
      <c r="C904" s="1">
        <v>2</v>
      </c>
    </row>
    <row r="905" spans="1:3" x14ac:dyDescent="0.25">
      <c r="A905" s="17">
        <v>44776</v>
      </c>
      <c r="B905" s="1" t="s">
        <v>898</v>
      </c>
      <c r="C905" s="1">
        <v>1</v>
      </c>
    </row>
    <row r="906" spans="1:3" x14ac:dyDescent="0.25">
      <c r="A906" s="17">
        <v>44776</v>
      </c>
      <c r="B906" s="1" t="s">
        <v>899</v>
      </c>
      <c r="C906" s="1">
        <v>1</v>
      </c>
    </row>
    <row r="907" spans="1:3" x14ac:dyDescent="0.25">
      <c r="A907" s="17">
        <v>44776</v>
      </c>
      <c r="B907" s="1" t="s">
        <v>270</v>
      </c>
      <c r="C907" s="1">
        <v>1</v>
      </c>
    </row>
    <row r="908" spans="1:3" x14ac:dyDescent="0.25">
      <c r="A908" s="17">
        <v>44776</v>
      </c>
      <c r="B908" s="1" t="s">
        <v>900</v>
      </c>
      <c r="C908" s="1">
        <v>2</v>
      </c>
    </row>
    <row r="909" spans="1:3" x14ac:dyDescent="0.25">
      <c r="A909" s="17">
        <v>44776</v>
      </c>
      <c r="B909" s="1" t="s">
        <v>901</v>
      </c>
      <c r="C909" s="1">
        <v>1</v>
      </c>
    </row>
    <row r="910" spans="1:3" x14ac:dyDescent="0.25">
      <c r="A910" s="17">
        <v>44776</v>
      </c>
      <c r="B910" s="1" t="s">
        <v>589</v>
      </c>
      <c r="C910" s="1">
        <v>1</v>
      </c>
    </row>
    <row r="911" spans="1:3" x14ac:dyDescent="0.25">
      <c r="A911" s="17">
        <v>44776</v>
      </c>
      <c r="B911" s="1" t="s">
        <v>902</v>
      </c>
      <c r="C911" s="1">
        <v>1</v>
      </c>
    </row>
    <row r="912" spans="1:3" x14ac:dyDescent="0.25">
      <c r="A912" s="17">
        <v>44776</v>
      </c>
      <c r="B912" s="1" t="s">
        <v>903</v>
      </c>
      <c r="C912" s="1">
        <v>1</v>
      </c>
    </row>
    <row r="913" spans="1:3" x14ac:dyDescent="0.25">
      <c r="A913" s="17">
        <v>44776</v>
      </c>
      <c r="B913" s="1" t="s">
        <v>904</v>
      </c>
      <c r="C913" s="1">
        <v>1</v>
      </c>
    </row>
    <row r="914" spans="1:3" x14ac:dyDescent="0.25">
      <c r="A914" s="17">
        <v>44776</v>
      </c>
      <c r="B914" s="1" t="s">
        <v>906</v>
      </c>
      <c r="C914" s="1">
        <v>1</v>
      </c>
    </row>
    <row r="915" spans="1:3" x14ac:dyDescent="0.25">
      <c r="A915" s="17">
        <v>44776</v>
      </c>
      <c r="B915" s="1" t="s">
        <v>430</v>
      </c>
      <c r="C915" s="1">
        <v>1</v>
      </c>
    </row>
    <row r="916" spans="1:3" x14ac:dyDescent="0.25">
      <c r="A916" s="17">
        <v>44776</v>
      </c>
      <c r="B916" s="1" t="s">
        <v>907</v>
      </c>
      <c r="C916" s="1">
        <v>1</v>
      </c>
    </row>
    <row r="917" spans="1:3" x14ac:dyDescent="0.25">
      <c r="A917" s="17">
        <v>44776</v>
      </c>
      <c r="B917" s="1" t="s">
        <v>908</v>
      </c>
      <c r="C917" s="1">
        <v>1</v>
      </c>
    </row>
    <row r="918" spans="1:3" x14ac:dyDescent="0.25">
      <c r="A918" s="17">
        <v>44776</v>
      </c>
      <c r="B918" s="1" t="s">
        <v>910</v>
      </c>
      <c r="C918" s="1">
        <v>1</v>
      </c>
    </row>
    <row r="919" spans="1:3" x14ac:dyDescent="0.25">
      <c r="A919" s="17">
        <v>44776</v>
      </c>
      <c r="B919" s="1" t="s">
        <v>912</v>
      </c>
      <c r="C919" s="1">
        <v>0.2</v>
      </c>
    </row>
    <row r="920" spans="1:3" x14ac:dyDescent="0.25">
      <c r="A920" s="17">
        <v>44776</v>
      </c>
      <c r="B920" s="1" t="s">
        <v>913</v>
      </c>
      <c r="C920" s="1">
        <v>1</v>
      </c>
    </row>
    <row r="921" spans="1:3" x14ac:dyDescent="0.25">
      <c r="A921" s="17">
        <v>44776</v>
      </c>
      <c r="B921" s="1" t="s">
        <v>915</v>
      </c>
      <c r="C921" s="1">
        <v>1</v>
      </c>
    </row>
    <row r="922" spans="1:3" x14ac:dyDescent="0.25">
      <c r="A922" s="17">
        <v>44776</v>
      </c>
      <c r="B922" s="1" t="s">
        <v>916</v>
      </c>
      <c r="C922" s="1">
        <v>1</v>
      </c>
    </row>
    <row r="923" spans="1:3" x14ac:dyDescent="0.25">
      <c r="A923" s="17">
        <v>44776</v>
      </c>
      <c r="B923" s="1" t="s">
        <v>917</v>
      </c>
      <c r="C923" s="1">
        <v>2</v>
      </c>
    </row>
    <row r="924" spans="1:3" x14ac:dyDescent="0.25">
      <c r="A924" s="17">
        <v>44776</v>
      </c>
      <c r="B924" s="1" t="s">
        <v>918</v>
      </c>
      <c r="C924" s="1">
        <v>0.33333332999999998</v>
      </c>
    </row>
    <row r="925" spans="1:3" x14ac:dyDescent="0.25">
      <c r="A925" s="17">
        <v>44776</v>
      </c>
      <c r="B925" s="1" t="s">
        <v>920</v>
      </c>
      <c r="C925" s="1">
        <v>1</v>
      </c>
    </row>
    <row r="926" spans="1:3" x14ac:dyDescent="0.25">
      <c r="A926" s="17">
        <v>44776</v>
      </c>
      <c r="B926" s="1" t="s">
        <v>920</v>
      </c>
      <c r="C926" s="1">
        <v>1</v>
      </c>
    </row>
    <row r="927" spans="1:3" x14ac:dyDescent="0.25">
      <c r="A927" s="17">
        <v>44776</v>
      </c>
      <c r="B927" s="1" t="s">
        <v>526</v>
      </c>
      <c r="C927" s="1">
        <v>1</v>
      </c>
    </row>
    <row r="928" spans="1:3" x14ac:dyDescent="0.25">
      <c r="A928" s="17">
        <v>44776</v>
      </c>
      <c r="B928" s="1" t="s">
        <v>671</v>
      </c>
      <c r="C928" s="1">
        <v>1</v>
      </c>
    </row>
    <row r="929" spans="1:3" x14ac:dyDescent="0.25">
      <c r="A929" s="17">
        <v>44776</v>
      </c>
      <c r="B929" s="1" t="s">
        <v>671</v>
      </c>
      <c r="C929" s="1">
        <v>1</v>
      </c>
    </row>
    <row r="930" spans="1:3" x14ac:dyDescent="0.25">
      <c r="A930" s="17">
        <v>44776</v>
      </c>
      <c r="B930" s="1" t="s">
        <v>670</v>
      </c>
      <c r="C930" s="1">
        <v>1</v>
      </c>
    </row>
    <row r="931" spans="1:3" x14ac:dyDescent="0.25">
      <c r="A931" s="17">
        <v>44776</v>
      </c>
      <c r="B931" s="1" t="s">
        <v>673</v>
      </c>
      <c r="C931" s="1">
        <v>1</v>
      </c>
    </row>
    <row r="932" spans="1:3" x14ac:dyDescent="0.25">
      <c r="A932" s="17">
        <v>44776</v>
      </c>
      <c r="B932" s="1" t="s">
        <v>673</v>
      </c>
      <c r="C932" s="1">
        <v>1</v>
      </c>
    </row>
    <row r="933" spans="1:3" x14ac:dyDescent="0.25">
      <c r="A933" s="17">
        <v>44776</v>
      </c>
      <c r="B933" s="1" t="s">
        <v>921</v>
      </c>
      <c r="C933" s="1">
        <v>1</v>
      </c>
    </row>
    <row r="934" spans="1:3" x14ac:dyDescent="0.25">
      <c r="A934" s="17">
        <v>44776</v>
      </c>
      <c r="B934" s="1" t="s">
        <v>922</v>
      </c>
      <c r="C934" s="1">
        <v>1</v>
      </c>
    </row>
    <row r="935" spans="1:3" x14ac:dyDescent="0.25">
      <c r="A935" s="17">
        <v>44776</v>
      </c>
      <c r="B935" s="1" t="s">
        <v>721</v>
      </c>
      <c r="C935" s="1">
        <v>1</v>
      </c>
    </row>
    <row r="936" spans="1:3" x14ac:dyDescent="0.25">
      <c r="A936" s="17">
        <v>44777</v>
      </c>
      <c r="B936" s="1" t="s">
        <v>924</v>
      </c>
      <c r="C936" s="1">
        <v>1</v>
      </c>
    </row>
    <row r="937" spans="1:3" x14ac:dyDescent="0.25">
      <c r="A937" s="17">
        <v>44777</v>
      </c>
      <c r="B937" s="1" t="s">
        <v>926</v>
      </c>
      <c r="C937" s="1">
        <v>1</v>
      </c>
    </row>
    <row r="938" spans="1:3" x14ac:dyDescent="0.25">
      <c r="A938" s="17">
        <v>44777</v>
      </c>
      <c r="B938" s="1" t="s">
        <v>290</v>
      </c>
      <c r="C938" s="1">
        <v>1</v>
      </c>
    </row>
    <row r="939" spans="1:3" x14ac:dyDescent="0.25">
      <c r="A939" s="17">
        <v>44777</v>
      </c>
      <c r="B939" s="1" t="s">
        <v>238</v>
      </c>
      <c r="C939" s="1">
        <v>1</v>
      </c>
    </row>
    <row r="940" spans="1:3" x14ac:dyDescent="0.25">
      <c r="A940" s="17">
        <v>44777</v>
      </c>
      <c r="B940" s="1" t="s">
        <v>239</v>
      </c>
      <c r="C940" s="1">
        <v>1</v>
      </c>
    </row>
    <row r="941" spans="1:3" x14ac:dyDescent="0.25">
      <c r="A941" s="17">
        <v>44777</v>
      </c>
      <c r="B941" s="1" t="s">
        <v>928</v>
      </c>
      <c r="C941" s="1">
        <v>1</v>
      </c>
    </row>
    <row r="942" spans="1:3" x14ac:dyDescent="0.25">
      <c r="A942" s="17">
        <v>44777</v>
      </c>
      <c r="B942" s="1" t="s">
        <v>195</v>
      </c>
      <c r="C942" s="1">
        <v>1</v>
      </c>
    </row>
    <row r="943" spans="1:3" x14ac:dyDescent="0.25">
      <c r="A943" s="17">
        <v>44777</v>
      </c>
      <c r="B943" s="1" t="s">
        <v>930</v>
      </c>
      <c r="C943" s="1">
        <v>1</v>
      </c>
    </row>
    <row r="944" spans="1:3" x14ac:dyDescent="0.25">
      <c r="A944" s="17">
        <v>44777</v>
      </c>
      <c r="B944" s="1" t="s">
        <v>309</v>
      </c>
      <c r="C944" s="1">
        <v>1</v>
      </c>
    </row>
    <row r="945" spans="1:3" x14ac:dyDescent="0.25">
      <c r="A945" s="17">
        <v>44777</v>
      </c>
      <c r="B945" s="1" t="s">
        <v>98</v>
      </c>
      <c r="C945" s="1">
        <v>1</v>
      </c>
    </row>
    <row r="946" spans="1:3" x14ac:dyDescent="0.25">
      <c r="A946" s="17">
        <v>44777</v>
      </c>
      <c r="B946" s="1" t="s">
        <v>931</v>
      </c>
      <c r="C946" s="1">
        <v>1</v>
      </c>
    </row>
    <row r="947" spans="1:3" x14ac:dyDescent="0.25">
      <c r="A947" s="17">
        <v>44777</v>
      </c>
      <c r="B947" s="1" t="s">
        <v>457</v>
      </c>
      <c r="C947" s="1">
        <v>1</v>
      </c>
    </row>
    <row r="948" spans="1:3" x14ac:dyDescent="0.25">
      <c r="A948" s="17">
        <v>44777</v>
      </c>
      <c r="B948" s="1" t="s">
        <v>932</v>
      </c>
      <c r="C948" s="1">
        <v>0.2</v>
      </c>
    </row>
    <row r="949" spans="1:3" x14ac:dyDescent="0.25">
      <c r="A949" s="17">
        <v>44777</v>
      </c>
      <c r="B949" s="1" t="s">
        <v>933</v>
      </c>
      <c r="C949" s="1">
        <v>1</v>
      </c>
    </row>
    <row r="950" spans="1:3" x14ac:dyDescent="0.25">
      <c r="A950" s="17">
        <v>44777</v>
      </c>
      <c r="B950" s="1" t="s">
        <v>935</v>
      </c>
      <c r="C950" s="1">
        <v>1</v>
      </c>
    </row>
    <row r="951" spans="1:3" x14ac:dyDescent="0.25">
      <c r="A951" s="17">
        <v>44777</v>
      </c>
      <c r="B951" s="1" t="s">
        <v>937</v>
      </c>
      <c r="C951" s="1">
        <v>1</v>
      </c>
    </row>
    <row r="952" spans="1:3" x14ac:dyDescent="0.25">
      <c r="A952" s="17">
        <v>44777</v>
      </c>
      <c r="B952" s="1" t="s">
        <v>278</v>
      </c>
      <c r="C952" s="1">
        <v>1</v>
      </c>
    </row>
    <row r="953" spans="1:3" x14ac:dyDescent="0.25">
      <c r="A953" s="17">
        <v>44777</v>
      </c>
      <c r="B953" s="1" t="s">
        <v>98</v>
      </c>
      <c r="C953" s="1">
        <v>1</v>
      </c>
    </row>
    <row r="954" spans="1:3" x14ac:dyDescent="0.25">
      <c r="A954" s="17">
        <v>44777</v>
      </c>
      <c r="B954" s="1" t="s">
        <v>98</v>
      </c>
      <c r="C954" s="1">
        <v>1</v>
      </c>
    </row>
    <row r="955" spans="1:3" x14ac:dyDescent="0.25">
      <c r="A955" s="17">
        <v>44777</v>
      </c>
      <c r="B955" s="1" t="s">
        <v>98</v>
      </c>
      <c r="C955" s="1">
        <v>0.68181818000000005</v>
      </c>
    </row>
    <row r="956" spans="1:3" x14ac:dyDescent="0.25">
      <c r="A956" s="17">
        <v>44777</v>
      </c>
      <c r="B956" s="1" t="s">
        <v>98</v>
      </c>
      <c r="C956" s="1">
        <v>0.31818182</v>
      </c>
    </row>
    <row r="957" spans="1:3" x14ac:dyDescent="0.25">
      <c r="A957" s="17">
        <v>44777</v>
      </c>
      <c r="B957" s="1" t="s">
        <v>639</v>
      </c>
      <c r="C957" s="1">
        <v>1</v>
      </c>
    </row>
    <row r="958" spans="1:3" x14ac:dyDescent="0.25">
      <c r="A958" s="17">
        <v>44777</v>
      </c>
      <c r="B958" s="1" t="s">
        <v>607</v>
      </c>
      <c r="C958" s="1">
        <v>1</v>
      </c>
    </row>
    <row r="959" spans="1:3" x14ac:dyDescent="0.25">
      <c r="A959" s="17">
        <v>44777</v>
      </c>
      <c r="B959" s="1" t="s">
        <v>607</v>
      </c>
      <c r="C959" s="1">
        <v>1</v>
      </c>
    </row>
    <row r="960" spans="1:3" x14ac:dyDescent="0.25">
      <c r="A960" s="17">
        <v>44777</v>
      </c>
      <c r="B960" s="1" t="s">
        <v>938</v>
      </c>
      <c r="C960" s="1">
        <v>1</v>
      </c>
    </row>
    <row r="961" spans="1:3" x14ac:dyDescent="0.25">
      <c r="A961" s="17">
        <v>44777</v>
      </c>
      <c r="B961" s="1" t="s">
        <v>413</v>
      </c>
      <c r="C961" s="1">
        <v>0.1</v>
      </c>
    </row>
    <row r="962" spans="1:3" x14ac:dyDescent="0.25">
      <c r="A962" s="17">
        <v>44777</v>
      </c>
      <c r="B962" s="1" t="s">
        <v>940</v>
      </c>
      <c r="C962" s="1">
        <v>2</v>
      </c>
    </row>
    <row r="963" spans="1:3" x14ac:dyDescent="0.25">
      <c r="A963" s="17">
        <v>44777</v>
      </c>
      <c r="B963" s="1" t="s">
        <v>825</v>
      </c>
      <c r="C963" s="1">
        <v>1</v>
      </c>
    </row>
    <row r="964" spans="1:3" x14ac:dyDescent="0.25">
      <c r="A964" s="17">
        <v>44777</v>
      </c>
      <c r="B964" s="1" t="s">
        <v>941</v>
      </c>
      <c r="C964" s="1">
        <v>1</v>
      </c>
    </row>
    <row r="965" spans="1:3" x14ac:dyDescent="0.25">
      <c r="A965" s="17">
        <v>44777</v>
      </c>
      <c r="B965" s="1" t="s">
        <v>942</v>
      </c>
      <c r="C965" s="1">
        <v>1</v>
      </c>
    </row>
    <row r="966" spans="1:3" x14ac:dyDescent="0.25">
      <c r="A966" s="17">
        <v>44777</v>
      </c>
      <c r="B966" s="1" t="s">
        <v>943</v>
      </c>
      <c r="C966" s="1">
        <v>1</v>
      </c>
    </row>
    <row r="967" spans="1:3" x14ac:dyDescent="0.25">
      <c r="A967" s="17">
        <v>44777</v>
      </c>
      <c r="B967" s="1" t="s">
        <v>462</v>
      </c>
      <c r="C967" s="1">
        <v>1</v>
      </c>
    </row>
    <row r="968" spans="1:3" x14ac:dyDescent="0.25">
      <c r="A968" s="17">
        <v>44777</v>
      </c>
      <c r="B968" s="1" t="s">
        <v>944</v>
      </c>
      <c r="C968" s="1">
        <v>1</v>
      </c>
    </row>
    <row r="969" spans="1:3" x14ac:dyDescent="0.25">
      <c r="A969" s="17">
        <v>44777</v>
      </c>
      <c r="B969" s="1" t="s">
        <v>946</v>
      </c>
      <c r="C969" s="1">
        <v>1</v>
      </c>
    </row>
    <row r="970" spans="1:3" x14ac:dyDescent="0.25">
      <c r="A970" s="17">
        <v>44777</v>
      </c>
      <c r="B970" s="1" t="s">
        <v>948</v>
      </c>
      <c r="C970" s="1">
        <v>1</v>
      </c>
    </row>
    <row r="971" spans="1:3" x14ac:dyDescent="0.25">
      <c r="A971" s="17">
        <v>44777</v>
      </c>
      <c r="B971" s="1" t="s">
        <v>949</v>
      </c>
      <c r="C971" s="1">
        <v>1</v>
      </c>
    </row>
    <row r="972" spans="1:3" x14ac:dyDescent="0.25">
      <c r="A972" s="17">
        <v>44777</v>
      </c>
      <c r="B972" s="1" t="s">
        <v>366</v>
      </c>
      <c r="C972" s="1">
        <v>1</v>
      </c>
    </row>
    <row r="973" spans="1:3" x14ac:dyDescent="0.25">
      <c r="A973" s="17">
        <v>44777</v>
      </c>
      <c r="B973" s="1" t="s">
        <v>950</v>
      </c>
      <c r="C973" s="1">
        <v>1</v>
      </c>
    </row>
    <row r="974" spans="1:3" x14ac:dyDescent="0.25">
      <c r="A974" s="17">
        <v>44777</v>
      </c>
      <c r="B974" s="1" t="s">
        <v>951</v>
      </c>
      <c r="C974" s="1">
        <v>1</v>
      </c>
    </row>
    <row r="975" spans="1:3" x14ac:dyDescent="0.25">
      <c r="A975" s="17">
        <v>44777</v>
      </c>
      <c r="B975" s="1" t="s">
        <v>953</v>
      </c>
      <c r="C975" s="1">
        <v>1</v>
      </c>
    </row>
    <row r="976" spans="1:3" x14ac:dyDescent="0.25">
      <c r="A976" s="17">
        <v>44777</v>
      </c>
      <c r="B976" s="1" t="s">
        <v>954</v>
      </c>
      <c r="C976" s="1">
        <v>1</v>
      </c>
    </row>
    <row r="977" spans="1:3" x14ac:dyDescent="0.25">
      <c r="A977" s="17">
        <v>44777</v>
      </c>
      <c r="B977" s="1" t="s">
        <v>955</v>
      </c>
      <c r="C977" s="1">
        <v>1</v>
      </c>
    </row>
    <row r="978" spans="1:3" x14ac:dyDescent="0.25">
      <c r="A978" s="17">
        <v>44777</v>
      </c>
      <c r="B978" s="1" t="s">
        <v>222</v>
      </c>
      <c r="C978" s="1">
        <v>4</v>
      </c>
    </row>
    <row r="979" spans="1:3" x14ac:dyDescent="0.25">
      <c r="A979" s="17">
        <v>44777</v>
      </c>
      <c r="B979" s="1" t="s">
        <v>222</v>
      </c>
      <c r="C979" s="1">
        <v>1</v>
      </c>
    </row>
    <row r="980" spans="1:3" x14ac:dyDescent="0.25">
      <c r="A980" s="17">
        <v>44777</v>
      </c>
      <c r="B980" s="1" t="s">
        <v>957</v>
      </c>
      <c r="C980" s="1">
        <v>0.12</v>
      </c>
    </row>
    <row r="981" spans="1:3" x14ac:dyDescent="0.25">
      <c r="A981" s="17">
        <v>44777</v>
      </c>
      <c r="B981" s="1" t="s">
        <v>959</v>
      </c>
      <c r="C981" s="1">
        <v>1</v>
      </c>
    </row>
    <row r="982" spans="1:3" x14ac:dyDescent="0.25">
      <c r="A982" s="17">
        <v>44777</v>
      </c>
      <c r="B982" s="1" t="s">
        <v>961</v>
      </c>
      <c r="C982" s="1">
        <v>1</v>
      </c>
    </row>
    <row r="983" spans="1:3" x14ac:dyDescent="0.25">
      <c r="A983" s="17">
        <v>44777</v>
      </c>
      <c r="B983" s="1" t="s">
        <v>277</v>
      </c>
      <c r="C983" s="1">
        <v>1</v>
      </c>
    </row>
    <row r="984" spans="1:3" x14ac:dyDescent="0.25">
      <c r="A984" s="17">
        <v>44777</v>
      </c>
      <c r="B984" s="1" t="s">
        <v>492</v>
      </c>
      <c r="C984" s="1">
        <v>1</v>
      </c>
    </row>
    <row r="985" spans="1:3" x14ac:dyDescent="0.25">
      <c r="A985" s="17">
        <v>44777</v>
      </c>
      <c r="B985" s="1" t="s">
        <v>116</v>
      </c>
      <c r="C985" s="1">
        <v>1</v>
      </c>
    </row>
    <row r="986" spans="1:3" x14ac:dyDescent="0.25">
      <c r="A986" s="17">
        <v>44777</v>
      </c>
      <c r="B986" s="1" t="s">
        <v>270</v>
      </c>
      <c r="C986" s="1">
        <v>1</v>
      </c>
    </row>
    <row r="987" spans="1:3" x14ac:dyDescent="0.25">
      <c r="A987" s="17">
        <v>44777</v>
      </c>
      <c r="B987" s="1" t="s">
        <v>408</v>
      </c>
      <c r="C987" s="1">
        <v>1</v>
      </c>
    </row>
    <row r="988" spans="1:3" x14ac:dyDescent="0.25">
      <c r="A988" s="17">
        <v>44777</v>
      </c>
      <c r="B988" s="1" t="s">
        <v>962</v>
      </c>
      <c r="C988" s="1">
        <v>1</v>
      </c>
    </row>
    <row r="989" spans="1:3" x14ac:dyDescent="0.25">
      <c r="A989" s="17">
        <v>44777</v>
      </c>
      <c r="B989" s="1" t="s">
        <v>415</v>
      </c>
      <c r="C989" s="1">
        <v>1</v>
      </c>
    </row>
    <row r="990" spans="1:3" x14ac:dyDescent="0.25">
      <c r="A990" s="17">
        <v>44777</v>
      </c>
      <c r="B990" s="1" t="s">
        <v>415</v>
      </c>
      <c r="C990" s="1">
        <v>1</v>
      </c>
    </row>
    <row r="991" spans="1:3" x14ac:dyDescent="0.25">
      <c r="A991" s="17">
        <v>44777</v>
      </c>
      <c r="B991" s="1" t="s">
        <v>415</v>
      </c>
      <c r="C991" s="1">
        <v>1</v>
      </c>
    </row>
    <row r="992" spans="1:3" x14ac:dyDescent="0.25">
      <c r="A992" s="17">
        <v>44777</v>
      </c>
      <c r="B992" s="1" t="s">
        <v>415</v>
      </c>
      <c r="C992" s="1">
        <v>1</v>
      </c>
    </row>
    <row r="993" spans="1:3" x14ac:dyDescent="0.25">
      <c r="A993" s="17">
        <v>44777</v>
      </c>
      <c r="B993" s="1" t="s">
        <v>415</v>
      </c>
      <c r="C993" s="1">
        <v>1</v>
      </c>
    </row>
    <row r="994" spans="1:3" x14ac:dyDescent="0.25">
      <c r="A994" s="17">
        <v>44777</v>
      </c>
      <c r="B994" s="1" t="s">
        <v>415</v>
      </c>
      <c r="C994" s="1">
        <v>1</v>
      </c>
    </row>
    <row r="995" spans="1:3" x14ac:dyDescent="0.25">
      <c r="A995" s="17">
        <v>44777</v>
      </c>
      <c r="B995" s="1" t="s">
        <v>415</v>
      </c>
      <c r="C995" s="1">
        <v>1</v>
      </c>
    </row>
    <row r="996" spans="1:3" x14ac:dyDescent="0.25">
      <c r="A996" s="17">
        <v>44777</v>
      </c>
      <c r="B996" s="1" t="s">
        <v>415</v>
      </c>
      <c r="C996" s="1">
        <v>1</v>
      </c>
    </row>
    <row r="997" spans="1:3" x14ac:dyDescent="0.25">
      <c r="A997" s="17">
        <v>44777</v>
      </c>
      <c r="B997" s="1" t="s">
        <v>415</v>
      </c>
      <c r="C997" s="1">
        <v>1</v>
      </c>
    </row>
    <row r="998" spans="1:3" x14ac:dyDescent="0.25">
      <c r="A998" s="17">
        <v>44777</v>
      </c>
      <c r="B998" s="1" t="s">
        <v>415</v>
      </c>
      <c r="C998" s="1">
        <v>1</v>
      </c>
    </row>
    <row r="999" spans="1:3" x14ac:dyDescent="0.25">
      <c r="A999" s="17">
        <v>44777</v>
      </c>
      <c r="B999" s="1" t="s">
        <v>415</v>
      </c>
      <c r="C999" s="1">
        <v>1</v>
      </c>
    </row>
    <row r="1000" spans="1:3" x14ac:dyDescent="0.25">
      <c r="A1000" s="17">
        <v>44777</v>
      </c>
      <c r="B1000" s="1" t="s">
        <v>963</v>
      </c>
      <c r="C1000" s="1">
        <v>1</v>
      </c>
    </row>
    <row r="1001" spans="1:3" x14ac:dyDescent="0.25">
      <c r="A1001" s="17">
        <v>44777</v>
      </c>
      <c r="B1001" s="1" t="s">
        <v>589</v>
      </c>
      <c r="C1001" s="1">
        <v>1</v>
      </c>
    </row>
    <row r="1002" spans="1:3" x14ac:dyDescent="0.25">
      <c r="A1002" s="17">
        <v>44777</v>
      </c>
      <c r="B1002" s="1" t="s">
        <v>153</v>
      </c>
      <c r="C1002" s="1">
        <v>1</v>
      </c>
    </row>
    <row r="1003" spans="1:3" x14ac:dyDescent="0.25">
      <c r="A1003" s="17">
        <v>44777</v>
      </c>
      <c r="B1003" s="1" t="s">
        <v>153</v>
      </c>
      <c r="C1003" s="1">
        <v>1</v>
      </c>
    </row>
    <row r="1004" spans="1:3" x14ac:dyDescent="0.25">
      <c r="A1004" s="17">
        <v>44777</v>
      </c>
      <c r="B1004" s="1" t="s">
        <v>153</v>
      </c>
      <c r="C1004" s="1">
        <v>1</v>
      </c>
    </row>
    <row r="1005" spans="1:3" x14ac:dyDescent="0.25">
      <c r="A1005" s="17">
        <v>44777</v>
      </c>
      <c r="B1005" s="1" t="s">
        <v>153</v>
      </c>
      <c r="C1005" s="1">
        <v>1</v>
      </c>
    </row>
    <row r="1006" spans="1:3" x14ac:dyDescent="0.25">
      <c r="A1006" s="17">
        <v>44777</v>
      </c>
      <c r="B1006" s="1" t="s">
        <v>89</v>
      </c>
      <c r="C1006" s="1">
        <v>1</v>
      </c>
    </row>
    <row r="1007" spans="1:3" x14ac:dyDescent="0.25">
      <c r="A1007" s="17">
        <v>44777</v>
      </c>
      <c r="B1007" s="1" t="s">
        <v>702</v>
      </c>
      <c r="C1007" s="1">
        <v>1</v>
      </c>
    </row>
    <row r="1008" spans="1:3" x14ac:dyDescent="0.25">
      <c r="A1008" s="17">
        <v>44777</v>
      </c>
      <c r="B1008" s="1" t="s">
        <v>719</v>
      </c>
      <c r="C1008" s="1">
        <v>1</v>
      </c>
    </row>
    <row r="1009" spans="1:3" x14ac:dyDescent="0.25">
      <c r="A1009" s="17">
        <v>44777</v>
      </c>
      <c r="B1009" s="1" t="s">
        <v>719</v>
      </c>
      <c r="C1009" s="1">
        <v>1</v>
      </c>
    </row>
    <row r="1010" spans="1:3" x14ac:dyDescent="0.25">
      <c r="A1010" s="17">
        <v>44777</v>
      </c>
      <c r="B1010" s="1" t="s">
        <v>964</v>
      </c>
      <c r="C1010" s="1">
        <v>1</v>
      </c>
    </row>
    <row r="1011" spans="1:3" x14ac:dyDescent="0.25">
      <c r="A1011" s="17">
        <v>44777</v>
      </c>
      <c r="B1011" s="1" t="s">
        <v>964</v>
      </c>
      <c r="C1011" s="1">
        <v>1</v>
      </c>
    </row>
    <row r="1012" spans="1:3" x14ac:dyDescent="0.25">
      <c r="A1012" s="17">
        <v>44777</v>
      </c>
      <c r="B1012" s="1" t="s">
        <v>965</v>
      </c>
      <c r="C1012" s="1">
        <v>1</v>
      </c>
    </row>
    <row r="1013" spans="1:3" x14ac:dyDescent="0.25">
      <c r="A1013" s="17">
        <v>44777</v>
      </c>
      <c r="B1013" s="1" t="s">
        <v>966</v>
      </c>
      <c r="C1013" s="1">
        <v>1</v>
      </c>
    </row>
    <row r="1014" spans="1:3" x14ac:dyDescent="0.25">
      <c r="A1014" s="17">
        <v>44777</v>
      </c>
      <c r="B1014" s="1" t="s">
        <v>968</v>
      </c>
      <c r="C1014" s="1">
        <v>1</v>
      </c>
    </row>
    <row r="1015" spans="1:3" x14ac:dyDescent="0.25">
      <c r="A1015" s="17">
        <v>44777</v>
      </c>
      <c r="B1015" s="1" t="s">
        <v>969</v>
      </c>
      <c r="C1015" s="1">
        <v>1</v>
      </c>
    </row>
    <row r="1016" spans="1:3" x14ac:dyDescent="0.25">
      <c r="A1016" s="17">
        <v>44777</v>
      </c>
      <c r="B1016" s="1" t="s">
        <v>826</v>
      </c>
      <c r="C1016" s="1">
        <v>1</v>
      </c>
    </row>
    <row r="1017" spans="1:3" x14ac:dyDescent="0.25">
      <c r="A1017" s="17">
        <v>44777</v>
      </c>
      <c r="B1017" s="1" t="s">
        <v>970</v>
      </c>
      <c r="C1017" s="1">
        <v>0.2</v>
      </c>
    </row>
    <row r="1018" spans="1:3" x14ac:dyDescent="0.25">
      <c r="A1018" s="17">
        <v>44777</v>
      </c>
      <c r="B1018" s="1" t="s">
        <v>972</v>
      </c>
      <c r="C1018" s="1">
        <v>1</v>
      </c>
    </row>
    <row r="1019" spans="1:3" x14ac:dyDescent="0.25">
      <c r="A1019" s="17">
        <v>44777</v>
      </c>
      <c r="B1019" s="1" t="s">
        <v>972</v>
      </c>
      <c r="C1019" s="1">
        <v>1</v>
      </c>
    </row>
    <row r="1020" spans="1:3" x14ac:dyDescent="0.25">
      <c r="A1020" s="17">
        <v>44777</v>
      </c>
      <c r="B1020" s="1" t="s">
        <v>760</v>
      </c>
      <c r="C1020" s="1">
        <v>0.33333332999999998</v>
      </c>
    </row>
    <row r="1021" spans="1:3" x14ac:dyDescent="0.25">
      <c r="A1021" s="17">
        <v>44777</v>
      </c>
      <c r="B1021" s="1" t="s">
        <v>973</v>
      </c>
      <c r="C1021" s="1">
        <v>1</v>
      </c>
    </row>
    <row r="1022" spans="1:3" x14ac:dyDescent="0.25">
      <c r="A1022" s="17">
        <v>44777</v>
      </c>
      <c r="B1022" s="1" t="s">
        <v>337</v>
      </c>
      <c r="C1022" s="1">
        <v>1</v>
      </c>
    </row>
    <row r="1023" spans="1:3" x14ac:dyDescent="0.25">
      <c r="A1023" s="17">
        <v>44777</v>
      </c>
      <c r="B1023" s="1" t="s">
        <v>974</v>
      </c>
      <c r="C1023" s="1">
        <v>1</v>
      </c>
    </row>
    <row r="1024" spans="1:3" x14ac:dyDescent="0.25">
      <c r="A1024" s="17">
        <v>44777</v>
      </c>
      <c r="B1024" s="1" t="s">
        <v>976</v>
      </c>
      <c r="C1024" s="1">
        <v>1</v>
      </c>
    </row>
    <row r="1025" spans="1:3" x14ac:dyDescent="0.25">
      <c r="A1025" s="17">
        <v>44777</v>
      </c>
      <c r="B1025" s="1" t="s">
        <v>976</v>
      </c>
      <c r="C1025" s="1">
        <v>1</v>
      </c>
    </row>
    <row r="1026" spans="1:3" x14ac:dyDescent="0.25">
      <c r="A1026" s="17">
        <v>44777</v>
      </c>
      <c r="B1026" s="1" t="s">
        <v>976</v>
      </c>
      <c r="C1026" s="1">
        <v>1</v>
      </c>
    </row>
    <row r="1027" spans="1:3" x14ac:dyDescent="0.25">
      <c r="A1027" s="17">
        <v>44777</v>
      </c>
      <c r="B1027" s="1" t="s">
        <v>977</v>
      </c>
      <c r="C1027" s="1">
        <v>1</v>
      </c>
    </row>
    <row r="1028" spans="1:3" x14ac:dyDescent="0.25">
      <c r="A1028" s="17">
        <v>44777</v>
      </c>
      <c r="B1028" s="1" t="s">
        <v>978</v>
      </c>
      <c r="C1028" s="1">
        <v>1</v>
      </c>
    </row>
    <row r="1029" spans="1:3" x14ac:dyDescent="0.25">
      <c r="A1029" s="17">
        <v>44777</v>
      </c>
      <c r="B1029" s="1" t="s">
        <v>979</v>
      </c>
      <c r="C1029" s="1">
        <v>1</v>
      </c>
    </row>
    <row r="1030" spans="1:3" x14ac:dyDescent="0.25">
      <c r="A1030" s="17">
        <v>44777</v>
      </c>
      <c r="B1030" s="1" t="s">
        <v>981</v>
      </c>
      <c r="C1030" s="1">
        <v>1</v>
      </c>
    </row>
    <row r="1031" spans="1:3" x14ac:dyDescent="0.25">
      <c r="A1031" s="17">
        <v>44777</v>
      </c>
      <c r="B1031" s="1" t="s">
        <v>517</v>
      </c>
      <c r="C1031" s="1">
        <v>3</v>
      </c>
    </row>
    <row r="1032" spans="1:3" x14ac:dyDescent="0.25">
      <c r="A1032" s="17">
        <v>44777</v>
      </c>
      <c r="B1032" s="1" t="s">
        <v>448</v>
      </c>
      <c r="C1032" s="1">
        <v>3</v>
      </c>
    </row>
    <row r="1033" spans="1:3" x14ac:dyDescent="0.25">
      <c r="A1033" s="17">
        <v>44777</v>
      </c>
      <c r="B1033" s="1" t="s">
        <v>983</v>
      </c>
      <c r="C1033" s="1">
        <v>1</v>
      </c>
    </row>
    <row r="1034" spans="1:3" x14ac:dyDescent="0.25">
      <c r="A1034" s="17">
        <v>44777</v>
      </c>
      <c r="B1034" s="1" t="s">
        <v>983</v>
      </c>
      <c r="C1034" s="1">
        <v>1</v>
      </c>
    </row>
    <row r="1035" spans="1:3" x14ac:dyDescent="0.25">
      <c r="A1035" s="17">
        <v>44777</v>
      </c>
      <c r="B1035" s="1" t="s">
        <v>983</v>
      </c>
      <c r="C1035" s="1">
        <v>1</v>
      </c>
    </row>
    <row r="1036" spans="1:3" x14ac:dyDescent="0.25">
      <c r="A1036" s="17">
        <v>44777</v>
      </c>
      <c r="B1036" s="1" t="s">
        <v>355</v>
      </c>
      <c r="C1036" s="1">
        <v>1</v>
      </c>
    </row>
    <row r="1037" spans="1:3" x14ac:dyDescent="0.25">
      <c r="A1037" s="17">
        <v>44777</v>
      </c>
      <c r="B1037" s="1" t="s">
        <v>355</v>
      </c>
      <c r="C1037" s="1">
        <v>1</v>
      </c>
    </row>
    <row r="1038" spans="1:3" x14ac:dyDescent="0.25">
      <c r="A1038" s="17">
        <v>44777</v>
      </c>
      <c r="B1038" s="1" t="s">
        <v>984</v>
      </c>
      <c r="C1038" s="1">
        <v>1</v>
      </c>
    </row>
    <row r="1039" spans="1:3" x14ac:dyDescent="0.25">
      <c r="A1039" s="17">
        <v>44777</v>
      </c>
      <c r="B1039" s="1" t="s">
        <v>986</v>
      </c>
      <c r="C1039" s="1">
        <v>1</v>
      </c>
    </row>
    <row r="1040" spans="1:3" x14ac:dyDescent="0.25">
      <c r="A1040" s="17">
        <v>44777</v>
      </c>
      <c r="B1040" s="1" t="s">
        <v>78</v>
      </c>
      <c r="C1040" s="1">
        <v>1</v>
      </c>
    </row>
    <row r="1041" spans="1:3" x14ac:dyDescent="0.25">
      <c r="A1041" s="17">
        <v>44777</v>
      </c>
      <c r="B1041" s="1" t="s">
        <v>825</v>
      </c>
      <c r="C1041" s="1">
        <v>1</v>
      </c>
    </row>
    <row r="1042" spans="1:3" x14ac:dyDescent="0.25">
      <c r="A1042" s="17">
        <v>44777</v>
      </c>
      <c r="B1042" s="1" t="s">
        <v>825</v>
      </c>
      <c r="C1042" s="1">
        <v>1</v>
      </c>
    </row>
    <row r="1043" spans="1:3" x14ac:dyDescent="0.25">
      <c r="A1043" s="17">
        <v>44777</v>
      </c>
      <c r="B1043" s="1" t="s">
        <v>987</v>
      </c>
      <c r="C1043" s="1">
        <v>1</v>
      </c>
    </row>
    <row r="1044" spans="1:3" x14ac:dyDescent="0.25">
      <c r="A1044" s="17">
        <v>44777</v>
      </c>
      <c r="B1044" s="1" t="s">
        <v>988</v>
      </c>
      <c r="C1044" s="1">
        <v>1</v>
      </c>
    </row>
    <row r="1045" spans="1:3" x14ac:dyDescent="0.25">
      <c r="A1045" s="17">
        <v>44777</v>
      </c>
      <c r="B1045" s="1" t="s">
        <v>845</v>
      </c>
      <c r="C1045" s="1">
        <v>1</v>
      </c>
    </row>
    <row r="1046" spans="1:3" x14ac:dyDescent="0.25">
      <c r="A1046" s="17">
        <v>44777</v>
      </c>
      <c r="B1046" s="1" t="s">
        <v>990</v>
      </c>
      <c r="C1046" s="1">
        <v>1</v>
      </c>
    </row>
    <row r="1047" spans="1:3" x14ac:dyDescent="0.25">
      <c r="A1047" s="17">
        <v>44777</v>
      </c>
      <c r="B1047" s="1" t="s">
        <v>990</v>
      </c>
      <c r="C1047" s="1">
        <v>1</v>
      </c>
    </row>
    <row r="1048" spans="1:3" x14ac:dyDescent="0.25">
      <c r="A1048" s="17">
        <v>44777</v>
      </c>
      <c r="B1048" s="1" t="s">
        <v>991</v>
      </c>
      <c r="C1048" s="1">
        <v>1</v>
      </c>
    </row>
    <row r="1049" spans="1:3" x14ac:dyDescent="0.25">
      <c r="A1049" s="17">
        <v>44777</v>
      </c>
      <c r="B1049" s="1" t="s">
        <v>992</v>
      </c>
      <c r="C1049" s="1">
        <v>1</v>
      </c>
    </row>
    <row r="1050" spans="1:3" x14ac:dyDescent="0.25">
      <c r="A1050" s="17">
        <v>44777</v>
      </c>
      <c r="B1050" s="1" t="s">
        <v>994</v>
      </c>
      <c r="C1050" s="1">
        <v>2</v>
      </c>
    </row>
    <row r="1051" spans="1:3" x14ac:dyDescent="0.25">
      <c r="A1051" s="17">
        <v>44777</v>
      </c>
      <c r="B1051" s="1" t="s">
        <v>995</v>
      </c>
      <c r="C1051" s="1">
        <v>1</v>
      </c>
    </row>
    <row r="1052" spans="1:3" x14ac:dyDescent="0.25">
      <c r="A1052" s="17">
        <v>44777</v>
      </c>
      <c r="B1052" s="1" t="s">
        <v>997</v>
      </c>
      <c r="C1052" s="1">
        <v>1</v>
      </c>
    </row>
    <row r="1053" spans="1:3" x14ac:dyDescent="0.25">
      <c r="A1053" s="17">
        <v>44777</v>
      </c>
      <c r="B1053" s="1" t="s">
        <v>999</v>
      </c>
      <c r="C1053" s="1">
        <v>1</v>
      </c>
    </row>
    <row r="1054" spans="1:3" x14ac:dyDescent="0.25">
      <c r="A1054" s="17">
        <v>44777</v>
      </c>
      <c r="B1054" s="1" t="s">
        <v>831</v>
      </c>
      <c r="C1054" s="1">
        <v>1</v>
      </c>
    </row>
    <row r="1055" spans="1:3" x14ac:dyDescent="0.25">
      <c r="A1055" s="17">
        <v>44777</v>
      </c>
      <c r="B1055" s="1" t="s">
        <v>831</v>
      </c>
      <c r="C1055" s="1">
        <v>1</v>
      </c>
    </row>
    <row r="1056" spans="1:3" x14ac:dyDescent="0.25">
      <c r="A1056" s="17">
        <v>44777</v>
      </c>
      <c r="B1056" s="1" t="s">
        <v>1001</v>
      </c>
      <c r="C1056" s="1">
        <v>2</v>
      </c>
    </row>
    <row r="1057" spans="1:3" x14ac:dyDescent="0.25">
      <c r="A1057" s="17">
        <v>44777</v>
      </c>
      <c r="B1057" s="1" t="s">
        <v>1002</v>
      </c>
      <c r="C1057" s="1">
        <v>1</v>
      </c>
    </row>
    <row r="1058" spans="1:3" x14ac:dyDescent="0.25">
      <c r="A1058" s="17">
        <v>44777</v>
      </c>
      <c r="B1058" s="1" t="s">
        <v>1003</v>
      </c>
      <c r="C1058" s="1">
        <v>1</v>
      </c>
    </row>
    <row r="1059" spans="1:3" x14ac:dyDescent="0.25">
      <c r="A1059" s="17">
        <v>44777</v>
      </c>
      <c r="B1059" s="1" t="s">
        <v>1005</v>
      </c>
      <c r="C1059" s="1">
        <v>2</v>
      </c>
    </row>
    <row r="1060" spans="1:3" x14ac:dyDescent="0.25">
      <c r="A1060" s="17">
        <v>44777</v>
      </c>
      <c r="B1060" s="1" t="s">
        <v>375</v>
      </c>
      <c r="C1060" s="1">
        <v>4</v>
      </c>
    </row>
    <row r="1061" spans="1:3" x14ac:dyDescent="0.25">
      <c r="A1061" s="17">
        <v>44777</v>
      </c>
      <c r="B1061" s="1" t="s">
        <v>375</v>
      </c>
      <c r="C1061" s="1">
        <v>4</v>
      </c>
    </row>
    <row r="1062" spans="1:3" x14ac:dyDescent="0.25">
      <c r="A1062" s="17">
        <v>44777</v>
      </c>
      <c r="B1062" s="1" t="s">
        <v>375</v>
      </c>
      <c r="C1062" s="1">
        <v>4</v>
      </c>
    </row>
    <row r="1063" spans="1:3" x14ac:dyDescent="0.25">
      <c r="A1063" s="17">
        <v>44777</v>
      </c>
      <c r="B1063" s="1" t="s">
        <v>392</v>
      </c>
      <c r="C1063" s="1">
        <v>1</v>
      </c>
    </row>
    <row r="1064" spans="1:3" x14ac:dyDescent="0.25">
      <c r="A1064" s="17">
        <v>44777</v>
      </c>
      <c r="B1064" s="1" t="s">
        <v>1007</v>
      </c>
      <c r="C1064" s="1">
        <v>1</v>
      </c>
    </row>
    <row r="1065" spans="1:3" x14ac:dyDescent="0.25">
      <c r="A1065" s="17">
        <v>44777</v>
      </c>
      <c r="B1065" s="1" t="s">
        <v>514</v>
      </c>
      <c r="C1065" s="1">
        <v>1</v>
      </c>
    </row>
    <row r="1066" spans="1:3" x14ac:dyDescent="0.25">
      <c r="A1066" s="17">
        <v>44777</v>
      </c>
      <c r="B1066" s="1" t="s">
        <v>957</v>
      </c>
      <c r="C1066" s="1">
        <v>0.16</v>
      </c>
    </row>
    <row r="1067" spans="1:3" x14ac:dyDescent="0.25">
      <c r="A1067" s="17">
        <v>44777</v>
      </c>
      <c r="B1067" s="1" t="s">
        <v>1008</v>
      </c>
      <c r="C1067" s="1">
        <v>0.04</v>
      </c>
    </row>
    <row r="1068" spans="1:3" x14ac:dyDescent="0.25">
      <c r="A1068" s="17">
        <v>44777</v>
      </c>
      <c r="B1068" s="1" t="s">
        <v>1009</v>
      </c>
      <c r="C1068" s="1">
        <v>1</v>
      </c>
    </row>
    <row r="1069" spans="1:3" x14ac:dyDescent="0.25">
      <c r="A1069" s="17">
        <v>44777</v>
      </c>
      <c r="B1069" s="1" t="s">
        <v>1010</v>
      </c>
      <c r="C1069" s="1">
        <v>1</v>
      </c>
    </row>
    <row r="1070" spans="1:3" x14ac:dyDescent="0.25">
      <c r="A1070" s="17">
        <v>44777</v>
      </c>
      <c r="B1070" s="1" t="s">
        <v>1011</v>
      </c>
      <c r="C1070" s="1">
        <v>1</v>
      </c>
    </row>
    <row r="1071" spans="1:3" x14ac:dyDescent="0.25">
      <c r="A1071" s="17">
        <v>44777</v>
      </c>
      <c r="B1071" s="1" t="s">
        <v>1012</v>
      </c>
      <c r="C1071" s="1">
        <v>1</v>
      </c>
    </row>
    <row r="1072" spans="1:3" x14ac:dyDescent="0.25">
      <c r="A1072" s="17">
        <v>44777</v>
      </c>
      <c r="B1072" s="1" t="s">
        <v>1012</v>
      </c>
      <c r="C1072" s="1">
        <v>1</v>
      </c>
    </row>
    <row r="1073" spans="1:3" x14ac:dyDescent="0.25">
      <c r="A1073" s="17">
        <v>44777</v>
      </c>
      <c r="B1073" s="1" t="s">
        <v>1013</v>
      </c>
      <c r="C1073" s="1">
        <v>1</v>
      </c>
    </row>
    <row r="1074" spans="1:3" x14ac:dyDescent="0.25">
      <c r="A1074" s="17">
        <v>44777</v>
      </c>
      <c r="B1074" s="1" t="s">
        <v>1014</v>
      </c>
      <c r="C1074" s="1">
        <v>1</v>
      </c>
    </row>
    <row r="1075" spans="1:3" x14ac:dyDescent="0.25">
      <c r="A1075" s="17">
        <v>44777</v>
      </c>
      <c r="B1075" s="1" t="s">
        <v>1015</v>
      </c>
      <c r="C1075" s="1">
        <v>1</v>
      </c>
    </row>
    <row r="1076" spans="1:3" x14ac:dyDescent="0.25">
      <c r="A1076" s="17">
        <v>44777</v>
      </c>
      <c r="B1076" s="1" t="s">
        <v>1017</v>
      </c>
      <c r="C1076" s="1">
        <v>1</v>
      </c>
    </row>
    <row r="1077" spans="1:3" x14ac:dyDescent="0.25">
      <c r="A1077" s="17">
        <v>44777</v>
      </c>
      <c r="B1077" s="1" t="s">
        <v>1017</v>
      </c>
      <c r="C1077" s="1">
        <v>1</v>
      </c>
    </row>
    <row r="1078" spans="1:3" x14ac:dyDescent="0.25">
      <c r="A1078" s="17">
        <v>44777</v>
      </c>
      <c r="B1078" s="1" t="s">
        <v>104</v>
      </c>
      <c r="C1078" s="1">
        <v>1</v>
      </c>
    </row>
    <row r="1079" spans="1:3" x14ac:dyDescent="0.25">
      <c r="A1079" s="17">
        <v>44777</v>
      </c>
      <c r="B1079" s="1" t="s">
        <v>104</v>
      </c>
      <c r="C1079" s="1">
        <v>1</v>
      </c>
    </row>
    <row r="1080" spans="1:3" x14ac:dyDescent="0.25">
      <c r="A1080" s="17">
        <v>44777</v>
      </c>
      <c r="B1080" s="1" t="s">
        <v>1018</v>
      </c>
      <c r="C1080" s="1">
        <v>0.33333332999999998</v>
      </c>
    </row>
    <row r="1081" spans="1:3" x14ac:dyDescent="0.25">
      <c r="A1081" s="17">
        <v>44777</v>
      </c>
      <c r="B1081" s="1" t="s">
        <v>995</v>
      </c>
      <c r="C1081" s="1">
        <v>1</v>
      </c>
    </row>
    <row r="1082" spans="1:3" x14ac:dyDescent="0.25">
      <c r="A1082" s="17">
        <v>44777</v>
      </c>
      <c r="B1082" s="1" t="s">
        <v>1020</v>
      </c>
      <c r="C1082" s="1">
        <v>1</v>
      </c>
    </row>
    <row r="1083" spans="1:3" x14ac:dyDescent="0.25">
      <c r="A1083" s="17">
        <v>44777</v>
      </c>
      <c r="B1083" s="1" t="s">
        <v>1021</v>
      </c>
      <c r="C1083" s="1">
        <v>1</v>
      </c>
    </row>
    <row r="1084" spans="1:3" x14ac:dyDescent="0.25">
      <c r="A1084" s="17">
        <v>44777</v>
      </c>
      <c r="B1084" s="1" t="s">
        <v>591</v>
      </c>
      <c r="C1084" s="1">
        <v>1</v>
      </c>
    </row>
    <row r="1085" spans="1:3" x14ac:dyDescent="0.25">
      <c r="A1085" s="17">
        <v>44777</v>
      </c>
      <c r="B1085" s="1" t="s">
        <v>1022</v>
      </c>
      <c r="C1085" s="1">
        <v>1</v>
      </c>
    </row>
    <row r="1086" spans="1:3" x14ac:dyDescent="0.25">
      <c r="A1086" s="17">
        <v>44777</v>
      </c>
      <c r="B1086" s="1" t="s">
        <v>416</v>
      </c>
      <c r="C1086" s="1">
        <v>1</v>
      </c>
    </row>
    <row r="1087" spans="1:3" x14ac:dyDescent="0.25">
      <c r="A1087" s="17">
        <v>44777</v>
      </c>
      <c r="B1087" s="1" t="s">
        <v>416</v>
      </c>
      <c r="C1087" s="1">
        <v>1</v>
      </c>
    </row>
    <row r="1088" spans="1:3" x14ac:dyDescent="0.25">
      <c r="A1088" s="17">
        <v>44777</v>
      </c>
      <c r="B1088" s="1" t="s">
        <v>416</v>
      </c>
      <c r="C1088" s="1">
        <v>2</v>
      </c>
    </row>
    <row r="1089" spans="1:3" x14ac:dyDescent="0.25">
      <c r="A1089" s="17">
        <v>44777</v>
      </c>
      <c r="B1089" s="1" t="s">
        <v>214</v>
      </c>
      <c r="C1089" s="1">
        <v>1</v>
      </c>
    </row>
    <row r="1090" spans="1:3" x14ac:dyDescent="0.25">
      <c r="A1090" s="17">
        <v>44777</v>
      </c>
      <c r="B1090" s="1" t="s">
        <v>1023</v>
      </c>
      <c r="C1090" s="1">
        <v>1</v>
      </c>
    </row>
    <row r="1091" spans="1:3" x14ac:dyDescent="0.25">
      <c r="A1091" s="17">
        <v>44777</v>
      </c>
      <c r="B1091" s="1" t="s">
        <v>804</v>
      </c>
      <c r="C1091" s="1">
        <v>1</v>
      </c>
    </row>
    <row r="1092" spans="1:3" x14ac:dyDescent="0.25">
      <c r="A1092" s="17">
        <v>44777</v>
      </c>
      <c r="B1092" s="1" t="s">
        <v>514</v>
      </c>
      <c r="C1092" s="1">
        <v>1</v>
      </c>
    </row>
    <row r="1093" spans="1:3" x14ac:dyDescent="0.25">
      <c r="A1093" s="17">
        <v>44777</v>
      </c>
      <c r="B1093" s="1" t="s">
        <v>1025</v>
      </c>
      <c r="C1093" s="1">
        <v>1</v>
      </c>
    </row>
    <row r="1094" spans="1:3" x14ac:dyDescent="0.25">
      <c r="A1094" s="17">
        <v>44777</v>
      </c>
      <c r="B1094" s="1" t="s">
        <v>1027</v>
      </c>
      <c r="C1094" s="1">
        <v>1</v>
      </c>
    </row>
    <row r="1095" spans="1:3" x14ac:dyDescent="0.25">
      <c r="A1095" s="17">
        <v>44777</v>
      </c>
      <c r="B1095" s="1" t="s">
        <v>624</v>
      </c>
      <c r="C1095" s="1">
        <v>1</v>
      </c>
    </row>
    <row r="1096" spans="1:3" x14ac:dyDescent="0.25">
      <c r="A1096" s="17">
        <v>44777</v>
      </c>
      <c r="B1096" s="1" t="s">
        <v>624</v>
      </c>
      <c r="C1096" s="1">
        <v>1</v>
      </c>
    </row>
    <row r="1097" spans="1:3" x14ac:dyDescent="0.25">
      <c r="A1097" s="17">
        <v>44777</v>
      </c>
      <c r="B1097" s="1" t="s">
        <v>247</v>
      </c>
      <c r="C1097" s="1">
        <v>1</v>
      </c>
    </row>
    <row r="1098" spans="1:3" x14ac:dyDescent="0.25">
      <c r="A1098" s="17">
        <v>44777</v>
      </c>
      <c r="B1098" s="1" t="s">
        <v>247</v>
      </c>
      <c r="C1098" s="1">
        <v>1</v>
      </c>
    </row>
    <row r="1099" spans="1:3" x14ac:dyDescent="0.25">
      <c r="A1099" s="17">
        <v>44777</v>
      </c>
      <c r="B1099" s="1" t="s">
        <v>331</v>
      </c>
      <c r="C1099" s="1">
        <v>1</v>
      </c>
    </row>
    <row r="1100" spans="1:3" x14ac:dyDescent="0.25">
      <c r="A1100" s="17">
        <v>44777</v>
      </c>
      <c r="B1100" s="1" t="s">
        <v>331</v>
      </c>
      <c r="C1100" s="1">
        <v>1</v>
      </c>
    </row>
    <row r="1101" spans="1:3" x14ac:dyDescent="0.25">
      <c r="A1101" s="17">
        <v>44777</v>
      </c>
      <c r="B1101" s="1" t="s">
        <v>331</v>
      </c>
      <c r="C1101" s="1">
        <v>1</v>
      </c>
    </row>
    <row r="1102" spans="1:3" x14ac:dyDescent="0.25">
      <c r="A1102" s="17">
        <v>44777</v>
      </c>
      <c r="B1102" s="1" t="s">
        <v>1029</v>
      </c>
      <c r="C1102" s="1">
        <v>1</v>
      </c>
    </row>
    <row r="1103" spans="1:3" x14ac:dyDescent="0.25">
      <c r="A1103" s="17">
        <v>44777</v>
      </c>
      <c r="B1103" s="1" t="s">
        <v>112</v>
      </c>
      <c r="C1103" s="1">
        <v>1</v>
      </c>
    </row>
    <row r="1104" spans="1:3" x14ac:dyDescent="0.25">
      <c r="A1104" s="17">
        <v>44777</v>
      </c>
      <c r="B1104" s="1" t="s">
        <v>1031</v>
      </c>
      <c r="C1104" s="1">
        <v>1</v>
      </c>
    </row>
    <row r="1105" spans="1:3" x14ac:dyDescent="0.25">
      <c r="A1105" s="17">
        <v>44777</v>
      </c>
      <c r="B1105" s="1" t="s">
        <v>1031</v>
      </c>
      <c r="C1105" s="1">
        <v>1</v>
      </c>
    </row>
    <row r="1106" spans="1:3" x14ac:dyDescent="0.25">
      <c r="A1106" s="17">
        <v>44777</v>
      </c>
      <c r="B1106" s="1" t="s">
        <v>222</v>
      </c>
      <c r="C1106" s="1">
        <v>1</v>
      </c>
    </row>
    <row r="1107" spans="1:3" x14ac:dyDescent="0.25">
      <c r="A1107" s="17">
        <v>44777</v>
      </c>
      <c r="B1107" s="1" t="s">
        <v>1032</v>
      </c>
      <c r="C1107" s="1">
        <v>1</v>
      </c>
    </row>
    <row r="1108" spans="1:3" x14ac:dyDescent="0.25">
      <c r="A1108" s="17">
        <v>44777</v>
      </c>
      <c r="B1108" s="1" t="s">
        <v>442</v>
      </c>
      <c r="C1108" s="1">
        <v>1</v>
      </c>
    </row>
    <row r="1109" spans="1:3" x14ac:dyDescent="0.25">
      <c r="A1109" s="17">
        <v>44777</v>
      </c>
      <c r="B1109" s="1" t="s">
        <v>1033</v>
      </c>
      <c r="C1109" s="1">
        <v>1</v>
      </c>
    </row>
    <row r="1110" spans="1:3" x14ac:dyDescent="0.25">
      <c r="A1110" s="17">
        <v>44777</v>
      </c>
      <c r="B1110" s="1" t="s">
        <v>232</v>
      </c>
      <c r="C1110" s="1">
        <v>1</v>
      </c>
    </row>
    <row r="1111" spans="1:3" x14ac:dyDescent="0.25">
      <c r="A1111" s="17">
        <v>44777</v>
      </c>
      <c r="B1111" s="1" t="s">
        <v>146</v>
      </c>
      <c r="C1111" s="1">
        <v>1</v>
      </c>
    </row>
    <row r="1112" spans="1:3" x14ac:dyDescent="0.25">
      <c r="A1112" s="17">
        <v>44777</v>
      </c>
      <c r="B1112" s="1" t="s">
        <v>140</v>
      </c>
      <c r="C1112" s="1">
        <v>1</v>
      </c>
    </row>
    <row r="1113" spans="1:3" x14ac:dyDescent="0.25">
      <c r="A1113" s="17">
        <v>44777</v>
      </c>
      <c r="B1113" s="1" t="s">
        <v>140</v>
      </c>
      <c r="C1113" s="1">
        <v>1</v>
      </c>
    </row>
    <row r="1114" spans="1:3" x14ac:dyDescent="0.25">
      <c r="A1114" s="17">
        <v>44777</v>
      </c>
      <c r="B1114" s="1" t="s">
        <v>568</v>
      </c>
      <c r="C1114" s="1">
        <v>1</v>
      </c>
    </row>
    <row r="1115" spans="1:3" x14ac:dyDescent="0.25">
      <c r="A1115" s="17">
        <v>44777</v>
      </c>
      <c r="B1115" s="1" t="s">
        <v>1034</v>
      </c>
      <c r="C1115" s="1">
        <v>6.6666669999999997E-2</v>
      </c>
    </row>
    <row r="1116" spans="1:3" x14ac:dyDescent="0.25">
      <c r="A1116" s="17">
        <v>44777</v>
      </c>
      <c r="B1116" s="1" t="s">
        <v>259</v>
      </c>
      <c r="C1116" s="1">
        <v>1</v>
      </c>
    </row>
    <row r="1117" spans="1:3" x14ac:dyDescent="0.25">
      <c r="A1117" s="17">
        <v>44777</v>
      </c>
      <c r="B1117" s="1" t="s">
        <v>259</v>
      </c>
      <c r="C1117" s="1">
        <v>1</v>
      </c>
    </row>
    <row r="1118" spans="1:3" x14ac:dyDescent="0.25">
      <c r="A1118" s="17">
        <v>44777</v>
      </c>
      <c r="B1118" s="1" t="s">
        <v>251</v>
      </c>
      <c r="C1118" s="1">
        <v>1</v>
      </c>
    </row>
    <row r="1119" spans="1:3" x14ac:dyDescent="0.25">
      <c r="A1119" s="17">
        <v>44777</v>
      </c>
      <c r="B1119" s="1" t="s">
        <v>251</v>
      </c>
      <c r="C1119" s="1">
        <v>1</v>
      </c>
    </row>
    <row r="1120" spans="1:3" x14ac:dyDescent="0.25">
      <c r="A1120" s="17">
        <v>44777</v>
      </c>
      <c r="B1120" s="1" t="s">
        <v>251</v>
      </c>
      <c r="C1120" s="1">
        <v>1</v>
      </c>
    </row>
    <row r="1121" spans="1:3" x14ac:dyDescent="0.25">
      <c r="A1121" s="17">
        <v>44777</v>
      </c>
      <c r="B1121" s="1" t="s">
        <v>1035</v>
      </c>
      <c r="C1121" s="1">
        <v>1</v>
      </c>
    </row>
    <row r="1122" spans="1:3" x14ac:dyDescent="0.25">
      <c r="A1122" s="17">
        <v>44777</v>
      </c>
      <c r="B1122" s="1" t="s">
        <v>1037</v>
      </c>
      <c r="C1122" s="1">
        <v>1</v>
      </c>
    </row>
    <row r="1123" spans="1:3" x14ac:dyDescent="0.25">
      <c r="A1123" s="17">
        <v>44777</v>
      </c>
      <c r="B1123" s="1" t="s">
        <v>1038</v>
      </c>
      <c r="C1123" s="1">
        <v>1</v>
      </c>
    </row>
    <row r="1124" spans="1:3" x14ac:dyDescent="0.25">
      <c r="A1124" s="17">
        <v>44777</v>
      </c>
      <c r="B1124" s="1" t="s">
        <v>1039</v>
      </c>
      <c r="C1124" s="1">
        <v>1</v>
      </c>
    </row>
    <row r="1125" spans="1:3" x14ac:dyDescent="0.25">
      <c r="A1125" s="17">
        <v>44777</v>
      </c>
      <c r="B1125" s="1" t="s">
        <v>1041</v>
      </c>
      <c r="C1125" s="1">
        <v>1</v>
      </c>
    </row>
    <row r="1126" spans="1:3" x14ac:dyDescent="0.25">
      <c r="A1126" s="17">
        <v>44777</v>
      </c>
      <c r="B1126" s="1" t="s">
        <v>1042</v>
      </c>
      <c r="C1126" s="1">
        <v>1</v>
      </c>
    </row>
    <row r="1127" spans="1:3" x14ac:dyDescent="0.25">
      <c r="A1127" s="17">
        <v>44777</v>
      </c>
      <c r="B1127" s="1" t="s">
        <v>1043</v>
      </c>
      <c r="C1127" s="1">
        <v>10</v>
      </c>
    </row>
    <row r="1128" spans="1:3" x14ac:dyDescent="0.25">
      <c r="A1128" s="17">
        <v>44777</v>
      </c>
      <c r="B1128" s="1" t="s">
        <v>91</v>
      </c>
      <c r="C1128" s="1">
        <v>1</v>
      </c>
    </row>
    <row r="1129" spans="1:3" x14ac:dyDescent="0.25">
      <c r="A1129" s="17">
        <v>44777</v>
      </c>
      <c r="B1129" s="1" t="s">
        <v>91</v>
      </c>
      <c r="C1129" s="1">
        <v>1</v>
      </c>
    </row>
    <row r="1130" spans="1:3" x14ac:dyDescent="0.25">
      <c r="A1130" s="17">
        <v>44777</v>
      </c>
      <c r="B1130" s="1" t="s">
        <v>91</v>
      </c>
      <c r="C1130" s="1">
        <v>1</v>
      </c>
    </row>
    <row r="1131" spans="1:3" x14ac:dyDescent="0.25">
      <c r="A1131" s="17">
        <v>44777</v>
      </c>
      <c r="B1131" s="1" t="s">
        <v>1044</v>
      </c>
      <c r="C1131" s="1">
        <v>1</v>
      </c>
    </row>
    <row r="1132" spans="1:3" x14ac:dyDescent="0.25">
      <c r="A1132" s="17">
        <v>44777</v>
      </c>
      <c r="B1132" s="1" t="s">
        <v>941</v>
      </c>
      <c r="C1132" s="1">
        <v>1</v>
      </c>
    </row>
    <row r="1133" spans="1:3" x14ac:dyDescent="0.25">
      <c r="A1133" s="17">
        <v>44777</v>
      </c>
      <c r="B1133" s="1" t="s">
        <v>1045</v>
      </c>
      <c r="C1133" s="1">
        <v>1</v>
      </c>
    </row>
    <row r="1134" spans="1:3" x14ac:dyDescent="0.25">
      <c r="A1134" s="17">
        <v>44777</v>
      </c>
      <c r="B1134" s="1" t="s">
        <v>1046</v>
      </c>
      <c r="C1134" s="1">
        <v>1</v>
      </c>
    </row>
    <row r="1135" spans="1:3" x14ac:dyDescent="0.25">
      <c r="A1135" s="17">
        <v>44777</v>
      </c>
      <c r="B1135" s="1" t="s">
        <v>1047</v>
      </c>
      <c r="C1135" s="1">
        <v>1</v>
      </c>
    </row>
    <row r="1136" spans="1:3" x14ac:dyDescent="0.25">
      <c r="A1136" s="17">
        <v>44777</v>
      </c>
      <c r="B1136" s="1" t="s">
        <v>1048</v>
      </c>
      <c r="C1136" s="1">
        <v>1</v>
      </c>
    </row>
    <row r="1137" spans="1:3" x14ac:dyDescent="0.25">
      <c r="A1137" s="17">
        <v>44777</v>
      </c>
      <c r="B1137" s="1" t="s">
        <v>228</v>
      </c>
      <c r="C1137" s="1">
        <v>1</v>
      </c>
    </row>
    <row r="1138" spans="1:3" x14ac:dyDescent="0.25">
      <c r="A1138" s="17">
        <v>44777</v>
      </c>
      <c r="B1138" s="1" t="s">
        <v>1049</v>
      </c>
      <c r="C1138" s="1">
        <v>1</v>
      </c>
    </row>
    <row r="1139" spans="1:3" x14ac:dyDescent="0.25">
      <c r="A1139" s="17">
        <v>44777</v>
      </c>
      <c r="B1139" s="1" t="s">
        <v>1050</v>
      </c>
      <c r="C1139" s="1">
        <v>1</v>
      </c>
    </row>
    <row r="1140" spans="1:3" x14ac:dyDescent="0.25">
      <c r="A1140" s="17">
        <v>44777</v>
      </c>
      <c r="B1140" s="1" t="s">
        <v>226</v>
      </c>
      <c r="C1140" s="1">
        <v>1</v>
      </c>
    </row>
    <row r="1141" spans="1:3" x14ac:dyDescent="0.25">
      <c r="A1141" s="17">
        <v>44777</v>
      </c>
      <c r="B1141" s="1" t="s">
        <v>1051</v>
      </c>
      <c r="C1141" s="1">
        <v>1</v>
      </c>
    </row>
    <row r="1142" spans="1:3" x14ac:dyDescent="0.25">
      <c r="A1142" s="17">
        <v>44777</v>
      </c>
      <c r="B1142" s="1" t="s">
        <v>177</v>
      </c>
      <c r="C1142" s="1">
        <v>1</v>
      </c>
    </row>
    <row r="1143" spans="1:3" x14ac:dyDescent="0.25">
      <c r="A1143" s="17">
        <v>44777</v>
      </c>
      <c r="B1143" s="1" t="s">
        <v>210</v>
      </c>
      <c r="C1143" s="1">
        <v>1</v>
      </c>
    </row>
    <row r="1144" spans="1:3" x14ac:dyDescent="0.25">
      <c r="A1144" s="17">
        <v>44777</v>
      </c>
      <c r="B1144" s="1" t="s">
        <v>1052</v>
      </c>
      <c r="C1144" s="1">
        <v>1</v>
      </c>
    </row>
    <row r="1145" spans="1:3" x14ac:dyDescent="0.25">
      <c r="A1145" s="17">
        <v>44777</v>
      </c>
      <c r="B1145" s="1" t="s">
        <v>226</v>
      </c>
      <c r="C1145" s="1">
        <v>1</v>
      </c>
    </row>
    <row r="1146" spans="1:3" x14ac:dyDescent="0.25">
      <c r="A1146" s="17">
        <v>44777</v>
      </c>
      <c r="B1146" s="1" t="s">
        <v>1053</v>
      </c>
      <c r="C1146" s="1">
        <v>1</v>
      </c>
    </row>
    <row r="1147" spans="1:3" x14ac:dyDescent="0.25">
      <c r="A1147" s="17">
        <v>44777</v>
      </c>
      <c r="B1147" s="1" t="s">
        <v>33</v>
      </c>
      <c r="C1147" s="1">
        <v>1</v>
      </c>
    </row>
    <row r="1148" spans="1:3" x14ac:dyDescent="0.25">
      <c r="A1148" s="17">
        <v>44777</v>
      </c>
      <c r="B1148" s="1" t="s">
        <v>1054</v>
      </c>
      <c r="C1148" s="1">
        <v>1</v>
      </c>
    </row>
    <row r="1149" spans="1:3" x14ac:dyDescent="0.25">
      <c r="A1149" s="17">
        <v>44777</v>
      </c>
      <c r="B1149" s="1" t="s">
        <v>286</v>
      </c>
      <c r="C1149" s="1">
        <v>1</v>
      </c>
    </row>
    <row r="1150" spans="1:3" x14ac:dyDescent="0.25">
      <c r="A1150" s="17">
        <v>44777</v>
      </c>
      <c r="B1150" s="1" t="s">
        <v>472</v>
      </c>
      <c r="C1150" s="1">
        <v>1</v>
      </c>
    </row>
    <row r="1151" spans="1:3" x14ac:dyDescent="0.25">
      <c r="A1151" s="17">
        <v>44777</v>
      </c>
      <c r="B1151" s="1" t="s">
        <v>76</v>
      </c>
      <c r="C1151" s="1">
        <v>1</v>
      </c>
    </row>
    <row r="1152" spans="1:3" x14ac:dyDescent="0.25">
      <c r="A1152" s="17">
        <v>44777</v>
      </c>
      <c r="B1152" s="1" t="s">
        <v>1055</v>
      </c>
      <c r="C1152" s="1">
        <v>1</v>
      </c>
    </row>
    <row r="1153" spans="1:3" x14ac:dyDescent="0.25">
      <c r="A1153" s="17">
        <v>44777</v>
      </c>
      <c r="B1153" s="1" t="s">
        <v>1057</v>
      </c>
      <c r="C1153" s="1">
        <v>1</v>
      </c>
    </row>
    <row r="1154" spans="1:3" x14ac:dyDescent="0.25">
      <c r="A1154" s="17">
        <v>44777</v>
      </c>
      <c r="B1154" s="1" t="s">
        <v>1058</v>
      </c>
      <c r="C1154" s="1">
        <v>1</v>
      </c>
    </row>
    <row r="1155" spans="1:3" x14ac:dyDescent="0.25">
      <c r="A1155" s="17">
        <v>44777</v>
      </c>
      <c r="B1155" s="1" t="s">
        <v>1059</v>
      </c>
      <c r="C1155" s="1">
        <v>1</v>
      </c>
    </row>
    <row r="1156" spans="1:3" x14ac:dyDescent="0.25">
      <c r="A1156" s="17">
        <v>44777</v>
      </c>
      <c r="B1156" s="1" t="s">
        <v>466</v>
      </c>
      <c r="C1156" s="1">
        <v>3</v>
      </c>
    </row>
    <row r="1157" spans="1:3" x14ac:dyDescent="0.25">
      <c r="A1157" s="17">
        <v>44777</v>
      </c>
      <c r="B1157" s="1" t="s">
        <v>466</v>
      </c>
      <c r="C1157" s="1">
        <v>3</v>
      </c>
    </row>
    <row r="1158" spans="1:3" x14ac:dyDescent="0.25">
      <c r="A1158" s="17">
        <v>44777</v>
      </c>
      <c r="B1158" s="1" t="s">
        <v>163</v>
      </c>
      <c r="C1158" s="1">
        <v>2</v>
      </c>
    </row>
    <row r="1159" spans="1:3" x14ac:dyDescent="0.25">
      <c r="A1159" s="17">
        <v>44777</v>
      </c>
      <c r="B1159" s="1" t="s">
        <v>163</v>
      </c>
      <c r="C1159" s="1">
        <v>1</v>
      </c>
    </row>
    <row r="1160" spans="1:3" x14ac:dyDescent="0.25">
      <c r="A1160" s="17">
        <v>44777</v>
      </c>
      <c r="B1160" s="1" t="s">
        <v>764</v>
      </c>
      <c r="C1160" s="1">
        <v>1</v>
      </c>
    </row>
    <row r="1161" spans="1:3" x14ac:dyDescent="0.25">
      <c r="A1161" s="17">
        <v>44777</v>
      </c>
      <c r="B1161" s="1" t="s">
        <v>1060</v>
      </c>
      <c r="C1161" s="1">
        <v>1</v>
      </c>
    </row>
    <row r="1162" spans="1:3" x14ac:dyDescent="0.25">
      <c r="A1162" s="17">
        <v>44777</v>
      </c>
      <c r="B1162" s="1" t="s">
        <v>125</v>
      </c>
      <c r="C1162" s="1">
        <v>1</v>
      </c>
    </row>
    <row r="1163" spans="1:3" x14ac:dyDescent="0.25">
      <c r="A1163" s="17">
        <v>44777</v>
      </c>
      <c r="B1163" s="1" t="s">
        <v>195</v>
      </c>
      <c r="C1163" s="1">
        <v>1</v>
      </c>
    </row>
    <row r="1164" spans="1:3" x14ac:dyDescent="0.25">
      <c r="A1164" s="17">
        <v>44777</v>
      </c>
      <c r="B1164" s="1" t="s">
        <v>639</v>
      </c>
      <c r="C1164" s="1">
        <v>1</v>
      </c>
    </row>
    <row r="1165" spans="1:3" x14ac:dyDescent="0.25">
      <c r="A1165" s="17">
        <v>44777</v>
      </c>
      <c r="B1165" s="1" t="s">
        <v>1063</v>
      </c>
      <c r="C1165" s="1">
        <v>1</v>
      </c>
    </row>
    <row r="1166" spans="1:3" x14ac:dyDescent="0.25">
      <c r="A1166" s="17">
        <v>44777</v>
      </c>
      <c r="B1166" s="1" t="s">
        <v>759</v>
      </c>
      <c r="C1166" s="1">
        <v>1</v>
      </c>
    </row>
    <row r="1167" spans="1:3" x14ac:dyDescent="0.25">
      <c r="A1167" s="17">
        <v>44777</v>
      </c>
      <c r="B1167" s="1" t="s">
        <v>1064</v>
      </c>
      <c r="C1167" s="1">
        <v>1</v>
      </c>
    </row>
    <row r="1168" spans="1:3" x14ac:dyDescent="0.25">
      <c r="A1168" s="17">
        <v>44777</v>
      </c>
      <c r="B1168" s="1" t="s">
        <v>986</v>
      </c>
      <c r="C1168" s="1">
        <v>1</v>
      </c>
    </row>
    <row r="1169" spans="1:3" x14ac:dyDescent="0.25">
      <c r="A1169" s="17">
        <v>44777</v>
      </c>
      <c r="B1169" s="1" t="s">
        <v>1066</v>
      </c>
      <c r="C1169" s="1">
        <v>0.05</v>
      </c>
    </row>
    <row r="1170" spans="1:3" x14ac:dyDescent="0.25">
      <c r="A1170" s="17">
        <v>44777</v>
      </c>
      <c r="B1170" s="1" t="s">
        <v>1067</v>
      </c>
      <c r="C1170" s="1">
        <v>1</v>
      </c>
    </row>
    <row r="1171" spans="1:3" x14ac:dyDescent="0.25">
      <c r="A1171" s="17">
        <v>44777</v>
      </c>
      <c r="B1171" s="1" t="s">
        <v>1068</v>
      </c>
      <c r="C1171" s="1">
        <v>1</v>
      </c>
    </row>
    <row r="1172" spans="1:3" x14ac:dyDescent="0.25">
      <c r="A1172" s="17">
        <v>44777</v>
      </c>
      <c r="B1172" s="1" t="s">
        <v>1069</v>
      </c>
      <c r="C1172" s="1">
        <v>1</v>
      </c>
    </row>
    <row r="1173" spans="1:3" x14ac:dyDescent="0.25">
      <c r="A1173" s="17">
        <v>44777</v>
      </c>
      <c r="B1173" s="1" t="s">
        <v>1069</v>
      </c>
      <c r="C1173" s="1">
        <v>1</v>
      </c>
    </row>
    <row r="1174" spans="1:3" x14ac:dyDescent="0.25">
      <c r="A1174" s="17">
        <v>44777</v>
      </c>
      <c r="B1174" s="1" t="s">
        <v>1069</v>
      </c>
      <c r="C1174" s="1">
        <v>1</v>
      </c>
    </row>
    <row r="1175" spans="1:3" x14ac:dyDescent="0.25">
      <c r="A1175" s="17">
        <v>44777</v>
      </c>
      <c r="B1175" s="1" t="s">
        <v>664</v>
      </c>
      <c r="C1175" s="1">
        <v>3</v>
      </c>
    </row>
    <row r="1176" spans="1:3" x14ac:dyDescent="0.25">
      <c r="A1176" s="17">
        <v>44777</v>
      </c>
      <c r="B1176" s="1" t="s">
        <v>1070</v>
      </c>
      <c r="C1176" s="1">
        <v>1</v>
      </c>
    </row>
    <row r="1177" spans="1:3" x14ac:dyDescent="0.25">
      <c r="A1177" s="17">
        <v>44777</v>
      </c>
      <c r="B1177" s="1" t="s">
        <v>1071</v>
      </c>
      <c r="C1177" s="1">
        <v>1</v>
      </c>
    </row>
    <row r="1178" spans="1:3" x14ac:dyDescent="0.25">
      <c r="A1178" s="17">
        <v>44777</v>
      </c>
      <c r="B1178" s="1" t="s">
        <v>1071</v>
      </c>
      <c r="C1178" s="1">
        <v>1</v>
      </c>
    </row>
    <row r="1179" spans="1:3" x14ac:dyDescent="0.25">
      <c r="A1179" s="17">
        <v>44777</v>
      </c>
      <c r="B1179" s="1" t="s">
        <v>1071</v>
      </c>
      <c r="C1179" s="1">
        <v>1</v>
      </c>
    </row>
    <row r="1180" spans="1:3" x14ac:dyDescent="0.25">
      <c r="A1180" s="17">
        <v>44777</v>
      </c>
      <c r="B1180" s="1" t="s">
        <v>878</v>
      </c>
      <c r="C1180" s="1">
        <v>1</v>
      </c>
    </row>
    <row r="1181" spans="1:3" x14ac:dyDescent="0.25">
      <c r="A1181" s="17">
        <v>44777</v>
      </c>
      <c r="B1181" s="1" t="s">
        <v>492</v>
      </c>
      <c r="C1181" s="1">
        <v>1</v>
      </c>
    </row>
    <row r="1182" spans="1:3" x14ac:dyDescent="0.25">
      <c r="A1182" s="17">
        <v>44778</v>
      </c>
      <c r="B1182" s="1" t="s">
        <v>704</v>
      </c>
      <c r="C1182" s="1">
        <v>2</v>
      </c>
    </row>
    <row r="1183" spans="1:3" x14ac:dyDescent="0.25">
      <c r="A1183" s="17">
        <v>44778</v>
      </c>
      <c r="B1183" s="1" t="s">
        <v>624</v>
      </c>
      <c r="C1183" s="1">
        <v>1</v>
      </c>
    </row>
    <row r="1184" spans="1:3" x14ac:dyDescent="0.25">
      <c r="A1184" s="17">
        <v>44778</v>
      </c>
      <c r="B1184" s="1" t="s">
        <v>624</v>
      </c>
      <c r="C1184" s="1">
        <v>1</v>
      </c>
    </row>
    <row r="1185" spans="1:3" x14ac:dyDescent="0.25">
      <c r="A1185" s="17">
        <v>44778</v>
      </c>
      <c r="B1185" s="1" t="s">
        <v>624</v>
      </c>
      <c r="C1185" s="1">
        <v>1</v>
      </c>
    </row>
    <row r="1186" spans="1:3" x14ac:dyDescent="0.25">
      <c r="A1186" s="17">
        <v>44778</v>
      </c>
      <c r="B1186" s="1" t="s">
        <v>247</v>
      </c>
      <c r="C1186" s="1">
        <v>1</v>
      </c>
    </row>
    <row r="1187" spans="1:3" x14ac:dyDescent="0.25">
      <c r="A1187" s="17">
        <v>44778</v>
      </c>
      <c r="B1187" s="1" t="s">
        <v>247</v>
      </c>
      <c r="C1187" s="1">
        <v>1</v>
      </c>
    </row>
    <row r="1188" spans="1:3" x14ac:dyDescent="0.25">
      <c r="A1188" s="17">
        <v>44778</v>
      </c>
      <c r="B1188" s="1" t="s">
        <v>986</v>
      </c>
      <c r="C1188" s="1">
        <v>1</v>
      </c>
    </row>
    <row r="1189" spans="1:3" x14ac:dyDescent="0.25">
      <c r="A1189" s="17">
        <v>44778</v>
      </c>
      <c r="B1189" s="1" t="s">
        <v>711</v>
      </c>
      <c r="C1189" s="1">
        <v>0.05</v>
      </c>
    </row>
    <row r="1190" spans="1:3" x14ac:dyDescent="0.25">
      <c r="A1190" s="17">
        <v>44778</v>
      </c>
      <c r="B1190" s="1" t="s">
        <v>91</v>
      </c>
      <c r="C1190" s="1">
        <v>1</v>
      </c>
    </row>
    <row r="1191" spans="1:3" x14ac:dyDescent="0.25">
      <c r="A1191" s="17">
        <v>44778</v>
      </c>
      <c r="B1191" s="1" t="s">
        <v>91</v>
      </c>
      <c r="C1191" s="1">
        <v>1</v>
      </c>
    </row>
    <row r="1192" spans="1:3" x14ac:dyDescent="0.25">
      <c r="A1192" s="17">
        <v>44778</v>
      </c>
      <c r="B1192" s="1" t="s">
        <v>91</v>
      </c>
      <c r="C1192" s="1">
        <v>1</v>
      </c>
    </row>
    <row r="1193" spans="1:3" x14ac:dyDescent="0.25">
      <c r="A1193" s="17">
        <v>44778</v>
      </c>
      <c r="B1193" s="1" t="s">
        <v>91</v>
      </c>
      <c r="C1193" s="1">
        <v>1</v>
      </c>
    </row>
    <row r="1194" spans="1:3" x14ac:dyDescent="0.25">
      <c r="A1194" s="17">
        <v>44778</v>
      </c>
      <c r="B1194" s="1" t="s">
        <v>91</v>
      </c>
      <c r="C1194" s="1">
        <v>1</v>
      </c>
    </row>
    <row r="1195" spans="1:3" x14ac:dyDescent="0.25">
      <c r="A1195" s="17">
        <v>44778</v>
      </c>
      <c r="B1195" s="1" t="s">
        <v>91</v>
      </c>
      <c r="C1195" s="1">
        <v>1</v>
      </c>
    </row>
    <row r="1196" spans="1:3" x14ac:dyDescent="0.25">
      <c r="A1196" s="17">
        <v>44778</v>
      </c>
      <c r="B1196" s="1" t="s">
        <v>91</v>
      </c>
      <c r="C1196" s="1">
        <v>1</v>
      </c>
    </row>
    <row r="1197" spans="1:3" x14ac:dyDescent="0.25">
      <c r="A1197" s="17">
        <v>44778</v>
      </c>
      <c r="B1197" s="1" t="s">
        <v>1072</v>
      </c>
      <c r="C1197" s="1">
        <v>1</v>
      </c>
    </row>
    <row r="1198" spans="1:3" x14ac:dyDescent="0.25">
      <c r="A1198" s="17">
        <v>44778</v>
      </c>
      <c r="B1198" s="1" t="s">
        <v>173</v>
      </c>
      <c r="C1198" s="1">
        <v>1</v>
      </c>
    </row>
    <row r="1199" spans="1:3" x14ac:dyDescent="0.25">
      <c r="A1199" s="17">
        <v>44778</v>
      </c>
      <c r="B1199" s="1" t="s">
        <v>173</v>
      </c>
      <c r="C1199" s="1">
        <v>1</v>
      </c>
    </row>
    <row r="1200" spans="1:3" x14ac:dyDescent="0.25">
      <c r="A1200" s="17">
        <v>44778</v>
      </c>
      <c r="B1200" s="1" t="s">
        <v>764</v>
      </c>
      <c r="C1200" s="1">
        <v>1</v>
      </c>
    </row>
    <row r="1201" spans="1:3" x14ac:dyDescent="0.25">
      <c r="A1201" s="17">
        <v>44778</v>
      </c>
      <c r="B1201" s="1" t="s">
        <v>465</v>
      </c>
      <c r="C1201" s="1">
        <v>1</v>
      </c>
    </row>
    <row r="1202" spans="1:3" x14ac:dyDescent="0.25">
      <c r="A1202" s="17">
        <v>44778</v>
      </c>
      <c r="B1202" s="1" t="s">
        <v>1074</v>
      </c>
      <c r="C1202" s="1">
        <v>1</v>
      </c>
    </row>
    <row r="1203" spans="1:3" x14ac:dyDescent="0.25">
      <c r="A1203" s="17">
        <v>44778</v>
      </c>
      <c r="B1203" s="1" t="s">
        <v>983</v>
      </c>
      <c r="C1203" s="1">
        <v>1</v>
      </c>
    </row>
    <row r="1204" spans="1:3" x14ac:dyDescent="0.25">
      <c r="A1204" s="17">
        <v>44778</v>
      </c>
      <c r="B1204" s="1" t="s">
        <v>555</v>
      </c>
      <c r="C1204" s="1">
        <v>1</v>
      </c>
    </row>
    <row r="1205" spans="1:3" x14ac:dyDescent="0.25">
      <c r="A1205" s="17">
        <v>44778</v>
      </c>
      <c r="B1205" s="1" t="s">
        <v>1076</v>
      </c>
      <c r="C1205" s="1">
        <v>1</v>
      </c>
    </row>
    <row r="1206" spans="1:3" x14ac:dyDescent="0.25">
      <c r="A1206" s="17">
        <v>44778</v>
      </c>
      <c r="B1206" s="1" t="s">
        <v>1077</v>
      </c>
      <c r="C1206" s="1">
        <v>1</v>
      </c>
    </row>
    <row r="1207" spans="1:3" x14ac:dyDescent="0.25">
      <c r="A1207" s="17">
        <v>44778</v>
      </c>
      <c r="B1207" s="1" t="s">
        <v>1077</v>
      </c>
      <c r="C1207" s="1">
        <v>1</v>
      </c>
    </row>
    <row r="1208" spans="1:3" x14ac:dyDescent="0.25">
      <c r="A1208" s="17">
        <v>44778</v>
      </c>
      <c r="B1208" s="1" t="s">
        <v>614</v>
      </c>
      <c r="C1208" s="1">
        <v>1</v>
      </c>
    </row>
    <row r="1209" spans="1:3" x14ac:dyDescent="0.25">
      <c r="A1209" s="17">
        <v>44778</v>
      </c>
      <c r="B1209" s="1" t="s">
        <v>1078</v>
      </c>
      <c r="C1209" s="1">
        <v>0.2</v>
      </c>
    </row>
    <row r="1210" spans="1:3" x14ac:dyDescent="0.25">
      <c r="A1210" s="17">
        <v>44778</v>
      </c>
      <c r="B1210" s="1" t="s">
        <v>1080</v>
      </c>
      <c r="C1210" s="1">
        <v>1</v>
      </c>
    </row>
    <row r="1211" spans="1:3" x14ac:dyDescent="0.25">
      <c r="A1211" s="17">
        <v>44778</v>
      </c>
      <c r="B1211" s="1" t="s">
        <v>800</v>
      </c>
      <c r="C1211" s="1">
        <v>0.12</v>
      </c>
    </row>
    <row r="1212" spans="1:3" x14ac:dyDescent="0.25">
      <c r="A1212" s="17">
        <v>44778</v>
      </c>
      <c r="B1212" s="1" t="s">
        <v>1081</v>
      </c>
      <c r="C1212" s="1">
        <v>1</v>
      </c>
    </row>
    <row r="1213" spans="1:3" x14ac:dyDescent="0.25">
      <c r="A1213" s="17">
        <v>44778</v>
      </c>
      <c r="B1213" s="1" t="s">
        <v>1082</v>
      </c>
      <c r="C1213" s="1">
        <v>0.33333332999999998</v>
      </c>
    </row>
    <row r="1214" spans="1:3" x14ac:dyDescent="0.25">
      <c r="A1214" s="17">
        <v>44778</v>
      </c>
      <c r="B1214" s="1" t="s">
        <v>238</v>
      </c>
      <c r="C1214" s="1">
        <v>1</v>
      </c>
    </row>
    <row r="1215" spans="1:3" x14ac:dyDescent="0.25">
      <c r="A1215" s="17">
        <v>44778</v>
      </c>
      <c r="B1215" s="1" t="s">
        <v>33</v>
      </c>
      <c r="C1215" s="1">
        <v>1</v>
      </c>
    </row>
    <row r="1216" spans="1:3" x14ac:dyDescent="0.25">
      <c r="A1216" s="17">
        <v>44778</v>
      </c>
      <c r="B1216" s="1" t="s">
        <v>1083</v>
      </c>
      <c r="C1216" s="1">
        <v>1</v>
      </c>
    </row>
    <row r="1217" spans="1:3" x14ac:dyDescent="0.25">
      <c r="A1217" s="17">
        <v>44778</v>
      </c>
      <c r="B1217" s="1" t="s">
        <v>1085</v>
      </c>
      <c r="C1217" s="1">
        <v>1</v>
      </c>
    </row>
    <row r="1218" spans="1:3" x14ac:dyDescent="0.25">
      <c r="A1218" s="17">
        <v>44778</v>
      </c>
      <c r="B1218" s="1" t="s">
        <v>941</v>
      </c>
      <c r="C1218" s="1">
        <v>1</v>
      </c>
    </row>
    <row r="1219" spans="1:3" x14ac:dyDescent="0.25">
      <c r="A1219" s="17">
        <v>44778</v>
      </c>
      <c r="B1219" s="1" t="s">
        <v>195</v>
      </c>
      <c r="C1219" s="1">
        <v>1</v>
      </c>
    </row>
    <row r="1220" spans="1:3" x14ac:dyDescent="0.25">
      <c r="A1220" s="17">
        <v>44778</v>
      </c>
      <c r="B1220" s="1" t="s">
        <v>1086</v>
      </c>
      <c r="C1220" s="1">
        <v>1</v>
      </c>
    </row>
    <row r="1221" spans="1:3" x14ac:dyDescent="0.25">
      <c r="A1221" s="17">
        <v>44778</v>
      </c>
      <c r="B1221" s="1" t="s">
        <v>1086</v>
      </c>
      <c r="C1221" s="1">
        <v>1</v>
      </c>
    </row>
    <row r="1222" spans="1:3" x14ac:dyDescent="0.25">
      <c r="A1222" s="17">
        <v>44778</v>
      </c>
      <c r="B1222" s="1" t="s">
        <v>228</v>
      </c>
      <c r="C1222" s="1">
        <v>1</v>
      </c>
    </row>
    <row r="1223" spans="1:3" x14ac:dyDescent="0.25">
      <c r="A1223" s="17">
        <v>44778</v>
      </c>
      <c r="B1223" s="1" t="s">
        <v>1088</v>
      </c>
      <c r="C1223" s="1">
        <v>1</v>
      </c>
    </row>
    <row r="1224" spans="1:3" x14ac:dyDescent="0.25">
      <c r="A1224" s="17">
        <v>44778</v>
      </c>
      <c r="B1224" s="1" t="s">
        <v>671</v>
      </c>
      <c r="C1224" s="1">
        <v>1</v>
      </c>
    </row>
    <row r="1225" spans="1:3" x14ac:dyDescent="0.25">
      <c r="A1225" s="17">
        <v>44778</v>
      </c>
      <c r="B1225" s="1" t="s">
        <v>671</v>
      </c>
      <c r="C1225" s="1">
        <v>1</v>
      </c>
    </row>
    <row r="1226" spans="1:3" x14ac:dyDescent="0.25">
      <c r="A1226" s="17">
        <v>44778</v>
      </c>
      <c r="B1226" s="1" t="s">
        <v>995</v>
      </c>
      <c r="C1226" s="1">
        <v>1</v>
      </c>
    </row>
    <row r="1227" spans="1:3" x14ac:dyDescent="0.25">
      <c r="A1227" s="17">
        <v>44778</v>
      </c>
      <c r="B1227" s="1" t="s">
        <v>424</v>
      </c>
      <c r="C1227" s="1">
        <v>1</v>
      </c>
    </row>
    <row r="1228" spans="1:3" x14ac:dyDescent="0.25">
      <c r="A1228" s="17">
        <v>44778</v>
      </c>
      <c r="B1228" s="1" t="s">
        <v>98</v>
      </c>
      <c r="C1228" s="1">
        <v>1</v>
      </c>
    </row>
    <row r="1229" spans="1:3" x14ac:dyDescent="0.25">
      <c r="A1229" s="17">
        <v>44778</v>
      </c>
      <c r="B1229" s="1" t="s">
        <v>1089</v>
      </c>
      <c r="C1229" s="1">
        <v>1</v>
      </c>
    </row>
    <row r="1230" spans="1:3" x14ac:dyDescent="0.25">
      <c r="A1230" s="17">
        <v>44778</v>
      </c>
      <c r="B1230" s="1" t="s">
        <v>389</v>
      </c>
      <c r="C1230" s="1">
        <v>1</v>
      </c>
    </row>
    <row r="1231" spans="1:3" x14ac:dyDescent="0.25">
      <c r="A1231" s="17">
        <v>44778</v>
      </c>
      <c r="B1231" s="1" t="s">
        <v>389</v>
      </c>
      <c r="C1231" s="1">
        <v>1</v>
      </c>
    </row>
    <row r="1232" spans="1:3" x14ac:dyDescent="0.25">
      <c r="A1232" s="17">
        <v>44778</v>
      </c>
      <c r="B1232" s="1" t="s">
        <v>375</v>
      </c>
      <c r="C1232" s="1">
        <v>16</v>
      </c>
    </row>
    <row r="1233" spans="1:3" x14ac:dyDescent="0.25">
      <c r="A1233" s="17">
        <v>44778</v>
      </c>
      <c r="B1233" s="1" t="s">
        <v>375</v>
      </c>
      <c r="C1233" s="1">
        <v>8</v>
      </c>
    </row>
    <row r="1234" spans="1:3" x14ac:dyDescent="0.25">
      <c r="A1234" s="17">
        <v>44778</v>
      </c>
      <c r="B1234" s="1" t="s">
        <v>375</v>
      </c>
      <c r="C1234" s="1">
        <v>4</v>
      </c>
    </row>
    <row r="1235" spans="1:3" x14ac:dyDescent="0.25">
      <c r="A1235" s="17">
        <v>44778</v>
      </c>
      <c r="B1235" s="1" t="s">
        <v>1043</v>
      </c>
      <c r="C1235" s="1">
        <v>4</v>
      </c>
    </row>
    <row r="1236" spans="1:3" x14ac:dyDescent="0.25">
      <c r="A1236" s="17">
        <v>44778</v>
      </c>
      <c r="B1236" s="1" t="s">
        <v>802</v>
      </c>
      <c r="C1236" s="1">
        <v>1</v>
      </c>
    </row>
    <row r="1237" spans="1:3" x14ac:dyDescent="0.25">
      <c r="A1237" s="17">
        <v>44778</v>
      </c>
      <c r="B1237" s="1" t="s">
        <v>703</v>
      </c>
      <c r="C1237" s="1">
        <v>1</v>
      </c>
    </row>
    <row r="1238" spans="1:3" x14ac:dyDescent="0.25">
      <c r="A1238" s="17">
        <v>44778</v>
      </c>
      <c r="B1238" s="1" t="s">
        <v>366</v>
      </c>
      <c r="C1238" s="1">
        <v>1</v>
      </c>
    </row>
    <row r="1239" spans="1:3" x14ac:dyDescent="0.25">
      <c r="A1239" s="17">
        <v>44778</v>
      </c>
      <c r="B1239" s="1" t="s">
        <v>1091</v>
      </c>
      <c r="C1239" s="1">
        <v>1</v>
      </c>
    </row>
    <row r="1240" spans="1:3" x14ac:dyDescent="0.25">
      <c r="A1240" s="17">
        <v>44778</v>
      </c>
      <c r="B1240" s="1" t="s">
        <v>1092</v>
      </c>
      <c r="C1240" s="1">
        <v>1</v>
      </c>
    </row>
    <row r="1241" spans="1:3" x14ac:dyDescent="0.25">
      <c r="A1241" s="17">
        <v>44778</v>
      </c>
      <c r="B1241" s="1" t="s">
        <v>1093</v>
      </c>
      <c r="C1241" s="1">
        <v>1</v>
      </c>
    </row>
    <row r="1242" spans="1:3" x14ac:dyDescent="0.25">
      <c r="A1242" s="17">
        <v>44778</v>
      </c>
      <c r="B1242" s="1" t="s">
        <v>415</v>
      </c>
      <c r="C1242" s="1">
        <v>1</v>
      </c>
    </row>
    <row r="1243" spans="1:3" x14ac:dyDescent="0.25">
      <c r="A1243" s="17">
        <v>44778</v>
      </c>
      <c r="B1243" s="1" t="s">
        <v>415</v>
      </c>
      <c r="C1243" s="1">
        <v>1</v>
      </c>
    </row>
    <row r="1244" spans="1:3" x14ac:dyDescent="0.25">
      <c r="A1244" s="17">
        <v>44778</v>
      </c>
      <c r="B1244" s="1" t="s">
        <v>415</v>
      </c>
      <c r="C1244" s="1">
        <v>1</v>
      </c>
    </row>
    <row r="1245" spans="1:3" x14ac:dyDescent="0.25">
      <c r="A1245" s="17">
        <v>44778</v>
      </c>
      <c r="B1245" s="1" t="s">
        <v>1094</v>
      </c>
      <c r="C1245" s="1">
        <v>1</v>
      </c>
    </row>
    <row r="1246" spans="1:3" x14ac:dyDescent="0.25">
      <c r="A1246" s="17">
        <v>44778</v>
      </c>
      <c r="B1246" s="1" t="s">
        <v>1094</v>
      </c>
      <c r="C1246" s="1">
        <v>1</v>
      </c>
    </row>
    <row r="1247" spans="1:3" x14ac:dyDescent="0.25">
      <c r="A1247" s="17">
        <v>44778</v>
      </c>
      <c r="B1247" s="1" t="s">
        <v>514</v>
      </c>
      <c r="C1247" s="1">
        <v>1</v>
      </c>
    </row>
    <row r="1248" spans="1:3" x14ac:dyDescent="0.25">
      <c r="A1248" s="17">
        <v>44778</v>
      </c>
      <c r="B1248" s="1" t="s">
        <v>514</v>
      </c>
      <c r="C1248" s="1">
        <v>1</v>
      </c>
    </row>
    <row r="1249" spans="1:3" x14ac:dyDescent="0.25">
      <c r="A1249" s="17">
        <v>44778</v>
      </c>
      <c r="B1249" s="1" t="s">
        <v>514</v>
      </c>
      <c r="C1249" s="1">
        <v>1</v>
      </c>
    </row>
    <row r="1250" spans="1:3" x14ac:dyDescent="0.25">
      <c r="A1250" s="17">
        <v>44778</v>
      </c>
      <c r="B1250" s="1" t="s">
        <v>818</v>
      </c>
      <c r="C1250" s="1">
        <v>1</v>
      </c>
    </row>
    <row r="1251" spans="1:3" x14ac:dyDescent="0.25">
      <c r="A1251" s="17">
        <v>44778</v>
      </c>
      <c r="B1251" s="1" t="s">
        <v>818</v>
      </c>
      <c r="C1251" s="1">
        <v>1</v>
      </c>
    </row>
    <row r="1252" spans="1:3" x14ac:dyDescent="0.25">
      <c r="A1252" s="17">
        <v>44778</v>
      </c>
      <c r="B1252" s="1" t="s">
        <v>140</v>
      </c>
      <c r="C1252" s="1">
        <v>1</v>
      </c>
    </row>
    <row r="1253" spans="1:3" x14ac:dyDescent="0.25">
      <c r="A1253" s="17">
        <v>44778</v>
      </c>
      <c r="B1253" s="1" t="s">
        <v>140</v>
      </c>
      <c r="C1253" s="1">
        <v>1</v>
      </c>
    </row>
    <row r="1254" spans="1:3" x14ac:dyDescent="0.25">
      <c r="A1254" s="17">
        <v>44778</v>
      </c>
      <c r="B1254" s="1" t="s">
        <v>140</v>
      </c>
      <c r="C1254" s="1">
        <v>1</v>
      </c>
    </row>
    <row r="1255" spans="1:3" x14ac:dyDescent="0.25">
      <c r="A1255" s="17">
        <v>44778</v>
      </c>
      <c r="B1255" s="1" t="s">
        <v>882</v>
      </c>
      <c r="C1255" s="1">
        <v>1</v>
      </c>
    </row>
    <row r="1256" spans="1:3" x14ac:dyDescent="0.25">
      <c r="A1256" s="17">
        <v>44778</v>
      </c>
      <c r="B1256" s="1" t="s">
        <v>882</v>
      </c>
      <c r="C1256" s="1">
        <v>1</v>
      </c>
    </row>
    <row r="1257" spans="1:3" x14ac:dyDescent="0.25">
      <c r="A1257" s="17">
        <v>44778</v>
      </c>
      <c r="B1257" s="1" t="s">
        <v>981</v>
      </c>
      <c r="C1257" s="1">
        <v>1</v>
      </c>
    </row>
    <row r="1258" spans="1:3" x14ac:dyDescent="0.25">
      <c r="A1258" s="17">
        <v>44778</v>
      </c>
      <c r="B1258" s="1" t="s">
        <v>643</v>
      </c>
      <c r="C1258" s="1">
        <v>1</v>
      </c>
    </row>
    <row r="1259" spans="1:3" x14ac:dyDescent="0.25">
      <c r="A1259" s="17">
        <v>44778</v>
      </c>
      <c r="B1259" s="1" t="s">
        <v>251</v>
      </c>
      <c r="C1259" s="1">
        <v>1</v>
      </c>
    </row>
    <row r="1260" spans="1:3" x14ac:dyDescent="0.25">
      <c r="A1260" s="17">
        <v>44778</v>
      </c>
      <c r="B1260" s="1" t="s">
        <v>1050</v>
      </c>
      <c r="C1260" s="1">
        <v>1</v>
      </c>
    </row>
    <row r="1261" spans="1:3" x14ac:dyDescent="0.25">
      <c r="A1261" s="17">
        <v>44778</v>
      </c>
      <c r="B1261" s="1" t="s">
        <v>1096</v>
      </c>
      <c r="C1261" s="1">
        <v>1</v>
      </c>
    </row>
    <row r="1262" spans="1:3" x14ac:dyDescent="0.25">
      <c r="A1262" s="17">
        <v>44778</v>
      </c>
      <c r="B1262" s="1" t="s">
        <v>257</v>
      </c>
      <c r="C1262" s="1">
        <v>1</v>
      </c>
    </row>
    <row r="1263" spans="1:3" x14ac:dyDescent="0.25">
      <c r="A1263" s="17">
        <v>44778</v>
      </c>
      <c r="B1263" s="1" t="s">
        <v>257</v>
      </c>
      <c r="C1263" s="1">
        <v>1</v>
      </c>
    </row>
    <row r="1264" spans="1:3" x14ac:dyDescent="0.25">
      <c r="A1264" s="17">
        <v>44778</v>
      </c>
      <c r="B1264" s="1" t="s">
        <v>1098</v>
      </c>
      <c r="C1264" s="1">
        <v>1</v>
      </c>
    </row>
    <row r="1265" spans="1:3" x14ac:dyDescent="0.25">
      <c r="A1265" s="17">
        <v>44778</v>
      </c>
      <c r="B1265" s="1" t="s">
        <v>1100</v>
      </c>
      <c r="C1265" s="1">
        <v>1</v>
      </c>
    </row>
    <row r="1266" spans="1:3" x14ac:dyDescent="0.25">
      <c r="A1266" s="17">
        <v>44778</v>
      </c>
      <c r="B1266" s="1" t="s">
        <v>366</v>
      </c>
      <c r="C1266" s="1">
        <v>1</v>
      </c>
    </row>
    <row r="1267" spans="1:3" x14ac:dyDescent="0.25">
      <c r="A1267" s="17">
        <v>44778</v>
      </c>
      <c r="B1267" s="1" t="s">
        <v>1102</v>
      </c>
      <c r="C1267" s="1">
        <v>1</v>
      </c>
    </row>
    <row r="1268" spans="1:3" x14ac:dyDescent="0.25">
      <c r="A1268" s="17">
        <v>44778</v>
      </c>
      <c r="B1268" s="1" t="s">
        <v>518</v>
      </c>
      <c r="C1268" s="1">
        <v>1</v>
      </c>
    </row>
    <row r="1269" spans="1:3" x14ac:dyDescent="0.25">
      <c r="A1269" s="17">
        <v>44778</v>
      </c>
      <c r="B1269" s="1" t="s">
        <v>1104</v>
      </c>
      <c r="C1269" s="1">
        <v>1</v>
      </c>
    </row>
    <row r="1270" spans="1:3" x14ac:dyDescent="0.25">
      <c r="A1270" s="17">
        <v>44778</v>
      </c>
      <c r="B1270" s="1" t="s">
        <v>1105</v>
      </c>
      <c r="C1270" s="1">
        <v>1</v>
      </c>
    </row>
    <row r="1271" spans="1:3" x14ac:dyDescent="0.25">
      <c r="A1271" s="17">
        <v>44778</v>
      </c>
      <c r="B1271" s="1" t="s">
        <v>505</v>
      </c>
      <c r="C1271" s="1">
        <v>1</v>
      </c>
    </row>
    <row r="1272" spans="1:3" x14ac:dyDescent="0.25">
      <c r="A1272" s="17">
        <v>44778</v>
      </c>
      <c r="B1272" s="1" t="s">
        <v>163</v>
      </c>
      <c r="C1272" s="1">
        <v>2</v>
      </c>
    </row>
    <row r="1273" spans="1:3" x14ac:dyDescent="0.25">
      <c r="A1273" s="17">
        <v>44778</v>
      </c>
      <c r="B1273" s="1" t="s">
        <v>831</v>
      </c>
      <c r="C1273" s="1">
        <v>1</v>
      </c>
    </row>
    <row r="1274" spans="1:3" x14ac:dyDescent="0.25">
      <c r="A1274" s="17">
        <v>44778</v>
      </c>
      <c r="B1274" s="1" t="s">
        <v>366</v>
      </c>
      <c r="C1274" s="1">
        <v>1</v>
      </c>
    </row>
    <row r="1275" spans="1:3" x14ac:dyDescent="0.25">
      <c r="A1275" s="17">
        <v>44778</v>
      </c>
      <c r="B1275" s="1" t="s">
        <v>1107</v>
      </c>
      <c r="C1275" s="1">
        <v>1</v>
      </c>
    </row>
    <row r="1276" spans="1:3" x14ac:dyDescent="0.25">
      <c r="A1276" s="17">
        <v>44778</v>
      </c>
      <c r="B1276" s="1" t="s">
        <v>1107</v>
      </c>
      <c r="C1276" s="1">
        <v>2</v>
      </c>
    </row>
    <row r="1277" spans="1:3" x14ac:dyDescent="0.25">
      <c r="A1277" s="17">
        <v>44778</v>
      </c>
      <c r="B1277" s="1" t="s">
        <v>1107</v>
      </c>
      <c r="C1277" s="1">
        <v>2</v>
      </c>
    </row>
    <row r="1278" spans="1:3" x14ac:dyDescent="0.25">
      <c r="A1278" s="17">
        <v>44778</v>
      </c>
      <c r="B1278" s="1" t="s">
        <v>1108</v>
      </c>
      <c r="C1278" s="1">
        <v>1</v>
      </c>
    </row>
    <row r="1279" spans="1:3" x14ac:dyDescent="0.25">
      <c r="A1279" s="17">
        <v>44778</v>
      </c>
      <c r="B1279" s="1" t="s">
        <v>1109</v>
      </c>
      <c r="C1279" s="1">
        <v>1</v>
      </c>
    </row>
    <row r="1280" spans="1:3" x14ac:dyDescent="0.25">
      <c r="A1280" s="17">
        <v>44778</v>
      </c>
      <c r="B1280" s="1" t="s">
        <v>309</v>
      </c>
      <c r="C1280" s="1">
        <v>1</v>
      </c>
    </row>
    <row r="1281" spans="1:3" x14ac:dyDescent="0.25">
      <c r="A1281" s="17">
        <v>44778</v>
      </c>
      <c r="B1281" s="1" t="s">
        <v>916</v>
      </c>
      <c r="C1281" s="1">
        <v>1</v>
      </c>
    </row>
    <row r="1282" spans="1:3" x14ac:dyDescent="0.25">
      <c r="A1282" s="17">
        <v>44778</v>
      </c>
      <c r="B1282" s="1" t="s">
        <v>1111</v>
      </c>
      <c r="C1282" s="1">
        <v>0.05</v>
      </c>
    </row>
    <row r="1283" spans="1:3" x14ac:dyDescent="0.25">
      <c r="A1283" s="17">
        <v>44778</v>
      </c>
      <c r="B1283" s="1" t="s">
        <v>976</v>
      </c>
      <c r="C1283" s="1">
        <v>1</v>
      </c>
    </row>
    <row r="1284" spans="1:3" x14ac:dyDescent="0.25">
      <c r="A1284" s="17">
        <v>44778</v>
      </c>
      <c r="B1284" s="1" t="s">
        <v>976</v>
      </c>
      <c r="C1284" s="1">
        <v>1</v>
      </c>
    </row>
    <row r="1285" spans="1:3" x14ac:dyDescent="0.25">
      <c r="A1285" s="17">
        <v>44778</v>
      </c>
      <c r="B1285" s="1" t="s">
        <v>1112</v>
      </c>
      <c r="C1285" s="1">
        <v>1</v>
      </c>
    </row>
    <row r="1286" spans="1:3" x14ac:dyDescent="0.25">
      <c r="A1286" s="17">
        <v>44778</v>
      </c>
      <c r="B1286" s="1" t="s">
        <v>526</v>
      </c>
      <c r="C1286" s="1">
        <v>1</v>
      </c>
    </row>
    <row r="1287" spans="1:3" x14ac:dyDescent="0.25">
      <c r="A1287" s="17">
        <v>44778</v>
      </c>
      <c r="B1287" s="1" t="s">
        <v>1114</v>
      </c>
      <c r="C1287" s="1">
        <v>1</v>
      </c>
    </row>
    <row r="1288" spans="1:3" x14ac:dyDescent="0.25">
      <c r="A1288" s="17">
        <v>44778</v>
      </c>
      <c r="B1288" s="1" t="s">
        <v>1116</v>
      </c>
      <c r="C1288" s="1">
        <v>1</v>
      </c>
    </row>
    <row r="1289" spans="1:3" x14ac:dyDescent="0.25">
      <c r="A1289" s="17">
        <v>44778</v>
      </c>
      <c r="B1289" s="1" t="s">
        <v>278</v>
      </c>
      <c r="C1289" s="1">
        <v>1</v>
      </c>
    </row>
    <row r="1290" spans="1:3" x14ac:dyDescent="0.25">
      <c r="A1290" s="17">
        <v>44778</v>
      </c>
      <c r="B1290" s="1" t="s">
        <v>1117</v>
      </c>
      <c r="C1290" s="1">
        <v>1</v>
      </c>
    </row>
    <row r="1291" spans="1:3" x14ac:dyDescent="0.25">
      <c r="A1291" s="17">
        <v>44778</v>
      </c>
      <c r="B1291" s="1" t="s">
        <v>1119</v>
      </c>
      <c r="C1291" s="1">
        <v>1</v>
      </c>
    </row>
    <row r="1292" spans="1:3" x14ac:dyDescent="0.25">
      <c r="A1292" s="17">
        <v>44778</v>
      </c>
      <c r="B1292" s="1" t="s">
        <v>591</v>
      </c>
      <c r="C1292" s="1">
        <v>1</v>
      </c>
    </row>
    <row r="1293" spans="1:3" x14ac:dyDescent="0.25">
      <c r="A1293" s="17">
        <v>44778</v>
      </c>
      <c r="B1293" s="1" t="s">
        <v>591</v>
      </c>
      <c r="C1293" s="1">
        <v>2</v>
      </c>
    </row>
    <row r="1294" spans="1:3" x14ac:dyDescent="0.25">
      <c r="A1294" s="17">
        <v>44778</v>
      </c>
      <c r="B1294" s="1" t="s">
        <v>591</v>
      </c>
      <c r="C1294" s="1">
        <v>1</v>
      </c>
    </row>
    <row r="1295" spans="1:3" x14ac:dyDescent="0.25">
      <c r="A1295" s="17">
        <v>44778</v>
      </c>
      <c r="B1295" s="1" t="s">
        <v>591</v>
      </c>
      <c r="C1295" s="1">
        <v>1</v>
      </c>
    </row>
    <row r="1296" spans="1:3" x14ac:dyDescent="0.25">
      <c r="A1296" s="17">
        <v>44778</v>
      </c>
      <c r="B1296" s="1" t="s">
        <v>234</v>
      </c>
      <c r="C1296" s="1">
        <v>1</v>
      </c>
    </row>
    <row r="1297" spans="1:3" x14ac:dyDescent="0.25">
      <c r="A1297" s="17">
        <v>44778</v>
      </c>
      <c r="B1297" s="1" t="s">
        <v>625</v>
      </c>
      <c r="C1297" s="1">
        <v>0.2</v>
      </c>
    </row>
    <row r="1298" spans="1:3" x14ac:dyDescent="0.25">
      <c r="A1298" s="17">
        <v>44778</v>
      </c>
      <c r="B1298" s="1" t="s">
        <v>625</v>
      </c>
      <c r="C1298" s="1">
        <v>0.2</v>
      </c>
    </row>
    <row r="1299" spans="1:3" x14ac:dyDescent="0.25">
      <c r="A1299" s="17">
        <v>44778</v>
      </c>
      <c r="B1299" s="1" t="s">
        <v>1120</v>
      </c>
      <c r="C1299" s="1">
        <v>1</v>
      </c>
    </row>
    <row r="1300" spans="1:3" x14ac:dyDescent="0.25">
      <c r="A1300" s="17">
        <v>44778</v>
      </c>
      <c r="B1300" s="1" t="s">
        <v>1010</v>
      </c>
      <c r="C1300" s="1">
        <v>1</v>
      </c>
    </row>
    <row r="1301" spans="1:3" x14ac:dyDescent="0.25">
      <c r="A1301" s="17">
        <v>44778</v>
      </c>
      <c r="B1301" s="1" t="s">
        <v>1010</v>
      </c>
      <c r="C1301" s="1">
        <v>1</v>
      </c>
    </row>
    <row r="1302" spans="1:3" x14ac:dyDescent="0.25">
      <c r="A1302" s="17">
        <v>44778</v>
      </c>
      <c r="B1302" s="1" t="s">
        <v>803</v>
      </c>
      <c r="C1302" s="1">
        <v>1</v>
      </c>
    </row>
    <row r="1303" spans="1:3" x14ac:dyDescent="0.25">
      <c r="A1303" s="17">
        <v>44778</v>
      </c>
      <c r="B1303" s="1" t="s">
        <v>1122</v>
      </c>
      <c r="C1303" s="1">
        <v>1</v>
      </c>
    </row>
    <row r="1304" spans="1:3" x14ac:dyDescent="0.25">
      <c r="A1304" s="17">
        <v>44778</v>
      </c>
      <c r="B1304" s="1" t="s">
        <v>1123</v>
      </c>
      <c r="C1304" s="1">
        <v>1</v>
      </c>
    </row>
    <row r="1305" spans="1:3" x14ac:dyDescent="0.25">
      <c r="A1305" s="17">
        <v>44778</v>
      </c>
      <c r="B1305" s="1" t="s">
        <v>1124</v>
      </c>
      <c r="C1305" s="1">
        <v>1</v>
      </c>
    </row>
    <row r="1306" spans="1:3" x14ac:dyDescent="0.25">
      <c r="A1306" s="17">
        <v>44778</v>
      </c>
      <c r="B1306" s="1" t="s">
        <v>1125</v>
      </c>
      <c r="C1306" s="1">
        <v>1</v>
      </c>
    </row>
    <row r="1307" spans="1:3" x14ac:dyDescent="0.25">
      <c r="A1307" s="17">
        <v>44778</v>
      </c>
      <c r="B1307" s="1" t="s">
        <v>461</v>
      </c>
      <c r="C1307" s="1">
        <v>1</v>
      </c>
    </row>
    <row r="1308" spans="1:3" x14ac:dyDescent="0.25">
      <c r="A1308" s="17">
        <v>44778</v>
      </c>
      <c r="B1308" s="1" t="s">
        <v>1126</v>
      </c>
      <c r="C1308" s="1">
        <v>1</v>
      </c>
    </row>
    <row r="1309" spans="1:3" x14ac:dyDescent="0.25">
      <c r="A1309" s="17">
        <v>44778</v>
      </c>
      <c r="B1309" s="1" t="s">
        <v>1128</v>
      </c>
      <c r="C1309" s="1">
        <v>1</v>
      </c>
    </row>
    <row r="1310" spans="1:3" x14ac:dyDescent="0.25">
      <c r="A1310" s="17">
        <v>44778</v>
      </c>
      <c r="B1310" s="1" t="s">
        <v>285</v>
      </c>
      <c r="C1310" s="1">
        <v>1</v>
      </c>
    </row>
    <row r="1311" spans="1:3" x14ac:dyDescent="0.25">
      <c r="A1311" s="17">
        <v>44778</v>
      </c>
      <c r="B1311" s="1" t="s">
        <v>1129</v>
      </c>
      <c r="C1311" s="1">
        <v>1</v>
      </c>
    </row>
    <row r="1312" spans="1:3" x14ac:dyDescent="0.25">
      <c r="A1312" s="17">
        <v>44778</v>
      </c>
      <c r="B1312" s="1" t="s">
        <v>1130</v>
      </c>
      <c r="C1312" s="1">
        <v>1</v>
      </c>
    </row>
    <row r="1313" spans="1:3" x14ac:dyDescent="0.25">
      <c r="A1313" s="17">
        <v>44778</v>
      </c>
      <c r="B1313" s="1" t="s">
        <v>899</v>
      </c>
      <c r="C1313" s="1">
        <v>1</v>
      </c>
    </row>
    <row r="1314" spans="1:3" x14ac:dyDescent="0.25">
      <c r="A1314" s="17">
        <v>44778</v>
      </c>
      <c r="B1314" s="1" t="s">
        <v>416</v>
      </c>
      <c r="C1314" s="1">
        <v>2</v>
      </c>
    </row>
    <row r="1315" spans="1:3" x14ac:dyDescent="0.25">
      <c r="A1315" s="17">
        <v>44778</v>
      </c>
      <c r="B1315" s="1" t="s">
        <v>416</v>
      </c>
      <c r="C1315" s="1">
        <v>12</v>
      </c>
    </row>
    <row r="1316" spans="1:3" x14ac:dyDescent="0.25">
      <c r="A1316" s="17">
        <v>44778</v>
      </c>
      <c r="B1316" s="1" t="s">
        <v>1133</v>
      </c>
      <c r="C1316" s="1">
        <v>1</v>
      </c>
    </row>
    <row r="1317" spans="1:3" x14ac:dyDescent="0.25">
      <c r="A1317" s="17">
        <v>44778</v>
      </c>
      <c r="B1317" s="1" t="s">
        <v>1134</v>
      </c>
      <c r="C1317" s="1">
        <v>1</v>
      </c>
    </row>
    <row r="1318" spans="1:3" x14ac:dyDescent="0.25">
      <c r="A1318" s="17">
        <v>44778</v>
      </c>
      <c r="B1318" s="1" t="s">
        <v>169</v>
      </c>
      <c r="C1318" s="1">
        <v>1</v>
      </c>
    </row>
    <row r="1319" spans="1:3" x14ac:dyDescent="0.25">
      <c r="A1319" s="17">
        <v>44778</v>
      </c>
      <c r="B1319" s="1" t="s">
        <v>169</v>
      </c>
      <c r="C1319" s="1">
        <v>1</v>
      </c>
    </row>
    <row r="1320" spans="1:3" x14ac:dyDescent="0.25">
      <c r="A1320" s="17">
        <v>44778</v>
      </c>
      <c r="B1320" s="1" t="s">
        <v>169</v>
      </c>
      <c r="C1320" s="1">
        <v>1</v>
      </c>
    </row>
    <row r="1321" spans="1:3" x14ac:dyDescent="0.25">
      <c r="A1321" s="17">
        <v>44778</v>
      </c>
      <c r="B1321" s="1" t="s">
        <v>1136</v>
      </c>
      <c r="C1321" s="1">
        <v>1</v>
      </c>
    </row>
    <row r="1322" spans="1:3" x14ac:dyDescent="0.25">
      <c r="A1322" s="17">
        <v>44778</v>
      </c>
      <c r="B1322" s="1" t="s">
        <v>1137</v>
      </c>
      <c r="C1322" s="1">
        <v>1</v>
      </c>
    </row>
    <row r="1323" spans="1:3" x14ac:dyDescent="0.25">
      <c r="A1323" s="17">
        <v>44778</v>
      </c>
      <c r="B1323" s="1" t="s">
        <v>1138</v>
      </c>
      <c r="C1323" s="1">
        <v>1</v>
      </c>
    </row>
    <row r="1324" spans="1:3" x14ac:dyDescent="0.25">
      <c r="A1324" s="17">
        <v>44778</v>
      </c>
      <c r="B1324" s="1" t="s">
        <v>1139</v>
      </c>
      <c r="C1324" s="1">
        <v>1</v>
      </c>
    </row>
    <row r="1325" spans="1:3" x14ac:dyDescent="0.25">
      <c r="A1325" s="17">
        <v>44778</v>
      </c>
      <c r="B1325" s="1" t="s">
        <v>248</v>
      </c>
      <c r="C1325" s="1">
        <v>1</v>
      </c>
    </row>
    <row r="1326" spans="1:3" x14ac:dyDescent="0.25">
      <c r="A1326" s="17">
        <v>44778</v>
      </c>
      <c r="B1326" s="1" t="s">
        <v>1140</v>
      </c>
      <c r="C1326" s="1">
        <v>1</v>
      </c>
    </row>
    <row r="1327" spans="1:3" x14ac:dyDescent="0.25">
      <c r="A1327" s="17">
        <v>44778</v>
      </c>
      <c r="B1327" s="1" t="s">
        <v>1140</v>
      </c>
      <c r="C1327" s="1">
        <v>2</v>
      </c>
    </row>
    <row r="1328" spans="1:3" x14ac:dyDescent="0.25">
      <c r="A1328" s="17">
        <v>44778</v>
      </c>
      <c r="B1328" s="1" t="s">
        <v>1140</v>
      </c>
      <c r="C1328" s="1">
        <v>10</v>
      </c>
    </row>
    <row r="1329" spans="1:3" x14ac:dyDescent="0.25">
      <c r="A1329" s="17">
        <v>44778</v>
      </c>
      <c r="B1329" s="1" t="s">
        <v>800</v>
      </c>
      <c r="C1329" s="1">
        <v>0.01</v>
      </c>
    </row>
    <row r="1330" spans="1:3" x14ac:dyDescent="0.25">
      <c r="A1330" s="17">
        <v>44778</v>
      </c>
      <c r="B1330" s="1" t="s">
        <v>1143</v>
      </c>
      <c r="C1330" s="1">
        <v>1</v>
      </c>
    </row>
    <row r="1331" spans="1:3" x14ac:dyDescent="0.25">
      <c r="A1331" s="17">
        <v>44778</v>
      </c>
      <c r="B1331" s="1" t="s">
        <v>1144</v>
      </c>
      <c r="C1331" s="1">
        <v>1</v>
      </c>
    </row>
    <row r="1332" spans="1:3" x14ac:dyDescent="0.25">
      <c r="A1332" s="17">
        <v>44778</v>
      </c>
      <c r="B1332" s="1" t="s">
        <v>1145</v>
      </c>
      <c r="C1332" s="1">
        <v>1</v>
      </c>
    </row>
    <row r="1333" spans="1:3" x14ac:dyDescent="0.25">
      <c r="A1333" s="17">
        <v>44778</v>
      </c>
      <c r="B1333" s="1" t="s">
        <v>229</v>
      </c>
      <c r="C1333" s="1">
        <v>1</v>
      </c>
    </row>
    <row r="1334" spans="1:3" x14ac:dyDescent="0.25">
      <c r="A1334" s="17">
        <v>44778</v>
      </c>
      <c r="B1334" s="1" t="s">
        <v>1146</v>
      </c>
      <c r="C1334" s="1">
        <v>1</v>
      </c>
    </row>
    <row r="1335" spans="1:3" x14ac:dyDescent="0.25">
      <c r="A1335" s="17">
        <v>44778</v>
      </c>
      <c r="B1335" s="1" t="s">
        <v>127</v>
      </c>
      <c r="C1335" s="1">
        <v>1</v>
      </c>
    </row>
    <row r="1336" spans="1:3" x14ac:dyDescent="0.25">
      <c r="A1336" s="17">
        <v>44778</v>
      </c>
      <c r="B1336" s="1" t="s">
        <v>232</v>
      </c>
      <c r="C1336" s="1">
        <v>1</v>
      </c>
    </row>
    <row r="1337" spans="1:3" x14ac:dyDescent="0.25">
      <c r="A1337" s="17">
        <v>44778</v>
      </c>
      <c r="B1337" s="1" t="s">
        <v>1147</v>
      </c>
      <c r="C1337" s="1">
        <v>1</v>
      </c>
    </row>
    <row r="1338" spans="1:3" x14ac:dyDescent="0.25">
      <c r="A1338" s="17">
        <v>44778</v>
      </c>
      <c r="B1338" s="1" t="s">
        <v>1148</v>
      </c>
      <c r="C1338" s="1">
        <v>1</v>
      </c>
    </row>
    <row r="1339" spans="1:3" x14ac:dyDescent="0.25">
      <c r="A1339" s="17">
        <v>44778</v>
      </c>
      <c r="B1339" s="1" t="s">
        <v>1150</v>
      </c>
      <c r="C1339" s="1">
        <v>1</v>
      </c>
    </row>
    <row r="1340" spans="1:3" x14ac:dyDescent="0.25">
      <c r="A1340" s="17">
        <v>44778</v>
      </c>
      <c r="B1340" s="1" t="s">
        <v>1150</v>
      </c>
      <c r="C1340" s="1">
        <v>1</v>
      </c>
    </row>
    <row r="1341" spans="1:3" x14ac:dyDescent="0.25">
      <c r="A1341" s="17">
        <v>44778</v>
      </c>
      <c r="B1341" s="1" t="s">
        <v>282</v>
      </c>
      <c r="C1341" s="1">
        <v>1</v>
      </c>
    </row>
    <row r="1342" spans="1:3" x14ac:dyDescent="0.25">
      <c r="A1342" s="17">
        <v>44778</v>
      </c>
      <c r="B1342" s="1" t="s">
        <v>1152</v>
      </c>
      <c r="C1342" s="1">
        <v>1</v>
      </c>
    </row>
    <row r="1343" spans="1:3" x14ac:dyDescent="0.25">
      <c r="A1343" s="17">
        <v>44778</v>
      </c>
      <c r="B1343" s="1" t="s">
        <v>381</v>
      </c>
      <c r="C1343" s="1">
        <v>1</v>
      </c>
    </row>
    <row r="1344" spans="1:3" x14ac:dyDescent="0.25">
      <c r="A1344" s="17">
        <v>44778</v>
      </c>
      <c r="B1344" s="1" t="s">
        <v>1153</v>
      </c>
      <c r="C1344" s="1">
        <v>1</v>
      </c>
    </row>
    <row r="1345" spans="1:3" x14ac:dyDescent="0.25">
      <c r="A1345" s="17">
        <v>44778</v>
      </c>
      <c r="B1345" s="1" t="s">
        <v>804</v>
      </c>
      <c r="C1345" s="1">
        <v>1</v>
      </c>
    </row>
    <row r="1346" spans="1:3" x14ac:dyDescent="0.25">
      <c r="A1346" s="17">
        <v>44778</v>
      </c>
      <c r="B1346" s="1" t="s">
        <v>1154</v>
      </c>
      <c r="C1346" s="1">
        <v>1</v>
      </c>
    </row>
    <row r="1347" spans="1:3" x14ac:dyDescent="0.25">
      <c r="A1347" s="17">
        <v>44778</v>
      </c>
      <c r="B1347" s="1" t="s">
        <v>1155</v>
      </c>
      <c r="C1347" s="1">
        <v>1</v>
      </c>
    </row>
    <row r="1348" spans="1:3" x14ac:dyDescent="0.25">
      <c r="A1348" s="17">
        <v>44778</v>
      </c>
      <c r="B1348" s="1" t="s">
        <v>408</v>
      </c>
      <c r="C1348" s="1">
        <v>1</v>
      </c>
    </row>
    <row r="1349" spans="1:3" x14ac:dyDescent="0.25">
      <c r="A1349" s="17">
        <v>44778</v>
      </c>
      <c r="B1349" s="1" t="s">
        <v>408</v>
      </c>
      <c r="C1349" s="1">
        <v>1</v>
      </c>
    </row>
    <row r="1350" spans="1:3" x14ac:dyDescent="0.25">
      <c r="A1350" s="17">
        <v>44778</v>
      </c>
      <c r="B1350" s="1" t="s">
        <v>1156</v>
      </c>
      <c r="C1350" s="1">
        <v>1</v>
      </c>
    </row>
    <row r="1351" spans="1:3" x14ac:dyDescent="0.25">
      <c r="A1351" s="17">
        <v>44778</v>
      </c>
      <c r="B1351" s="1" t="s">
        <v>228</v>
      </c>
      <c r="C1351" s="1">
        <v>1</v>
      </c>
    </row>
    <row r="1352" spans="1:3" x14ac:dyDescent="0.25">
      <c r="A1352" s="17">
        <v>44778</v>
      </c>
      <c r="B1352" s="1" t="s">
        <v>719</v>
      </c>
      <c r="C1352" s="1">
        <v>1</v>
      </c>
    </row>
    <row r="1353" spans="1:3" x14ac:dyDescent="0.25">
      <c r="A1353" s="17">
        <v>44778</v>
      </c>
      <c r="B1353" s="1" t="s">
        <v>1158</v>
      </c>
      <c r="C1353" s="1">
        <v>1</v>
      </c>
    </row>
    <row r="1354" spans="1:3" x14ac:dyDescent="0.25">
      <c r="A1354" s="17">
        <v>44778</v>
      </c>
      <c r="B1354" s="1" t="s">
        <v>1159</v>
      </c>
      <c r="C1354" s="1">
        <v>1</v>
      </c>
    </row>
    <row r="1355" spans="1:3" x14ac:dyDescent="0.25">
      <c r="A1355" s="17">
        <v>44778</v>
      </c>
      <c r="B1355" s="1" t="s">
        <v>135</v>
      </c>
      <c r="C1355" s="1">
        <v>1</v>
      </c>
    </row>
    <row r="1356" spans="1:3" x14ac:dyDescent="0.25">
      <c r="A1356" s="17">
        <v>44778</v>
      </c>
      <c r="B1356" s="1" t="s">
        <v>1161</v>
      </c>
      <c r="C1356" s="1">
        <v>1</v>
      </c>
    </row>
    <row r="1357" spans="1:3" x14ac:dyDescent="0.25">
      <c r="A1357" s="17">
        <v>44778</v>
      </c>
      <c r="B1357" s="1" t="s">
        <v>1009</v>
      </c>
      <c r="C1357" s="1">
        <v>1</v>
      </c>
    </row>
    <row r="1358" spans="1:3" x14ac:dyDescent="0.25">
      <c r="A1358" s="17">
        <v>44778</v>
      </c>
      <c r="B1358" s="1" t="s">
        <v>1163</v>
      </c>
      <c r="C1358" s="1">
        <v>1</v>
      </c>
    </row>
    <row r="1359" spans="1:3" x14ac:dyDescent="0.25">
      <c r="A1359" s="17">
        <v>44778</v>
      </c>
      <c r="B1359" s="1" t="s">
        <v>1163</v>
      </c>
      <c r="C1359" s="1">
        <v>1</v>
      </c>
    </row>
    <row r="1360" spans="1:3" x14ac:dyDescent="0.25">
      <c r="A1360" s="17">
        <v>44778</v>
      </c>
      <c r="B1360" s="1" t="s">
        <v>1164</v>
      </c>
      <c r="C1360" s="1">
        <v>1</v>
      </c>
    </row>
    <row r="1361" spans="1:3" x14ac:dyDescent="0.25">
      <c r="A1361" s="17">
        <v>44778</v>
      </c>
      <c r="B1361" s="1" t="s">
        <v>1166</v>
      </c>
      <c r="C1361" s="1">
        <v>1</v>
      </c>
    </row>
    <row r="1362" spans="1:3" x14ac:dyDescent="0.25">
      <c r="A1362" s="17">
        <v>44778</v>
      </c>
      <c r="B1362" s="1" t="s">
        <v>1167</v>
      </c>
      <c r="C1362" s="1">
        <v>1</v>
      </c>
    </row>
    <row r="1363" spans="1:3" x14ac:dyDescent="0.25">
      <c r="A1363" s="17">
        <v>44778</v>
      </c>
      <c r="B1363" s="1" t="s">
        <v>1168</v>
      </c>
      <c r="C1363" s="1">
        <v>1</v>
      </c>
    </row>
    <row r="1364" spans="1:3" x14ac:dyDescent="0.25">
      <c r="A1364" s="17">
        <v>44778</v>
      </c>
      <c r="B1364" s="1" t="s">
        <v>1170</v>
      </c>
      <c r="C1364" s="1">
        <v>1</v>
      </c>
    </row>
    <row r="1365" spans="1:3" x14ac:dyDescent="0.25">
      <c r="A1365" s="17">
        <v>44778</v>
      </c>
      <c r="B1365" s="1" t="s">
        <v>1172</v>
      </c>
      <c r="C1365" s="1">
        <v>1</v>
      </c>
    </row>
    <row r="1366" spans="1:3" x14ac:dyDescent="0.25">
      <c r="A1366" s="17">
        <v>44778</v>
      </c>
      <c r="B1366" s="1" t="s">
        <v>1172</v>
      </c>
      <c r="C1366" s="1">
        <v>1</v>
      </c>
    </row>
    <row r="1367" spans="1:3" x14ac:dyDescent="0.25">
      <c r="A1367" s="17">
        <v>44778</v>
      </c>
      <c r="B1367" s="1" t="s">
        <v>1174</v>
      </c>
      <c r="C1367" s="1">
        <v>1</v>
      </c>
    </row>
    <row r="1368" spans="1:3" x14ac:dyDescent="0.25">
      <c r="A1368" s="17">
        <v>44778</v>
      </c>
      <c r="B1368" s="1" t="s">
        <v>963</v>
      </c>
      <c r="C1368" s="1">
        <v>1</v>
      </c>
    </row>
    <row r="1369" spans="1:3" x14ac:dyDescent="0.25">
      <c r="A1369" s="17">
        <v>44778</v>
      </c>
      <c r="B1369" s="1" t="s">
        <v>550</v>
      </c>
      <c r="C1369" s="1">
        <v>1</v>
      </c>
    </row>
    <row r="1370" spans="1:3" x14ac:dyDescent="0.25">
      <c r="A1370" s="17">
        <v>44778</v>
      </c>
      <c r="B1370" s="1" t="s">
        <v>366</v>
      </c>
      <c r="C1370" s="1">
        <v>1</v>
      </c>
    </row>
    <row r="1371" spans="1:3" x14ac:dyDescent="0.25">
      <c r="A1371" s="17">
        <v>44778</v>
      </c>
      <c r="B1371" s="1" t="s">
        <v>1175</v>
      </c>
      <c r="C1371" s="1">
        <v>1</v>
      </c>
    </row>
    <row r="1372" spans="1:3" x14ac:dyDescent="0.25">
      <c r="A1372" s="17">
        <v>44778</v>
      </c>
      <c r="B1372" s="1" t="s">
        <v>331</v>
      </c>
      <c r="C1372" s="1">
        <v>1</v>
      </c>
    </row>
    <row r="1373" spans="1:3" x14ac:dyDescent="0.25">
      <c r="A1373" s="17">
        <v>44778</v>
      </c>
      <c r="B1373" s="1" t="s">
        <v>379</v>
      </c>
      <c r="C1373" s="1">
        <v>1</v>
      </c>
    </row>
    <row r="1374" spans="1:3" x14ac:dyDescent="0.25">
      <c r="A1374" s="17">
        <v>44778</v>
      </c>
      <c r="B1374" s="1" t="s">
        <v>1177</v>
      </c>
      <c r="C1374" s="1">
        <v>1</v>
      </c>
    </row>
    <row r="1375" spans="1:3" x14ac:dyDescent="0.25">
      <c r="A1375" s="17">
        <v>44778</v>
      </c>
      <c r="B1375" s="1" t="s">
        <v>816</v>
      </c>
      <c r="C1375" s="1">
        <v>1</v>
      </c>
    </row>
    <row r="1376" spans="1:3" x14ac:dyDescent="0.25">
      <c r="A1376" s="17">
        <v>44778</v>
      </c>
      <c r="B1376" s="1" t="s">
        <v>816</v>
      </c>
      <c r="C1376" s="1">
        <v>1</v>
      </c>
    </row>
    <row r="1377" spans="1:3" x14ac:dyDescent="0.25">
      <c r="A1377" s="17">
        <v>44778</v>
      </c>
      <c r="B1377" s="1" t="s">
        <v>1178</v>
      </c>
      <c r="C1377" s="1">
        <v>1</v>
      </c>
    </row>
    <row r="1378" spans="1:3" x14ac:dyDescent="0.25">
      <c r="A1378" s="17">
        <v>44778</v>
      </c>
      <c r="B1378" s="1" t="s">
        <v>265</v>
      </c>
      <c r="C1378" s="1">
        <v>1</v>
      </c>
    </row>
    <row r="1379" spans="1:3" x14ac:dyDescent="0.25">
      <c r="A1379" s="17">
        <v>44778</v>
      </c>
      <c r="B1379" s="1" t="s">
        <v>1179</v>
      </c>
      <c r="C1379" s="1">
        <v>0.2</v>
      </c>
    </row>
    <row r="1380" spans="1:3" x14ac:dyDescent="0.25">
      <c r="A1380" s="17">
        <v>44778</v>
      </c>
      <c r="B1380" s="1" t="s">
        <v>1181</v>
      </c>
      <c r="C1380" s="1">
        <v>1</v>
      </c>
    </row>
    <row r="1381" spans="1:3" x14ac:dyDescent="0.25">
      <c r="A1381" s="17">
        <v>44778</v>
      </c>
      <c r="B1381" s="1" t="s">
        <v>1182</v>
      </c>
      <c r="C1381" s="1">
        <v>1</v>
      </c>
    </row>
    <row r="1382" spans="1:3" x14ac:dyDescent="0.25">
      <c r="A1382" s="17">
        <v>44778</v>
      </c>
      <c r="B1382" s="1" t="s">
        <v>1098</v>
      </c>
      <c r="C1382" s="1">
        <v>1</v>
      </c>
    </row>
    <row r="1383" spans="1:3" x14ac:dyDescent="0.25">
      <c r="A1383" s="17">
        <v>44778</v>
      </c>
      <c r="B1383" s="1" t="s">
        <v>110</v>
      </c>
      <c r="C1383" s="1">
        <v>1</v>
      </c>
    </row>
    <row r="1384" spans="1:3" x14ac:dyDescent="0.25">
      <c r="A1384" s="17">
        <v>44778</v>
      </c>
      <c r="B1384" s="1" t="s">
        <v>1183</v>
      </c>
      <c r="C1384" s="1">
        <v>0.2</v>
      </c>
    </row>
    <row r="1385" spans="1:3" x14ac:dyDescent="0.25">
      <c r="A1385" s="17">
        <v>44778</v>
      </c>
      <c r="B1385" s="1" t="s">
        <v>1184</v>
      </c>
      <c r="C1385" s="1">
        <v>1</v>
      </c>
    </row>
    <row r="1386" spans="1:3" x14ac:dyDescent="0.25">
      <c r="A1386" s="17">
        <v>44778</v>
      </c>
      <c r="B1386" s="1" t="s">
        <v>424</v>
      </c>
      <c r="C1386" s="1">
        <v>1</v>
      </c>
    </row>
    <row r="1387" spans="1:3" x14ac:dyDescent="0.25">
      <c r="A1387" s="17">
        <v>44778</v>
      </c>
      <c r="B1387" s="1" t="s">
        <v>482</v>
      </c>
      <c r="C1387" s="1">
        <v>1</v>
      </c>
    </row>
    <row r="1388" spans="1:3" x14ac:dyDescent="0.25">
      <c r="A1388" s="17">
        <v>44778</v>
      </c>
      <c r="B1388" s="1" t="s">
        <v>78</v>
      </c>
      <c r="C1388" s="1">
        <v>1</v>
      </c>
    </row>
    <row r="1389" spans="1:3" x14ac:dyDescent="0.25">
      <c r="A1389" s="17">
        <v>44778</v>
      </c>
      <c r="B1389" s="1" t="s">
        <v>1185</v>
      </c>
      <c r="C1389" s="1">
        <v>1</v>
      </c>
    </row>
    <row r="1390" spans="1:3" x14ac:dyDescent="0.25">
      <c r="A1390" s="17">
        <v>44778</v>
      </c>
      <c r="B1390" s="1" t="s">
        <v>1185</v>
      </c>
      <c r="C1390" s="1">
        <v>1</v>
      </c>
    </row>
    <row r="1391" spans="1:3" x14ac:dyDescent="0.25">
      <c r="A1391" s="17">
        <v>44778</v>
      </c>
      <c r="B1391" s="1" t="s">
        <v>95</v>
      </c>
      <c r="C1391" s="1">
        <v>3</v>
      </c>
    </row>
    <row r="1392" spans="1:3" x14ac:dyDescent="0.25">
      <c r="A1392" s="17">
        <v>44778</v>
      </c>
      <c r="B1392" s="1" t="s">
        <v>169</v>
      </c>
      <c r="C1392" s="1">
        <v>1</v>
      </c>
    </row>
    <row r="1393" spans="1:3" x14ac:dyDescent="0.25">
      <c r="A1393" s="17">
        <v>44778</v>
      </c>
      <c r="B1393" s="1" t="s">
        <v>825</v>
      </c>
      <c r="C1393" s="1">
        <v>1</v>
      </c>
    </row>
    <row r="1394" spans="1:3" x14ac:dyDescent="0.25">
      <c r="A1394" s="17">
        <v>44778</v>
      </c>
      <c r="B1394" s="1" t="s">
        <v>1186</v>
      </c>
      <c r="C1394" s="1">
        <v>1</v>
      </c>
    </row>
    <row r="1395" spans="1:3" x14ac:dyDescent="0.25">
      <c r="A1395" s="17">
        <v>44778</v>
      </c>
      <c r="B1395" s="1" t="s">
        <v>1188</v>
      </c>
      <c r="C1395" s="1">
        <v>1</v>
      </c>
    </row>
    <row r="1396" spans="1:3" x14ac:dyDescent="0.25">
      <c r="A1396" s="17">
        <v>44778</v>
      </c>
      <c r="B1396" s="1" t="s">
        <v>842</v>
      </c>
      <c r="C1396" s="1">
        <v>1</v>
      </c>
    </row>
    <row r="1397" spans="1:3" x14ac:dyDescent="0.25">
      <c r="A1397" s="17">
        <v>44778</v>
      </c>
      <c r="B1397" s="1" t="s">
        <v>1190</v>
      </c>
      <c r="C1397" s="1">
        <v>1</v>
      </c>
    </row>
    <row r="1398" spans="1:3" x14ac:dyDescent="0.25">
      <c r="A1398" s="17">
        <v>44778</v>
      </c>
      <c r="B1398" s="1" t="s">
        <v>251</v>
      </c>
      <c r="C1398" s="1">
        <v>1</v>
      </c>
    </row>
    <row r="1399" spans="1:3" x14ac:dyDescent="0.25">
      <c r="A1399" s="17">
        <v>44778</v>
      </c>
      <c r="B1399" s="1" t="s">
        <v>251</v>
      </c>
      <c r="C1399" s="1">
        <v>1</v>
      </c>
    </row>
    <row r="1400" spans="1:3" x14ac:dyDescent="0.25">
      <c r="A1400" s="17">
        <v>44778</v>
      </c>
      <c r="B1400" s="1" t="s">
        <v>1191</v>
      </c>
      <c r="C1400" s="1">
        <v>1</v>
      </c>
    </row>
    <row r="1401" spans="1:3" x14ac:dyDescent="0.25">
      <c r="A1401" s="17">
        <v>44778</v>
      </c>
      <c r="B1401" s="1" t="s">
        <v>1192</v>
      </c>
      <c r="C1401" s="1">
        <v>1</v>
      </c>
    </row>
    <row r="1402" spans="1:3" x14ac:dyDescent="0.25">
      <c r="A1402" s="17">
        <v>44778</v>
      </c>
      <c r="B1402" s="1" t="s">
        <v>1193</v>
      </c>
      <c r="C1402" s="1">
        <v>1</v>
      </c>
    </row>
    <row r="1403" spans="1:3" x14ac:dyDescent="0.25">
      <c r="A1403" s="17">
        <v>44778</v>
      </c>
      <c r="B1403" s="1" t="s">
        <v>1194</v>
      </c>
      <c r="C1403" s="1">
        <v>1</v>
      </c>
    </row>
    <row r="1404" spans="1:3" x14ac:dyDescent="0.25">
      <c r="A1404" s="17">
        <v>44778</v>
      </c>
      <c r="B1404" s="1" t="s">
        <v>393</v>
      </c>
      <c r="C1404" s="1">
        <v>1</v>
      </c>
    </row>
    <row r="1405" spans="1:3" x14ac:dyDescent="0.25">
      <c r="A1405" s="17">
        <v>44778</v>
      </c>
      <c r="B1405" s="1" t="s">
        <v>854</v>
      </c>
      <c r="C1405" s="1">
        <v>1</v>
      </c>
    </row>
    <row r="1406" spans="1:3" x14ac:dyDescent="0.25">
      <c r="A1406" s="17">
        <v>44778</v>
      </c>
      <c r="B1406" s="1" t="s">
        <v>1195</v>
      </c>
      <c r="C1406" s="1">
        <v>1</v>
      </c>
    </row>
    <row r="1407" spans="1:3" x14ac:dyDescent="0.25">
      <c r="A1407" s="17">
        <v>44778</v>
      </c>
      <c r="B1407" s="1" t="s">
        <v>863</v>
      </c>
      <c r="C1407" s="1">
        <v>1</v>
      </c>
    </row>
    <row r="1408" spans="1:3" x14ac:dyDescent="0.25">
      <c r="A1408" s="17">
        <v>44778</v>
      </c>
      <c r="B1408" s="1" t="s">
        <v>863</v>
      </c>
      <c r="C1408" s="1">
        <v>1</v>
      </c>
    </row>
    <row r="1409" spans="1:3" x14ac:dyDescent="0.25">
      <c r="A1409" s="17">
        <v>44778</v>
      </c>
      <c r="B1409" s="1" t="s">
        <v>87</v>
      </c>
      <c r="C1409" s="1">
        <v>1</v>
      </c>
    </row>
    <row r="1410" spans="1:3" x14ac:dyDescent="0.25">
      <c r="A1410" s="17">
        <v>44778</v>
      </c>
      <c r="B1410" s="1" t="s">
        <v>267</v>
      </c>
      <c r="C1410" s="1">
        <v>1</v>
      </c>
    </row>
    <row r="1411" spans="1:3" x14ac:dyDescent="0.25">
      <c r="A1411" s="17">
        <v>44778</v>
      </c>
      <c r="B1411" s="1" t="s">
        <v>267</v>
      </c>
      <c r="C1411" s="1">
        <v>1</v>
      </c>
    </row>
    <row r="1412" spans="1:3" x14ac:dyDescent="0.25">
      <c r="A1412" s="17">
        <v>44778</v>
      </c>
      <c r="B1412" s="1" t="s">
        <v>118</v>
      </c>
      <c r="C1412" s="1">
        <v>1</v>
      </c>
    </row>
    <row r="1413" spans="1:3" x14ac:dyDescent="0.25">
      <c r="A1413" s="17">
        <v>44778</v>
      </c>
      <c r="B1413" s="1" t="s">
        <v>301</v>
      </c>
      <c r="C1413" s="1">
        <v>2</v>
      </c>
    </row>
    <row r="1414" spans="1:3" x14ac:dyDescent="0.25">
      <c r="A1414" s="17">
        <v>44778</v>
      </c>
      <c r="B1414" s="1" t="s">
        <v>745</v>
      </c>
      <c r="C1414" s="1">
        <v>1</v>
      </c>
    </row>
    <row r="1415" spans="1:3" x14ac:dyDescent="0.25">
      <c r="A1415" s="17">
        <v>44778</v>
      </c>
      <c r="B1415" s="1" t="s">
        <v>872</v>
      </c>
      <c r="C1415" s="1">
        <v>1</v>
      </c>
    </row>
    <row r="1416" spans="1:3" x14ac:dyDescent="0.25">
      <c r="A1416" s="17">
        <v>44778</v>
      </c>
      <c r="B1416" s="1" t="s">
        <v>1196</v>
      </c>
      <c r="C1416" s="1">
        <v>1</v>
      </c>
    </row>
    <row r="1417" spans="1:3" x14ac:dyDescent="0.25">
      <c r="A1417" s="17">
        <v>44778</v>
      </c>
      <c r="B1417" s="1" t="s">
        <v>1198</v>
      </c>
      <c r="C1417" s="1">
        <v>1</v>
      </c>
    </row>
    <row r="1418" spans="1:3" x14ac:dyDescent="0.25">
      <c r="A1418" s="17">
        <v>44778</v>
      </c>
      <c r="B1418" s="1" t="s">
        <v>672</v>
      </c>
      <c r="C1418" s="1">
        <v>1</v>
      </c>
    </row>
    <row r="1419" spans="1:3" x14ac:dyDescent="0.25">
      <c r="A1419" s="17">
        <v>44778</v>
      </c>
      <c r="B1419" s="1" t="s">
        <v>44</v>
      </c>
      <c r="C1419" s="1">
        <v>1</v>
      </c>
    </row>
    <row r="1420" spans="1:3" x14ac:dyDescent="0.25">
      <c r="A1420" s="17">
        <v>44778</v>
      </c>
      <c r="B1420" s="1" t="s">
        <v>1200</v>
      </c>
      <c r="C1420" s="1">
        <v>1</v>
      </c>
    </row>
    <row r="1421" spans="1:3" x14ac:dyDescent="0.25">
      <c r="A1421" s="17">
        <v>44778</v>
      </c>
      <c r="B1421" s="1" t="s">
        <v>361</v>
      </c>
      <c r="C1421" s="1">
        <v>1</v>
      </c>
    </row>
    <row r="1422" spans="1:3" x14ac:dyDescent="0.25">
      <c r="A1422" s="17">
        <v>44778</v>
      </c>
      <c r="B1422" s="1" t="s">
        <v>1201</v>
      </c>
      <c r="C1422" s="1">
        <v>1</v>
      </c>
    </row>
    <row r="1423" spans="1:3" x14ac:dyDescent="0.25">
      <c r="A1423" s="17">
        <v>44778</v>
      </c>
      <c r="B1423" s="1" t="s">
        <v>28</v>
      </c>
      <c r="C1423" s="1">
        <v>1</v>
      </c>
    </row>
    <row r="1424" spans="1:3" x14ac:dyDescent="0.25">
      <c r="A1424" s="17">
        <v>44778</v>
      </c>
      <c r="B1424" s="1" t="s">
        <v>1203</v>
      </c>
      <c r="C1424" s="1">
        <v>1</v>
      </c>
    </row>
    <row r="1425" spans="1:3" x14ac:dyDescent="0.25">
      <c r="A1425" s="17">
        <v>44778</v>
      </c>
      <c r="B1425" s="1" t="s">
        <v>1205</v>
      </c>
      <c r="C1425" s="1">
        <v>1</v>
      </c>
    </row>
    <row r="1426" spans="1:3" x14ac:dyDescent="0.25">
      <c r="A1426" s="17">
        <v>44778</v>
      </c>
      <c r="B1426" s="1" t="s">
        <v>681</v>
      </c>
      <c r="C1426" s="1">
        <v>1</v>
      </c>
    </row>
    <row r="1427" spans="1:3" x14ac:dyDescent="0.25">
      <c r="A1427" s="17">
        <v>44778</v>
      </c>
      <c r="B1427" s="1" t="s">
        <v>1206</v>
      </c>
      <c r="C1427" s="1">
        <v>1</v>
      </c>
    </row>
    <row r="1428" spans="1:3" x14ac:dyDescent="0.25">
      <c r="A1428" s="17">
        <v>44778</v>
      </c>
      <c r="B1428" s="1" t="s">
        <v>1208</v>
      </c>
      <c r="C1428" s="1">
        <v>1</v>
      </c>
    </row>
    <row r="1429" spans="1:3" x14ac:dyDescent="0.25">
      <c r="A1429" s="17">
        <v>44778</v>
      </c>
      <c r="B1429" s="1" t="s">
        <v>1209</v>
      </c>
      <c r="C1429" s="1">
        <v>1</v>
      </c>
    </row>
    <row r="1430" spans="1:3" x14ac:dyDescent="0.25">
      <c r="A1430" s="17">
        <v>44778</v>
      </c>
      <c r="B1430" s="1" t="s">
        <v>1001</v>
      </c>
      <c r="C1430" s="1">
        <v>1</v>
      </c>
    </row>
    <row r="1431" spans="1:3" x14ac:dyDescent="0.25">
      <c r="A1431" s="17">
        <v>44778</v>
      </c>
      <c r="B1431" s="1" t="s">
        <v>991</v>
      </c>
      <c r="C1431" s="1">
        <v>1</v>
      </c>
    </row>
    <row r="1432" spans="1:3" x14ac:dyDescent="0.25">
      <c r="A1432" s="17">
        <v>44778</v>
      </c>
      <c r="B1432" s="1" t="s">
        <v>1210</v>
      </c>
      <c r="C1432" s="1">
        <v>1</v>
      </c>
    </row>
    <row r="1433" spans="1:3" x14ac:dyDescent="0.25">
      <c r="A1433" s="17">
        <v>44778</v>
      </c>
      <c r="B1433" s="1" t="s">
        <v>567</v>
      </c>
      <c r="C1433" s="1">
        <v>1</v>
      </c>
    </row>
    <row r="1434" spans="1:3" x14ac:dyDescent="0.25">
      <c r="A1434" s="17">
        <v>44778</v>
      </c>
      <c r="B1434" s="1" t="s">
        <v>1212</v>
      </c>
      <c r="C1434" s="1">
        <v>1</v>
      </c>
    </row>
    <row r="1435" spans="1:3" x14ac:dyDescent="0.25">
      <c r="A1435" s="17">
        <v>44778</v>
      </c>
      <c r="B1435" s="1" t="s">
        <v>155</v>
      </c>
      <c r="C1435" s="1">
        <v>1</v>
      </c>
    </row>
    <row r="1436" spans="1:3" x14ac:dyDescent="0.25">
      <c r="A1436" s="17">
        <v>44778</v>
      </c>
      <c r="B1436" s="1" t="s">
        <v>1182</v>
      </c>
      <c r="C1436" s="1">
        <v>1</v>
      </c>
    </row>
    <row r="1437" spans="1:3" x14ac:dyDescent="0.25">
      <c r="A1437" s="17">
        <v>44778</v>
      </c>
      <c r="B1437" s="1" t="s">
        <v>1213</v>
      </c>
      <c r="C1437" s="1">
        <v>1</v>
      </c>
    </row>
    <row r="1438" spans="1:3" x14ac:dyDescent="0.25">
      <c r="A1438" s="17">
        <v>44778</v>
      </c>
      <c r="B1438" s="1" t="s">
        <v>1214</v>
      </c>
      <c r="C1438" s="1">
        <v>1</v>
      </c>
    </row>
    <row r="1439" spans="1:3" x14ac:dyDescent="0.25">
      <c r="A1439" s="17">
        <v>44778</v>
      </c>
      <c r="B1439" s="1" t="s">
        <v>625</v>
      </c>
      <c r="C1439" s="1">
        <v>0.2</v>
      </c>
    </row>
    <row r="1440" spans="1:3" x14ac:dyDescent="0.25">
      <c r="A1440" s="17">
        <v>44778</v>
      </c>
      <c r="B1440" s="1" t="s">
        <v>519</v>
      </c>
      <c r="C1440" s="1">
        <v>1</v>
      </c>
    </row>
    <row r="1441" spans="1:3" x14ac:dyDescent="0.25">
      <c r="A1441" s="17">
        <v>44778</v>
      </c>
      <c r="B1441" s="1" t="s">
        <v>1215</v>
      </c>
      <c r="C1441" s="1">
        <v>0.33333332999999998</v>
      </c>
    </row>
    <row r="1442" spans="1:3" x14ac:dyDescent="0.25">
      <c r="A1442" s="17">
        <v>44778</v>
      </c>
      <c r="B1442" s="1" t="s">
        <v>1217</v>
      </c>
      <c r="C1442" s="1">
        <v>0.33333333999999998</v>
      </c>
    </row>
    <row r="1443" spans="1:3" x14ac:dyDescent="0.25">
      <c r="A1443" s="17">
        <v>44778</v>
      </c>
      <c r="B1443" s="1" t="s">
        <v>1219</v>
      </c>
      <c r="C1443" s="1">
        <v>1</v>
      </c>
    </row>
    <row r="1444" spans="1:3" x14ac:dyDescent="0.25">
      <c r="A1444" s="17">
        <v>44778</v>
      </c>
      <c r="B1444" s="1" t="s">
        <v>355</v>
      </c>
      <c r="C1444" s="1">
        <v>1</v>
      </c>
    </row>
    <row r="1445" spans="1:3" x14ac:dyDescent="0.25">
      <c r="A1445" s="17">
        <v>44778</v>
      </c>
      <c r="B1445" s="1" t="s">
        <v>1220</v>
      </c>
      <c r="C1445" s="1">
        <v>1</v>
      </c>
    </row>
    <row r="1446" spans="1:3" x14ac:dyDescent="0.25">
      <c r="A1446" s="17">
        <v>44778</v>
      </c>
      <c r="B1446" s="1" t="s">
        <v>986</v>
      </c>
      <c r="C1446" s="1">
        <v>1</v>
      </c>
    </row>
    <row r="1447" spans="1:3" x14ac:dyDescent="0.25">
      <c r="A1447" s="17">
        <v>44778</v>
      </c>
      <c r="B1447" s="1" t="s">
        <v>1222</v>
      </c>
      <c r="C1447" s="1">
        <v>1</v>
      </c>
    </row>
    <row r="1448" spans="1:3" x14ac:dyDescent="0.25">
      <c r="A1448" s="17">
        <v>44778</v>
      </c>
      <c r="B1448" s="1" t="s">
        <v>1224</v>
      </c>
      <c r="C1448" s="1">
        <v>4</v>
      </c>
    </row>
    <row r="1449" spans="1:3" x14ac:dyDescent="0.25">
      <c r="A1449" s="17">
        <v>44778</v>
      </c>
      <c r="B1449" s="1" t="s">
        <v>1226</v>
      </c>
      <c r="C1449" s="1">
        <v>1</v>
      </c>
    </row>
  </sheetData>
  <autoFilter ref="O3:Q806" xr:uid="{5ADA9D18-DD32-4B5D-9507-30845778C3BB}">
    <sortState xmlns:xlrd2="http://schemas.microsoft.com/office/spreadsheetml/2017/richdata2" ref="O4:Q806">
      <sortCondition descending="1" ref="Q3:Q80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9344-2D51-4E3F-A328-0B608635D349}">
  <dimension ref="A3:E806"/>
  <sheetViews>
    <sheetView workbookViewId="0">
      <selection activeCell="E7" sqref="E7"/>
    </sheetView>
  </sheetViews>
  <sheetFormatPr defaultRowHeight="13.2" x14ac:dyDescent="0.25"/>
  <cols>
    <col min="1" max="1" width="97.77734375" customWidth="1"/>
    <col min="2" max="2" width="13" customWidth="1"/>
    <col min="3" max="3" width="16.109375" customWidth="1"/>
    <col min="4" max="4" width="16.33203125" customWidth="1"/>
    <col min="7" max="7" width="19.33203125" customWidth="1"/>
  </cols>
  <sheetData>
    <row r="3" spans="1:5" x14ac:dyDescent="0.25">
      <c r="A3" t="s">
        <v>1235</v>
      </c>
      <c r="B3" s="13" t="s">
        <v>1252</v>
      </c>
      <c r="C3" s="13" t="s">
        <v>1251</v>
      </c>
      <c r="D3" s="13" t="s">
        <v>1253</v>
      </c>
      <c r="E3" s="13" t="s">
        <v>1250</v>
      </c>
    </row>
    <row r="4" spans="1:5" x14ac:dyDescent="0.25">
      <c r="A4" t="s">
        <v>375</v>
      </c>
      <c r="B4" t="s">
        <v>1244</v>
      </c>
      <c r="C4" t="s">
        <v>1245</v>
      </c>
      <c r="D4" t="s">
        <v>1244</v>
      </c>
      <c r="E4" t="str">
        <f>B4&amp;C4&amp;D4</f>
        <v>ABA</v>
      </c>
    </row>
    <row r="5" spans="1:5" x14ac:dyDescent="0.25">
      <c r="A5" t="s">
        <v>416</v>
      </c>
      <c r="B5" t="s">
        <v>1244</v>
      </c>
      <c r="C5" t="s">
        <v>1245</v>
      </c>
      <c r="D5" t="s">
        <v>1244</v>
      </c>
      <c r="E5" t="str">
        <f t="shared" ref="E5:E68" si="0">B5&amp;C5&amp;D5</f>
        <v>ABA</v>
      </c>
    </row>
    <row r="6" spans="1:5" x14ac:dyDescent="0.25">
      <c r="A6" t="s">
        <v>91</v>
      </c>
      <c r="B6" t="s">
        <v>1244</v>
      </c>
      <c r="C6" t="s">
        <v>1246</v>
      </c>
      <c r="D6" t="s">
        <v>1244</v>
      </c>
      <c r="E6" t="str">
        <f t="shared" si="0"/>
        <v>ACA</v>
      </c>
    </row>
    <row r="7" spans="1:5" x14ac:dyDescent="0.25">
      <c r="A7" t="s">
        <v>415</v>
      </c>
      <c r="B7" t="s">
        <v>1244</v>
      </c>
      <c r="C7" t="s">
        <v>1244</v>
      </c>
      <c r="D7" t="s">
        <v>1244</v>
      </c>
      <c r="E7" t="str">
        <f t="shared" si="0"/>
        <v>AAA</v>
      </c>
    </row>
    <row r="8" spans="1:5" x14ac:dyDescent="0.25">
      <c r="A8" t="s">
        <v>583</v>
      </c>
      <c r="B8" t="s">
        <v>1244</v>
      </c>
      <c r="C8" t="s">
        <v>1245</v>
      </c>
      <c r="D8" t="s">
        <v>1244</v>
      </c>
      <c r="E8" t="str">
        <f t="shared" si="0"/>
        <v>ABA</v>
      </c>
    </row>
    <row r="9" spans="1:5" x14ac:dyDescent="0.25">
      <c r="A9" t="s">
        <v>163</v>
      </c>
      <c r="B9" t="s">
        <v>1244</v>
      </c>
      <c r="C9" t="s">
        <v>1245</v>
      </c>
      <c r="D9" t="s">
        <v>1244</v>
      </c>
      <c r="E9" t="str">
        <f t="shared" si="0"/>
        <v>ABA</v>
      </c>
    </row>
    <row r="10" spans="1:5" x14ac:dyDescent="0.25">
      <c r="A10" t="s">
        <v>331</v>
      </c>
      <c r="B10" t="s">
        <v>1244</v>
      </c>
      <c r="C10" t="s">
        <v>1244</v>
      </c>
      <c r="D10" t="s">
        <v>1244</v>
      </c>
      <c r="E10" t="str">
        <f t="shared" si="0"/>
        <v>AAA</v>
      </c>
    </row>
    <row r="11" spans="1:5" x14ac:dyDescent="0.25">
      <c r="A11" t="s">
        <v>1043</v>
      </c>
      <c r="B11" t="s">
        <v>1244</v>
      </c>
      <c r="C11" t="s">
        <v>1246</v>
      </c>
      <c r="D11" t="s">
        <v>1244</v>
      </c>
      <c r="E11" t="str">
        <f t="shared" si="0"/>
        <v>ACA</v>
      </c>
    </row>
    <row r="12" spans="1:5" x14ac:dyDescent="0.25">
      <c r="A12" t="s">
        <v>448</v>
      </c>
      <c r="B12" t="s">
        <v>1244</v>
      </c>
      <c r="C12" t="s">
        <v>1246</v>
      </c>
      <c r="D12" t="s">
        <v>1244</v>
      </c>
      <c r="E12" t="str">
        <f t="shared" si="0"/>
        <v>ACA</v>
      </c>
    </row>
    <row r="13" spans="1:5" x14ac:dyDescent="0.25">
      <c r="A13" t="s">
        <v>236</v>
      </c>
      <c r="B13" t="s">
        <v>1244</v>
      </c>
      <c r="C13" t="s">
        <v>1244</v>
      </c>
      <c r="D13" t="s">
        <v>1244</v>
      </c>
      <c r="E13" t="str">
        <f t="shared" si="0"/>
        <v>AAA</v>
      </c>
    </row>
    <row r="14" spans="1:5" x14ac:dyDescent="0.25">
      <c r="A14" t="s">
        <v>591</v>
      </c>
      <c r="B14" t="s">
        <v>1244</v>
      </c>
      <c r="C14" t="s">
        <v>1245</v>
      </c>
      <c r="D14" t="s">
        <v>1244</v>
      </c>
      <c r="E14" t="str">
        <f t="shared" si="0"/>
        <v>ABA</v>
      </c>
    </row>
    <row r="15" spans="1:5" x14ac:dyDescent="0.25">
      <c r="A15" t="s">
        <v>1140</v>
      </c>
      <c r="B15" t="s">
        <v>1244</v>
      </c>
      <c r="C15" t="s">
        <v>1244</v>
      </c>
      <c r="D15" t="s">
        <v>1244</v>
      </c>
      <c r="E15" t="str">
        <f t="shared" si="0"/>
        <v>AAA</v>
      </c>
    </row>
    <row r="16" spans="1:5" x14ac:dyDescent="0.25">
      <c r="A16" t="s">
        <v>140</v>
      </c>
      <c r="B16" t="s">
        <v>1244</v>
      </c>
      <c r="C16" t="s">
        <v>1246</v>
      </c>
      <c r="D16" t="s">
        <v>1244</v>
      </c>
      <c r="E16" t="str">
        <f t="shared" si="0"/>
        <v>ACA</v>
      </c>
    </row>
    <row r="17" spans="1:5" x14ac:dyDescent="0.25">
      <c r="A17" t="s">
        <v>222</v>
      </c>
      <c r="B17" t="s">
        <v>1244</v>
      </c>
      <c r="C17" t="s">
        <v>1245</v>
      </c>
      <c r="D17" t="s">
        <v>1244</v>
      </c>
      <c r="E17" t="str">
        <f t="shared" si="0"/>
        <v>ABA</v>
      </c>
    </row>
    <row r="18" spans="1:5" x14ac:dyDescent="0.25">
      <c r="A18" t="s">
        <v>89</v>
      </c>
      <c r="B18" t="s">
        <v>1244</v>
      </c>
      <c r="C18" t="s">
        <v>1245</v>
      </c>
      <c r="D18" t="s">
        <v>1244</v>
      </c>
      <c r="E18" t="str">
        <f t="shared" si="0"/>
        <v>ABA</v>
      </c>
    </row>
    <row r="19" spans="1:5" x14ac:dyDescent="0.25">
      <c r="A19" t="s">
        <v>514</v>
      </c>
      <c r="B19" t="s">
        <v>1244</v>
      </c>
      <c r="C19" t="s">
        <v>1244</v>
      </c>
      <c r="D19" t="s">
        <v>1244</v>
      </c>
      <c r="E19" t="str">
        <f t="shared" si="0"/>
        <v>AAA</v>
      </c>
    </row>
    <row r="20" spans="1:5" x14ac:dyDescent="0.25">
      <c r="A20" t="s">
        <v>98</v>
      </c>
      <c r="B20" t="s">
        <v>1244</v>
      </c>
      <c r="C20" t="s">
        <v>1244</v>
      </c>
      <c r="D20" t="s">
        <v>1244</v>
      </c>
      <c r="E20" t="str">
        <f t="shared" si="0"/>
        <v>AAA</v>
      </c>
    </row>
    <row r="21" spans="1:5" x14ac:dyDescent="0.25">
      <c r="A21" t="s">
        <v>366</v>
      </c>
      <c r="B21" t="s">
        <v>1244</v>
      </c>
      <c r="C21" t="s">
        <v>1244</v>
      </c>
      <c r="D21" t="s">
        <v>1244</v>
      </c>
      <c r="E21" t="str">
        <f t="shared" si="0"/>
        <v>AAA</v>
      </c>
    </row>
    <row r="22" spans="1:5" x14ac:dyDescent="0.25">
      <c r="A22" t="s">
        <v>851</v>
      </c>
      <c r="B22" t="s">
        <v>1244</v>
      </c>
      <c r="C22" t="s">
        <v>1244</v>
      </c>
      <c r="D22" t="s">
        <v>1244</v>
      </c>
      <c r="E22" t="str">
        <f t="shared" si="0"/>
        <v>AAA</v>
      </c>
    </row>
    <row r="23" spans="1:5" x14ac:dyDescent="0.25">
      <c r="A23" t="s">
        <v>153</v>
      </c>
      <c r="B23" t="s">
        <v>1244</v>
      </c>
      <c r="C23" t="s">
        <v>1244</v>
      </c>
      <c r="D23" t="s">
        <v>1244</v>
      </c>
      <c r="E23" t="str">
        <f t="shared" si="0"/>
        <v>AAA</v>
      </c>
    </row>
    <row r="24" spans="1:5" x14ac:dyDescent="0.25">
      <c r="A24" t="s">
        <v>251</v>
      </c>
      <c r="B24" t="s">
        <v>1244</v>
      </c>
      <c r="C24" t="s">
        <v>1244</v>
      </c>
      <c r="D24" t="s">
        <v>1244</v>
      </c>
      <c r="E24" t="str">
        <f t="shared" si="0"/>
        <v>AAA</v>
      </c>
    </row>
    <row r="25" spans="1:5" x14ac:dyDescent="0.25">
      <c r="A25" t="s">
        <v>78</v>
      </c>
      <c r="B25" t="s">
        <v>1244</v>
      </c>
      <c r="C25" t="s">
        <v>1244</v>
      </c>
      <c r="D25" t="s">
        <v>1244</v>
      </c>
      <c r="E25" t="str">
        <f t="shared" si="0"/>
        <v>AAA</v>
      </c>
    </row>
    <row r="26" spans="1:5" x14ac:dyDescent="0.25">
      <c r="A26" t="s">
        <v>741</v>
      </c>
      <c r="B26" t="s">
        <v>1244</v>
      </c>
      <c r="C26" t="s">
        <v>1245</v>
      </c>
      <c r="D26" t="s">
        <v>1244</v>
      </c>
      <c r="E26" t="str">
        <f t="shared" si="0"/>
        <v>ABA</v>
      </c>
    </row>
    <row r="27" spans="1:5" x14ac:dyDescent="0.25">
      <c r="A27" t="s">
        <v>116</v>
      </c>
      <c r="B27" t="s">
        <v>1244</v>
      </c>
      <c r="C27" t="s">
        <v>1244</v>
      </c>
      <c r="D27" t="s">
        <v>1244</v>
      </c>
      <c r="E27" t="str">
        <f t="shared" si="0"/>
        <v>AAA</v>
      </c>
    </row>
    <row r="28" spans="1:5" x14ac:dyDescent="0.25">
      <c r="A28" t="s">
        <v>624</v>
      </c>
      <c r="B28" t="s">
        <v>1244</v>
      </c>
      <c r="C28" t="s">
        <v>1245</v>
      </c>
      <c r="D28" t="s">
        <v>1244</v>
      </c>
      <c r="E28" t="str">
        <f t="shared" si="0"/>
        <v>ABA</v>
      </c>
    </row>
    <row r="29" spans="1:5" x14ac:dyDescent="0.25">
      <c r="A29" t="s">
        <v>466</v>
      </c>
      <c r="B29" t="s">
        <v>1244</v>
      </c>
      <c r="C29" t="s">
        <v>1245</v>
      </c>
      <c r="D29" t="s">
        <v>1244</v>
      </c>
      <c r="E29" t="str">
        <f t="shared" si="0"/>
        <v>ABA</v>
      </c>
    </row>
    <row r="30" spans="1:5" x14ac:dyDescent="0.25">
      <c r="A30" t="s">
        <v>214</v>
      </c>
      <c r="B30" t="s">
        <v>1244</v>
      </c>
      <c r="C30" t="s">
        <v>1244</v>
      </c>
      <c r="D30" t="s">
        <v>1244</v>
      </c>
      <c r="E30" t="str">
        <f t="shared" si="0"/>
        <v>AAA</v>
      </c>
    </row>
    <row r="31" spans="1:5" x14ac:dyDescent="0.25">
      <c r="A31" t="s">
        <v>247</v>
      </c>
      <c r="B31" t="s">
        <v>1244</v>
      </c>
      <c r="C31" t="s">
        <v>1245</v>
      </c>
      <c r="D31" t="s">
        <v>1244</v>
      </c>
      <c r="E31" t="str">
        <f t="shared" si="0"/>
        <v>ABA</v>
      </c>
    </row>
    <row r="32" spans="1:5" x14ac:dyDescent="0.25">
      <c r="A32" t="s">
        <v>169</v>
      </c>
      <c r="B32" t="s">
        <v>1244</v>
      </c>
      <c r="C32" t="s">
        <v>1245</v>
      </c>
      <c r="D32" t="s">
        <v>1244</v>
      </c>
      <c r="E32" t="str">
        <f t="shared" si="0"/>
        <v>ABA</v>
      </c>
    </row>
    <row r="33" spans="1:5" x14ac:dyDescent="0.25">
      <c r="A33" t="s">
        <v>465</v>
      </c>
      <c r="B33" t="s">
        <v>1244</v>
      </c>
      <c r="C33" t="s">
        <v>1245</v>
      </c>
      <c r="D33" t="s">
        <v>1244</v>
      </c>
      <c r="E33" t="str">
        <f t="shared" si="0"/>
        <v>ABA</v>
      </c>
    </row>
    <row r="34" spans="1:5" x14ac:dyDescent="0.25">
      <c r="A34" t="s">
        <v>95</v>
      </c>
      <c r="B34" t="s">
        <v>1244</v>
      </c>
      <c r="C34" t="s">
        <v>1244</v>
      </c>
      <c r="D34" t="s">
        <v>1244</v>
      </c>
      <c r="E34" t="str">
        <f t="shared" si="0"/>
        <v>AAA</v>
      </c>
    </row>
    <row r="35" spans="1:5" x14ac:dyDescent="0.25">
      <c r="A35" t="s">
        <v>248</v>
      </c>
      <c r="B35" t="s">
        <v>1244</v>
      </c>
      <c r="C35" t="s">
        <v>1244</v>
      </c>
      <c r="D35" t="s">
        <v>1244</v>
      </c>
      <c r="E35" t="str">
        <f t="shared" si="0"/>
        <v>AAA</v>
      </c>
    </row>
    <row r="36" spans="1:5" x14ac:dyDescent="0.25">
      <c r="A36" t="s">
        <v>355</v>
      </c>
      <c r="B36" t="s">
        <v>1244</v>
      </c>
      <c r="C36" t="s">
        <v>1246</v>
      </c>
      <c r="D36" t="s">
        <v>1244</v>
      </c>
      <c r="E36" t="str">
        <f t="shared" si="0"/>
        <v>ACA</v>
      </c>
    </row>
    <row r="37" spans="1:5" x14ac:dyDescent="0.25">
      <c r="A37" t="s">
        <v>259</v>
      </c>
      <c r="B37" t="s">
        <v>1244</v>
      </c>
      <c r="C37" t="s">
        <v>1245</v>
      </c>
      <c r="D37" t="s">
        <v>1244</v>
      </c>
      <c r="E37" t="str">
        <f t="shared" si="0"/>
        <v>ABA</v>
      </c>
    </row>
    <row r="38" spans="1:5" x14ac:dyDescent="0.25">
      <c r="A38" t="s">
        <v>408</v>
      </c>
      <c r="B38" t="s">
        <v>1244</v>
      </c>
      <c r="C38" t="s">
        <v>1244</v>
      </c>
      <c r="D38" t="s">
        <v>1244</v>
      </c>
      <c r="E38" t="str">
        <f t="shared" si="0"/>
        <v>AAA</v>
      </c>
    </row>
    <row r="39" spans="1:5" x14ac:dyDescent="0.25">
      <c r="A39" t="s">
        <v>112</v>
      </c>
      <c r="B39" t="s">
        <v>1244</v>
      </c>
      <c r="C39" t="s">
        <v>1244</v>
      </c>
      <c r="D39" t="s">
        <v>1244</v>
      </c>
      <c r="E39" t="str">
        <f t="shared" si="0"/>
        <v>AAA</v>
      </c>
    </row>
    <row r="40" spans="1:5" x14ac:dyDescent="0.25">
      <c r="A40" t="s">
        <v>825</v>
      </c>
      <c r="B40" t="s">
        <v>1244</v>
      </c>
      <c r="C40" t="s">
        <v>1244</v>
      </c>
      <c r="D40" t="s">
        <v>1244</v>
      </c>
      <c r="E40" t="str">
        <f t="shared" si="0"/>
        <v>AAA</v>
      </c>
    </row>
    <row r="41" spans="1:5" x14ac:dyDescent="0.25">
      <c r="A41" t="s">
        <v>173</v>
      </c>
      <c r="B41" t="s">
        <v>1244</v>
      </c>
      <c r="C41" t="s">
        <v>1245</v>
      </c>
      <c r="D41" t="s">
        <v>1244</v>
      </c>
      <c r="E41" t="str">
        <f t="shared" si="0"/>
        <v>ABA</v>
      </c>
    </row>
    <row r="42" spans="1:5" x14ac:dyDescent="0.25">
      <c r="A42" t="s">
        <v>299</v>
      </c>
      <c r="B42" t="s">
        <v>1244</v>
      </c>
      <c r="C42" t="s">
        <v>1244</v>
      </c>
      <c r="D42" t="s">
        <v>1244</v>
      </c>
      <c r="E42" t="str">
        <f t="shared" si="0"/>
        <v>AAA</v>
      </c>
    </row>
    <row r="43" spans="1:5" x14ac:dyDescent="0.25">
      <c r="A43" t="s">
        <v>270</v>
      </c>
      <c r="B43" t="s">
        <v>1244</v>
      </c>
      <c r="C43" t="s">
        <v>1245</v>
      </c>
      <c r="D43" t="s">
        <v>1244</v>
      </c>
      <c r="E43" t="str">
        <f t="shared" si="0"/>
        <v>ABA</v>
      </c>
    </row>
    <row r="44" spans="1:5" x14ac:dyDescent="0.25">
      <c r="A44" t="s">
        <v>267</v>
      </c>
      <c r="B44" t="s">
        <v>1244</v>
      </c>
      <c r="C44" t="s">
        <v>1244</v>
      </c>
      <c r="D44" t="s">
        <v>1244</v>
      </c>
      <c r="E44" t="str">
        <f t="shared" si="0"/>
        <v>AAA</v>
      </c>
    </row>
    <row r="45" spans="1:5" x14ac:dyDescent="0.25">
      <c r="A45" t="s">
        <v>212</v>
      </c>
      <c r="B45" t="s">
        <v>1244</v>
      </c>
      <c r="C45" t="s">
        <v>1245</v>
      </c>
      <c r="D45" t="s">
        <v>1244</v>
      </c>
      <c r="E45" t="str">
        <f t="shared" si="0"/>
        <v>ABA</v>
      </c>
    </row>
    <row r="46" spans="1:5" x14ac:dyDescent="0.25">
      <c r="A46" t="s">
        <v>195</v>
      </c>
      <c r="B46" t="s">
        <v>1244</v>
      </c>
      <c r="C46" t="s">
        <v>1244</v>
      </c>
      <c r="D46" t="s">
        <v>1244</v>
      </c>
      <c r="E46" t="str">
        <f t="shared" si="0"/>
        <v>AAA</v>
      </c>
    </row>
    <row r="47" spans="1:5" x14ac:dyDescent="0.25">
      <c r="A47" t="s">
        <v>719</v>
      </c>
      <c r="B47" t="s">
        <v>1244</v>
      </c>
      <c r="C47" t="s">
        <v>1244</v>
      </c>
      <c r="D47" t="s">
        <v>1244</v>
      </c>
      <c r="E47" t="str">
        <f t="shared" si="0"/>
        <v>AAA</v>
      </c>
    </row>
    <row r="48" spans="1:5" x14ac:dyDescent="0.25">
      <c r="A48" t="s">
        <v>671</v>
      </c>
      <c r="B48" t="s">
        <v>1244</v>
      </c>
      <c r="C48" t="s">
        <v>1246</v>
      </c>
      <c r="D48" t="s">
        <v>1244</v>
      </c>
      <c r="E48" t="str">
        <f t="shared" si="0"/>
        <v>ACA</v>
      </c>
    </row>
    <row r="49" spans="1:5" x14ac:dyDescent="0.25">
      <c r="A49" t="s">
        <v>667</v>
      </c>
      <c r="B49" t="s">
        <v>1244</v>
      </c>
      <c r="C49" t="s">
        <v>1245</v>
      </c>
      <c r="D49" t="s">
        <v>1244</v>
      </c>
      <c r="E49" t="str">
        <f t="shared" si="0"/>
        <v>ABA</v>
      </c>
    </row>
    <row r="50" spans="1:5" x14ac:dyDescent="0.25">
      <c r="A50" t="s">
        <v>257</v>
      </c>
      <c r="B50" t="s">
        <v>1244</v>
      </c>
      <c r="C50" t="s">
        <v>1244</v>
      </c>
      <c r="D50" t="s">
        <v>1244</v>
      </c>
      <c r="E50" t="str">
        <f t="shared" si="0"/>
        <v>AAA</v>
      </c>
    </row>
    <row r="51" spans="1:5" x14ac:dyDescent="0.25">
      <c r="A51" t="s">
        <v>517</v>
      </c>
      <c r="B51" t="s">
        <v>1244</v>
      </c>
      <c r="C51" t="s">
        <v>1245</v>
      </c>
      <c r="D51" t="s">
        <v>1244</v>
      </c>
      <c r="E51" t="str">
        <f t="shared" si="0"/>
        <v>ABA</v>
      </c>
    </row>
    <row r="52" spans="1:5" x14ac:dyDescent="0.25">
      <c r="A52" t="s">
        <v>1107</v>
      </c>
      <c r="B52" t="s">
        <v>1244</v>
      </c>
      <c r="C52" t="s">
        <v>1246</v>
      </c>
      <c r="D52" t="s">
        <v>1244</v>
      </c>
      <c r="E52" t="str">
        <f t="shared" si="0"/>
        <v>ACA</v>
      </c>
    </row>
    <row r="53" spans="1:5" x14ac:dyDescent="0.25">
      <c r="A53" t="s">
        <v>976</v>
      </c>
      <c r="B53" t="s">
        <v>1244</v>
      </c>
      <c r="C53" t="s">
        <v>1246</v>
      </c>
      <c r="D53" t="s">
        <v>1244</v>
      </c>
      <c r="E53" t="str">
        <f t="shared" si="0"/>
        <v>ACA</v>
      </c>
    </row>
    <row r="54" spans="1:5" x14ac:dyDescent="0.25">
      <c r="A54" t="s">
        <v>552</v>
      </c>
      <c r="B54" t="s">
        <v>1244</v>
      </c>
      <c r="C54" t="s">
        <v>1245</v>
      </c>
      <c r="D54" t="s">
        <v>1244</v>
      </c>
      <c r="E54" t="str">
        <f t="shared" si="0"/>
        <v>ABA</v>
      </c>
    </row>
    <row r="55" spans="1:5" x14ac:dyDescent="0.25">
      <c r="A55" t="s">
        <v>492</v>
      </c>
      <c r="B55" t="s">
        <v>1244</v>
      </c>
      <c r="C55" t="s">
        <v>1244</v>
      </c>
      <c r="D55" t="s">
        <v>1244</v>
      </c>
      <c r="E55" t="str">
        <f t="shared" si="0"/>
        <v>AAA</v>
      </c>
    </row>
    <row r="56" spans="1:5" x14ac:dyDescent="0.25">
      <c r="A56" t="s">
        <v>592</v>
      </c>
      <c r="B56" t="s">
        <v>1244</v>
      </c>
      <c r="C56" t="s">
        <v>1246</v>
      </c>
      <c r="D56" t="s">
        <v>1244</v>
      </c>
      <c r="E56" t="str">
        <f t="shared" si="0"/>
        <v>ACA</v>
      </c>
    </row>
    <row r="57" spans="1:5" x14ac:dyDescent="0.25">
      <c r="A57" t="s">
        <v>863</v>
      </c>
      <c r="B57" t="s">
        <v>1244</v>
      </c>
      <c r="C57" t="s">
        <v>1245</v>
      </c>
      <c r="D57" t="s">
        <v>1244</v>
      </c>
      <c r="E57" t="str">
        <f t="shared" si="0"/>
        <v>ABA</v>
      </c>
    </row>
    <row r="58" spans="1:5" x14ac:dyDescent="0.25">
      <c r="A58" t="s">
        <v>226</v>
      </c>
      <c r="B58" t="s">
        <v>1244</v>
      </c>
      <c r="C58" t="s">
        <v>1245</v>
      </c>
      <c r="D58" t="s">
        <v>1244</v>
      </c>
      <c r="E58" t="str">
        <f t="shared" si="0"/>
        <v>ABA</v>
      </c>
    </row>
    <row r="59" spans="1:5" x14ac:dyDescent="0.25">
      <c r="A59" t="s">
        <v>28</v>
      </c>
      <c r="B59" t="s">
        <v>1244</v>
      </c>
      <c r="C59" t="s">
        <v>1244</v>
      </c>
      <c r="D59" t="s">
        <v>1244</v>
      </c>
      <c r="E59" t="str">
        <f t="shared" si="0"/>
        <v>AAA</v>
      </c>
    </row>
    <row r="60" spans="1:5" x14ac:dyDescent="0.25">
      <c r="A60" t="s">
        <v>983</v>
      </c>
      <c r="B60" t="s">
        <v>1244</v>
      </c>
      <c r="C60" t="s">
        <v>1246</v>
      </c>
      <c r="D60" t="s">
        <v>1244</v>
      </c>
      <c r="E60" t="str">
        <f t="shared" si="0"/>
        <v>ACA</v>
      </c>
    </row>
    <row r="61" spans="1:5" x14ac:dyDescent="0.25">
      <c r="A61" t="s">
        <v>831</v>
      </c>
      <c r="B61" t="s">
        <v>1244</v>
      </c>
      <c r="C61" t="s">
        <v>1246</v>
      </c>
      <c r="D61" t="s">
        <v>1244</v>
      </c>
      <c r="E61" t="str">
        <f t="shared" si="0"/>
        <v>ACA</v>
      </c>
    </row>
    <row r="62" spans="1:5" x14ac:dyDescent="0.25">
      <c r="A62" t="s">
        <v>381</v>
      </c>
      <c r="B62" t="s">
        <v>1244</v>
      </c>
      <c r="C62" t="s">
        <v>1246</v>
      </c>
      <c r="D62" t="s">
        <v>1244</v>
      </c>
      <c r="E62" t="str">
        <f t="shared" si="0"/>
        <v>ACA</v>
      </c>
    </row>
    <row r="63" spans="1:5" x14ac:dyDescent="0.25">
      <c r="A63" t="s">
        <v>742</v>
      </c>
      <c r="B63" t="s">
        <v>1244</v>
      </c>
      <c r="C63" t="s">
        <v>1245</v>
      </c>
      <c r="D63" t="s">
        <v>1244</v>
      </c>
      <c r="E63" t="str">
        <f t="shared" si="0"/>
        <v>ABA</v>
      </c>
    </row>
    <row r="64" spans="1:5" x14ac:dyDescent="0.25">
      <c r="A64" t="s">
        <v>804</v>
      </c>
      <c r="B64" t="s">
        <v>1244</v>
      </c>
      <c r="C64" t="s">
        <v>1245</v>
      </c>
      <c r="D64" t="s">
        <v>1244</v>
      </c>
      <c r="E64" t="str">
        <f t="shared" si="0"/>
        <v>ABA</v>
      </c>
    </row>
    <row r="65" spans="1:5" x14ac:dyDescent="0.25">
      <c r="A65" t="s">
        <v>759</v>
      </c>
      <c r="B65" t="s">
        <v>1244</v>
      </c>
      <c r="C65" t="s">
        <v>1244</v>
      </c>
      <c r="D65" t="s">
        <v>1244</v>
      </c>
      <c r="E65" t="str">
        <f t="shared" si="0"/>
        <v>AAA</v>
      </c>
    </row>
    <row r="66" spans="1:5" x14ac:dyDescent="0.25">
      <c r="A66" t="s">
        <v>986</v>
      </c>
      <c r="B66" t="s">
        <v>1244</v>
      </c>
      <c r="C66" t="s">
        <v>1245</v>
      </c>
      <c r="D66" t="s">
        <v>1244</v>
      </c>
      <c r="E66" t="str">
        <f t="shared" si="0"/>
        <v>ABA</v>
      </c>
    </row>
    <row r="67" spans="1:5" x14ac:dyDescent="0.25">
      <c r="A67" t="s">
        <v>238</v>
      </c>
      <c r="B67" t="s">
        <v>1244</v>
      </c>
      <c r="C67" t="s">
        <v>1244</v>
      </c>
      <c r="D67" t="s">
        <v>1244</v>
      </c>
      <c r="E67" t="str">
        <f t="shared" si="0"/>
        <v>AAA</v>
      </c>
    </row>
    <row r="68" spans="1:5" x14ac:dyDescent="0.25">
      <c r="A68" t="s">
        <v>33</v>
      </c>
      <c r="B68" t="s">
        <v>1244</v>
      </c>
      <c r="C68" t="s">
        <v>1244</v>
      </c>
      <c r="D68" t="s">
        <v>1244</v>
      </c>
      <c r="E68" t="str">
        <f t="shared" si="0"/>
        <v>AAA</v>
      </c>
    </row>
    <row r="69" spans="1:5" x14ac:dyDescent="0.25">
      <c r="A69" t="s">
        <v>265</v>
      </c>
      <c r="B69" t="s">
        <v>1244</v>
      </c>
      <c r="C69" t="s">
        <v>1245</v>
      </c>
      <c r="D69" t="s">
        <v>1244</v>
      </c>
      <c r="E69" t="str">
        <f t="shared" ref="E69:E132" si="1">B69&amp;C69&amp;D69</f>
        <v>ABA</v>
      </c>
    </row>
    <row r="70" spans="1:5" x14ac:dyDescent="0.25">
      <c r="A70" t="s">
        <v>65</v>
      </c>
      <c r="B70" t="s">
        <v>1244</v>
      </c>
      <c r="C70" t="s">
        <v>1244</v>
      </c>
      <c r="D70" t="s">
        <v>1244</v>
      </c>
      <c r="E70" t="str">
        <f t="shared" si="1"/>
        <v>AAA</v>
      </c>
    </row>
    <row r="71" spans="1:5" x14ac:dyDescent="0.25">
      <c r="A71" t="s">
        <v>1224</v>
      </c>
      <c r="B71" t="s">
        <v>1244</v>
      </c>
      <c r="C71" t="s">
        <v>1246</v>
      </c>
      <c r="D71" t="s">
        <v>1244</v>
      </c>
      <c r="E71" t="str">
        <f t="shared" si="1"/>
        <v>ACA</v>
      </c>
    </row>
    <row r="72" spans="1:5" x14ac:dyDescent="0.25">
      <c r="A72" t="s">
        <v>639</v>
      </c>
      <c r="B72" t="s">
        <v>1244</v>
      </c>
      <c r="C72" t="s">
        <v>1244</v>
      </c>
      <c r="D72" t="s">
        <v>1244</v>
      </c>
      <c r="E72" t="str">
        <f t="shared" si="1"/>
        <v>AAA</v>
      </c>
    </row>
    <row r="73" spans="1:5" x14ac:dyDescent="0.25">
      <c r="A73" t="s">
        <v>424</v>
      </c>
      <c r="B73" t="s">
        <v>1244</v>
      </c>
      <c r="C73" t="s">
        <v>1244</v>
      </c>
      <c r="D73" t="s">
        <v>1244</v>
      </c>
      <c r="E73" t="str">
        <f t="shared" si="1"/>
        <v>AAA</v>
      </c>
    </row>
    <row r="74" spans="1:5" x14ac:dyDescent="0.25">
      <c r="A74" t="s">
        <v>228</v>
      </c>
      <c r="B74" t="s">
        <v>1244</v>
      </c>
      <c r="C74" t="s">
        <v>1244</v>
      </c>
      <c r="D74" t="s">
        <v>1244</v>
      </c>
      <c r="E74" t="str">
        <f t="shared" si="1"/>
        <v>AAA</v>
      </c>
    </row>
    <row r="75" spans="1:5" x14ac:dyDescent="0.25">
      <c r="A75" t="s">
        <v>118</v>
      </c>
      <c r="B75" t="s">
        <v>1244</v>
      </c>
      <c r="C75" t="s">
        <v>1246</v>
      </c>
      <c r="D75" t="s">
        <v>1244</v>
      </c>
      <c r="E75" t="str">
        <f t="shared" si="1"/>
        <v>ACA</v>
      </c>
    </row>
    <row r="76" spans="1:5" x14ac:dyDescent="0.25">
      <c r="A76" t="s">
        <v>764</v>
      </c>
      <c r="B76" t="s">
        <v>1244</v>
      </c>
      <c r="C76" t="s">
        <v>1246</v>
      </c>
      <c r="D76" t="s">
        <v>1244</v>
      </c>
      <c r="E76" t="str">
        <f t="shared" si="1"/>
        <v>ACA</v>
      </c>
    </row>
    <row r="77" spans="1:5" x14ac:dyDescent="0.25">
      <c r="A77" t="s">
        <v>157</v>
      </c>
      <c r="B77" t="s">
        <v>1244</v>
      </c>
      <c r="C77" t="s">
        <v>1244</v>
      </c>
      <c r="D77" t="s">
        <v>1244</v>
      </c>
      <c r="E77" t="str">
        <f t="shared" si="1"/>
        <v>AAA</v>
      </c>
    </row>
    <row r="78" spans="1:5" x14ac:dyDescent="0.25">
      <c r="A78" t="s">
        <v>44</v>
      </c>
      <c r="B78" t="s">
        <v>1244</v>
      </c>
      <c r="C78" t="s">
        <v>1245</v>
      </c>
      <c r="D78" t="s">
        <v>1244</v>
      </c>
      <c r="E78" t="str">
        <f t="shared" si="1"/>
        <v>ABA</v>
      </c>
    </row>
    <row r="79" spans="1:5" x14ac:dyDescent="0.25">
      <c r="A79" t="s">
        <v>664</v>
      </c>
      <c r="B79" t="s">
        <v>1244</v>
      </c>
      <c r="C79" t="s">
        <v>1245</v>
      </c>
      <c r="D79" t="s">
        <v>1244</v>
      </c>
      <c r="E79" t="str">
        <f t="shared" si="1"/>
        <v>ABA</v>
      </c>
    </row>
    <row r="80" spans="1:5" x14ac:dyDescent="0.25">
      <c r="A80" t="s">
        <v>72</v>
      </c>
      <c r="B80" t="s">
        <v>1244</v>
      </c>
      <c r="C80" t="s">
        <v>1246</v>
      </c>
      <c r="D80" t="s">
        <v>1244</v>
      </c>
      <c r="E80" t="str">
        <f t="shared" si="1"/>
        <v>ACA</v>
      </c>
    </row>
    <row r="81" spans="1:5" x14ac:dyDescent="0.25">
      <c r="A81" t="s">
        <v>177</v>
      </c>
      <c r="B81" t="s">
        <v>1244</v>
      </c>
      <c r="C81" t="s">
        <v>1244</v>
      </c>
      <c r="D81" t="s">
        <v>1244</v>
      </c>
      <c r="E81" t="str">
        <f t="shared" si="1"/>
        <v>AAA</v>
      </c>
    </row>
    <row r="82" spans="1:5" x14ac:dyDescent="0.25">
      <c r="A82" t="s">
        <v>607</v>
      </c>
      <c r="B82" t="s">
        <v>1244</v>
      </c>
      <c r="C82" t="s">
        <v>1245</v>
      </c>
      <c r="D82" t="s">
        <v>1244</v>
      </c>
      <c r="E82" t="str">
        <f t="shared" si="1"/>
        <v>ABA</v>
      </c>
    </row>
    <row r="83" spans="1:5" x14ac:dyDescent="0.25">
      <c r="A83" t="s">
        <v>254</v>
      </c>
      <c r="B83" t="s">
        <v>1244</v>
      </c>
      <c r="C83" t="s">
        <v>1245</v>
      </c>
      <c r="D83" t="s">
        <v>1244</v>
      </c>
      <c r="E83" t="str">
        <f t="shared" si="1"/>
        <v>ABA</v>
      </c>
    </row>
    <row r="84" spans="1:5" x14ac:dyDescent="0.25">
      <c r="A84" t="s">
        <v>505</v>
      </c>
      <c r="B84" t="s">
        <v>1244</v>
      </c>
      <c r="C84" t="s">
        <v>1246</v>
      </c>
      <c r="D84" t="s">
        <v>1244</v>
      </c>
      <c r="E84" t="str">
        <f t="shared" si="1"/>
        <v>ACA</v>
      </c>
    </row>
    <row r="85" spans="1:5" x14ac:dyDescent="0.25">
      <c r="A85" t="s">
        <v>346</v>
      </c>
      <c r="B85" t="s">
        <v>1244</v>
      </c>
      <c r="C85" t="s">
        <v>1245</v>
      </c>
      <c r="D85" t="s">
        <v>1244</v>
      </c>
      <c r="E85" t="str">
        <f t="shared" si="1"/>
        <v>ABA</v>
      </c>
    </row>
    <row r="86" spans="1:5" x14ac:dyDescent="0.25">
      <c r="A86" t="s">
        <v>1010</v>
      </c>
      <c r="B86" t="s">
        <v>1244</v>
      </c>
      <c r="C86" t="s">
        <v>1244</v>
      </c>
      <c r="D86" t="s">
        <v>1244</v>
      </c>
      <c r="E86" t="str">
        <f t="shared" si="1"/>
        <v>AAA</v>
      </c>
    </row>
    <row r="87" spans="1:5" x14ac:dyDescent="0.25">
      <c r="A87" t="s">
        <v>704</v>
      </c>
      <c r="B87" t="s">
        <v>1244</v>
      </c>
      <c r="C87" t="s">
        <v>1246</v>
      </c>
      <c r="D87" t="s">
        <v>1244</v>
      </c>
      <c r="E87" t="str">
        <f t="shared" si="1"/>
        <v>ACA</v>
      </c>
    </row>
    <row r="88" spans="1:5" x14ac:dyDescent="0.25">
      <c r="A88" t="s">
        <v>615</v>
      </c>
      <c r="B88" t="s">
        <v>1244</v>
      </c>
      <c r="C88" t="s">
        <v>1246</v>
      </c>
      <c r="D88" t="s">
        <v>1244</v>
      </c>
      <c r="E88" t="str">
        <f t="shared" si="1"/>
        <v>ACA</v>
      </c>
    </row>
    <row r="89" spans="1:5" x14ac:dyDescent="0.25">
      <c r="A89" t="s">
        <v>941</v>
      </c>
      <c r="B89" t="s">
        <v>1244</v>
      </c>
      <c r="C89" t="s">
        <v>1245</v>
      </c>
      <c r="D89" t="s">
        <v>1244</v>
      </c>
      <c r="E89" t="str">
        <f t="shared" si="1"/>
        <v>ABA</v>
      </c>
    </row>
    <row r="90" spans="1:5" x14ac:dyDescent="0.25">
      <c r="A90" t="s">
        <v>104</v>
      </c>
      <c r="B90" t="s">
        <v>1244</v>
      </c>
      <c r="C90" t="s">
        <v>1244</v>
      </c>
      <c r="D90" t="s">
        <v>1244</v>
      </c>
      <c r="E90" t="str">
        <f t="shared" si="1"/>
        <v>AAA</v>
      </c>
    </row>
    <row r="91" spans="1:5" x14ac:dyDescent="0.25">
      <c r="A91" t="s">
        <v>882</v>
      </c>
      <c r="B91" t="s">
        <v>1244</v>
      </c>
      <c r="C91" t="s">
        <v>1245</v>
      </c>
      <c r="D91" t="s">
        <v>1244</v>
      </c>
      <c r="E91" t="str">
        <f t="shared" si="1"/>
        <v>ABA</v>
      </c>
    </row>
    <row r="92" spans="1:5" x14ac:dyDescent="0.25">
      <c r="A92" t="s">
        <v>389</v>
      </c>
      <c r="B92" t="s">
        <v>1244</v>
      </c>
      <c r="C92" t="s">
        <v>1244</v>
      </c>
      <c r="D92" t="s">
        <v>1244</v>
      </c>
      <c r="E92" t="str">
        <f t="shared" si="1"/>
        <v>AAA</v>
      </c>
    </row>
    <row r="93" spans="1:5" x14ac:dyDescent="0.25">
      <c r="A93" t="s">
        <v>780</v>
      </c>
      <c r="B93" t="s">
        <v>1244</v>
      </c>
      <c r="C93" t="s">
        <v>1245</v>
      </c>
      <c r="D93" t="s">
        <v>1244</v>
      </c>
      <c r="E93" t="str">
        <f t="shared" si="1"/>
        <v>ABA</v>
      </c>
    </row>
    <row r="94" spans="1:5" x14ac:dyDescent="0.25">
      <c r="A94" t="s">
        <v>135</v>
      </c>
      <c r="B94" t="s">
        <v>1244</v>
      </c>
      <c r="C94" t="s">
        <v>1244</v>
      </c>
      <c r="D94" t="s">
        <v>1244</v>
      </c>
      <c r="E94" t="str">
        <f t="shared" si="1"/>
        <v>AAA</v>
      </c>
    </row>
    <row r="95" spans="1:5" x14ac:dyDescent="0.25">
      <c r="A95" t="s">
        <v>361</v>
      </c>
      <c r="B95" t="s">
        <v>1244</v>
      </c>
      <c r="C95" t="s">
        <v>1244</v>
      </c>
      <c r="D95" t="s">
        <v>1244</v>
      </c>
      <c r="E95" t="str">
        <f t="shared" si="1"/>
        <v>AAA</v>
      </c>
    </row>
    <row r="96" spans="1:5" x14ac:dyDescent="0.25">
      <c r="A96" t="s">
        <v>309</v>
      </c>
      <c r="B96" t="s">
        <v>1244</v>
      </c>
      <c r="C96" t="s">
        <v>1244</v>
      </c>
      <c r="D96" t="s">
        <v>1244</v>
      </c>
      <c r="E96" t="str">
        <f t="shared" si="1"/>
        <v>AAA</v>
      </c>
    </row>
    <row r="97" spans="1:5" x14ac:dyDescent="0.25">
      <c r="A97" t="s">
        <v>550</v>
      </c>
      <c r="B97" t="s">
        <v>1244</v>
      </c>
      <c r="C97" t="s">
        <v>1244</v>
      </c>
      <c r="D97" t="s">
        <v>1244</v>
      </c>
      <c r="E97" t="str">
        <f t="shared" si="1"/>
        <v>AAA</v>
      </c>
    </row>
    <row r="98" spans="1:5" x14ac:dyDescent="0.25">
      <c r="A98" t="s">
        <v>548</v>
      </c>
      <c r="B98" t="s">
        <v>1244</v>
      </c>
      <c r="C98" t="s">
        <v>1244</v>
      </c>
      <c r="D98" t="s">
        <v>1244</v>
      </c>
      <c r="E98" t="str">
        <f t="shared" si="1"/>
        <v>AAA</v>
      </c>
    </row>
    <row r="99" spans="1:5" x14ac:dyDescent="0.25">
      <c r="A99" t="s">
        <v>330</v>
      </c>
      <c r="B99" t="s">
        <v>1244</v>
      </c>
      <c r="C99" t="s">
        <v>1246</v>
      </c>
      <c r="D99" t="s">
        <v>1244</v>
      </c>
      <c r="E99" t="str">
        <f t="shared" si="1"/>
        <v>ACA</v>
      </c>
    </row>
    <row r="100" spans="1:5" x14ac:dyDescent="0.25">
      <c r="A100" t="s">
        <v>125</v>
      </c>
      <c r="B100" t="s">
        <v>1244</v>
      </c>
      <c r="C100" t="s">
        <v>1244</v>
      </c>
      <c r="D100" t="s">
        <v>1244</v>
      </c>
      <c r="E100" t="str">
        <f t="shared" si="1"/>
        <v>AAA</v>
      </c>
    </row>
    <row r="101" spans="1:5" x14ac:dyDescent="0.25">
      <c r="A101" t="s">
        <v>518</v>
      </c>
      <c r="B101" t="s">
        <v>1244</v>
      </c>
      <c r="C101" t="s">
        <v>1245</v>
      </c>
      <c r="D101" t="s">
        <v>1244</v>
      </c>
      <c r="E101" t="str">
        <f t="shared" si="1"/>
        <v>ABA</v>
      </c>
    </row>
    <row r="102" spans="1:5" x14ac:dyDescent="0.25">
      <c r="A102" t="s">
        <v>334</v>
      </c>
      <c r="B102" t="s">
        <v>1244</v>
      </c>
      <c r="C102" t="s">
        <v>1244</v>
      </c>
      <c r="D102" t="s">
        <v>1244</v>
      </c>
      <c r="E102" t="str">
        <f t="shared" si="1"/>
        <v>AAA</v>
      </c>
    </row>
    <row r="103" spans="1:5" x14ac:dyDescent="0.25">
      <c r="A103" t="s">
        <v>220</v>
      </c>
      <c r="B103" t="s">
        <v>1244</v>
      </c>
      <c r="C103" t="s">
        <v>1246</v>
      </c>
      <c r="D103" t="s">
        <v>1244</v>
      </c>
      <c r="E103" t="str">
        <f t="shared" si="1"/>
        <v>ACA</v>
      </c>
    </row>
    <row r="104" spans="1:5" x14ac:dyDescent="0.25">
      <c r="A104" t="s">
        <v>321</v>
      </c>
      <c r="B104" t="s">
        <v>1244</v>
      </c>
      <c r="C104" t="s">
        <v>1245</v>
      </c>
      <c r="D104" t="s">
        <v>1244</v>
      </c>
      <c r="E104" t="str">
        <f t="shared" si="1"/>
        <v>ABA</v>
      </c>
    </row>
    <row r="105" spans="1:5" x14ac:dyDescent="0.25">
      <c r="A105" t="s">
        <v>392</v>
      </c>
      <c r="B105" t="s">
        <v>1244</v>
      </c>
      <c r="C105" t="s">
        <v>1244</v>
      </c>
      <c r="D105" t="s">
        <v>1244</v>
      </c>
      <c r="E105" t="str">
        <f t="shared" si="1"/>
        <v>AAA</v>
      </c>
    </row>
    <row r="106" spans="1:5" x14ac:dyDescent="0.25">
      <c r="A106" t="s">
        <v>304</v>
      </c>
      <c r="B106" t="s">
        <v>1244</v>
      </c>
      <c r="C106" t="s">
        <v>1244</v>
      </c>
      <c r="D106" t="s">
        <v>1244</v>
      </c>
      <c r="E106" t="str">
        <f t="shared" si="1"/>
        <v>AAA</v>
      </c>
    </row>
    <row r="107" spans="1:5" x14ac:dyDescent="0.25">
      <c r="A107" t="s">
        <v>430</v>
      </c>
      <c r="B107" t="s">
        <v>1244</v>
      </c>
      <c r="C107" t="s">
        <v>1244</v>
      </c>
      <c r="D107" t="s">
        <v>1244</v>
      </c>
      <c r="E107" t="str">
        <f t="shared" si="1"/>
        <v>AAA</v>
      </c>
    </row>
    <row r="108" spans="1:5" x14ac:dyDescent="0.25">
      <c r="A108" t="s">
        <v>526</v>
      </c>
      <c r="B108" t="s">
        <v>1244</v>
      </c>
      <c r="C108" t="s">
        <v>1245</v>
      </c>
      <c r="D108" t="s">
        <v>1244</v>
      </c>
      <c r="E108" t="str">
        <f t="shared" si="1"/>
        <v>ABA</v>
      </c>
    </row>
    <row r="109" spans="1:5" x14ac:dyDescent="0.25">
      <c r="A109" t="s">
        <v>826</v>
      </c>
      <c r="B109" t="s">
        <v>1244</v>
      </c>
      <c r="C109" t="s">
        <v>1244</v>
      </c>
      <c r="D109" t="s">
        <v>1244</v>
      </c>
      <c r="E109" t="str">
        <f t="shared" si="1"/>
        <v>AAA</v>
      </c>
    </row>
    <row r="110" spans="1:5" x14ac:dyDescent="0.25">
      <c r="A110" t="s">
        <v>816</v>
      </c>
      <c r="B110" t="s">
        <v>1244</v>
      </c>
      <c r="C110" t="s">
        <v>1246</v>
      </c>
      <c r="D110" t="s">
        <v>1244</v>
      </c>
      <c r="E110" t="str">
        <f t="shared" si="1"/>
        <v>ACA</v>
      </c>
    </row>
    <row r="111" spans="1:5" x14ac:dyDescent="0.25">
      <c r="A111" t="s">
        <v>589</v>
      </c>
      <c r="B111" t="s">
        <v>1244</v>
      </c>
      <c r="C111" t="s">
        <v>1244</v>
      </c>
      <c r="D111" t="s">
        <v>1244</v>
      </c>
      <c r="E111" t="str">
        <f t="shared" si="1"/>
        <v>AAA</v>
      </c>
    </row>
    <row r="112" spans="1:5" x14ac:dyDescent="0.25">
      <c r="A112" t="s">
        <v>1069</v>
      </c>
      <c r="B112" t="s">
        <v>1244</v>
      </c>
      <c r="C112" t="s">
        <v>1246</v>
      </c>
      <c r="D112" t="s">
        <v>1244</v>
      </c>
      <c r="E112" t="str">
        <f t="shared" si="1"/>
        <v>ACA</v>
      </c>
    </row>
    <row r="113" spans="1:5" x14ac:dyDescent="0.25">
      <c r="A113" t="s">
        <v>386</v>
      </c>
      <c r="B113" t="s">
        <v>1244</v>
      </c>
      <c r="C113" t="s">
        <v>1246</v>
      </c>
      <c r="D113" t="s">
        <v>1244</v>
      </c>
      <c r="E113" t="str">
        <f t="shared" si="1"/>
        <v>ACA</v>
      </c>
    </row>
    <row r="114" spans="1:5" x14ac:dyDescent="0.25">
      <c r="A114" t="s">
        <v>382</v>
      </c>
      <c r="B114" t="s">
        <v>1244</v>
      </c>
      <c r="C114" t="s">
        <v>1244</v>
      </c>
      <c r="D114" t="s">
        <v>1244</v>
      </c>
      <c r="E114" t="str">
        <f t="shared" si="1"/>
        <v>AAA</v>
      </c>
    </row>
    <row r="115" spans="1:5" x14ac:dyDescent="0.25">
      <c r="A115" t="s">
        <v>288</v>
      </c>
      <c r="B115" t="s">
        <v>1244</v>
      </c>
      <c r="C115" t="s">
        <v>1246</v>
      </c>
      <c r="D115" t="s">
        <v>1244</v>
      </c>
      <c r="E115" t="str">
        <f t="shared" si="1"/>
        <v>ACA</v>
      </c>
    </row>
    <row r="116" spans="1:5" x14ac:dyDescent="0.25">
      <c r="A116" t="s">
        <v>519</v>
      </c>
      <c r="B116" t="s">
        <v>1244</v>
      </c>
      <c r="C116" t="s">
        <v>1244</v>
      </c>
      <c r="D116" t="s">
        <v>1244</v>
      </c>
      <c r="E116" t="str">
        <f t="shared" si="1"/>
        <v>AAA</v>
      </c>
    </row>
    <row r="117" spans="1:5" x14ac:dyDescent="0.25">
      <c r="A117" t="s">
        <v>147</v>
      </c>
      <c r="B117" t="s">
        <v>1244</v>
      </c>
      <c r="C117" t="s">
        <v>1244</v>
      </c>
      <c r="D117" t="s">
        <v>1244</v>
      </c>
      <c r="E117" t="str">
        <f t="shared" si="1"/>
        <v>AAA</v>
      </c>
    </row>
    <row r="118" spans="1:5" x14ac:dyDescent="0.25">
      <c r="A118" t="s">
        <v>995</v>
      </c>
      <c r="B118" t="s">
        <v>1244</v>
      </c>
      <c r="C118" t="s">
        <v>1244</v>
      </c>
      <c r="D118" t="s">
        <v>1244</v>
      </c>
      <c r="E118" t="str">
        <f t="shared" si="1"/>
        <v>AAA</v>
      </c>
    </row>
    <row r="119" spans="1:5" x14ac:dyDescent="0.25">
      <c r="A119" t="s">
        <v>285</v>
      </c>
      <c r="B119" t="s">
        <v>1244</v>
      </c>
      <c r="C119" t="s">
        <v>1244</v>
      </c>
      <c r="D119" t="s">
        <v>1244</v>
      </c>
      <c r="E119" t="str">
        <f t="shared" si="1"/>
        <v>AAA</v>
      </c>
    </row>
    <row r="120" spans="1:5" x14ac:dyDescent="0.25">
      <c r="A120" t="s">
        <v>587</v>
      </c>
      <c r="B120" t="s">
        <v>1244</v>
      </c>
      <c r="C120" t="s">
        <v>1246</v>
      </c>
      <c r="D120" t="s">
        <v>1244</v>
      </c>
      <c r="E120" t="str">
        <f t="shared" si="1"/>
        <v>ACA</v>
      </c>
    </row>
    <row r="121" spans="1:5" x14ac:dyDescent="0.25">
      <c r="A121" t="s">
        <v>52</v>
      </c>
      <c r="B121" t="s">
        <v>1244</v>
      </c>
      <c r="C121" t="s">
        <v>1245</v>
      </c>
      <c r="D121" t="s">
        <v>1244</v>
      </c>
      <c r="E121" t="str">
        <f t="shared" si="1"/>
        <v>ABA</v>
      </c>
    </row>
    <row r="122" spans="1:5" x14ac:dyDescent="0.25">
      <c r="A122" t="s">
        <v>614</v>
      </c>
      <c r="B122" t="s">
        <v>1244</v>
      </c>
      <c r="C122" t="s">
        <v>1246</v>
      </c>
      <c r="D122" t="s">
        <v>1244</v>
      </c>
      <c r="E122" t="str">
        <f t="shared" si="1"/>
        <v>ACA</v>
      </c>
    </row>
    <row r="123" spans="1:5" x14ac:dyDescent="0.25">
      <c r="A123" t="s">
        <v>673</v>
      </c>
      <c r="B123" t="s">
        <v>1244</v>
      </c>
      <c r="C123" t="s">
        <v>1246</v>
      </c>
      <c r="D123" t="s">
        <v>1244</v>
      </c>
      <c r="E123" t="str">
        <f t="shared" si="1"/>
        <v>ACA</v>
      </c>
    </row>
    <row r="124" spans="1:5" x14ac:dyDescent="0.25">
      <c r="A124" t="s">
        <v>278</v>
      </c>
      <c r="B124" t="s">
        <v>1244</v>
      </c>
      <c r="C124" t="s">
        <v>1245</v>
      </c>
      <c r="D124" t="s">
        <v>1244</v>
      </c>
      <c r="E124" t="str">
        <f t="shared" si="1"/>
        <v>ABA</v>
      </c>
    </row>
    <row r="125" spans="1:5" x14ac:dyDescent="0.25">
      <c r="A125" t="s">
        <v>146</v>
      </c>
      <c r="B125" t="s">
        <v>1244</v>
      </c>
      <c r="C125" t="s">
        <v>1245</v>
      </c>
      <c r="D125" t="s">
        <v>1244</v>
      </c>
      <c r="E125" t="str">
        <f t="shared" si="1"/>
        <v>ABA</v>
      </c>
    </row>
    <row r="126" spans="1:5" x14ac:dyDescent="0.25">
      <c r="A126" t="s">
        <v>301</v>
      </c>
      <c r="B126" t="s">
        <v>1244</v>
      </c>
      <c r="C126" t="s">
        <v>1245</v>
      </c>
      <c r="D126" t="s">
        <v>1244</v>
      </c>
      <c r="E126" t="str">
        <f t="shared" si="1"/>
        <v>ABA</v>
      </c>
    </row>
    <row r="127" spans="1:5" x14ac:dyDescent="0.25">
      <c r="A127" t="s">
        <v>234</v>
      </c>
      <c r="B127" t="s">
        <v>1244</v>
      </c>
      <c r="C127" t="s">
        <v>1246</v>
      </c>
      <c r="D127" t="s">
        <v>1244</v>
      </c>
      <c r="E127" t="str">
        <f t="shared" si="1"/>
        <v>ACA</v>
      </c>
    </row>
    <row r="128" spans="1:5" x14ac:dyDescent="0.25">
      <c r="A128" t="s">
        <v>638</v>
      </c>
      <c r="B128" t="s">
        <v>1244</v>
      </c>
      <c r="C128" t="s">
        <v>1245</v>
      </c>
      <c r="D128" t="s">
        <v>1244</v>
      </c>
      <c r="E128" t="str">
        <f t="shared" si="1"/>
        <v>ABA</v>
      </c>
    </row>
    <row r="129" spans="1:5" x14ac:dyDescent="0.25">
      <c r="A129" t="s">
        <v>431</v>
      </c>
      <c r="B129" t="s">
        <v>1244</v>
      </c>
      <c r="C129" t="s">
        <v>1244</v>
      </c>
      <c r="D129" t="s">
        <v>1244</v>
      </c>
      <c r="E129" t="str">
        <f t="shared" si="1"/>
        <v>AAA</v>
      </c>
    </row>
    <row r="130" spans="1:5" x14ac:dyDescent="0.25">
      <c r="A130" t="s">
        <v>1071</v>
      </c>
      <c r="B130" t="s">
        <v>1244</v>
      </c>
      <c r="C130" t="s">
        <v>1245</v>
      </c>
      <c r="D130" t="s">
        <v>1244</v>
      </c>
      <c r="E130" t="str">
        <f t="shared" si="1"/>
        <v>ABA</v>
      </c>
    </row>
    <row r="131" spans="1:5" x14ac:dyDescent="0.25">
      <c r="A131" t="s">
        <v>290</v>
      </c>
      <c r="B131" t="s">
        <v>1244</v>
      </c>
      <c r="C131" t="s">
        <v>1245</v>
      </c>
      <c r="D131" t="s">
        <v>1244</v>
      </c>
      <c r="E131" t="str">
        <f t="shared" si="1"/>
        <v>ABA</v>
      </c>
    </row>
    <row r="132" spans="1:5" x14ac:dyDescent="0.25">
      <c r="A132" t="s">
        <v>571</v>
      </c>
      <c r="B132" t="s">
        <v>1244</v>
      </c>
      <c r="C132" t="s">
        <v>1245</v>
      </c>
      <c r="D132" t="s">
        <v>1244</v>
      </c>
      <c r="E132" t="str">
        <f t="shared" si="1"/>
        <v>ABA</v>
      </c>
    </row>
    <row r="133" spans="1:5" x14ac:dyDescent="0.25">
      <c r="A133" t="s">
        <v>568</v>
      </c>
      <c r="B133" t="s">
        <v>1244</v>
      </c>
      <c r="C133" t="s">
        <v>1244</v>
      </c>
      <c r="D133" t="s">
        <v>1244</v>
      </c>
      <c r="E133" t="str">
        <f t="shared" ref="E133:E196" si="2">B133&amp;C133&amp;D133</f>
        <v>AAA</v>
      </c>
    </row>
    <row r="134" spans="1:5" x14ac:dyDescent="0.25">
      <c r="A134" t="s">
        <v>232</v>
      </c>
      <c r="B134" t="s">
        <v>1244</v>
      </c>
      <c r="C134" t="s">
        <v>1244</v>
      </c>
      <c r="D134" t="s">
        <v>1244</v>
      </c>
      <c r="E134" t="str">
        <f t="shared" si="2"/>
        <v>AAA</v>
      </c>
    </row>
    <row r="135" spans="1:5" x14ac:dyDescent="0.25">
      <c r="A135" t="s">
        <v>712</v>
      </c>
      <c r="B135" t="s">
        <v>1244</v>
      </c>
      <c r="C135" t="s">
        <v>1246</v>
      </c>
      <c r="D135" t="s">
        <v>1244</v>
      </c>
      <c r="E135" t="str">
        <f t="shared" si="2"/>
        <v>ACA</v>
      </c>
    </row>
    <row r="136" spans="1:5" x14ac:dyDescent="0.25">
      <c r="A136" t="s">
        <v>405</v>
      </c>
      <c r="B136" t="s">
        <v>1244</v>
      </c>
      <c r="C136" t="s">
        <v>1246</v>
      </c>
      <c r="D136" t="s">
        <v>1244</v>
      </c>
      <c r="E136" t="str">
        <f t="shared" si="2"/>
        <v>ACA</v>
      </c>
    </row>
    <row r="137" spans="1:5" x14ac:dyDescent="0.25">
      <c r="A137" t="s">
        <v>1001</v>
      </c>
      <c r="B137" t="s">
        <v>1244</v>
      </c>
      <c r="C137" t="s">
        <v>1245</v>
      </c>
      <c r="D137" t="s">
        <v>1244</v>
      </c>
      <c r="E137" t="str">
        <f t="shared" si="2"/>
        <v>ABA</v>
      </c>
    </row>
    <row r="138" spans="1:5" x14ac:dyDescent="0.25">
      <c r="A138" t="s">
        <v>818</v>
      </c>
      <c r="B138" t="s">
        <v>1244</v>
      </c>
      <c r="C138" t="s">
        <v>1244</v>
      </c>
      <c r="D138" t="s">
        <v>1244</v>
      </c>
      <c r="E138" t="str">
        <f t="shared" si="2"/>
        <v>AAA</v>
      </c>
    </row>
    <row r="139" spans="1:5" x14ac:dyDescent="0.25">
      <c r="A139" t="s">
        <v>210</v>
      </c>
      <c r="B139" t="s">
        <v>1244</v>
      </c>
      <c r="C139" t="s">
        <v>1245</v>
      </c>
      <c r="D139" t="s">
        <v>1244</v>
      </c>
      <c r="E139" t="str">
        <f t="shared" si="2"/>
        <v>ABA</v>
      </c>
    </row>
    <row r="140" spans="1:5" x14ac:dyDescent="0.25">
      <c r="A140" t="s">
        <v>83</v>
      </c>
      <c r="B140" t="s">
        <v>1244</v>
      </c>
      <c r="C140" t="s">
        <v>1244</v>
      </c>
      <c r="D140" t="s">
        <v>1244</v>
      </c>
      <c r="E140" t="str">
        <f t="shared" si="2"/>
        <v>AAA</v>
      </c>
    </row>
    <row r="141" spans="1:5" x14ac:dyDescent="0.25">
      <c r="A141" t="s">
        <v>844</v>
      </c>
      <c r="B141" t="s">
        <v>1244</v>
      </c>
      <c r="C141" t="s">
        <v>1245</v>
      </c>
      <c r="D141" t="s">
        <v>1244</v>
      </c>
      <c r="E141" t="str">
        <f t="shared" si="2"/>
        <v>ABA</v>
      </c>
    </row>
    <row r="142" spans="1:5" x14ac:dyDescent="0.25">
      <c r="A142" t="s">
        <v>686</v>
      </c>
      <c r="B142" t="s">
        <v>1244</v>
      </c>
      <c r="C142" t="s">
        <v>1245</v>
      </c>
      <c r="D142" t="s">
        <v>1244</v>
      </c>
      <c r="E142" t="str">
        <f t="shared" si="2"/>
        <v>ABA</v>
      </c>
    </row>
    <row r="143" spans="1:5" x14ac:dyDescent="0.25">
      <c r="A143" t="s">
        <v>307</v>
      </c>
      <c r="B143" t="s">
        <v>1244</v>
      </c>
      <c r="C143" t="s">
        <v>1246</v>
      </c>
      <c r="D143" t="s">
        <v>1244</v>
      </c>
      <c r="E143" t="str">
        <f t="shared" si="2"/>
        <v>ACA</v>
      </c>
    </row>
    <row r="144" spans="1:5" x14ac:dyDescent="0.25">
      <c r="A144" t="s">
        <v>182</v>
      </c>
      <c r="B144" t="s">
        <v>1244</v>
      </c>
      <c r="C144" t="s">
        <v>1245</v>
      </c>
      <c r="D144" t="s">
        <v>1244</v>
      </c>
      <c r="E144" t="str">
        <f t="shared" si="2"/>
        <v>ABA</v>
      </c>
    </row>
    <row r="145" spans="1:5" x14ac:dyDescent="0.25">
      <c r="A145" t="s">
        <v>477</v>
      </c>
      <c r="B145" t="s">
        <v>1244</v>
      </c>
      <c r="C145" t="s">
        <v>1246</v>
      </c>
      <c r="D145" t="s">
        <v>1244</v>
      </c>
      <c r="E145" t="str">
        <f t="shared" si="2"/>
        <v>ACA</v>
      </c>
    </row>
    <row r="146" spans="1:5" x14ac:dyDescent="0.25">
      <c r="A146" t="s">
        <v>457</v>
      </c>
      <c r="B146" t="s">
        <v>1244</v>
      </c>
      <c r="C146" t="s">
        <v>1246</v>
      </c>
      <c r="D146" t="s">
        <v>1244</v>
      </c>
      <c r="E146" t="str">
        <f t="shared" si="2"/>
        <v>ACA</v>
      </c>
    </row>
    <row r="147" spans="1:5" x14ac:dyDescent="0.25">
      <c r="A147" t="s">
        <v>802</v>
      </c>
      <c r="B147" t="s">
        <v>1244</v>
      </c>
      <c r="C147" t="s">
        <v>1244</v>
      </c>
      <c r="D147" t="s">
        <v>1244</v>
      </c>
      <c r="E147" t="str">
        <f t="shared" si="2"/>
        <v>AAA</v>
      </c>
    </row>
    <row r="148" spans="1:5" x14ac:dyDescent="0.25">
      <c r="A148" t="s">
        <v>37</v>
      </c>
      <c r="B148" t="s">
        <v>1244</v>
      </c>
      <c r="C148" t="s">
        <v>1244</v>
      </c>
      <c r="D148" t="s">
        <v>1244</v>
      </c>
      <c r="E148" t="str">
        <f t="shared" si="2"/>
        <v>AAA</v>
      </c>
    </row>
    <row r="149" spans="1:5" x14ac:dyDescent="0.25">
      <c r="A149" t="s">
        <v>452</v>
      </c>
      <c r="B149" t="s">
        <v>1244</v>
      </c>
      <c r="C149" t="s">
        <v>1245</v>
      </c>
      <c r="D149" t="s">
        <v>1244</v>
      </c>
      <c r="E149" t="str">
        <f t="shared" si="2"/>
        <v>ABA</v>
      </c>
    </row>
    <row r="150" spans="1:5" x14ac:dyDescent="0.25">
      <c r="A150" t="s">
        <v>656</v>
      </c>
      <c r="B150" t="s">
        <v>1244</v>
      </c>
      <c r="C150" t="s">
        <v>1246</v>
      </c>
      <c r="D150" t="s">
        <v>1244</v>
      </c>
      <c r="E150" t="str">
        <f t="shared" si="2"/>
        <v>ACA</v>
      </c>
    </row>
    <row r="151" spans="1:5" x14ac:dyDescent="0.25">
      <c r="A151" t="s">
        <v>990</v>
      </c>
      <c r="B151" t="s">
        <v>1244</v>
      </c>
      <c r="C151" t="s">
        <v>1244</v>
      </c>
      <c r="D151" t="s">
        <v>1244</v>
      </c>
      <c r="E151" t="str">
        <f t="shared" si="2"/>
        <v>AAA</v>
      </c>
    </row>
    <row r="152" spans="1:5" x14ac:dyDescent="0.25">
      <c r="A152" t="s">
        <v>261</v>
      </c>
      <c r="B152" t="s">
        <v>1244</v>
      </c>
      <c r="C152" t="s">
        <v>1244</v>
      </c>
      <c r="D152" t="s">
        <v>1244</v>
      </c>
      <c r="E152" t="str">
        <f t="shared" si="2"/>
        <v>AAA</v>
      </c>
    </row>
    <row r="153" spans="1:5" x14ac:dyDescent="0.25">
      <c r="A153" t="s">
        <v>155</v>
      </c>
      <c r="B153" t="s">
        <v>1244</v>
      </c>
      <c r="C153" t="s">
        <v>1244</v>
      </c>
      <c r="D153" t="s">
        <v>1244</v>
      </c>
      <c r="E153" t="str">
        <f t="shared" si="2"/>
        <v>AAA</v>
      </c>
    </row>
    <row r="154" spans="1:5" x14ac:dyDescent="0.25">
      <c r="A154" t="s">
        <v>442</v>
      </c>
      <c r="B154" t="s">
        <v>1244</v>
      </c>
      <c r="C154" t="s">
        <v>1244</v>
      </c>
      <c r="D154" t="s">
        <v>1244</v>
      </c>
      <c r="E154" t="str">
        <f t="shared" si="2"/>
        <v>AAA</v>
      </c>
    </row>
    <row r="155" spans="1:5" x14ac:dyDescent="0.25">
      <c r="A155" t="s">
        <v>643</v>
      </c>
      <c r="B155" t="s">
        <v>1244</v>
      </c>
      <c r="C155" t="s">
        <v>1245</v>
      </c>
      <c r="D155" t="s">
        <v>1244</v>
      </c>
      <c r="E155" t="str">
        <f t="shared" si="2"/>
        <v>ABA</v>
      </c>
    </row>
    <row r="156" spans="1:5" x14ac:dyDescent="0.25">
      <c r="A156" t="s">
        <v>791</v>
      </c>
      <c r="B156" t="s">
        <v>1244</v>
      </c>
      <c r="C156" t="s">
        <v>1244</v>
      </c>
      <c r="D156" t="s">
        <v>1244</v>
      </c>
      <c r="E156" t="str">
        <f t="shared" si="2"/>
        <v>AAA</v>
      </c>
    </row>
    <row r="157" spans="1:5" x14ac:dyDescent="0.25">
      <c r="A157" t="s">
        <v>246</v>
      </c>
      <c r="B157" t="s">
        <v>1244</v>
      </c>
      <c r="C157" t="s">
        <v>1246</v>
      </c>
      <c r="D157" t="s">
        <v>1244</v>
      </c>
      <c r="E157" t="str">
        <f t="shared" si="2"/>
        <v>ACA</v>
      </c>
    </row>
    <row r="158" spans="1:5" x14ac:dyDescent="0.25">
      <c r="A158" t="s">
        <v>981</v>
      </c>
      <c r="B158" t="s">
        <v>1244</v>
      </c>
      <c r="C158" t="s">
        <v>1245</v>
      </c>
      <c r="D158" t="s">
        <v>1244</v>
      </c>
      <c r="E158" t="str">
        <f t="shared" si="2"/>
        <v>ABA</v>
      </c>
    </row>
    <row r="159" spans="1:5" x14ac:dyDescent="0.25">
      <c r="A159" t="s">
        <v>797</v>
      </c>
      <c r="B159" t="s">
        <v>1244</v>
      </c>
      <c r="C159" t="s">
        <v>1246</v>
      </c>
      <c r="D159" t="s">
        <v>1244</v>
      </c>
      <c r="E159" t="str">
        <f t="shared" si="2"/>
        <v>ACA</v>
      </c>
    </row>
    <row r="160" spans="1:5" x14ac:dyDescent="0.25">
      <c r="A160" t="s">
        <v>963</v>
      </c>
      <c r="B160" t="s">
        <v>1244</v>
      </c>
      <c r="C160" t="s">
        <v>1246</v>
      </c>
      <c r="D160" t="s">
        <v>1244</v>
      </c>
      <c r="E160" t="str">
        <f t="shared" si="2"/>
        <v>ACA</v>
      </c>
    </row>
    <row r="161" spans="1:5" x14ac:dyDescent="0.25">
      <c r="A161" t="s">
        <v>322</v>
      </c>
      <c r="B161" t="s">
        <v>1244</v>
      </c>
      <c r="C161" t="s">
        <v>1245</v>
      </c>
      <c r="D161" t="s">
        <v>1244</v>
      </c>
      <c r="E161" t="str">
        <f t="shared" si="2"/>
        <v>ABA</v>
      </c>
    </row>
    <row r="162" spans="1:5" x14ac:dyDescent="0.25">
      <c r="A162" t="s">
        <v>196</v>
      </c>
      <c r="B162" t="s">
        <v>1244</v>
      </c>
      <c r="C162" t="s">
        <v>1245</v>
      </c>
      <c r="D162" t="s">
        <v>1244</v>
      </c>
      <c r="E162" t="str">
        <f t="shared" si="2"/>
        <v>ABA</v>
      </c>
    </row>
    <row r="163" spans="1:5" x14ac:dyDescent="0.25">
      <c r="A163" t="s">
        <v>191</v>
      </c>
      <c r="B163" t="s">
        <v>1244</v>
      </c>
      <c r="C163" t="s">
        <v>1245</v>
      </c>
      <c r="D163" t="s">
        <v>1244</v>
      </c>
      <c r="E163" t="str">
        <f t="shared" si="2"/>
        <v>ABA</v>
      </c>
    </row>
    <row r="164" spans="1:5" x14ac:dyDescent="0.25">
      <c r="A164" t="s">
        <v>462</v>
      </c>
      <c r="B164" t="s">
        <v>1244</v>
      </c>
      <c r="C164" t="s">
        <v>1244</v>
      </c>
      <c r="D164" t="s">
        <v>1244</v>
      </c>
      <c r="E164" t="str">
        <f t="shared" si="2"/>
        <v>AAA</v>
      </c>
    </row>
    <row r="165" spans="1:5" x14ac:dyDescent="0.25">
      <c r="A165" t="s">
        <v>110</v>
      </c>
      <c r="B165" t="s">
        <v>1244</v>
      </c>
      <c r="C165" t="s">
        <v>1245</v>
      </c>
      <c r="D165" t="s">
        <v>1244</v>
      </c>
      <c r="E165" t="str">
        <f t="shared" si="2"/>
        <v>ABA</v>
      </c>
    </row>
    <row r="166" spans="1:5" x14ac:dyDescent="0.25">
      <c r="A166" t="s">
        <v>899</v>
      </c>
      <c r="B166" t="s">
        <v>1244</v>
      </c>
      <c r="C166" t="s">
        <v>1244</v>
      </c>
      <c r="D166" t="s">
        <v>1244</v>
      </c>
      <c r="E166" t="str">
        <f t="shared" si="2"/>
        <v>AAA</v>
      </c>
    </row>
    <row r="167" spans="1:5" x14ac:dyDescent="0.25">
      <c r="A167" t="s">
        <v>1077</v>
      </c>
      <c r="B167" t="s">
        <v>1244</v>
      </c>
      <c r="C167" t="s">
        <v>1246</v>
      </c>
      <c r="D167" t="s">
        <v>1244</v>
      </c>
      <c r="E167" t="str">
        <f t="shared" si="2"/>
        <v>ACA</v>
      </c>
    </row>
    <row r="168" spans="1:5" x14ac:dyDescent="0.25">
      <c r="A168" t="s">
        <v>900</v>
      </c>
      <c r="B168" t="s">
        <v>1244</v>
      </c>
      <c r="C168" t="s">
        <v>1246</v>
      </c>
      <c r="D168" t="s">
        <v>1244</v>
      </c>
      <c r="E168" t="str">
        <f t="shared" si="2"/>
        <v>ACA</v>
      </c>
    </row>
    <row r="169" spans="1:5" x14ac:dyDescent="0.25">
      <c r="A169" t="s">
        <v>293</v>
      </c>
      <c r="B169" t="s">
        <v>1244</v>
      </c>
      <c r="C169" t="s">
        <v>1244</v>
      </c>
      <c r="D169" t="s">
        <v>1244</v>
      </c>
      <c r="E169" t="str">
        <f t="shared" si="2"/>
        <v>AAA</v>
      </c>
    </row>
    <row r="170" spans="1:5" x14ac:dyDescent="0.25">
      <c r="A170" t="s">
        <v>510</v>
      </c>
      <c r="B170" t="s">
        <v>1244</v>
      </c>
      <c r="C170" t="s">
        <v>1244</v>
      </c>
      <c r="D170" t="s">
        <v>1244</v>
      </c>
      <c r="E170" t="str">
        <f t="shared" si="2"/>
        <v>AAA</v>
      </c>
    </row>
    <row r="171" spans="1:5" x14ac:dyDescent="0.25">
      <c r="A171" t="s">
        <v>916</v>
      </c>
      <c r="B171" t="s">
        <v>1244</v>
      </c>
      <c r="C171" t="s">
        <v>1246</v>
      </c>
      <c r="D171" t="s">
        <v>1244</v>
      </c>
      <c r="E171" t="str">
        <f t="shared" si="2"/>
        <v>ACA</v>
      </c>
    </row>
    <row r="172" spans="1:5" x14ac:dyDescent="0.25">
      <c r="A172" t="s">
        <v>333</v>
      </c>
      <c r="B172" t="s">
        <v>1244</v>
      </c>
      <c r="C172" t="s">
        <v>1244</v>
      </c>
      <c r="D172" t="s">
        <v>1244</v>
      </c>
      <c r="E172" t="str">
        <f t="shared" si="2"/>
        <v>AAA</v>
      </c>
    </row>
    <row r="173" spans="1:5" x14ac:dyDescent="0.25">
      <c r="A173" t="s">
        <v>1150</v>
      </c>
      <c r="B173" t="s">
        <v>1244</v>
      </c>
      <c r="C173" t="s">
        <v>1244</v>
      </c>
      <c r="D173" t="s">
        <v>1244</v>
      </c>
      <c r="E173" t="str">
        <f t="shared" si="2"/>
        <v>AAA</v>
      </c>
    </row>
    <row r="174" spans="1:5" x14ac:dyDescent="0.25">
      <c r="A174" t="s">
        <v>845</v>
      </c>
      <c r="B174" t="s">
        <v>1244</v>
      </c>
      <c r="C174" t="s">
        <v>1244</v>
      </c>
      <c r="D174" t="s">
        <v>1244</v>
      </c>
      <c r="E174" t="str">
        <f t="shared" si="2"/>
        <v>AAA</v>
      </c>
    </row>
    <row r="175" spans="1:5" x14ac:dyDescent="0.25">
      <c r="A175" t="s">
        <v>814</v>
      </c>
      <c r="B175" t="s">
        <v>1244</v>
      </c>
      <c r="C175" t="s">
        <v>1246</v>
      </c>
      <c r="D175" t="s">
        <v>1244</v>
      </c>
      <c r="E175" t="str">
        <f t="shared" si="2"/>
        <v>ACA</v>
      </c>
    </row>
    <row r="176" spans="1:5" x14ac:dyDescent="0.25">
      <c r="A176" t="s">
        <v>286</v>
      </c>
      <c r="B176" t="s">
        <v>1244</v>
      </c>
      <c r="C176" t="s">
        <v>1245</v>
      </c>
      <c r="D176" t="s">
        <v>1244</v>
      </c>
      <c r="E176" t="str">
        <f t="shared" si="2"/>
        <v>ABA</v>
      </c>
    </row>
    <row r="177" spans="1:5" x14ac:dyDescent="0.25">
      <c r="A177" t="s">
        <v>745</v>
      </c>
      <c r="B177" t="s">
        <v>1244</v>
      </c>
      <c r="C177" t="s">
        <v>1246</v>
      </c>
      <c r="D177" t="s">
        <v>1244</v>
      </c>
      <c r="E177" t="str">
        <f t="shared" si="2"/>
        <v>ACA</v>
      </c>
    </row>
    <row r="178" spans="1:5" x14ac:dyDescent="0.25">
      <c r="A178" t="s">
        <v>461</v>
      </c>
      <c r="B178" t="s">
        <v>1244</v>
      </c>
      <c r="C178" t="s">
        <v>1244</v>
      </c>
      <c r="D178" t="s">
        <v>1244</v>
      </c>
      <c r="E178" t="str">
        <f t="shared" si="2"/>
        <v>AAA</v>
      </c>
    </row>
    <row r="179" spans="1:5" x14ac:dyDescent="0.25">
      <c r="A179" t="s">
        <v>681</v>
      </c>
      <c r="B179" t="s">
        <v>1244</v>
      </c>
      <c r="C179" t="s">
        <v>1244</v>
      </c>
      <c r="D179" t="s">
        <v>1244</v>
      </c>
      <c r="E179" t="str">
        <f t="shared" si="2"/>
        <v>AAA</v>
      </c>
    </row>
    <row r="180" spans="1:5" x14ac:dyDescent="0.25">
      <c r="A180" t="s">
        <v>127</v>
      </c>
      <c r="B180" t="s">
        <v>1244</v>
      </c>
      <c r="C180" t="s">
        <v>1244</v>
      </c>
      <c r="D180" t="s">
        <v>1244</v>
      </c>
      <c r="E180" t="str">
        <f t="shared" si="2"/>
        <v>AAA</v>
      </c>
    </row>
    <row r="181" spans="1:5" x14ac:dyDescent="0.25">
      <c r="A181" t="s">
        <v>1012</v>
      </c>
      <c r="B181" t="s">
        <v>1244</v>
      </c>
      <c r="C181" t="s">
        <v>1245</v>
      </c>
      <c r="D181" t="s">
        <v>1244</v>
      </c>
      <c r="E181" t="str">
        <f t="shared" si="2"/>
        <v>ABA</v>
      </c>
    </row>
    <row r="182" spans="1:5" x14ac:dyDescent="0.25">
      <c r="A182" t="s">
        <v>387</v>
      </c>
      <c r="B182" t="s">
        <v>1244</v>
      </c>
      <c r="C182" t="s">
        <v>1246</v>
      </c>
      <c r="D182" t="s">
        <v>1244</v>
      </c>
      <c r="E182" t="str">
        <f t="shared" si="2"/>
        <v>ACA</v>
      </c>
    </row>
    <row r="183" spans="1:5" x14ac:dyDescent="0.25">
      <c r="A183" t="s">
        <v>376</v>
      </c>
      <c r="B183" t="s">
        <v>1244</v>
      </c>
      <c r="C183" t="s">
        <v>1245</v>
      </c>
      <c r="D183" t="s">
        <v>1244</v>
      </c>
      <c r="E183" t="str">
        <f t="shared" si="2"/>
        <v>ABA</v>
      </c>
    </row>
    <row r="184" spans="1:5" x14ac:dyDescent="0.25">
      <c r="A184" t="s">
        <v>425</v>
      </c>
      <c r="B184" t="s">
        <v>1244</v>
      </c>
      <c r="C184" t="s">
        <v>1244</v>
      </c>
      <c r="D184" t="s">
        <v>1244</v>
      </c>
      <c r="E184" t="str">
        <f t="shared" si="2"/>
        <v>AAA</v>
      </c>
    </row>
    <row r="185" spans="1:5" x14ac:dyDescent="0.25">
      <c r="A185" t="s">
        <v>87</v>
      </c>
      <c r="B185" t="s">
        <v>1244</v>
      </c>
      <c r="C185" t="s">
        <v>1246</v>
      </c>
      <c r="D185" t="s">
        <v>1244</v>
      </c>
      <c r="E185" t="str">
        <f t="shared" si="2"/>
        <v>ACA</v>
      </c>
    </row>
    <row r="186" spans="1:5" x14ac:dyDescent="0.25">
      <c r="A186" t="s">
        <v>379</v>
      </c>
      <c r="B186" t="s">
        <v>1244</v>
      </c>
      <c r="C186" t="s">
        <v>1245</v>
      </c>
      <c r="D186" t="s">
        <v>1244</v>
      </c>
      <c r="E186" t="str">
        <f t="shared" si="2"/>
        <v>ABA</v>
      </c>
    </row>
    <row r="187" spans="1:5" x14ac:dyDescent="0.25">
      <c r="A187" t="s">
        <v>137</v>
      </c>
      <c r="B187" t="s">
        <v>1244</v>
      </c>
      <c r="C187" t="s">
        <v>1246</v>
      </c>
      <c r="D187" t="s">
        <v>1244</v>
      </c>
      <c r="E187" t="str">
        <f t="shared" si="2"/>
        <v>ACA</v>
      </c>
    </row>
    <row r="188" spans="1:5" x14ac:dyDescent="0.25">
      <c r="A188" t="s">
        <v>1182</v>
      </c>
      <c r="B188" t="s">
        <v>1244</v>
      </c>
      <c r="C188" t="s">
        <v>1244</v>
      </c>
      <c r="D188" t="s">
        <v>1244</v>
      </c>
      <c r="E188" t="str">
        <f t="shared" si="2"/>
        <v>AAA</v>
      </c>
    </row>
    <row r="189" spans="1:5" x14ac:dyDescent="0.25">
      <c r="A189" t="s">
        <v>1185</v>
      </c>
      <c r="B189" t="s">
        <v>1244</v>
      </c>
      <c r="C189" t="s">
        <v>1245</v>
      </c>
      <c r="D189" t="s">
        <v>1244</v>
      </c>
      <c r="E189" t="str">
        <f t="shared" si="2"/>
        <v>ABA</v>
      </c>
    </row>
    <row r="190" spans="1:5" x14ac:dyDescent="0.25">
      <c r="A190" t="s">
        <v>378</v>
      </c>
      <c r="B190" t="s">
        <v>1244</v>
      </c>
      <c r="C190" t="s">
        <v>1246</v>
      </c>
      <c r="D190" t="s">
        <v>1244</v>
      </c>
      <c r="E190" t="str">
        <f t="shared" si="2"/>
        <v>ACA</v>
      </c>
    </row>
    <row r="191" spans="1:5" x14ac:dyDescent="0.25">
      <c r="A191" t="s">
        <v>854</v>
      </c>
      <c r="B191" t="s">
        <v>1244</v>
      </c>
      <c r="C191" t="s">
        <v>1244</v>
      </c>
      <c r="D191" t="s">
        <v>1244</v>
      </c>
      <c r="E191" t="str">
        <f t="shared" si="2"/>
        <v>AAA</v>
      </c>
    </row>
    <row r="192" spans="1:5" x14ac:dyDescent="0.25">
      <c r="A192" t="s">
        <v>779</v>
      </c>
      <c r="B192" t="s">
        <v>1244</v>
      </c>
      <c r="C192" t="s">
        <v>1244</v>
      </c>
      <c r="D192" t="s">
        <v>1244</v>
      </c>
      <c r="E192" t="str">
        <f t="shared" si="2"/>
        <v>AAA</v>
      </c>
    </row>
    <row r="193" spans="1:5" x14ac:dyDescent="0.25">
      <c r="A193" t="s">
        <v>972</v>
      </c>
      <c r="B193" t="s">
        <v>1244</v>
      </c>
      <c r="C193" t="s">
        <v>1246</v>
      </c>
      <c r="D193" t="s">
        <v>1244</v>
      </c>
      <c r="E193" t="str">
        <f t="shared" si="2"/>
        <v>ACA</v>
      </c>
    </row>
    <row r="194" spans="1:5" x14ac:dyDescent="0.25">
      <c r="A194" t="s">
        <v>198</v>
      </c>
      <c r="B194" t="s">
        <v>1244</v>
      </c>
      <c r="C194" t="s">
        <v>1245</v>
      </c>
      <c r="D194" t="s">
        <v>1244</v>
      </c>
      <c r="E194" t="str">
        <f t="shared" si="2"/>
        <v>ABA</v>
      </c>
    </row>
    <row r="195" spans="1:5" x14ac:dyDescent="0.25">
      <c r="A195" t="s">
        <v>991</v>
      </c>
      <c r="B195" t="s">
        <v>1244</v>
      </c>
      <c r="C195" t="s">
        <v>1246</v>
      </c>
      <c r="D195" t="s">
        <v>1244</v>
      </c>
      <c r="E195" t="str">
        <f t="shared" si="2"/>
        <v>ACA</v>
      </c>
    </row>
    <row r="196" spans="1:5" x14ac:dyDescent="0.25">
      <c r="A196" t="s">
        <v>858</v>
      </c>
      <c r="B196" t="s">
        <v>1244</v>
      </c>
      <c r="C196" t="s">
        <v>1244</v>
      </c>
      <c r="D196" t="s">
        <v>1244</v>
      </c>
      <c r="E196" t="str">
        <f t="shared" si="2"/>
        <v>AAA</v>
      </c>
    </row>
    <row r="197" spans="1:5" x14ac:dyDescent="0.25">
      <c r="A197" t="s">
        <v>689</v>
      </c>
      <c r="B197" t="s">
        <v>1244</v>
      </c>
      <c r="C197" t="s">
        <v>1244</v>
      </c>
      <c r="D197" t="s">
        <v>1244</v>
      </c>
      <c r="E197" t="str">
        <f t="shared" ref="E197:E260" si="3">B197&amp;C197&amp;D197</f>
        <v>AAA</v>
      </c>
    </row>
    <row r="198" spans="1:5" x14ac:dyDescent="0.25">
      <c r="A198" t="s">
        <v>277</v>
      </c>
      <c r="B198" t="s">
        <v>1244</v>
      </c>
      <c r="C198" t="s">
        <v>1244</v>
      </c>
      <c r="D198" t="s">
        <v>1244</v>
      </c>
      <c r="E198" t="str">
        <f t="shared" si="3"/>
        <v>AAA</v>
      </c>
    </row>
    <row r="199" spans="1:5" x14ac:dyDescent="0.25">
      <c r="A199" t="s">
        <v>437</v>
      </c>
      <c r="B199" t="s">
        <v>1244</v>
      </c>
      <c r="C199" t="s">
        <v>1246</v>
      </c>
      <c r="D199" t="s">
        <v>1244</v>
      </c>
      <c r="E199" t="str">
        <f t="shared" si="3"/>
        <v>ACA</v>
      </c>
    </row>
    <row r="200" spans="1:5" x14ac:dyDescent="0.25">
      <c r="A200" t="s">
        <v>721</v>
      </c>
      <c r="B200" t="s">
        <v>1244</v>
      </c>
      <c r="C200" t="s">
        <v>1245</v>
      </c>
      <c r="D200" t="s">
        <v>1244</v>
      </c>
      <c r="E200" t="str">
        <f t="shared" si="3"/>
        <v>ABA</v>
      </c>
    </row>
    <row r="201" spans="1:5" x14ac:dyDescent="0.25">
      <c r="A201" t="s">
        <v>339</v>
      </c>
      <c r="B201" t="s">
        <v>1244</v>
      </c>
      <c r="C201" t="s">
        <v>1244</v>
      </c>
      <c r="D201" t="s">
        <v>1244</v>
      </c>
      <c r="E201" t="str">
        <f t="shared" si="3"/>
        <v>AAA</v>
      </c>
    </row>
    <row r="202" spans="1:5" x14ac:dyDescent="0.25">
      <c r="A202" t="s">
        <v>76</v>
      </c>
      <c r="B202" t="s">
        <v>1244</v>
      </c>
      <c r="C202" t="s">
        <v>1245</v>
      </c>
      <c r="D202" t="s">
        <v>1244</v>
      </c>
      <c r="E202" t="str">
        <f t="shared" si="3"/>
        <v>ABA</v>
      </c>
    </row>
    <row r="203" spans="1:5" x14ac:dyDescent="0.25">
      <c r="A203" t="s">
        <v>318</v>
      </c>
      <c r="B203" t="s">
        <v>1244</v>
      </c>
      <c r="C203" t="s">
        <v>1245</v>
      </c>
      <c r="D203" t="s">
        <v>1244</v>
      </c>
      <c r="E203" t="str">
        <f t="shared" si="3"/>
        <v>ABA</v>
      </c>
    </row>
    <row r="204" spans="1:5" x14ac:dyDescent="0.25">
      <c r="A204" t="s">
        <v>1050</v>
      </c>
      <c r="B204" t="s">
        <v>1244</v>
      </c>
      <c r="C204" t="s">
        <v>1246</v>
      </c>
      <c r="D204" t="s">
        <v>1244</v>
      </c>
      <c r="E204" t="str">
        <f t="shared" si="3"/>
        <v>ACA</v>
      </c>
    </row>
    <row r="205" spans="1:5" x14ac:dyDescent="0.25">
      <c r="A205" t="s">
        <v>1163</v>
      </c>
      <c r="B205" t="s">
        <v>1244</v>
      </c>
      <c r="C205" t="s">
        <v>1246</v>
      </c>
      <c r="D205" t="s">
        <v>1244</v>
      </c>
      <c r="E205" t="str">
        <f t="shared" si="3"/>
        <v>ACA</v>
      </c>
    </row>
    <row r="206" spans="1:5" x14ac:dyDescent="0.25">
      <c r="A206" t="s">
        <v>1094</v>
      </c>
      <c r="B206" t="s">
        <v>1244</v>
      </c>
      <c r="C206" t="s">
        <v>1245</v>
      </c>
      <c r="D206" t="s">
        <v>1244</v>
      </c>
      <c r="E206" t="str">
        <f t="shared" si="3"/>
        <v>ABA</v>
      </c>
    </row>
    <row r="207" spans="1:5" x14ac:dyDescent="0.25">
      <c r="A207" t="s">
        <v>672</v>
      </c>
      <c r="B207" t="s">
        <v>1244</v>
      </c>
      <c r="C207" t="s">
        <v>1246</v>
      </c>
      <c r="D207" t="s">
        <v>1244</v>
      </c>
      <c r="E207" t="str">
        <f t="shared" si="3"/>
        <v>ACA</v>
      </c>
    </row>
    <row r="208" spans="1:5" x14ac:dyDescent="0.25">
      <c r="A208" t="s">
        <v>451</v>
      </c>
      <c r="B208" t="s">
        <v>1244</v>
      </c>
      <c r="C208" t="s">
        <v>1245</v>
      </c>
      <c r="D208" t="s">
        <v>1244</v>
      </c>
      <c r="E208" t="str">
        <f t="shared" si="3"/>
        <v>ABA</v>
      </c>
    </row>
    <row r="209" spans="1:5" x14ac:dyDescent="0.25">
      <c r="A209" t="s">
        <v>395</v>
      </c>
      <c r="B209" t="s">
        <v>1244</v>
      </c>
      <c r="C209" t="s">
        <v>1245</v>
      </c>
      <c r="D209" t="s">
        <v>1244</v>
      </c>
      <c r="E209" t="str">
        <f t="shared" si="3"/>
        <v>ABA</v>
      </c>
    </row>
    <row r="210" spans="1:5" x14ac:dyDescent="0.25">
      <c r="A210" t="s">
        <v>709</v>
      </c>
      <c r="B210" t="s">
        <v>1244</v>
      </c>
      <c r="C210" t="s">
        <v>1246</v>
      </c>
      <c r="D210" t="s">
        <v>1244</v>
      </c>
      <c r="E210" t="str">
        <f t="shared" si="3"/>
        <v>ACA</v>
      </c>
    </row>
    <row r="211" spans="1:5" x14ac:dyDescent="0.25">
      <c r="A211" t="s">
        <v>940</v>
      </c>
      <c r="B211" t="s">
        <v>1244</v>
      </c>
      <c r="C211" t="s">
        <v>1245</v>
      </c>
      <c r="D211" t="s">
        <v>1244</v>
      </c>
      <c r="E211" t="str">
        <f t="shared" si="3"/>
        <v>ABA</v>
      </c>
    </row>
    <row r="212" spans="1:5" x14ac:dyDescent="0.25">
      <c r="A212" t="s">
        <v>63</v>
      </c>
      <c r="B212" t="s">
        <v>1244</v>
      </c>
      <c r="C212" t="s">
        <v>1244</v>
      </c>
      <c r="D212" t="s">
        <v>1244</v>
      </c>
      <c r="E212" t="str">
        <f t="shared" si="3"/>
        <v>AAA</v>
      </c>
    </row>
    <row r="213" spans="1:5" x14ac:dyDescent="0.25">
      <c r="A213" t="s">
        <v>735</v>
      </c>
      <c r="B213" t="s">
        <v>1244</v>
      </c>
      <c r="C213" t="s">
        <v>1245</v>
      </c>
      <c r="D213" t="s">
        <v>1244</v>
      </c>
      <c r="E213" t="str">
        <f t="shared" si="3"/>
        <v>ABA</v>
      </c>
    </row>
    <row r="214" spans="1:5" x14ac:dyDescent="0.25">
      <c r="A214" t="s">
        <v>522</v>
      </c>
      <c r="B214" t="s">
        <v>1244</v>
      </c>
      <c r="C214" t="s">
        <v>1244</v>
      </c>
      <c r="D214" t="s">
        <v>1244</v>
      </c>
      <c r="E214" t="str">
        <f t="shared" si="3"/>
        <v>AAA</v>
      </c>
    </row>
    <row r="215" spans="1:5" x14ac:dyDescent="0.25">
      <c r="A215" t="s">
        <v>472</v>
      </c>
      <c r="B215" t="s">
        <v>1244</v>
      </c>
      <c r="C215" t="s">
        <v>1245</v>
      </c>
      <c r="D215" t="s">
        <v>1244</v>
      </c>
      <c r="E215" t="str">
        <f t="shared" si="3"/>
        <v>ABA</v>
      </c>
    </row>
    <row r="216" spans="1:5" x14ac:dyDescent="0.25">
      <c r="A216" t="s">
        <v>487</v>
      </c>
      <c r="B216" t="s">
        <v>1244</v>
      </c>
      <c r="C216" t="s">
        <v>1244</v>
      </c>
      <c r="D216" t="s">
        <v>1244</v>
      </c>
      <c r="E216" t="str">
        <f t="shared" si="3"/>
        <v>AAA</v>
      </c>
    </row>
    <row r="217" spans="1:5" x14ac:dyDescent="0.25">
      <c r="A217" t="s">
        <v>555</v>
      </c>
      <c r="B217" t="s">
        <v>1244</v>
      </c>
      <c r="C217" t="s">
        <v>1244</v>
      </c>
      <c r="D217" t="s">
        <v>1244</v>
      </c>
      <c r="E217" t="str">
        <f t="shared" si="3"/>
        <v>AAA</v>
      </c>
    </row>
    <row r="218" spans="1:5" x14ac:dyDescent="0.25">
      <c r="A218" t="s">
        <v>878</v>
      </c>
      <c r="B218" t="s">
        <v>1244</v>
      </c>
      <c r="C218" t="s">
        <v>1244</v>
      </c>
      <c r="D218" t="s">
        <v>1244</v>
      </c>
      <c r="E218" t="str">
        <f t="shared" si="3"/>
        <v>AAA</v>
      </c>
    </row>
    <row r="219" spans="1:5" x14ac:dyDescent="0.25">
      <c r="A219" t="s">
        <v>803</v>
      </c>
      <c r="B219" t="s">
        <v>1244</v>
      </c>
      <c r="C219" t="s">
        <v>1244</v>
      </c>
      <c r="D219" t="s">
        <v>1244</v>
      </c>
      <c r="E219" t="str">
        <f t="shared" si="3"/>
        <v>AAA</v>
      </c>
    </row>
    <row r="220" spans="1:5" x14ac:dyDescent="0.25">
      <c r="A220" t="s">
        <v>566</v>
      </c>
      <c r="B220" t="s">
        <v>1244</v>
      </c>
      <c r="C220" t="s">
        <v>1246</v>
      </c>
      <c r="D220" t="s">
        <v>1244</v>
      </c>
      <c r="E220" t="str">
        <f t="shared" si="3"/>
        <v>ACA</v>
      </c>
    </row>
    <row r="221" spans="1:5" x14ac:dyDescent="0.25">
      <c r="A221" t="s">
        <v>282</v>
      </c>
      <c r="B221" t="s">
        <v>1244</v>
      </c>
      <c r="C221" t="s">
        <v>1244</v>
      </c>
      <c r="D221" t="s">
        <v>1244</v>
      </c>
      <c r="E221" t="str">
        <f t="shared" si="3"/>
        <v>AAA</v>
      </c>
    </row>
    <row r="222" spans="1:5" x14ac:dyDescent="0.25">
      <c r="A222" t="s">
        <v>397</v>
      </c>
      <c r="B222" t="s">
        <v>1244</v>
      </c>
      <c r="C222" t="s">
        <v>1244</v>
      </c>
      <c r="D222" t="s">
        <v>1244</v>
      </c>
      <c r="E222" t="str">
        <f t="shared" si="3"/>
        <v>AAA</v>
      </c>
    </row>
    <row r="223" spans="1:5" x14ac:dyDescent="0.25">
      <c r="A223" t="s">
        <v>432</v>
      </c>
      <c r="B223" t="s">
        <v>1244</v>
      </c>
      <c r="C223" t="s">
        <v>1244</v>
      </c>
      <c r="D223" t="s">
        <v>1244</v>
      </c>
      <c r="E223" t="str">
        <f t="shared" si="3"/>
        <v>AAA</v>
      </c>
    </row>
    <row r="224" spans="1:5" x14ac:dyDescent="0.25">
      <c r="A224" t="s">
        <v>482</v>
      </c>
      <c r="B224" t="s">
        <v>1244</v>
      </c>
      <c r="C224" t="s">
        <v>1245</v>
      </c>
      <c r="D224" t="s">
        <v>1244</v>
      </c>
      <c r="E224" t="str">
        <f t="shared" si="3"/>
        <v>ABA</v>
      </c>
    </row>
    <row r="225" spans="1:5" x14ac:dyDescent="0.25">
      <c r="A225" t="s">
        <v>872</v>
      </c>
      <c r="B225" t="s">
        <v>1244</v>
      </c>
      <c r="C225" t="s">
        <v>1244</v>
      </c>
      <c r="D225" t="s">
        <v>1244</v>
      </c>
      <c r="E225" t="str">
        <f t="shared" si="3"/>
        <v>AAA</v>
      </c>
    </row>
    <row r="226" spans="1:5" x14ac:dyDescent="0.25">
      <c r="A226" t="s">
        <v>622</v>
      </c>
      <c r="B226" t="s">
        <v>1244</v>
      </c>
      <c r="C226" t="s">
        <v>1244</v>
      </c>
      <c r="D226" t="s">
        <v>1244</v>
      </c>
      <c r="E226" t="str">
        <f t="shared" si="3"/>
        <v>AAA</v>
      </c>
    </row>
    <row r="227" spans="1:5" x14ac:dyDescent="0.25">
      <c r="A227" t="s">
        <v>1009</v>
      </c>
      <c r="B227" t="s">
        <v>1244</v>
      </c>
      <c r="C227" t="s">
        <v>1245</v>
      </c>
      <c r="D227" t="s">
        <v>1244</v>
      </c>
      <c r="E227" t="str">
        <f t="shared" si="3"/>
        <v>ABA</v>
      </c>
    </row>
    <row r="228" spans="1:5" x14ac:dyDescent="0.25">
      <c r="A228" t="s">
        <v>443</v>
      </c>
      <c r="B228" t="s">
        <v>1244</v>
      </c>
      <c r="C228" t="s">
        <v>1246</v>
      </c>
      <c r="D228" t="s">
        <v>1244</v>
      </c>
      <c r="E228" t="str">
        <f t="shared" si="3"/>
        <v>ACA</v>
      </c>
    </row>
    <row r="229" spans="1:5" x14ac:dyDescent="0.25">
      <c r="A229" t="s">
        <v>917</v>
      </c>
      <c r="B229" t="s">
        <v>1244</v>
      </c>
      <c r="C229" t="s">
        <v>1245</v>
      </c>
      <c r="D229" t="s">
        <v>1244</v>
      </c>
      <c r="E229" t="str">
        <f t="shared" si="3"/>
        <v>ABA</v>
      </c>
    </row>
    <row r="230" spans="1:5" x14ac:dyDescent="0.25">
      <c r="A230" t="s">
        <v>47</v>
      </c>
      <c r="B230" t="s">
        <v>1244</v>
      </c>
      <c r="C230" t="s">
        <v>1245</v>
      </c>
      <c r="D230" t="s">
        <v>1244</v>
      </c>
      <c r="E230" t="str">
        <f t="shared" si="3"/>
        <v>ABA</v>
      </c>
    </row>
    <row r="231" spans="1:5" x14ac:dyDescent="0.25">
      <c r="A231" t="s">
        <v>93</v>
      </c>
      <c r="B231" t="s">
        <v>1244</v>
      </c>
      <c r="C231" t="s">
        <v>1246</v>
      </c>
      <c r="D231" t="s">
        <v>1244</v>
      </c>
      <c r="E231" t="str">
        <f t="shared" si="3"/>
        <v>ACA</v>
      </c>
    </row>
    <row r="232" spans="1:5" x14ac:dyDescent="0.25">
      <c r="A232" t="s">
        <v>1005</v>
      </c>
      <c r="B232" t="s">
        <v>1244</v>
      </c>
      <c r="C232" t="s">
        <v>1244</v>
      </c>
      <c r="D232" t="s">
        <v>1244</v>
      </c>
      <c r="E232" t="str">
        <f t="shared" si="3"/>
        <v>AAA</v>
      </c>
    </row>
    <row r="233" spans="1:5" x14ac:dyDescent="0.25">
      <c r="A233" t="s">
        <v>702</v>
      </c>
      <c r="B233" t="s">
        <v>1244</v>
      </c>
      <c r="C233" t="s">
        <v>1244</v>
      </c>
      <c r="D233" t="s">
        <v>1244</v>
      </c>
      <c r="E233" t="str">
        <f t="shared" si="3"/>
        <v>AAA</v>
      </c>
    </row>
    <row r="234" spans="1:5" x14ac:dyDescent="0.25">
      <c r="A234" t="s">
        <v>434</v>
      </c>
      <c r="B234" t="s">
        <v>1244</v>
      </c>
      <c r="C234" t="s">
        <v>1246</v>
      </c>
      <c r="D234" t="s">
        <v>1244</v>
      </c>
      <c r="E234" t="str">
        <f t="shared" si="3"/>
        <v>ACA</v>
      </c>
    </row>
    <row r="235" spans="1:5" x14ac:dyDescent="0.25">
      <c r="A235" t="s">
        <v>964</v>
      </c>
      <c r="B235" t="s">
        <v>1244</v>
      </c>
      <c r="C235" t="s">
        <v>1246</v>
      </c>
      <c r="D235" t="s">
        <v>1244</v>
      </c>
      <c r="E235" t="str">
        <f t="shared" si="3"/>
        <v>ACA</v>
      </c>
    </row>
    <row r="236" spans="1:5" x14ac:dyDescent="0.25">
      <c r="A236" t="s">
        <v>896</v>
      </c>
      <c r="B236" t="s">
        <v>1244</v>
      </c>
      <c r="C236" t="s">
        <v>1246</v>
      </c>
      <c r="D236" t="s">
        <v>1244</v>
      </c>
      <c r="E236" t="str">
        <f t="shared" si="3"/>
        <v>ACA</v>
      </c>
    </row>
    <row r="237" spans="1:5" x14ac:dyDescent="0.25">
      <c r="A237" t="s">
        <v>159</v>
      </c>
      <c r="B237" t="s">
        <v>1244</v>
      </c>
      <c r="C237" t="s">
        <v>1244</v>
      </c>
      <c r="D237" t="s">
        <v>1244</v>
      </c>
      <c r="E237" t="str">
        <f t="shared" si="3"/>
        <v>AAA</v>
      </c>
    </row>
    <row r="238" spans="1:5" x14ac:dyDescent="0.25">
      <c r="A238" t="s">
        <v>612</v>
      </c>
      <c r="B238" t="s">
        <v>1244</v>
      </c>
      <c r="C238" t="s">
        <v>1246</v>
      </c>
      <c r="D238" t="s">
        <v>1244</v>
      </c>
      <c r="E238" t="str">
        <f t="shared" si="3"/>
        <v>ACA</v>
      </c>
    </row>
    <row r="239" spans="1:5" x14ac:dyDescent="0.25">
      <c r="A239" t="s">
        <v>781</v>
      </c>
      <c r="B239" t="s">
        <v>1244</v>
      </c>
      <c r="C239" t="s">
        <v>1244</v>
      </c>
      <c r="D239" t="s">
        <v>1244</v>
      </c>
      <c r="E239" t="str">
        <f t="shared" si="3"/>
        <v>AAA</v>
      </c>
    </row>
    <row r="240" spans="1:5" x14ac:dyDescent="0.25">
      <c r="A240" t="s">
        <v>1098</v>
      </c>
      <c r="B240" t="s">
        <v>1244</v>
      </c>
      <c r="C240" t="s">
        <v>1245</v>
      </c>
      <c r="D240" t="s">
        <v>1244</v>
      </c>
      <c r="E240" t="str">
        <f t="shared" si="3"/>
        <v>ABA</v>
      </c>
    </row>
    <row r="241" spans="1:5" x14ac:dyDescent="0.25">
      <c r="A241" t="s">
        <v>1172</v>
      </c>
      <c r="B241" t="s">
        <v>1244</v>
      </c>
      <c r="C241" t="s">
        <v>1244</v>
      </c>
      <c r="D241" t="s">
        <v>1244</v>
      </c>
      <c r="E241" t="str">
        <f t="shared" si="3"/>
        <v>AAA</v>
      </c>
    </row>
    <row r="242" spans="1:5" x14ac:dyDescent="0.25">
      <c r="A242" t="s">
        <v>1017</v>
      </c>
      <c r="B242" t="s">
        <v>1244</v>
      </c>
      <c r="C242" t="s">
        <v>1245</v>
      </c>
      <c r="D242" t="s">
        <v>1244</v>
      </c>
      <c r="E242" t="str">
        <f t="shared" si="3"/>
        <v>ABA</v>
      </c>
    </row>
    <row r="243" spans="1:5" x14ac:dyDescent="0.25">
      <c r="A243" t="s">
        <v>264</v>
      </c>
      <c r="B243" t="s">
        <v>1244</v>
      </c>
      <c r="C243" t="s">
        <v>1245</v>
      </c>
      <c r="D243" t="s">
        <v>1244</v>
      </c>
      <c r="E243" t="str">
        <f t="shared" si="3"/>
        <v>ABA</v>
      </c>
    </row>
    <row r="244" spans="1:5" x14ac:dyDescent="0.25">
      <c r="A244" t="s">
        <v>994</v>
      </c>
      <c r="B244" t="s">
        <v>1244</v>
      </c>
      <c r="C244" t="s">
        <v>1246</v>
      </c>
      <c r="D244" t="s">
        <v>1244</v>
      </c>
      <c r="E244" t="str">
        <f t="shared" si="3"/>
        <v>ACA</v>
      </c>
    </row>
    <row r="245" spans="1:5" x14ac:dyDescent="0.25">
      <c r="A245" t="s">
        <v>1086</v>
      </c>
      <c r="B245" t="s">
        <v>1244</v>
      </c>
      <c r="C245" t="s">
        <v>1246</v>
      </c>
      <c r="D245" t="s">
        <v>1244</v>
      </c>
      <c r="E245" t="str">
        <f t="shared" si="3"/>
        <v>ACA</v>
      </c>
    </row>
    <row r="246" spans="1:5" x14ac:dyDescent="0.25">
      <c r="A246" t="s">
        <v>337</v>
      </c>
      <c r="B246" t="s">
        <v>1244</v>
      </c>
      <c r="C246" t="s">
        <v>1244</v>
      </c>
      <c r="D246" t="s">
        <v>1244</v>
      </c>
      <c r="E246" t="str">
        <f t="shared" si="3"/>
        <v>AAA</v>
      </c>
    </row>
    <row r="247" spans="1:5" x14ac:dyDescent="0.25">
      <c r="A247" t="s">
        <v>356</v>
      </c>
      <c r="B247" t="s">
        <v>1244</v>
      </c>
      <c r="C247" t="s">
        <v>1246</v>
      </c>
      <c r="D247" t="s">
        <v>1244</v>
      </c>
      <c r="E247" t="str">
        <f t="shared" si="3"/>
        <v>ACA</v>
      </c>
    </row>
    <row r="248" spans="1:5" x14ac:dyDescent="0.25">
      <c r="A248" t="s">
        <v>842</v>
      </c>
      <c r="B248" t="s">
        <v>1244</v>
      </c>
      <c r="C248" t="s">
        <v>1244</v>
      </c>
      <c r="D248" t="s">
        <v>1244</v>
      </c>
      <c r="E248" t="str">
        <f t="shared" si="3"/>
        <v>AAA</v>
      </c>
    </row>
    <row r="249" spans="1:5" x14ac:dyDescent="0.25">
      <c r="A249" t="s">
        <v>567</v>
      </c>
      <c r="B249" t="s">
        <v>1244</v>
      </c>
      <c r="C249" t="s">
        <v>1244</v>
      </c>
      <c r="D249" t="s">
        <v>1244</v>
      </c>
      <c r="E249" t="str">
        <f t="shared" si="3"/>
        <v>AAA</v>
      </c>
    </row>
    <row r="250" spans="1:5" x14ac:dyDescent="0.25">
      <c r="A250" t="s">
        <v>393</v>
      </c>
      <c r="B250" t="s">
        <v>1244</v>
      </c>
      <c r="C250" t="s">
        <v>1245</v>
      </c>
      <c r="D250" t="s">
        <v>1244</v>
      </c>
      <c r="E250" t="str">
        <f t="shared" si="3"/>
        <v>ABA</v>
      </c>
    </row>
    <row r="251" spans="1:5" x14ac:dyDescent="0.25">
      <c r="A251" t="s">
        <v>1031</v>
      </c>
      <c r="B251" t="s">
        <v>1244</v>
      </c>
      <c r="C251" t="s">
        <v>1245</v>
      </c>
      <c r="D251" t="s">
        <v>1244</v>
      </c>
      <c r="E251" t="str">
        <f t="shared" si="3"/>
        <v>ABA</v>
      </c>
    </row>
    <row r="252" spans="1:5" x14ac:dyDescent="0.25">
      <c r="A252" t="s">
        <v>752</v>
      </c>
      <c r="B252" t="s">
        <v>1244</v>
      </c>
      <c r="C252" t="s">
        <v>1245</v>
      </c>
      <c r="D252" t="s">
        <v>1244</v>
      </c>
      <c r="E252" t="str">
        <f t="shared" si="3"/>
        <v>ABA</v>
      </c>
    </row>
    <row r="253" spans="1:5" x14ac:dyDescent="0.25">
      <c r="A253" t="s">
        <v>165</v>
      </c>
      <c r="B253" t="s">
        <v>1244</v>
      </c>
      <c r="C253" t="s">
        <v>1246</v>
      </c>
      <c r="D253" t="s">
        <v>1244</v>
      </c>
      <c r="E253" t="str">
        <f t="shared" si="3"/>
        <v>ACA</v>
      </c>
    </row>
    <row r="254" spans="1:5" x14ac:dyDescent="0.25">
      <c r="A254" t="s">
        <v>920</v>
      </c>
      <c r="B254" t="s">
        <v>1244</v>
      </c>
      <c r="C254" t="s">
        <v>1246</v>
      </c>
      <c r="D254" t="s">
        <v>1244</v>
      </c>
      <c r="E254" t="str">
        <f t="shared" si="3"/>
        <v>ACA</v>
      </c>
    </row>
    <row r="255" spans="1:5" x14ac:dyDescent="0.25">
      <c r="A255" t="s">
        <v>485</v>
      </c>
      <c r="B255" t="s">
        <v>1244</v>
      </c>
      <c r="C255" t="s">
        <v>1244</v>
      </c>
      <c r="D255" t="s">
        <v>1244</v>
      </c>
      <c r="E255" t="str">
        <f t="shared" si="3"/>
        <v>AAA</v>
      </c>
    </row>
    <row r="256" spans="1:5" x14ac:dyDescent="0.25">
      <c r="A256" t="s">
        <v>699</v>
      </c>
      <c r="B256" t="s">
        <v>1244</v>
      </c>
      <c r="C256" t="s">
        <v>1244</v>
      </c>
      <c r="D256" t="s">
        <v>1244</v>
      </c>
      <c r="E256" t="str">
        <f t="shared" si="3"/>
        <v>AAA</v>
      </c>
    </row>
    <row r="257" spans="1:5" x14ac:dyDescent="0.25">
      <c r="A257" t="s">
        <v>476</v>
      </c>
      <c r="B257" t="s">
        <v>1244</v>
      </c>
      <c r="C257" t="s">
        <v>1244</v>
      </c>
      <c r="D257" t="s">
        <v>1244</v>
      </c>
      <c r="E257" t="str">
        <f t="shared" si="3"/>
        <v>AAA</v>
      </c>
    </row>
    <row r="258" spans="1:5" x14ac:dyDescent="0.25">
      <c r="A258" t="s">
        <v>377</v>
      </c>
      <c r="B258" t="s">
        <v>1244</v>
      </c>
      <c r="C258" t="s">
        <v>1246</v>
      </c>
      <c r="D258" t="s">
        <v>1244</v>
      </c>
      <c r="E258" t="str">
        <f t="shared" si="3"/>
        <v>ACA</v>
      </c>
    </row>
    <row r="259" spans="1:5" x14ac:dyDescent="0.25">
      <c r="A259" t="s">
        <v>229</v>
      </c>
      <c r="B259" t="s">
        <v>1244</v>
      </c>
      <c r="C259" t="s">
        <v>1245</v>
      </c>
      <c r="D259" t="s">
        <v>1244</v>
      </c>
      <c r="E259" t="str">
        <f t="shared" si="3"/>
        <v>ABA</v>
      </c>
    </row>
    <row r="260" spans="1:5" x14ac:dyDescent="0.25">
      <c r="A260" t="s">
        <v>703</v>
      </c>
      <c r="B260" t="s">
        <v>1244</v>
      </c>
      <c r="C260" t="s">
        <v>1244</v>
      </c>
      <c r="D260" t="s">
        <v>1244</v>
      </c>
      <c r="E260" t="str">
        <f t="shared" si="3"/>
        <v>AAA</v>
      </c>
    </row>
    <row r="261" spans="1:5" x14ac:dyDescent="0.25">
      <c r="A261" t="s">
        <v>670</v>
      </c>
      <c r="B261" t="s">
        <v>1244</v>
      </c>
      <c r="C261" t="s">
        <v>1246</v>
      </c>
      <c r="D261" t="s">
        <v>1244</v>
      </c>
      <c r="E261" t="str">
        <f t="shared" ref="E261:E324" si="4">B261&amp;C261&amp;D261</f>
        <v>ACA</v>
      </c>
    </row>
    <row r="262" spans="1:5" x14ac:dyDescent="0.25">
      <c r="A262" t="s">
        <v>316</v>
      </c>
      <c r="B262" t="s">
        <v>1244</v>
      </c>
      <c r="C262" t="s">
        <v>1244</v>
      </c>
      <c r="D262" t="s">
        <v>1244</v>
      </c>
      <c r="E262" t="str">
        <f t="shared" si="4"/>
        <v>AAA</v>
      </c>
    </row>
    <row r="263" spans="1:5" x14ac:dyDescent="0.25">
      <c r="A263" t="s">
        <v>119</v>
      </c>
      <c r="B263" t="s">
        <v>1244</v>
      </c>
      <c r="C263" t="s">
        <v>1246</v>
      </c>
      <c r="D263" t="s">
        <v>1244</v>
      </c>
      <c r="E263" t="str">
        <f t="shared" si="4"/>
        <v>ACA</v>
      </c>
    </row>
    <row r="264" spans="1:5" x14ac:dyDescent="0.25">
      <c r="A264" t="s">
        <v>239</v>
      </c>
      <c r="B264" t="s">
        <v>1244</v>
      </c>
      <c r="C264" t="s">
        <v>1244</v>
      </c>
      <c r="D264" t="s">
        <v>1244</v>
      </c>
      <c r="E264" t="str">
        <f t="shared" si="4"/>
        <v>AAA</v>
      </c>
    </row>
    <row r="265" spans="1:5" x14ac:dyDescent="0.25">
      <c r="A265" t="s">
        <v>527</v>
      </c>
      <c r="B265" t="s">
        <v>1244</v>
      </c>
      <c r="C265" t="s">
        <v>1244</v>
      </c>
      <c r="D265" t="s">
        <v>1244</v>
      </c>
      <c r="E265" t="str">
        <f t="shared" si="4"/>
        <v>AAA</v>
      </c>
    </row>
    <row r="266" spans="1:5" x14ac:dyDescent="0.25">
      <c r="A266" t="s">
        <v>80</v>
      </c>
      <c r="B266" t="s">
        <v>1244</v>
      </c>
      <c r="C266" t="s">
        <v>1244</v>
      </c>
      <c r="D266" t="s">
        <v>1244</v>
      </c>
      <c r="E266" t="str">
        <f t="shared" si="4"/>
        <v>AAA</v>
      </c>
    </row>
    <row r="267" spans="1:5" x14ac:dyDescent="0.25">
      <c r="A267" t="s">
        <v>68</v>
      </c>
      <c r="B267" t="s">
        <v>1244</v>
      </c>
      <c r="C267" t="s">
        <v>1244</v>
      </c>
      <c r="D267" t="s">
        <v>1244</v>
      </c>
      <c r="E267" t="str">
        <f t="shared" si="4"/>
        <v>AAA</v>
      </c>
    </row>
    <row r="268" spans="1:5" x14ac:dyDescent="0.25">
      <c r="A268" t="s">
        <v>25</v>
      </c>
      <c r="B268" t="s">
        <v>1244</v>
      </c>
      <c r="C268" t="s">
        <v>1244</v>
      </c>
      <c r="D268" t="s">
        <v>1244</v>
      </c>
      <c r="E268" t="str">
        <f t="shared" si="4"/>
        <v>AAA</v>
      </c>
    </row>
    <row r="269" spans="1:5" x14ac:dyDescent="0.25">
      <c r="A269" t="s">
        <v>565</v>
      </c>
      <c r="B269" t="s">
        <v>1244</v>
      </c>
      <c r="C269" t="s">
        <v>1244</v>
      </c>
      <c r="D269" t="s">
        <v>1244</v>
      </c>
      <c r="E269" t="str">
        <f t="shared" si="4"/>
        <v>AAA</v>
      </c>
    </row>
    <row r="270" spans="1:5" x14ac:dyDescent="0.25">
      <c r="A270" t="s">
        <v>30</v>
      </c>
      <c r="B270" t="s">
        <v>1244</v>
      </c>
      <c r="C270" t="s">
        <v>1246</v>
      </c>
      <c r="D270" t="s">
        <v>1244</v>
      </c>
      <c r="E270" t="str">
        <f t="shared" si="4"/>
        <v>ACA</v>
      </c>
    </row>
    <row r="271" spans="1:5" x14ac:dyDescent="0.25">
      <c r="A271" t="s">
        <v>413</v>
      </c>
      <c r="B271" t="s">
        <v>1244</v>
      </c>
      <c r="C271" t="s">
        <v>1244</v>
      </c>
      <c r="D271" t="s">
        <v>1244</v>
      </c>
      <c r="E271" t="str">
        <f t="shared" si="4"/>
        <v>AAA</v>
      </c>
    </row>
    <row r="272" spans="1:5" x14ac:dyDescent="0.25">
      <c r="A272" t="s">
        <v>151</v>
      </c>
      <c r="B272" t="s">
        <v>1244</v>
      </c>
      <c r="C272" t="s">
        <v>1246</v>
      </c>
      <c r="D272" t="s">
        <v>1244</v>
      </c>
      <c r="E272" t="str">
        <f t="shared" si="4"/>
        <v>ACA</v>
      </c>
    </row>
    <row r="273" spans="1:5" x14ac:dyDescent="0.25">
      <c r="A273" t="s">
        <v>515</v>
      </c>
      <c r="B273" t="s">
        <v>1244</v>
      </c>
      <c r="C273" t="s">
        <v>1246</v>
      </c>
      <c r="D273" t="s">
        <v>1244</v>
      </c>
      <c r="E273" t="str">
        <f t="shared" si="4"/>
        <v>ACA</v>
      </c>
    </row>
    <row r="274" spans="1:5" x14ac:dyDescent="0.25">
      <c r="A274" t="s">
        <v>867</v>
      </c>
      <c r="B274" t="s">
        <v>1244</v>
      </c>
      <c r="C274" t="s">
        <v>1246</v>
      </c>
      <c r="D274" t="s">
        <v>1244</v>
      </c>
      <c r="E274" t="str">
        <f t="shared" si="4"/>
        <v>ACA</v>
      </c>
    </row>
    <row r="275" spans="1:5" x14ac:dyDescent="0.25">
      <c r="A275" t="s">
        <v>106</v>
      </c>
      <c r="B275" t="s">
        <v>1244</v>
      </c>
      <c r="C275" t="s">
        <v>1245</v>
      </c>
      <c r="D275" t="s">
        <v>1244</v>
      </c>
      <c r="E275" t="str">
        <f t="shared" si="4"/>
        <v>ABA</v>
      </c>
    </row>
    <row r="276" spans="1:5" x14ac:dyDescent="0.25">
      <c r="A276" t="s">
        <v>1209</v>
      </c>
      <c r="B276" t="s">
        <v>1244</v>
      </c>
      <c r="C276" t="s">
        <v>1245</v>
      </c>
      <c r="D276" t="s">
        <v>1244</v>
      </c>
      <c r="E276" t="str">
        <f t="shared" si="4"/>
        <v>ABA</v>
      </c>
    </row>
    <row r="277" spans="1:5" x14ac:dyDescent="0.25">
      <c r="A277" t="s">
        <v>41</v>
      </c>
      <c r="B277" t="s">
        <v>1244</v>
      </c>
      <c r="C277" t="s">
        <v>1246</v>
      </c>
      <c r="D277" t="s">
        <v>1244</v>
      </c>
      <c r="E277" t="str">
        <f t="shared" si="4"/>
        <v>ACA</v>
      </c>
    </row>
    <row r="278" spans="1:5" x14ac:dyDescent="0.25">
      <c r="A278" t="s">
        <v>763</v>
      </c>
      <c r="B278" t="s">
        <v>1244</v>
      </c>
      <c r="C278" t="s">
        <v>1245</v>
      </c>
      <c r="D278" t="s">
        <v>1244</v>
      </c>
      <c r="E278" t="str">
        <f t="shared" si="4"/>
        <v>ABA</v>
      </c>
    </row>
    <row r="279" spans="1:5" x14ac:dyDescent="0.25">
      <c r="A279" t="s">
        <v>502</v>
      </c>
      <c r="B279" t="s">
        <v>1244</v>
      </c>
      <c r="C279" t="s">
        <v>1245</v>
      </c>
      <c r="D279" t="s">
        <v>1244</v>
      </c>
      <c r="E279" t="str">
        <f t="shared" si="4"/>
        <v>ABA</v>
      </c>
    </row>
    <row r="280" spans="1:5" x14ac:dyDescent="0.25">
      <c r="A280" t="s">
        <v>868</v>
      </c>
      <c r="B280" t="s">
        <v>1244</v>
      </c>
      <c r="C280" t="s">
        <v>1246</v>
      </c>
      <c r="D280" t="s">
        <v>1244</v>
      </c>
      <c r="E280" t="str">
        <f t="shared" si="4"/>
        <v>ACA</v>
      </c>
    </row>
    <row r="281" spans="1:5" x14ac:dyDescent="0.25">
      <c r="A281" t="s">
        <v>901</v>
      </c>
      <c r="B281" t="s">
        <v>1244</v>
      </c>
      <c r="C281" t="s">
        <v>1244</v>
      </c>
      <c r="D281" t="s">
        <v>1244</v>
      </c>
      <c r="E281" t="str">
        <f t="shared" si="4"/>
        <v>AAA</v>
      </c>
    </row>
    <row r="282" spans="1:5" x14ac:dyDescent="0.25">
      <c r="A282" t="s">
        <v>999</v>
      </c>
      <c r="B282" t="s">
        <v>1244</v>
      </c>
      <c r="C282" t="s">
        <v>1244</v>
      </c>
      <c r="D282" t="s">
        <v>1244</v>
      </c>
      <c r="E282" t="str">
        <f t="shared" si="4"/>
        <v>AAA</v>
      </c>
    </row>
    <row r="283" spans="1:5" x14ac:dyDescent="0.25">
      <c r="A283" t="s">
        <v>1124</v>
      </c>
      <c r="B283" t="s">
        <v>1244</v>
      </c>
      <c r="C283" t="s">
        <v>1246</v>
      </c>
      <c r="D283" t="s">
        <v>1244</v>
      </c>
      <c r="E283" t="str">
        <f t="shared" si="4"/>
        <v>ACA</v>
      </c>
    </row>
    <row r="284" spans="1:5" x14ac:dyDescent="0.25">
      <c r="A284" t="s">
        <v>1196</v>
      </c>
      <c r="B284" t="s">
        <v>1244</v>
      </c>
      <c r="C284" t="s">
        <v>1245</v>
      </c>
      <c r="D284" t="s">
        <v>1244</v>
      </c>
      <c r="E284" t="str">
        <f t="shared" si="4"/>
        <v>ABA</v>
      </c>
    </row>
    <row r="285" spans="1:5" x14ac:dyDescent="0.25">
      <c r="A285" t="s">
        <v>553</v>
      </c>
      <c r="B285" t="s">
        <v>1244</v>
      </c>
      <c r="C285" t="s">
        <v>1244</v>
      </c>
      <c r="D285" t="s">
        <v>1244</v>
      </c>
      <c r="E285" t="str">
        <f t="shared" si="4"/>
        <v>AAA</v>
      </c>
    </row>
    <row r="286" spans="1:5" x14ac:dyDescent="0.25">
      <c r="A286" t="s">
        <v>495</v>
      </c>
      <c r="B286" t="s">
        <v>1244</v>
      </c>
      <c r="C286" t="s">
        <v>1245</v>
      </c>
      <c r="D286" t="s">
        <v>1244</v>
      </c>
      <c r="E286" t="str">
        <f t="shared" si="4"/>
        <v>ABA</v>
      </c>
    </row>
    <row r="287" spans="1:5" x14ac:dyDescent="0.25">
      <c r="A287" t="s">
        <v>864</v>
      </c>
      <c r="B287" t="s">
        <v>1244</v>
      </c>
      <c r="C287" t="s">
        <v>1246</v>
      </c>
      <c r="D287" t="s">
        <v>1244</v>
      </c>
      <c r="E287" t="str">
        <f t="shared" si="4"/>
        <v>ACA</v>
      </c>
    </row>
    <row r="288" spans="1:5" x14ac:dyDescent="0.25">
      <c r="A288" t="s">
        <v>1076</v>
      </c>
      <c r="B288" t="s">
        <v>1244</v>
      </c>
      <c r="C288" t="s">
        <v>1244</v>
      </c>
      <c r="D288" t="s">
        <v>1244</v>
      </c>
      <c r="E288" t="str">
        <f t="shared" si="4"/>
        <v>AAA</v>
      </c>
    </row>
    <row r="289" spans="1:5" x14ac:dyDescent="0.25">
      <c r="A289" t="s">
        <v>961</v>
      </c>
      <c r="B289" t="s">
        <v>1244</v>
      </c>
      <c r="C289" t="s">
        <v>1244</v>
      </c>
      <c r="D289" t="s">
        <v>1244</v>
      </c>
      <c r="E289" t="str">
        <f t="shared" si="4"/>
        <v>AAA</v>
      </c>
    </row>
    <row r="290" spans="1:5" x14ac:dyDescent="0.25">
      <c r="A290" t="s">
        <v>861</v>
      </c>
      <c r="B290" t="s">
        <v>1244</v>
      </c>
      <c r="C290" t="s">
        <v>1245</v>
      </c>
      <c r="D290" t="s">
        <v>1244</v>
      </c>
      <c r="E290" t="str">
        <f t="shared" si="4"/>
        <v>ABA</v>
      </c>
    </row>
    <row r="291" spans="1:5" x14ac:dyDescent="0.25">
      <c r="A291" t="s">
        <v>894</v>
      </c>
      <c r="B291" t="s">
        <v>1244</v>
      </c>
      <c r="C291" t="s">
        <v>1244</v>
      </c>
      <c r="D291" t="s">
        <v>1244</v>
      </c>
      <c r="E291" t="str">
        <f t="shared" si="4"/>
        <v>AAA</v>
      </c>
    </row>
    <row r="292" spans="1:5" x14ac:dyDescent="0.25">
      <c r="A292" t="s">
        <v>541</v>
      </c>
      <c r="B292" t="s">
        <v>1244</v>
      </c>
      <c r="C292" t="s">
        <v>1244</v>
      </c>
      <c r="D292" t="s">
        <v>1244</v>
      </c>
      <c r="E292" t="str">
        <f t="shared" si="4"/>
        <v>AAA</v>
      </c>
    </row>
    <row r="293" spans="1:5" x14ac:dyDescent="0.25">
      <c r="A293" t="s">
        <v>902</v>
      </c>
      <c r="B293" t="s">
        <v>1244</v>
      </c>
      <c r="C293" t="s">
        <v>1245</v>
      </c>
      <c r="D293" t="s">
        <v>1244</v>
      </c>
      <c r="E293" t="str">
        <f t="shared" si="4"/>
        <v>ABA</v>
      </c>
    </row>
    <row r="294" spans="1:5" x14ac:dyDescent="0.25">
      <c r="A294" t="s">
        <v>478</v>
      </c>
      <c r="B294" t="s">
        <v>1244</v>
      </c>
      <c r="C294" t="s">
        <v>1246</v>
      </c>
      <c r="D294" t="s">
        <v>1244</v>
      </c>
      <c r="E294" t="str">
        <f t="shared" si="4"/>
        <v>ACA</v>
      </c>
    </row>
    <row r="295" spans="1:5" x14ac:dyDescent="0.25">
      <c r="A295" t="s">
        <v>529</v>
      </c>
      <c r="B295" t="s">
        <v>1244</v>
      </c>
      <c r="C295" t="s">
        <v>1244</v>
      </c>
      <c r="D295" t="s">
        <v>1244</v>
      </c>
      <c r="E295" t="str">
        <f t="shared" si="4"/>
        <v>AAA</v>
      </c>
    </row>
    <row r="296" spans="1:5" x14ac:dyDescent="0.25">
      <c r="A296" t="s">
        <v>1203</v>
      </c>
      <c r="B296" t="s">
        <v>1244</v>
      </c>
      <c r="C296" t="s">
        <v>1244</v>
      </c>
      <c r="D296" t="s">
        <v>1244</v>
      </c>
      <c r="E296" t="str">
        <f t="shared" si="4"/>
        <v>AAA</v>
      </c>
    </row>
    <row r="297" spans="1:5" x14ac:dyDescent="0.25">
      <c r="A297" t="s">
        <v>675</v>
      </c>
      <c r="B297" t="s">
        <v>1244</v>
      </c>
      <c r="C297" t="s">
        <v>1244</v>
      </c>
      <c r="D297" t="s">
        <v>1244</v>
      </c>
      <c r="E297" t="str">
        <f t="shared" si="4"/>
        <v>AAA</v>
      </c>
    </row>
    <row r="298" spans="1:5" x14ac:dyDescent="0.25">
      <c r="A298" t="s">
        <v>984</v>
      </c>
      <c r="B298" t="s">
        <v>1244</v>
      </c>
      <c r="C298" t="s">
        <v>1245</v>
      </c>
      <c r="D298" t="s">
        <v>1244</v>
      </c>
      <c r="E298" t="str">
        <f t="shared" si="4"/>
        <v>ABA</v>
      </c>
    </row>
    <row r="299" spans="1:5" x14ac:dyDescent="0.25">
      <c r="A299" t="s">
        <v>618</v>
      </c>
      <c r="B299" t="s">
        <v>1244</v>
      </c>
      <c r="C299" t="s">
        <v>1244</v>
      </c>
      <c r="D299" t="s">
        <v>1244</v>
      </c>
      <c r="E299" t="str">
        <f t="shared" si="4"/>
        <v>AAA</v>
      </c>
    </row>
    <row r="300" spans="1:5" x14ac:dyDescent="0.25">
      <c r="A300" t="s">
        <v>910</v>
      </c>
      <c r="B300" t="s">
        <v>1244</v>
      </c>
      <c r="C300" t="s">
        <v>1246</v>
      </c>
      <c r="D300" t="s">
        <v>1244</v>
      </c>
      <c r="E300" t="str">
        <f t="shared" si="4"/>
        <v>ACA</v>
      </c>
    </row>
    <row r="301" spans="1:5" x14ac:dyDescent="0.25">
      <c r="A301" t="s">
        <v>955</v>
      </c>
      <c r="B301" t="s">
        <v>1244</v>
      </c>
      <c r="C301" t="s">
        <v>1246</v>
      </c>
      <c r="D301" t="s">
        <v>1244</v>
      </c>
      <c r="E301" t="str">
        <f t="shared" si="4"/>
        <v>ACA</v>
      </c>
    </row>
    <row r="302" spans="1:5" x14ac:dyDescent="0.25">
      <c r="A302" t="s">
        <v>884</v>
      </c>
      <c r="B302" t="s">
        <v>1244</v>
      </c>
      <c r="C302" t="s">
        <v>1246</v>
      </c>
      <c r="D302" t="s">
        <v>1244</v>
      </c>
      <c r="E302" t="str">
        <f t="shared" si="4"/>
        <v>ACA</v>
      </c>
    </row>
    <row r="303" spans="1:5" x14ac:dyDescent="0.25">
      <c r="A303" t="s">
        <v>475</v>
      </c>
      <c r="B303" t="s">
        <v>1244</v>
      </c>
      <c r="C303" t="s">
        <v>1244</v>
      </c>
      <c r="D303" t="s">
        <v>1244</v>
      </c>
      <c r="E303" t="str">
        <f t="shared" si="4"/>
        <v>AAA</v>
      </c>
    </row>
    <row r="304" spans="1:5" x14ac:dyDescent="0.25">
      <c r="A304" t="s">
        <v>604</v>
      </c>
      <c r="B304" t="s">
        <v>1244</v>
      </c>
      <c r="C304" t="s">
        <v>1244</v>
      </c>
      <c r="D304" t="s">
        <v>1244</v>
      </c>
      <c r="E304" t="str">
        <f t="shared" si="4"/>
        <v>AAA</v>
      </c>
    </row>
    <row r="305" spans="1:5" x14ac:dyDescent="0.25">
      <c r="A305" t="s">
        <v>470</v>
      </c>
      <c r="B305" t="s">
        <v>1244</v>
      </c>
      <c r="C305" t="s">
        <v>1244</v>
      </c>
      <c r="D305" t="s">
        <v>1244</v>
      </c>
      <c r="E305" t="str">
        <f t="shared" si="4"/>
        <v>AAA</v>
      </c>
    </row>
    <row r="306" spans="1:5" x14ac:dyDescent="0.25">
      <c r="A306" t="s">
        <v>737</v>
      </c>
      <c r="B306" t="s">
        <v>1244</v>
      </c>
      <c r="C306" t="s">
        <v>1246</v>
      </c>
      <c r="D306" t="s">
        <v>1244</v>
      </c>
      <c r="E306" t="str">
        <f t="shared" si="4"/>
        <v>ACA</v>
      </c>
    </row>
    <row r="307" spans="1:5" x14ac:dyDescent="0.25">
      <c r="A307" t="s">
        <v>441</v>
      </c>
      <c r="B307" t="s">
        <v>1244</v>
      </c>
      <c r="C307" t="s">
        <v>1245</v>
      </c>
      <c r="D307" t="s">
        <v>1244</v>
      </c>
      <c r="E307" t="str">
        <f t="shared" si="4"/>
        <v>ABA</v>
      </c>
    </row>
    <row r="308" spans="1:5" x14ac:dyDescent="0.25">
      <c r="A308" t="s">
        <v>1167</v>
      </c>
      <c r="B308" t="s">
        <v>1244</v>
      </c>
      <c r="C308" t="s">
        <v>1246</v>
      </c>
      <c r="D308" t="s">
        <v>1244</v>
      </c>
      <c r="E308" t="str">
        <f t="shared" si="4"/>
        <v>ACA</v>
      </c>
    </row>
    <row r="309" spans="1:5" x14ac:dyDescent="0.25">
      <c r="A309" t="s">
        <v>727</v>
      </c>
      <c r="B309" t="s">
        <v>1244</v>
      </c>
      <c r="C309" t="s">
        <v>1245</v>
      </c>
      <c r="D309" t="s">
        <v>1244</v>
      </c>
      <c r="E309" t="str">
        <f t="shared" si="4"/>
        <v>ABA</v>
      </c>
    </row>
    <row r="310" spans="1:5" x14ac:dyDescent="0.25">
      <c r="A310" t="s">
        <v>504</v>
      </c>
      <c r="B310" t="s">
        <v>1244</v>
      </c>
      <c r="C310" t="s">
        <v>1246</v>
      </c>
      <c r="D310" t="s">
        <v>1244</v>
      </c>
      <c r="E310" t="str">
        <f t="shared" si="4"/>
        <v>ACA</v>
      </c>
    </row>
    <row r="311" spans="1:5" x14ac:dyDescent="0.25">
      <c r="A311" t="s">
        <v>596</v>
      </c>
      <c r="B311" t="s">
        <v>1244</v>
      </c>
      <c r="C311" t="s">
        <v>1245</v>
      </c>
      <c r="D311" t="s">
        <v>1244</v>
      </c>
      <c r="E311" t="str">
        <f t="shared" si="4"/>
        <v>ABA</v>
      </c>
    </row>
    <row r="312" spans="1:5" x14ac:dyDescent="0.25">
      <c r="A312" t="s">
        <v>674</v>
      </c>
      <c r="B312" t="s">
        <v>1244</v>
      </c>
      <c r="C312" t="s">
        <v>1246</v>
      </c>
      <c r="D312" t="s">
        <v>1244</v>
      </c>
      <c r="E312" t="str">
        <f t="shared" si="4"/>
        <v>ACA</v>
      </c>
    </row>
    <row r="313" spans="1:5" x14ac:dyDescent="0.25">
      <c r="A313" t="s">
        <v>938</v>
      </c>
      <c r="B313" t="s">
        <v>1244</v>
      </c>
      <c r="C313" t="s">
        <v>1246</v>
      </c>
      <c r="D313" t="s">
        <v>1244</v>
      </c>
      <c r="E313" t="str">
        <f t="shared" si="4"/>
        <v>ACA</v>
      </c>
    </row>
    <row r="314" spans="1:5" x14ac:dyDescent="0.25">
      <c r="A314" t="s">
        <v>419</v>
      </c>
      <c r="B314" t="s">
        <v>1244</v>
      </c>
      <c r="C314" t="s">
        <v>1246</v>
      </c>
      <c r="D314" t="s">
        <v>1244</v>
      </c>
      <c r="E314" t="str">
        <f t="shared" si="4"/>
        <v>ACA</v>
      </c>
    </row>
    <row r="315" spans="1:5" x14ac:dyDescent="0.25">
      <c r="A315" t="s">
        <v>369</v>
      </c>
      <c r="B315" t="s">
        <v>1244</v>
      </c>
      <c r="C315" t="s">
        <v>1244</v>
      </c>
      <c r="D315" t="s">
        <v>1244</v>
      </c>
      <c r="E315" t="str">
        <f t="shared" si="4"/>
        <v>AAA</v>
      </c>
    </row>
    <row r="316" spans="1:5" x14ac:dyDescent="0.25">
      <c r="A316" t="s">
        <v>513</v>
      </c>
      <c r="B316" t="s">
        <v>1244</v>
      </c>
      <c r="C316" t="s">
        <v>1245</v>
      </c>
      <c r="D316" t="s">
        <v>1244</v>
      </c>
      <c r="E316" t="str">
        <f t="shared" si="4"/>
        <v>ABA</v>
      </c>
    </row>
    <row r="317" spans="1:5" x14ac:dyDescent="0.25">
      <c r="A317" t="s">
        <v>456</v>
      </c>
      <c r="B317" t="s">
        <v>1244</v>
      </c>
      <c r="C317" t="s">
        <v>1246</v>
      </c>
      <c r="D317" t="s">
        <v>1244</v>
      </c>
      <c r="E317" t="str">
        <f t="shared" si="4"/>
        <v>ACA</v>
      </c>
    </row>
    <row r="318" spans="1:5" x14ac:dyDescent="0.25">
      <c r="A318" t="s">
        <v>832</v>
      </c>
      <c r="B318" t="s">
        <v>1244</v>
      </c>
      <c r="C318" t="s">
        <v>1246</v>
      </c>
      <c r="D318" t="s">
        <v>1244</v>
      </c>
      <c r="E318" t="str">
        <f t="shared" si="4"/>
        <v>ACA</v>
      </c>
    </row>
    <row r="319" spans="1:5" x14ac:dyDescent="0.25">
      <c r="A319" t="s">
        <v>545</v>
      </c>
      <c r="B319" t="s">
        <v>1244</v>
      </c>
      <c r="C319" t="s">
        <v>1245</v>
      </c>
      <c r="D319" t="s">
        <v>1244</v>
      </c>
      <c r="E319" t="str">
        <f t="shared" si="4"/>
        <v>ABA</v>
      </c>
    </row>
    <row r="320" spans="1:5" x14ac:dyDescent="0.25">
      <c r="A320" t="s">
        <v>524</v>
      </c>
      <c r="B320" t="s">
        <v>1244</v>
      </c>
      <c r="C320" t="s">
        <v>1244</v>
      </c>
      <c r="D320" t="s">
        <v>1244</v>
      </c>
      <c r="E320" t="str">
        <f t="shared" si="4"/>
        <v>AAA</v>
      </c>
    </row>
    <row r="321" spans="1:5" x14ac:dyDescent="0.25">
      <c r="A321" t="s">
        <v>167</v>
      </c>
      <c r="B321" t="s">
        <v>1244</v>
      </c>
      <c r="C321" t="s">
        <v>1244</v>
      </c>
      <c r="D321" t="s">
        <v>1244</v>
      </c>
      <c r="E321" t="str">
        <f t="shared" si="4"/>
        <v>AAA</v>
      </c>
    </row>
    <row r="322" spans="1:5" x14ac:dyDescent="0.25">
      <c r="A322" t="s">
        <v>767</v>
      </c>
      <c r="B322" t="s">
        <v>1244</v>
      </c>
      <c r="C322" t="s">
        <v>1244</v>
      </c>
      <c r="D322" t="s">
        <v>1244</v>
      </c>
      <c r="E322" t="str">
        <f t="shared" si="4"/>
        <v>AAA</v>
      </c>
    </row>
    <row r="323" spans="1:5" x14ac:dyDescent="0.25">
      <c r="A323" t="s">
        <v>284</v>
      </c>
      <c r="B323" t="s">
        <v>1244</v>
      </c>
      <c r="C323" t="s">
        <v>1245</v>
      </c>
      <c r="D323" t="s">
        <v>1244</v>
      </c>
      <c r="E323" t="str">
        <f t="shared" si="4"/>
        <v>ABA</v>
      </c>
    </row>
    <row r="324" spans="1:5" x14ac:dyDescent="0.25">
      <c r="A324" t="s">
        <v>1147</v>
      </c>
      <c r="B324" t="s">
        <v>1244</v>
      </c>
      <c r="C324" t="s">
        <v>1246</v>
      </c>
      <c r="D324" t="s">
        <v>1244</v>
      </c>
      <c r="E324" t="str">
        <f t="shared" si="4"/>
        <v>ACA</v>
      </c>
    </row>
    <row r="325" spans="1:5" x14ac:dyDescent="0.25">
      <c r="A325" t="s">
        <v>915</v>
      </c>
      <c r="B325" t="s">
        <v>1244</v>
      </c>
      <c r="C325" t="s">
        <v>1246</v>
      </c>
      <c r="D325" t="s">
        <v>1244</v>
      </c>
      <c r="E325" t="str">
        <f t="shared" ref="E325:E388" si="5">B325&amp;C325&amp;D325</f>
        <v>ACA</v>
      </c>
    </row>
    <row r="326" spans="1:5" x14ac:dyDescent="0.25">
      <c r="A326" t="s">
        <v>1105</v>
      </c>
      <c r="B326" t="s">
        <v>1244</v>
      </c>
      <c r="C326" t="s">
        <v>1246</v>
      </c>
      <c r="D326" t="s">
        <v>1244</v>
      </c>
      <c r="E326" t="str">
        <f t="shared" si="5"/>
        <v>ACA</v>
      </c>
    </row>
    <row r="327" spans="1:5" x14ac:dyDescent="0.25">
      <c r="A327" t="s">
        <v>834</v>
      </c>
      <c r="B327" t="s">
        <v>1244</v>
      </c>
      <c r="C327" t="s">
        <v>1244</v>
      </c>
      <c r="D327" t="s">
        <v>1244</v>
      </c>
      <c r="E327" t="str">
        <f t="shared" si="5"/>
        <v>AAA</v>
      </c>
    </row>
    <row r="328" spans="1:5" x14ac:dyDescent="0.25">
      <c r="A328" t="s">
        <v>835</v>
      </c>
      <c r="B328" t="s">
        <v>1244</v>
      </c>
      <c r="C328" t="s">
        <v>1244</v>
      </c>
      <c r="D328" t="s">
        <v>1244</v>
      </c>
      <c r="E328" t="str">
        <f t="shared" si="5"/>
        <v>AAA</v>
      </c>
    </row>
    <row r="329" spans="1:5" x14ac:dyDescent="0.25">
      <c r="A329" t="s">
        <v>784</v>
      </c>
      <c r="B329" t="s">
        <v>1244</v>
      </c>
      <c r="C329" t="s">
        <v>1245</v>
      </c>
      <c r="D329" t="s">
        <v>1244</v>
      </c>
      <c r="E329" t="str">
        <f t="shared" si="5"/>
        <v>ABA</v>
      </c>
    </row>
    <row r="330" spans="1:5" x14ac:dyDescent="0.25">
      <c r="A330" t="s">
        <v>701</v>
      </c>
      <c r="B330" t="s">
        <v>1244</v>
      </c>
      <c r="C330" t="s">
        <v>1245</v>
      </c>
      <c r="D330" t="s">
        <v>1244</v>
      </c>
      <c r="E330" t="str">
        <f t="shared" si="5"/>
        <v>ABA</v>
      </c>
    </row>
    <row r="331" spans="1:5" x14ac:dyDescent="0.25">
      <c r="A331" t="s">
        <v>38</v>
      </c>
      <c r="B331" t="s">
        <v>1244</v>
      </c>
      <c r="C331" t="s">
        <v>1245</v>
      </c>
      <c r="D331" t="s">
        <v>1244</v>
      </c>
      <c r="E331" t="str">
        <f t="shared" si="5"/>
        <v>ABA</v>
      </c>
    </row>
    <row r="332" spans="1:5" x14ac:dyDescent="0.25">
      <c r="A332" t="s">
        <v>562</v>
      </c>
      <c r="B332" t="s">
        <v>1244</v>
      </c>
      <c r="C332" t="s">
        <v>1244</v>
      </c>
      <c r="D332" t="s">
        <v>1244</v>
      </c>
      <c r="E332" t="str">
        <f t="shared" si="5"/>
        <v>AAA</v>
      </c>
    </row>
    <row r="333" spans="1:5" x14ac:dyDescent="0.25">
      <c r="A333" t="s">
        <v>708</v>
      </c>
      <c r="B333" t="s">
        <v>1244</v>
      </c>
      <c r="C333" t="s">
        <v>1244</v>
      </c>
      <c r="D333" t="s">
        <v>1244</v>
      </c>
      <c r="E333" t="str">
        <f t="shared" si="5"/>
        <v>AAA</v>
      </c>
    </row>
    <row r="334" spans="1:5" x14ac:dyDescent="0.25">
      <c r="A334" t="s">
        <v>142</v>
      </c>
      <c r="B334" t="s">
        <v>1244</v>
      </c>
      <c r="C334" t="s">
        <v>1245</v>
      </c>
      <c r="D334" t="s">
        <v>1244</v>
      </c>
      <c r="E334" t="str">
        <f t="shared" si="5"/>
        <v>ABA</v>
      </c>
    </row>
    <row r="335" spans="1:5" x14ac:dyDescent="0.25">
      <c r="A335" t="s">
        <v>734</v>
      </c>
      <c r="B335" t="s">
        <v>1244</v>
      </c>
      <c r="C335" t="s">
        <v>1246</v>
      </c>
      <c r="D335" t="s">
        <v>1244</v>
      </c>
      <c r="E335" t="str">
        <f t="shared" si="5"/>
        <v>ACA</v>
      </c>
    </row>
    <row r="336" spans="1:5" x14ac:dyDescent="0.25">
      <c r="A336" t="s">
        <v>1128</v>
      </c>
      <c r="B336" t="s">
        <v>1244</v>
      </c>
      <c r="C336" t="s">
        <v>1246</v>
      </c>
      <c r="D336" t="s">
        <v>1244</v>
      </c>
      <c r="E336" t="str">
        <f t="shared" si="5"/>
        <v>ACA</v>
      </c>
    </row>
    <row r="337" spans="1:5" x14ac:dyDescent="0.25">
      <c r="A337" t="s">
        <v>1045</v>
      </c>
      <c r="B337" t="s">
        <v>1244</v>
      </c>
      <c r="C337" t="s">
        <v>1246</v>
      </c>
      <c r="D337" t="s">
        <v>1244</v>
      </c>
      <c r="E337" t="str">
        <f t="shared" si="5"/>
        <v>ACA</v>
      </c>
    </row>
    <row r="338" spans="1:5" x14ac:dyDescent="0.25">
      <c r="A338" t="s">
        <v>959</v>
      </c>
      <c r="B338" t="s">
        <v>1244</v>
      </c>
      <c r="C338" t="s">
        <v>1245</v>
      </c>
      <c r="D338" t="s">
        <v>1244</v>
      </c>
      <c r="E338" t="str">
        <f t="shared" si="5"/>
        <v>ABA</v>
      </c>
    </row>
    <row r="339" spans="1:5" x14ac:dyDescent="0.25">
      <c r="A339" t="s">
        <v>1152</v>
      </c>
      <c r="B339" t="s">
        <v>1244</v>
      </c>
      <c r="C339" t="s">
        <v>1246</v>
      </c>
      <c r="D339" t="s">
        <v>1244</v>
      </c>
      <c r="E339" t="str">
        <f t="shared" si="5"/>
        <v>ACA</v>
      </c>
    </row>
    <row r="340" spans="1:5" x14ac:dyDescent="0.25">
      <c r="A340" t="s">
        <v>755</v>
      </c>
      <c r="B340" t="s">
        <v>1244</v>
      </c>
      <c r="C340" t="s">
        <v>1245</v>
      </c>
      <c r="D340" t="s">
        <v>1244</v>
      </c>
      <c r="E340" t="str">
        <f t="shared" si="5"/>
        <v>ABA</v>
      </c>
    </row>
    <row r="341" spans="1:5" x14ac:dyDescent="0.25">
      <c r="A341" t="s">
        <v>634</v>
      </c>
      <c r="B341" t="s">
        <v>1244</v>
      </c>
      <c r="C341" t="s">
        <v>1246</v>
      </c>
      <c r="D341" t="s">
        <v>1244</v>
      </c>
      <c r="E341" t="str">
        <f t="shared" si="5"/>
        <v>ACA</v>
      </c>
    </row>
    <row r="342" spans="1:5" x14ac:dyDescent="0.25">
      <c r="A342" t="s">
        <v>908</v>
      </c>
      <c r="B342" t="s">
        <v>1244</v>
      </c>
      <c r="C342" t="s">
        <v>1244</v>
      </c>
      <c r="D342" t="s">
        <v>1244</v>
      </c>
      <c r="E342" t="str">
        <f t="shared" si="5"/>
        <v>AAA</v>
      </c>
    </row>
    <row r="343" spans="1:5" x14ac:dyDescent="0.25">
      <c r="A343" t="s">
        <v>1126</v>
      </c>
      <c r="B343" t="s">
        <v>1244</v>
      </c>
      <c r="C343" t="s">
        <v>1244</v>
      </c>
      <c r="D343" t="s">
        <v>1244</v>
      </c>
      <c r="E343" t="str">
        <f t="shared" si="5"/>
        <v>AAA</v>
      </c>
    </row>
    <row r="344" spans="1:5" x14ac:dyDescent="0.25">
      <c r="A344" t="s">
        <v>730</v>
      </c>
      <c r="B344" t="s">
        <v>1244</v>
      </c>
      <c r="C344" t="s">
        <v>1245</v>
      </c>
      <c r="D344" t="s">
        <v>1244</v>
      </c>
      <c r="E344" t="str">
        <f t="shared" si="5"/>
        <v>ABA</v>
      </c>
    </row>
    <row r="345" spans="1:5" x14ac:dyDescent="0.25">
      <c r="A345" t="s">
        <v>390</v>
      </c>
      <c r="B345" t="s">
        <v>1244</v>
      </c>
      <c r="C345" t="s">
        <v>1245</v>
      </c>
      <c r="D345" t="s">
        <v>1244</v>
      </c>
      <c r="E345" t="str">
        <f t="shared" si="5"/>
        <v>ABA</v>
      </c>
    </row>
    <row r="346" spans="1:5" x14ac:dyDescent="0.25">
      <c r="A346" t="s">
        <v>979</v>
      </c>
      <c r="B346" t="s">
        <v>1244</v>
      </c>
      <c r="C346" t="s">
        <v>1244</v>
      </c>
      <c r="D346" t="s">
        <v>1244</v>
      </c>
      <c r="E346" t="str">
        <f t="shared" si="5"/>
        <v>AAA</v>
      </c>
    </row>
    <row r="347" spans="1:5" x14ac:dyDescent="0.25">
      <c r="A347" t="s">
        <v>953</v>
      </c>
      <c r="B347" t="s">
        <v>1244</v>
      </c>
      <c r="C347" t="s">
        <v>1244</v>
      </c>
      <c r="D347" t="s">
        <v>1244</v>
      </c>
      <c r="E347" t="str">
        <f t="shared" si="5"/>
        <v>AAA</v>
      </c>
    </row>
    <row r="348" spans="1:5" x14ac:dyDescent="0.25">
      <c r="A348" t="s">
        <v>853</v>
      </c>
      <c r="B348" t="s">
        <v>1244</v>
      </c>
      <c r="C348" t="s">
        <v>1244</v>
      </c>
      <c r="D348" t="s">
        <v>1244</v>
      </c>
      <c r="E348" t="str">
        <f t="shared" si="5"/>
        <v>AAA</v>
      </c>
    </row>
    <row r="349" spans="1:5" x14ac:dyDescent="0.25">
      <c r="A349" t="s">
        <v>968</v>
      </c>
      <c r="B349" t="s">
        <v>1244</v>
      </c>
      <c r="C349" t="s">
        <v>1244</v>
      </c>
      <c r="D349" t="s">
        <v>1244</v>
      </c>
      <c r="E349" t="str">
        <f t="shared" si="5"/>
        <v>AAA</v>
      </c>
    </row>
    <row r="350" spans="1:5" x14ac:dyDescent="0.25">
      <c r="A350" t="s">
        <v>275</v>
      </c>
      <c r="B350" t="s">
        <v>1244</v>
      </c>
      <c r="C350" t="s">
        <v>1244</v>
      </c>
      <c r="D350" t="s">
        <v>1244</v>
      </c>
      <c r="E350" t="str">
        <f t="shared" si="5"/>
        <v>AAA</v>
      </c>
    </row>
    <row r="351" spans="1:5" x14ac:dyDescent="0.25">
      <c r="A351" t="s">
        <v>486</v>
      </c>
      <c r="B351" t="s">
        <v>1244</v>
      </c>
      <c r="C351" t="s">
        <v>1244</v>
      </c>
      <c r="D351" t="s">
        <v>1244</v>
      </c>
      <c r="E351" t="str">
        <f t="shared" si="5"/>
        <v>AAA</v>
      </c>
    </row>
    <row r="352" spans="1:5" x14ac:dyDescent="0.25">
      <c r="A352" t="s">
        <v>97</v>
      </c>
      <c r="B352" t="s">
        <v>1244</v>
      </c>
      <c r="C352" t="s">
        <v>1246</v>
      </c>
      <c r="D352" t="s">
        <v>1244</v>
      </c>
      <c r="E352" t="str">
        <f t="shared" si="5"/>
        <v>ACA</v>
      </c>
    </row>
    <row r="353" spans="1:5" x14ac:dyDescent="0.25">
      <c r="A353" t="s">
        <v>860</v>
      </c>
      <c r="B353" t="s">
        <v>1244</v>
      </c>
      <c r="C353" t="s">
        <v>1246</v>
      </c>
      <c r="D353" t="s">
        <v>1244</v>
      </c>
      <c r="E353" t="str">
        <f t="shared" si="5"/>
        <v>ACA</v>
      </c>
    </row>
    <row r="354" spans="1:5" x14ac:dyDescent="0.25">
      <c r="A354" t="s">
        <v>1060</v>
      </c>
      <c r="B354" t="s">
        <v>1244</v>
      </c>
      <c r="C354" t="s">
        <v>1246</v>
      </c>
      <c r="D354" t="s">
        <v>1244</v>
      </c>
      <c r="E354" t="str">
        <f t="shared" si="5"/>
        <v>ACA</v>
      </c>
    </row>
    <row r="355" spans="1:5" x14ac:dyDescent="0.25">
      <c r="A355" t="s">
        <v>581</v>
      </c>
      <c r="B355" t="s">
        <v>1244</v>
      </c>
      <c r="C355" t="s">
        <v>1246</v>
      </c>
      <c r="D355" t="s">
        <v>1244</v>
      </c>
      <c r="E355" t="str">
        <f t="shared" si="5"/>
        <v>ACA</v>
      </c>
    </row>
    <row r="356" spans="1:5" x14ac:dyDescent="0.25">
      <c r="A356" t="s">
        <v>326</v>
      </c>
      <c r="B356" t="s">
        <v>1244</v>
      </c>
      <c r="C356" t="s">
        <v>1246</v>
      </c>
      <c r="D356" t="s">
        <v>1244</v>
      </c>
      <c r="E356" t="str">
        <f t="shared" si="5"/>
        <v>ACA</v>
      </c>
    </row>
    <row r="357" spans="1:5" x14ac:dyDescent="0.25">
      <c r="A357" t="s">
        <v>642</v>
      </c>
      <c r="B357" t="s">
        <v>1244</v>
      </c>
      <c r="C357" t="s">
        <v>1246</v>
      </c>
      <c r="D357" t="s">
        <v>1244</v>
      </c>
      <c r="E357" t="str">
        <f t="shared" si="5"/>
        <v>ACA</v>
      </c>
    </row>
    <row r="358" spans="1:5" x14ac:dyDescent="0.25">
      <c r="A358" t="s">
        <v>696</v>
      </c>
      <c r="B358" t="s">
        <v>1244</v>
      </c>
      <c r="C358" t="s">
        <v>1246</v>
      </c>
      <c r="D358" t="s">
        <v>1244</v>
      </c>
      <c r="E358" t="str">
        <f t="shared" si="5"/>
        <v>ACA</v>
      </c>
    </row>
    <row r="359" spans="1:5" x14ac:dyDescent="0.25">
      <c r="A359" t="s">
        <v>1205</v>
      </c>
      <c r="B359" t="s">
        <v>1244</v>
      </c>
      <c r="C359" t="s">
        <v>1244</v>
      </c>
      <c r="D359" t="s">
        <v>1244</v>
      </c>
      <c r="E359" t="str">
        <f t="shared" si="5"/>
        <v>AAA</v>
      </c>
    </row>
    <row r="360" spans="1:5" x14ac:dyDescent="0.25">
      <c r="A360" t="s">
        <v>70</v>
      </c>
      <c r="B360" t="s">
        <v>1244</v>
      </c>
      <c r="C360" t="s">
        <v>1246</v>
      </c>
      <c r="D360" t="s">
        <v>1244</v>
      </c>
      <c r="E360" t="str">
        <f t="shared" si="5"/>
        <v>ACA</v>
      </c>
    </row>
    <row r="361" spans="1:5" x14ac:dyDescent="0.25">
      <c r="A361" t="s">
        <v>774</v>
      </c>
      <c r="B361" t="s">
        <v>1244</v>
      </c>
      <c r="C361" t="s">
        <v>1246</v>
      </c>
      <c r="D361" t="s">
        <v>1244</v>
      </c>
      <c r="E361" t="str">
        <f t="shared" si="5"/>
        <v>ACA</v>
      </c>
    </row>
    <row r="362" spans="1:5" x14ac:dyDescent="0.25">
      <c r="A362" t="s">
        <v>613</v>
      </c>
      <c r="B362" t="s">
        <v>1244</v>
      </c>
      <c r="C362" t="s">
        <v>1246</v>
      </c>
      <c r="D362" t="s">
        <v>1244</v>
      </c>
      <c r="E362" t="str">
        <f t="shared" si="5"/>
        <v>ACA</v>
      </c>
    </row>
    <row r="363" spans="1:5" x14ac:dyDescent="0.25">
      <c r="A363" t="s">
        <v>880</v>
      </c>
      <c r="B363" t="s">
        <v>1244</v>
      </c>
      <c r="C363" t="s">
        <v>1245</v>
      </c>
      <c r="D363" t="s">
        <v>1244</v>
      </c>
      <c r="E363" t="str">
        <f t="shared" si="5"/>
        <v>ABA</v>
      </c>
    </row>
    <row r="364" spans="1:5" x14ac:dyDescent="0.25">
      <c r="A364" t="s">
        <v>231</v>
      </c>
      <c r="B364" t="s">
        <v>1244</v>
      </c>
      <c r="C364" t="s">
        <v>1246</v>
      </c>
      <c r="D364" t="s">
        <v>1244</v>
      </c>
      <c r="E364" t="str">
        <f t="shared" si="5"/>
        <v>ACA</v>
      </c>
    </row>
    <row r="365" spans="1:5" x14ac:dyDescent="0.25">
      <c r="A365" t="s">
        <v>1057</v>
      </c>
      <c r="B365" t="s">
        <v>1244</v>
      </c>
      <c r="C365" t="s">
        <v>1244</v>
      </c>
      <c r="D365" t="s">
        <v>1244</v>
      </c>
      <c r="E365" t="str">
        <f t="shared" si="5"/>
        <v>AAA</v>
      </c>
    </row>
    <row r="366" spans="1:5" x14ac:dyDescent="0.25">
      <c r="A366" t="s">
        <v>935</v>
      </c>
      <c r="B366" t="s">
        <v>1244</v>
      </c>
      <c r="C366" t="s">
        <v>1245</v>
      </c>
      <c r="D366" t="s">
        <v>1244</v>
      </c>
      <c r="E366" t="str">
        <f t="shared" si="5"/>
        <v>ABA</v>
      </c>
    </row>
    <row r="367" spans="1:5" x14ac:dyDescent="0.25">
      <c r="A367" t="s">
        <v>1143</v>
      </c>
      <c r="B367" t="s">
        <v>1244</v>
      </c>
      <c r="C367" t="s">
        <v>1245</v>
      </c>
      <c r="D367" t="s">
        <v>1244</v>
      </c>
      <c r="E367" t="str">
        <f t="shared" si="5"/>
        <v>ABA</v>
      </c>
    </row>
    <row r="368" spans="1:5" x14ac:dyDescent="0.25">
      <c r="A368" t="s">
        <v>793</v>
      </c>
      <c r="B368" t="s">
        <v>1244</v>
      </c>
      <c r="C368" t="s">
        <v>1244</v>
      </c>
      <c r="D368" t="s">
        <v>1244</v>
      </c>
      <c r="E368" t="str">
        <f t="shared" si="5"/>
        <v>AAA</v>
      </c>
    </row>
    <row r="369" spans="1:5" x14ac:dyDescent="0.25">
      <c r="A369" t="s">
        <v>371</v>
      </c>
      <c r="B369" t="s">
        <v>1244</v>
      </c>
      <c r="C369" t="s">
        <v>1245</v>
      </c>
      <c r="D369" t="s">
        <v>1244</v>
      </c>
      <c r="E369" t="str">
        <f t="shared" si="5"/>
        <v>ABA</v>
      </c>
    </row>
    <row r="370" spans="1:5" x14ac:dyDescent="0.25">
      <c r="A370" t="s">
        <v>1175</v>
      </c>
      <c r="B370" t="s">
        <v>1244</v>
      </c>
      <c r="C370" t="s">
        <v>1245</v>
      </c>
      <c r="D370" t="s">
        <v>1244</v>
      </c>
      <c r="E370" t="str">
        <f t="shared" si="5"/>
        <v>ABA</v>
      </c>
    </row>
    <row r="371" spans="1:5" x14ac:dyDescent="0.25">
      <c r="A371" t="s">
        <v>1198</v>
      </c>
      <c r="B371" t="s">
        <v>1244</v>
      </c>
      <c r="C371" t="s">
        <v>1246</v>
      </c>
      <c r="D371" t="s">
        <v>1244</v>
      </c>
      <c r="E371" t="str">
        <f t="shared" si="5"/>
        <v>ACA</v>
      </c>
    </row>
    <row r="372" spans="1:5" x14ac:dyDescent="0.25">
      <c r="A372" t="s">
        <v>1125</v>
      </c>
      <c r="B372" t="s">
        <v>1244</v>
      </c>
      <c r="C372" t="s">
        <v>1244</v>
      </c>
      <c r="D372" t="s">
        <v>1244</v>
      </c>
      <c r="E372" t="str">
        <f t="shared" si="5"/>
        <v>AAA</v>
      </c>
    </row>
    <row r="373" spans="1:5" x14ac:dyDescent="0.25">
      <c r="A373" t="s">
        <v>783</v>
      </c>
      <c r="B373" t="s">
        <v>1244</v>
      </c>
      <c r="C373" t="s">
        <v>1244</v>
      </c>
      <c r="D373" t="s">
        <v>1244</v>
      </c>
      <c r="E373" t="str">
        <f t="shared" si="5"/>
        <v>AAA</v>
      </c>
    </row>
    <row r="374" spans="1:5" x14ac:dyDescent="0.25">
      <c r="A374" t="s">
        <v>1117</v>
      </c>
      <c r="B374" t="s">
        <v>1244</v>
      </c>
      <c r="C374" t="s">
        <v>1244</v>
      </c>
      <c r="D374" t="s">
        <v>1244</v>
      </c>
      <c r="E374" t="str">
        <f t="shared" si="5"/>
        <v>AAA</v>
      </c>
    </row>
    <row r="375" spans="1:5" x14ac:dyDescent="0.25">
      <c r="A375" t="s">
        <v>1156</v>
      </c>
      <c r="B375" t="s">
        <v>1244</v>
      </c>
      <c r="C375" t="s">
        <v>1245</v>
      </c>
      <c r="D375" t="s">
        <v>1244</v>
      </c>
      <c r="E375" t="str">
        <f t="shared" si="5"/>
        <v>ABA</v>
      </c>
    </row>
    <row r="376" spans="1:5" x14ac:dyDescent="0.25">
      <c r="A376" t="s">
        <v>1085</v>
      </c>
      <c r="B376" t="s">
        <v>1244</v>
      </c>
      <c r="C376" t="s">
        <v>1246</v>
      </c>
      <c r="D376" t="s">
        <v>1244</v>
      </c>
      <c r="E376" t="str">
        <f t="shared" si="5"/>
        <v>ACA</v>
      </c>
    </row>
    <row r="377" spans="1:5" x14ac:dyDescent="0.25">
      <c r="A377" t="s">
        <v>785</v>
      </c>
      <c r="B377" t="s">
        <v>1244</v>
      </c>
      <c r="C377" t="s">
        <v>1244</v>
      </c>
      <c r="D377" t="s">
        <v>1244</v>
      </c>
      <c r="E377" t="str">
        <f t="shared" si="5"/>
        <v>AAA</v>
      </c>
    </row>
    <row r="378" spans="1:5" x14ac:dyDescent="0.25">
      <c r="A378" t="s">
        <v>1002</v>
      </c>
      <c r="B378" t="s">
        <v>1244</v>
      </c>
      <c r="C378" t="s">
        <v>1244</v>
      </c>
      <c r="D378" t="s">
        <v>1244</v>
      </c>
      <c r="E378" t="str">
        <f t="shared" si="5"/>
        <v>AAA</v>
      </c>
    </row>
    <row r="379" spans="1:5" x14ac:dyDescent="0.25">
      <c r="A379" t="s">
        <v>575</v>
      </c>
      <c r="B379" t="s">
        <v>1244</v>
      </c>
      <c r="C379" t="s">
        <v>1246</v>
      </c>
      <c r="D379" t="s">
        <v>1244</v>
      </c>
      <c r="E379" t="str">
        <f t="shared" si="5"/>
        <v>ACA</v>
      </c>
    </row>
    <row r="380" spans="1:5" x14ac:dyDescent="0.25">
      <c r="A380" t="s">
        <v>1201</v>
      </c>
      <c r="B380" t="s">
        <v>1244</v>
      </c>
      <c r="C380" t="s">
        <v>1244</v>
      </c>
      <c r="D380" t="s">
        <v>1244</v>
      </c>
      <c r="E380" t="str">
        <f t="shared" si="5"/>
        <v>AAA</v>
      </c>
    </row>
    <row r="381" spans="1:5" x14ac:dyDescent="0.25">
      <c r="A381" t="s">
        <v>1159</v>
      </c>
      <c r="B381" t="s">
        <v>1244</v>
      </c>
      <c r="C381" t="s">
        <v>1246</v>
      </c>
      <c r="D381" t="s">
        <v>1244</v>
      </c>
      <c r="E381" t="str">
        <f t="shared" si="5"/>
        <v>ACA</v>
      </c>
    </row>
    <row r="382" spans="1:5" x14ac:dyDescent="0.25">
      <c r="A382" t="s">
        <v>305</v>
      </c>
      <c r="B382" t="s">
        <v>1244</v>
      </c>
      <c r="C382" t="s">
        <v>1245</v>
      </c>
      <c r="D382" t="s">
        <v>1244</v>
      </c>
      <c r="E382" t="str">
        <f t="shared" si="5"/>
        <v>ABA</v>
      </c>
    </row>
    <row r="383" spans="1:5" x14ac:dyDescent="0.25">
      <c r="A383" t="s">
        <v>668</v>
      </c>
      <c r="B383" t="s">
        <v>1244</v>
      </c>
      <c r="C383" t="s">
        <v>1245</v>
      </c>
      <c r="D383" t="s">
        <v>1244</v>
      </c>
      <c r="E383" t="str">
        <f t="shared" si="5"/>
        <v>ABA</v>
      </c>
    </row>
    <row r="384" spans="1:5" x14ac:dyDescent="0.25">
      <c r="A384" t="s">
        <v>761</v>
      </c>
      <c r="B384" t="s">
        <v>1244</v>
      </c>
      <c r="C384" t="s">
        <v>1245</v>
      </c>
      <c r="D384" t="s">
        <v>1244</v>
      </c>
      <c r="E384" t="str">
        <f t="shared" si="5"/>
        <v>ABA</v>
      </c>
    </row>
    <row r="385" spans="1:5" x14ac:dyDescent="0.25">
      <c r="A385" t="s">
        <v>710</v>
      </c>
      <c r="B385" t="s">
        <v>1244</v>
      </c>
      <c r="C385" t="s">
        <v>1246</v>
      </c>
      <c r="D385" t="s">
        <v>1244</v>
      </c>
      <c r="E385" t="str">
        <f t="shared" si="5"/>
        <v>ACA</v>
      </c>
    </row>
    <row r="386" spans="1:5" x14ac:dyDescent="0.25">
      <c r="A386" t="s">
        <v>683</v>
      </c>
      <c r="B386" t="s">
        <v>1244</v>
      </c>
      <c r="C386" t="s">
        <v>1244</v>
      </c>
      <c r="D386" t="s">
        <v>1244</v>
      </c>
      <c r="E386" t="str">
        <f t="shared" si="5"/>
        <v>AAA</v>
      </c>
    </row>
    <row r="387" spans="1:5" x14ac:dyDescent="0.25">
      <c r="A387" t="s">
        <v>291</v>
      </c>
      <c r="B387" t="s">
        <v>1244</v>
      </c>
      <c r="C387" t="s">
        <v>1244</v>
      </c>
      <c r="D387" t="s">
        <v>1244</v>
      </c>
      <c r="E387" t="str">
        <f t="shared" si="5"/>
        <v>AAA</v>
      </c>
    </row>
    <row r="388" spans="1:5" x14ac:dyDescent="0.25">
      <c r="A388" t="s">
        <v>19</v>
      </c>
      <c r="B388" t="s">
        <v>1244</v>
      </c>
      <c r="C388" t="s">
        <v>1245</v>
      </c>
      <c r="D388" t="s">
        <v>1244</v>
      </c>
      <c r="E388" t="str">
        <f t="shared" si="5"/>
        <v>ABA</v>
      </c>
    </row>
    <row r="389" spans="1:5" x14ac:dyDescent="0.25">
      <c r="A389" t="s">
        <v>821</v>
      </c>
      <c r="B389" t="s">
        <v>1244</v>
      </c>
      <c r="C389" t="s">
        <v>1244</v>
      </c>
      <c r="D389" t="s">
        <v>1244</v>
      </c>
      <c r="E389" t="str">
        <f t="shared" ref="E389:E452" si="6">B389&amp;C389&amp;D389</f>
        <v>AAA</v>
      </c>
    </row>
    <row r="390" spans="1:5" x14ac:dyDescent="0.25">
      <c r="A390" t="s">
        <v>144</v>
      </c>
      <c r="B390" t="s">
        <v>1244</v>
      </c>
      <c r="C390" t="s">
        <v>1245</v>
      </c>
      <c r="D390" t="s">
        <v>1244</v>
      </c>
      <c r="E390" t="str">
        <f t="shared" si="6"/>
        <v>ABA</v>
      </c>
    </row>
    <row r="391" spans="1:5" x14ac:dyDescent="0.25">
      <c r="A391" t="s">
        <v>1166</v>
      </c>
      <c r="B391" t="s">
        <v>1244</v>
      </c>
      <c r="C391" t="s">
        <v>1245</v>
      </c>
      <c r="D391" t="s">
        <v>1244</v>
      </c>
      <c r="E391" t="str">
        <f t="shared" si="6"/>
        <v>ABA</v>
      </c>
    </row>
    <row r="392" spans="1:5" x14ac:dyDescent="0.25">
      <c r="A392" t="s">
        <v>608</v>
      </c>
      <c r="B392" t="s">
        <v>1244</v>
      </c>
      <c r="C392" t="s">
        <v>1245</v>
      </c>
      <c r="D392" t="s">
        <v>1244</v>
      </c>
      <c r="E392" t="str">
        <f t="shared" si="6"/>
        <v>ABA</v>
      </c>
    </row>
    <row r="393" spans="1:5" x14ac:dyDescent="0.25">
      <c r="A393" t="s">
        <v>57</v>
      </c>
      <c r="B393" t="s">
        <v>1244</v>
      </c>
      <c r="C393" t="s">
        <v>1244</v>
      </c>
      <c r="D393" t="s">
        <v>1244</v>
      </c>
      <c r="E393" t="str">
        <f t="shared" si="6"/>
        <v>AAA</v>
      </c>
    </row>
    <row r="394" spans="1:5" x14ac:dyDescent="0.25">
      <c r="A394" t="s">
        <v>1226</v>
      </c>
      <c r="B394" t="s">
        <v>1244</v>
      </c>
      <c r="C394" t="s">
        <v>1246</v>
      </c>
      <c r="D394" t="s">
        <v>1244</v>
      </c>
      <c r="E394" t="str">
        <f t="shared" si="6"/>
        <v>ACA</v>
      </c>
    </row>
    <row r="395" spans="1:5" x14ac:dyDescent="0.25">
      <c r="A395" t="s">
        <v>962</v>
      </c>
      <c r="B395" t="s">
        <v>1244</v>
      </c>
      <c r="C395" t="s">
        <v>1245</v>
      </c>
      <c r="D395" t="s">
        <v>1244</v>
      </c>
      <c r="E395" t="str">
        <f t="shared" si="6"/>
        <v>ABA</v>
      </c>
    </row>
    <row r="396" spans="1:5" x14ac:dyDescent="0.25">
      <c r="A396" t="s">
        <v>1190</v>
      </c>
      <c r="B396" t="s">
        <v>1244</v>
      </c>
      <c r="C396" t="s">
        <v>1245</v>
      </c>
      <c r="D396" t="s">
        <v>1244</v>
      </c>
      <c r="E396" t="str">
        <f t="shared" si="6"/>
        <v>ABA</v>
      </c>
    </row>
    <row r="397" spans="1:5" x14ac:dyDescent="0.25">
      <c r="A397" t="s">
        <v>930</v>
      </c>
      <c r="B397" t="s">
        <v>1244</v>
      </c>
      <c r="C397" t="s">
        <v>1244</v>
      </c>
      <c r="D397" t="s">
        <v>1244</v>
      </c>
      <c r="E397" t="str">
        <f t="shared" si="6"/>
        <v>AAA</v>
      </c>
    </row>
    <row r="398" spans="1:5" x14ac:dyDescent="0.25">
      <c r="A398" t="s">
        <v>224</v>
      </c>
      <c r="B398" t="s">
        <v>1244</v>
      </c>
      <c r="C398" t="s">
        <v>1246</v>
      </c>
      <c r="D398" t="s">
        <v>1244</v>
      </c>
      <c r="E398" t="str">
        <f t="shared" si="6"/>
        <v>ACA</v>
      </c>
    </row>
    <row r="399" spans="1:5" x14ac:dyDescent="0.25">
      <c r="A399" t="s">
        <v>847</v>
      </c>
      <c r="B399" t="s">
        <v>1244</v>
      </c>
      <c r="C399" t="s">
        <v>1244</v>
      </c>
      <c r="D399" t="s">
        <v>1244</v>
      </c>
      <c r="E399" t="str">
        <f t="shared" si="6"/>
        <v>AAA</v>
      </c>
    </row>
    <row r="400" spans="1:5" x14ac:dyDescent="0.25">
      <c r="A400" t="s">
        <v>543</v>
      </c>
      <c r="B400" t="s">
        <v>1244</v>
      </c>
      <c r="C400" t="s">
        <v>1245</v>
      </c>
      <c r="D400" t="s">
        <v>1244</v>
      </c>
      <c r="E400" t="str">
        <f t="shared" si="6"/>
        <v>ABA</v>
      </c>
    </row>
    <row r="401" spans="1:5" x14ac:dyDescent="0.25">
      <c r="A401" t="s">
        <v>1020</v>
      </c>
      <c r="B401" t="s">
        <v>1244</v>
      </c>
      <c r="C401" t="s">
        <v>1244</v>
      </c>
      <c r="D401" t="s">
        <v>1244</v>
      </c>
      <c r="E401" t="str">
        <f t="shared" si="6"/>
        <v>AAA</v>
      </c>
    </row>
    <row r="402" spans="1:5" x14ac:dyDescent="0.25">
      <c r="A402" t="s">
        <v>789</v>
      </c>
      <c r="B402" t="s">
        <v>1244</v>
      </c>
      <c r="C402" t="s">
        <v>1246</v>
      </c>
      <c r="D402" t="s">
        <v>1244</v>
      </c>
      <c r="E402" t="str">
        <f t="shared" si="6"/>
        <v>ACA</v>
      </c>
    </row>
    <row r="403" spans="1:5" x14ac:dyDescent="0.25">
      <c r="A403" t="s">
        <v>598</v>
      </c>
      <c r="B403" t="s">
        <v>1244</v>
      </c>
      <c r="C403" t="s">
        <v>1244</v>
      </c>
      <c r="D403" t="s">
        <v>1244</v>
      </c>
      <c r="E403" t="str">
        <f t="shared" si="6"/>
        <v>AAA</v>
      </c>
    </row>
    <row r="404" spans="1:5" x14ac:dyDescent="0.25">
      <c r="A404" t="s">
        <v>605</v>
      </c>
      <c r="B404" t="s">
        <v>1244</v>
      </c>
      <c r="C404" t="s">
        <v>1244</v>
      </c>
      <c r="D404" t="s">
        <v>1244</v>
      </c>
      <c r="E404" t="str">
        <f t="shared" si="6"/>
        <v>AAA</v>
      </c>
    </row>
    <row r="405" spans="1:5" x14ac:dyDescent="0.25">
      <c r="A405" t="s">
        <v>1048</v>
      </c>
      <c r="B405" t="s">
        <v>1244</v>
      </c>
      <c r="C405" t="s">
        <v>1244</v>
      </c>
      <c r="D405" t="s">
        <v>1244</v>
      </c>
      <c r="E405" t="str">
        <f t="shared" si="6"/>
        <v>AAA</v>
      </c>
    </row>
    <row r="406" spans="1:5" x14ac:dyDescent="0.25">
      <c r="A406" t="s">
        <v>100</v>
      </c>
      <c r="B406" t="s">
        <v>1244</v>
      </c>
      <c r="C406" t="s">
        <v>1246</v>
      </c>
      <c r="D406" t="s">
        <v>1244</v>
      </c>
      <c r="E406" t="str">
        <f t="shared" si="6"/>
        <v>ACA</v>
      </c>
    </row>
    <row r="407" spans="1:5" x14ac:dyDescent="0.25">
      <c r="A407" t="s">
        <v>242</v>
      </c>
      <c r="B407" t="s">
        <v>1244</v>
      </c>
      <c r="C407" t="s">
        <v>1244</v>
      </c>
      <c r="D407" t="s">
        <v>1244</v>
      </c>
      <c r="E407" t="str">
        <f t="shared" si="6"/>
        <v>AAA</v>
      </c>
    </row>
    <row r="408" spans="1:5" x14ac:dyDescent="0.25">
      <c r="A408" t="s">
        <v>121</v>
      </c>
      <c r="B408" t="s">
        <v>1244</v>
      </c>
      <c r="C408" t="s">
        <v>1245</v>
      </c>
      <c r="D408" t="s">
        <v>1244</v>
      </c>
      <c r="E408" t="str">
        <f t="shared" si="6"/>
        <v>ABA</v>
      </c>
    </row>
    <row r="409" spans="1:5" x14ac:dyDescent="0.25">
      <c r="A409" t="s">
        <v>830</v>
      </c>
      <c r="B409" t="s">
        <v>1244</v>
      </c>
      <c r="C409" t="s">
        <v>1245</v>
      </c>
      <c r="D409" t="s">
        <v>1244</v>
      </c>
      <c r="E409" t="str">
        <f t="shared" si="6"/>
        <v>ABA</v>
      </c>
    </row>
    <row r="410" spans="1:5" x14ac:dyDescent="0.25">
      <c r="A410" t="s">
        <v>1096</v>
      </c>
      <c r="B410" t="s">
        <v>1244</v>
      </c>
      <c r="C410" t="s">
        <v>1244</v>
      </c>
      <c r="D410" t="s">
        <v>1244</v>
      </c>
      <c r="E410" t="str">
        <f t="shared" si="6"/>
        <v>AAA</v>
      </c>
    </row>
    <row r="411" spans="1:5" x14ac:dyDescent="0.25">
      <c r="A411" t="s">
        <v>771</v>
      </c>
      <c r="B411" t="s">
        <v>1244</v>
      </c>
      <c r="C411" t="s">
        <v>1246</v>
      </c>
      <c r="D411" t="s">
        <v>1244</v>
      </c>
      <c r="E411" t="str">
        <f t="shared" si="6"/>
        <v>ACA</v>
      </c>
    </row>
    <row r="412" spans="1:5" x14ac:dyDescent="0.25">
      <c r="A412" t="s">
        <v>773</v>
      </c>
      <c r="B412" t="s">
        <v>1244</v>
      </c>
      <c r="C412" t="s">
        <v>1246</v>
      </c>
      <c r="D412" t="s">
        <v>1244</v>
      </c>
      <c r="E412" t="str">
        <f t="shared" si="6"/>
        <v>ACA</v>
      </c>
    </row>
    <row r="413" spans="1:5" x14ac:dyDescent="0.25">
      <c r="A413" t="s">
        <v>869</v>
      </c>
      <c r="B413" t="s">
        <v>1244</v>
      </c>
      <c r="C413" t="s">
        <v>1245</v>
      </c>
      <c r="D413" t="s">
        <v>1244</v>
      </c>
      <c r="E413" t="str">
        <f t="shared" si="6"/>
        <v>ABA</v>
      </c>
    </row>
    <row r="414" spans="1:5" x14ac:dyDescent="0.25">
      <c r="A414" t="s">
        <v>1041</v>
      </c>
      <c r="B414" t="s">
        <v>1244</v>
      </c>
      <c r="C414" t="s">
        <v>1245</v>
      </c>
      <c r="D414" t="s">
        <v>1244</v>
      </c>
      <c r="E414" t="str">
        <f t="shared" si="6"/>
        <v>ABA</v>
      </c>
    </row>
    <row r="415" spans="1:5" x14ac:dyDescent="0.25">
      <c r="A415" t="s">
        <v>732</v>
      </c>
      <c r="B415" t="s">
        <v>1244</v>
      </c>
      <c r="C415" t="s">
        <v>1244</v>
      </c>
      <c r="D415" t="s">
        <v>1244</v>
      </c>
      <c r="E415" t="str">
        <f t="shared" si="6"/>
        <v>AAA</v>
      </c>
    </row>
    <row r="416" spans="1:5" x14ac:dyDescent="0.25">
      <c r="A416" t="s">
        <v>695</v>
      </c>
      <c r="B416" t="s">
        <v>1244</v>
      </c>
      <c r="C416" t="s">
        <v>1244</v>
      </c>
      <c r="D416" t="s">
        <v>1244</v>
      </c>
      <c r="E416" t="str">
        <f t="shared" si="6"/>
        <v>AAA</v>
      </c>
    </row>
    <row r="417" spans="1:5" x14ac:dyDescent="0.25">
      <c r="A417" t="s">
        <v>585</v>
      </c>
      <c r="B417" t="s">
        <v>1244</v>
      </c>
      <c r="C417" t="s">
        <v>1244</v>
      </c>
      <c r="D417" t="s">
        <v>1244</v>
      </c>
      <c r="E417" t="str">
        <f t="shared" si="6"/>
        <v>AAA</v>
      </c>
    </row>
    <row r="418" spans="1:5" x14ac:dyDescent="0.25">
      <c r="A418" t="s">
        <v>406</v>
      </c>
      <c r="B418" t="s">
        <v>1244</v>
      </c>
      <c r="C418" t="s">
        <v>1244</v>
      </c>
      <c r="D418" t="s">
        <v>1244</v>
      </c>
      <c r="E418" t="str">
        <f t="shared" si="6"/>
        <v>AAA</v>
      </c>
    </row>
    <row r="419" spans="1:5" x14ac:dyDescent="0.25">
      <c r="A419" t="s">
        <v>178</v>
      </c>
      <c r="B419" t="s">
        <v>1244</v>
      </c>
      <c r="C419" t="s">
        <v>1244</v>
      </c>
      <c r="D419" t="s">
        <v>1244</v>
      </c>
      <c r="E419" t="str">
        <f t="shared" si="6"/>
        <v>AAA</v>
      </c>
    </row>
    <row r="420" spans="1:5" x14ac:dyDescent="0.25">
      <c r="A420" t="s">
        <v>1213</v>
      </c>
      <c r="B420" t="s">
        <v>1244</v>
      </c>
      <c r="C420" t="s">
        <v>1245</v>
      </c>
      <c r="D420" t="s">
        <v>1244</v>
      </c>
      <c r="E420" t="str">
        <f t="shared" si="6"/>
        <v>ABA</v>
      </c>
    </row>
    <row r="421" spans="1:5" x14ac:dyDescent="0.25">
      <c r="A421" t="s">
        <v>1063</v>
      </c>
      <c r="B421" t="s">
        <v>1244</v>
      </c>
      <c r="C421" t="s">
        <v>1245</v>
      </c>
      <c r="D421" t="s">
        <v>1244</v>
      </c>
      <c r="E421" t="str">
        <f t="shared" si="6"/>
        <v>ABA</v>
      </c>
    </row>
    <row r="422" spans="1:5" x14ac:dyDescent="0.25">
      <c r="A422" t="s">
        <v>483</v>
      </c>
      <c r="B422" t="s">
        <v>1244</v>
      </c>
      <c r="C422" t="s">
        <v>1244</v>
      </c>
      <c r="D422" t="s">
        <v>1244</v>
      </c>
      <c r="E422" t="str">
        <f t="shared" si="6"/>
        <v>AAA</v>
      </c>
    </row>
    <row r="423" spans="1:5" x14ac:dyDescent="0.25">
      <c r="A423" t="s">
        <v>1011</v>
      </c>
      <c r="B423" t="s">
        <v>1244</v>
      </c>
      <c r="C423" t="s">
        <v>1246</v>
      </c>
      <c r="D423" t="s">
        <v>1244</v>
      </c>
      <c r="E423" t="str">
        <f t="shared" si="6"/>
        <v>ACA</v>
      </c>
    </row>
    <row r="424" spans="1:5" x14ac:dyDescent="0.25">
      <c r="A424" t="s">
        <v>1109</v>
      </c>
      <c r="B424" t="s">
        <v>1244</v>
      </c>
      <c r="C424" t="s">
        <v>1245</v>
      </c>
      <c r="D424" t="s">
        <v>1244</v>
      </c>
      <c r="E424" t="str">
        <f t="shared" si="6"/>
        <v>ABA</v>
      </c>
    </row>
    <row r="425" spans="1:5" x14ac:dyDescent="0.25">
      <c r="A425" t="s">
        <v>287</v>
      </c>
      <c r="B425" t="s">
        <v>1244</v>
      </c>
      <c r="C425" t="s">
        <v>1246</v>
      </c>
      <c r="D425" t="s">
        <v>1244</v>
      </c>
      <c r="E425" t="str">
        <f t="shared" si="6"/>
        <v>ACA</v>
      </c>
    </row>
    <row r="426" spans="1:5" x14ac:dyDescent="0.25">
      <c r="A426" t="s">
        <v>677</v>
      </c>
      <c r="B426" t="s">
        <v>1244</v>
      </c>
      <c r="C426" t="s">
        <v>1245</v>
      </c>
      <c r="D426" t="s">
        <v>1244</v>
      </c>
      <c r="E426" t="str">
        <f t="shared" si="6"/>
        <v>ABA</v>
      </c>
    </row>
    <row r="427" spans="1:5" x14ac:dyDescent="0.25">
      <c r="A427" t="s">
        <v>969</v>
      </c>
      <c r="B427" t="s">
        <v>1244</v>
      </c>
      <c r="C427" t="s">
        <v>1245</v>
      </c>
      <c r="D427" t="s">
        <v>1244</v>
      </c>
      <c r="E427" t="str">
        <f t="shared" si="6"/>
        <v>ABA</v>
      </c>
    </row>
    <row r="428" spans="1:5" x14ac:dyDescent="0.25">
      <c r="A428" t="s">
        <v>1212</v>
      </c>
      <c r="B428" t="s">
        <v>1244</v>
      </c>
      <c r="C428" t="s">
        <v>1246</v>
      </c>
      <c r="D428" t="s">
        <v>1244</v>
      </c>
      <c r="E428" t="str">
        <f t="shared" si="6"/>
        <v>ACA</v>
      </c>
    </row>
    <row r="429" spans="1:5" x14ac:dyDescent="0.25">
      <c r="A429" t="s">
        <v>417</v>
      </c>
      <c r="B429" t="s">
        <v>1244</v>
      </c>
      <c r="C429" t="s">
        <v>1244</v>
      </c>
      <c r="D429" t="s">
        <v>1244</v>
      </c>
      <c r="E429" t="str">
        <f t="shared" si="6"/>
        <v>AAA</v>
      </c>
    </row>
    <row r="430" spans="1:5" x14ac:dyDescent="0.25">
      <c r="A430" t="s">
        <v>944</v>
      </c>
      <c r="B430" t="s">
        <v>1244</v>
      </c>
      <c r="C430" t="s">
        <v>1245</v>
      </c>
      <c r="D430" t="s">
        <v>1244</v>
      </c>
      <c r="E430" t="str">
        <f t="shared" si="6"/>
        <v>ABA</v>
      </c>
    </row>
    <row r="431" spans="1:5" x14ac:dyDescent="0.25">
      <c r="A431" t="s">
        <v>631</v>
      </c>
      <c r="B431" t="s">
        <v>1244</v>
      </c>
      <c r="C431" t="s">
        <v>1245</v>
      </c>
      <c r="D431" t="s">
        <v>1244</v>
      </c>
      <c r="E431" t="str">
        <f t="shared" si="6"/>
        <v>ABA</v>
      </c>
    </row>
    <row r="432" spans="1:5" x14ac:dyDescent="0.25">
      <c r="A432" t="s">
        <v>1025</v>
      </c>
      <c r="B432" t="s">
        <v>1244</v>
      </c>
      <c r="C432" t="s">
        <v>1244</v>
      </c>
      <c r="D432" t="s">
        <v>1244</v>
      </c>
      <c r="E432" t="str">
        <f t="shared" si="6"/>
        <v>AAA</v>
      </c>
    </row>
    <row r="433" spans="1:5" x14ac:dyDescent="0.25">
      <c r="A433" t="s">
        <v>652</v>
      </c>
      <c r="B433" t="s">
        <v>1244</v>
      </c>
      <c r="C433" t="s">
        <v>1244</v>
      </c>
      <c r="D433" t="s">
        <v>1244</v>
      </c>
      <c r="E433" t="str">
        <f t="shared" si="6"/>
        <v>AAA</v>
      </c>
    </row>
    <row r="434" spans="1:5" x14ac:dyDescent="0.25">
      <c r="A434" t="s">
        <v>593</v>
      </c>
      <c r="B434" t="s">
        <v>1244</v>
      </c>
      <c r="C434" t="s">
        <v>1244</v>
      </c>
      <c r="D434" t="s">
        <v>1244</v>
      </c>
      <c r="E434" t="str">
        <f t="shared" si="6"/>
        <v>AAA</v>
      </c>
    </row>
    <row r="435" spans="1:5" x14ac:dyDescent="0.25">
      <c r="A435" t="s">
        <v>1052</v>
      </c>
      <c r="B435" t="s">
        <v>1244</v>
      </c>
      <c r="C435" t="s">
        <v>1244</v>
      </c>
      <c r="D435" t="s">
        <v>1244</v>
      </c>
      <c r="E435" t="str">
        <f t="shared" si="6"/>
        <v>AAA</v>
      </c>
    </row>
    <row r="436" spans="1:5" x14ac:dyDescent="0.25">
      <c r="A436" t="s">
        <v>950</v>
      </c>
      <c r="B436" t="s">
        <v>1244</v>
      </c>
      <c r="C436" t="s">
        <v>1244</v>
      </c>
      <c r="D436" t="s">
        <v>1244</v>
      </c>
      <c r="E436" t="str">
        <f t="shared" si="6"/>
        <v>AAA</v>
      </c>
    </row>
    <row r="437" spans="1:5" x14ac:dyDescent="0.25">
      <c r="A437" t="s">
        <v>255</v>
      </c>
      <c r="B437" t="s">
        <v>1244</v>
      </c>
      <c r="C437" t="s">
        <v>1246</v>
      </c>
      <c r="D437" t="s">
        <v>1244</v>
      </c>
      <c r="E437" t="str">
        <f t="shared" si="6"/>
        <v>ACA</v>
      </c>
    </row>
    <row r="438" spans="1:5" x14ac:dyDescent="0.25">
      <c r="A438" t="s">
        <v>1039</v>
      </c>
      <c r="B438" t="s">
        <v>1244</v>
      </c>
      <c r="C438" t="s">
        <v>1244</v>
      </c>
      <c r="D438" t="s">
        <v>1244</v>
      </c>
      <c r="E438" t="str">
        <f t="shared" si="6"/>
        <v>AAA</v>
      </c>
    </row>
    <row r="439" spans="1:5" x14ac:dyDescent="0.25">
      <c r="A439" t="s">
        <v>707</v>
      </c>
      <c r="B439" t="s">
        <v>1244</v>
      </c>
      <c r="C439" t="s">
        <v>1244</v>
      </c>
      <c r="D439" t="s">
        <v>1244</v>
      </c>
      <c r="E439" t="str">
        <f t="shared" si="6"/>
        <v>AAA</v>
      </c>
    </row>
    <row r="440" spans="1:5" x14ac:dyDescent="0.25">
      <c r="A440" t="s">
        <v>1174</v>
      </c>
      <c r="B440" t="s">
        <v>1244</v>
      </c>
      <c r="C440" t="s">
        <v>1245</v>
      </c>
      <c r="D440" t="s">
        <v>1244</v>
      </c>
      <c r="E440" t="str">
        <f t="shared" si="6"/>
        <v>ABA</v>
      </c>
    </row>
    <row r="441" spans="1:5" x14ac:dyDescent="0.25">
      <c r="A441" t="s">
        <v>54</v>
      </c>
      <c r="B441" t="s">
        <v>1244</v>
      </c>
      <c r="C441" t="s">
        <v>1244</v>
      </c>
      <c r="D441" t="s">
        <v>1244</v>
      </c>
      <c r="E441" t="str">
        <f t="shared" si="6"/>
        <v>AAA</v>
      </c>
    </row>
    <row r="442" spans="1:5" x14ac:dyDescent="0.25">
      <c r="A442" t="s">
        <v>966</v>
      </c>
      <c r="B442" t="s">
        <v>1244</v>
      </c>
      <c r="C442" t="s">
        <v>1246</v>
      </c>
      <c r="D442" t="s">
        <v>1244</v>
      </c>
      <c r="E442" t="str">
        <f t="shared" si="6"/>
        <v>ACA</v>
      </c>
    </row>
    <row r="443" spans="1:5" x14ac:dyDescent="0.25">
      <c r="A443" t="s">
        <v>398</v>
      </c>
      <c r="B443" t="s">
        <v>1244</v>
      </c>
      <c r="C443" t="s">
        <v>1246</v>
      </c>
      <c r="D443" t="s">
        <v>1244</v>
      </c>
      <c r="E443" t="str">
        <f t="shared" si="6"/>
        <v>ACA</v>
      </c>
    </row>
    <row r="444" spans="1:5" x14ac:dyDescent="0.25">
      <c r="A444" t="s">
        <v>401</v>
      </c>
      <c r="B444" t="s">
        <v>1244</v>
      </c>
      <c r="C444" t="s">
        <v>1245</v>
      </c>
      <c r="D444" t="s">
        <v>1244</v>
      </c>
      <c r="E444" t="str">
        <f t="shared" si="6"/>
        <v>ABA</v>
      </c>
    </row>
    <row r="445" spans="1:5" x14ac:dyDescent="0.25">
      <c r="A445" t="s">
        <v>1130</v>
      </c>
      <c r="B445" t="s">
        <v>1244</v>
      </c>
      <c r="C445" t="s">
        <v>1245</v>
      </c>
      <c r="D445" t="s">
        <v>1244</v>
      </c>
      <c r="E445" t="str">
        <f t="shared" si="6"/>
        <v>ABA</v>
      </c>
    </row>
    <row r="446" spans="1:5" x14ac:dyDescent="0.25">
      <c r="A446" t="s">
        <v>1055</v>
      </c>
      <c r="B446" t="s">
        <v>1244</v>
      </c>
      <c r="C446" t="s">
        <v>1245</v>
      </c>
      <c r="D446" t="s">
        <v>1244</v>
      </c>
      <c r="E446" t="str">
        <f t="shared" si="6"/>
        <v>ABA</v>
      </c>
    </row>
    <row r="447" spans="1:5" x14ac:dyDescent="0.25">
      <c r="A447" t="s">
        <v>655</v>
      </c>
      <c r="B447" t="s">
        <v>1244</v>
      </c>
      <c r="C447" t="s">
        <v>1245</v>
      </c>
      <c r="D447" t="s">
        <v>1244</v>
      </c>
      <c r="E447" t="str">
        <f t="shared" si="6"/>
        <v>ABA</v>
      </c>
    </row>
    <row r="448" spans="1:5" x14ac:dyDescent="0.25">
      <c r="A448" t="s">
        <v>610</v>
      </c>
      <c r="B448" t="s">
        <v>1244</v>
      </c>
      <c r="C448" t="s">
        <v>1245</v>
      </c>
      <c r="D448" t="s">
        <v>1244</v>
      </c>
      <c r="E448" t="str">
        <f t="shared" si="6"/>
        <v>ABA</v>
      </c>
    </row>
    <row r="449" spans="1:5" x14ac:dyDescent="0.25">
      <c r="A449" t="s">
        <v>313</v>
      </c>
      <c r="B449" t="s">
        <v>1244</v>
      </c>
      <c r="C449" t="s">
        <v>1245</v>
      </c>
      <c r="D449" t="s">
        <v>1244</v>
      </c>
      <c r="E449" t="str">
        <f t="shared" si="6"/>
        <v>ABA</v>
      </c>
    </row>
    <row r="450" spans="1:5" x14ac:dyDescent="0.25">
      <c r="A450" t="s">
        <v>460</v>
      </c>
      <c r="B450" t="s">
        <v>1244</v>
      </c>
      <c r="C450" t="s">
        <v>1246</v>
      </c>
      <c r="D450" t="s">
        <v>1244</v>
      </c>
      <c r="E450" t="str">
        <f t="shared" si="6"/>
        <v>ACA</v>
      </c>
    </row>
    <row r="451" spans="1:5" x14ac:dyDescent="0.25">
      <c r="A451" t="s">
        <v>1134</v>
      </c>
      <c r="B451" t="s">
        <v>1244</v>
      </c>
      <c r="C451" t="s">
        <v>1245</v>
      </c>
      <c r="D451" t="s">
        <v>1244</v>
      </c>
      <c r="E451" t="str">
        <f t="shared" si="6"/>
        <v>ABA</v>
      </c>
    </row>
    <row r="452" spans="1:5" x14ac:dyDescent="0.25">
      <c r="A452" t="s">
        <v>578</v>
      </c>
      <c r="B452" t="s">
        <v>1244</v>
      </c>
      <c r="C452" t="s">
        <v>1245</v>
      </c>
      <c r="D452" t="s">
        <v>1244</v>
      </c>
      <c r="E452" t="str">
        <f t="shared" si="6"/>
        <v>ABA</v>
      </c>
    </row>
    <row r="453" spans="1:5" x14ac:dyDescent="0.25">
      <c r="A453" t="s">
        <v>874</v>
      </c>
      <c r="B453" t="s">
        <v>1244</v>
      </c>
      <c r="C453" t="s">
        <v>1246</v>
      </c>
      <c r="D453" t="s">
        <v>1244</v>
      </c>
      <c r="E453" t="str">
        <f t="shared" ref="E453:E516" si="7">B453&amp;C453&amp;D453</f>
        <v>ACA</v>
      </c>
    </row>
    <row r="454" spans="1:5" x14ac:dyDescent="0.25">
      <c r="A454" t="s">
        <v>777</v>
      </c>
      <c r="B454" t="s">
        <v>1244</v>
      </c>
      <c r="C454" t="s">
        <v>1246</v>
      </c>
      <c r="D454" t="s">
        <v>1244</v>
      </c>
      <c r="E454" t="str">
        <f t="shared" si="7"/>
        <v>ACA</v>
      </c>
    </row>
    <row r="455" spans="1:5" x14ac:dyDescent="0.25">
      <c r="A455" t="s">
        <v>1081</v>
      </c>
      <c r="B455" t="s">
        <v>1244</v>
      </c>
      <c r="C455" t="s">
        <v>1246</v>
      </c>
      <c r="D455" t="s">
        <v>1244</v>
      </c>
      <c r="E455" t="str">
        <f t="shared" si="7"/>
        <v>ACA</v>
      </c>
    </row>
    <row r="456" spans="1:5" x14ac:dyDescent="0.25">
      <c r="A456" t="s">
        <v>657</v>
      </c>
      <c r="B456" t="s">
        <v>1245</v>
      </c>
      <c r="C456" t="s">
        <v>1244</v>
      </c>
      <c r="D456" t="s">
        <v>1245</v>
      </c>
      <c r="E456" t="str">
        <f t="shared" si="7"/>
        <v>BAB</v>
      </c>
    </row>
    <row r="457" spans="1:5" x14ac:dyDescent="0.25">
      <c r="A457" t="s">
        <v>992</v>
      </c>
      <c r="B457" t="s">
        <v>1245</v>
      </c>
      <c r="C457" t="s">
        <v>1245</v>
      </c>
      <c r="D457" t="s">
        <v>1245</v>
      </c>
      <c r="E457" t="str">
        <f t="shared" si="7"/>
        <v>BBB</v>
      </c>
    </row>
    <row r="458" spans="1:5" x14ac:dyDescent="0.25">
      <c r="A458" t="s">
        <v>926</v>
      </c>
      <c r="B458" t="s">
        <v>1245</v>
      </c>
      <c r="C458" t="s">
        <v>1245</v>
      </c>
      <c r="D458" t="s">
        <v>1245</v>
      </c>
      <c r="E458" t="str">
        <f t="shared" si="7"/>
        <v>BBB</v>
      </c>
    </row>
    <row r="459" spans="1:5" x14ac:dyDescent="0.25">
      <c r="A459" t="s">
        <v>1022</v>
      </c>
      <c r="B459" t="s">
        <v>1245</v>
      </c>
      <c r="C459" t="s">
        <v>1245</v>
      </c>
      <c r="D459" t="s">
        <v>1245</v>
      </c>
      <c r="E459" t="str">
        <f t="shared" si="7"/>
        <v>BBB</v>
      </c>
    </row>
    <row r="460" spans="1:5" x14ac:dyDescent="0.25">
      <c r="A460" t="s">
        <v>775</v>
      </c>
      <c r="B460" t="s">
        <v>1245</v>
      </c>
      <c r="C460" t="s">
        <v>1244</v>
      </c>
      <c r="D460" t="s">
        <v>1245</v>
      </c>
      <c r="E460" t="str">
        <f t="shared" si="7"/>
        <v>BAB</v>
      </c>
    </row>
    <row r="461" spans="1:5" x14ac:dyDescent="0.25">
      <c r="A461" t="s">
        <v>67</v>
      </c>
      <c r="B461" t="s">
        <v>1245</v>
      </c>
      <c r="C461" t="s">
        <v>1244</v>
      </c>
      <c r="D461" t="s">
        <v>1245</v>
      </c>
      <c r="E461" t="str">
        <f t="shared" si="7"/>
        <v>BAB</v>
      </c>
    </row>
    <row r="462" spans="1:5" x14ac:dyDescent="0.25">
      <c r="A462" t="s">
        <v>666</v>
      </c>
      <c r="B462" t="s">
        <v>1245</v>
      </c>
      <c r="C462" t="s">
        <v>1246</v>
      </c>
      <c r="D462" t="s">
        <v>1245</v>
      </c>
      <c r="E462" t="str">
        <f t="shared" si="7"/>
        <v>BCB</v>
      </c>
    </row>
    <row r="463" spans="1:5" x14ac:dyDescent="0.25">
      <c r="A463" t="s">
        <v>384</v>
      </c>
      <c r="B463" t="s">
        <v>1245</v>
      </c>
      <c r="C463" t="s">
        <v>1244</v>
      </c>
      <c r="D463" t="s">
        <v>1245</v>
      </c>
      <c r="E463" t="str">
        <f t="shared" si="7"/>
        <v>BAB</v>
      </c>
    </row>
    <row r="464" spans="1:5" x14ac:dyDescent="0.25">
      <c r="A464" t="s">
        <v>886</v>
      </c>
      <c r="B464" t="s">
        <v>1245</v>
      </c>
      <c r="C464" t="s">
        <v>1244</v>
      </c>
      <c r="D464" t="s">
        <v>1245</v>
      </c>
      <c r="E464" t="str">
        <f t="shared" si="7"/>
        <v>BAB</v>
      </c>
    </row>
    <row r="465" spans="1:5" x14ac:dyDescent="0.25">
      <c r="A465" t="s">
        <v>1070</v>
      </c>
      <c r="B465" t="s">
        <v>1245</v>
      </c>
      <c r="C465" t="s">
        <v>1245</v>
      </c>
      <c r="D465" t="s">
        <v>1245</v>
      </c>
      <c r="E465" t="str">
        <f t="shared" si="7"/>
        <v>BBB</v>
      </c>
    </row>
    <row r="466" spans="1:5" x14ac:dyDescent="0.25">
      <c r="A466" t="s">
        <v>1100</v>
      </c>
      <c r="B466" t="s">
        <v>1245</v>
      </c>
      <c r="C466" t="s">
        <v>1246</v>
      </c>
      <c r="D466" t="s">
        <v>1245</v>
      </c>
      <c r="E466" t="str">
        <f t="shared" si="7"/>
        <v>BCB</v>
      </c>
    </row>
    <row r="467" spans="1:5" x14ac:dyDescent="0.25">
      <c r="A467" t="s">
        <v>1177</v>
      </c>
      <c r="B467" t="s">
        <v>1245</v>
      </c>
      <c r="C467" t="s">
        <v>1244</v>
      </c>
      <c r="D467" t="s">
        <v>1245</v>
      </c>
      <c r="E467" t="str">
        <f t="shared" si="7"/>
        <v>BAB</v>
      </c>
    </row>
    <row r="468" spans="1:5" x14ac:dyDescent="0.25">
      <c r="A468" t="s">
        <v>1119</v>
      </c>
      <c r="B468" t="s">
        <v>1245</v>
      </c>
      <c r="C468" t="s">
        <v>1245</v>
      </c>
      <c r="D468" t="s">
        <v>1245</v>
      </c>
      <c r="E468" t="str">
        <f t="shared" si="7"/>
        <v>BBB</v>
      </c>
    </row>
    <row r="469" spans="1:5" x14ac:dyDescent="0.25">
      <c r="A469" t="s">
        <v>458</v>
      </c>
      <c r="B469" t="s">
        <v>1245</v>
      </c>
      <c r="C469" t="s">
        <v>1244</v>
      </c>
      <c r="D469" t="s">
        <v>1245</v>
      </c>
      <c r="E469" t="str">
        <f t="shared" si="7"/>
        <v>BAB</v>
      </c>
    </row>
    <row r="470" spans="1:5" x14ac:dyDescent="0.25">
      <c r="A470" t="s">
        <v>838</v>
      </c>
      <c r="B470" t="s">
        <v>1245</v>
      </c>
      <c r="C470" t="s">
        <v>1244</v>
      </c>
      <c r="D470" t="s">
        <v>1245</v>
      </c>
      <c r="E470" t="str">
        <f t="shared" si="7"/>
        <v>BAB</v>
      </c>
    </row>
    <row r="471" spans="1:5" x14ac:dyDescent="0.25">
      <c r="A471" t="s">
        <v>108</v>
      </c>
      <c r="B471" t="s">
        <v>1245</v>
      </c>
      <c r="C471" t="s">
        <v>1245</v>
      </c>
      <c r="D471" t="s">
        <v>1245</v>
      </c>
      <c r="E471" t="str">
        <f t="shared" si="7"/>
        <v>BBB</v>
      </c>
    </row>
    <row r="472" spans="1:5" x14ac:dyDescent="0.25">
      <c r="A472" t="s">
        <v>411</v>
      </c>
      <c r="B472" t="s">
        <v>1245</v>
      </c>
      <c r="C472" t="s">
        <v>1245</v>
      </c>
      <c r="D472" t="s">
        <v>1245</v>
      </c>
      <c r="E472" t="str">
        <f t="shared" si="7"/>
        <v>BBB</v>
      </c>
    </row>
    <row r="473" spans="1:5" x14ac:dyDescent="0.25">
      <c r="A473" t="s">
        <v>436</v>
      </c>
      <c r="B473" t="s">
        <v>1245</v>
      </c>
      <c r="C473" t="s">
        <v>1245</v>
      </c>
      <c r="D473" t="s">
        <v>1245</v>
      </c>
      <c r="E473" t="str">
        <f t="shared" si="7"/>
        <v>BBB</v>
      </c>
    </row>
    <row r="474" spans="1:5" x14ac:dyDescent="0.25">
      <c r="A474" t="s">
        <v>1155</v>
      </c>
      <c r="B474" t="s">
        <v>1245</v>
      </c>
      <c r="C474" t="s">
        <v>1246</v>
      </c>
      <c r="D474" t="s">
        <v>1245</v>
      </c>
      <c r="E474" t="str">
        <f t="shared" si="7"/>
        <v>BCB</v>
      </c>
    </row>
    <row r="475" spans="1:5" x14ac:dyDescent="0.25">
      <c r="A475" t="s">
        <v>1154</v>
      </c>
      <c r="B475" t="s">
        <v>1245</v>
      </c>
      <c r="C475" t="s">
        <v>1246</v>
      </c>
      <c r="D475" t="s">
        <v>1245</v>
      </c>
      <c r="E475" t="str">
        <f t="shared" si="7"/>
        <v>BCB</v>
      </c>
    </row>
    <row r="476" spans="1:5" x14ac:dyDescent="0.25">
      <c r="A476" t="s">
        <v>769</v>
      </c>
      <c r="B476" t="s">
        <v>1245</v>
      </c>
      <c r="C476" t="s">
        <v>1244</v>
      </c>
      <c r="D476" t="s">
        <v>1245</v>
      </c>
      <c r="E476" t="str">
        <f t="shared" si="7"/>
        <v>BAB</v>
      </c>
    </row>
    <row r="477" spans="1:5" x14ac:dyDescent="0.25">
      <c r="A477" t="s">
        <v>840</v>
      </c>
      <c r="B477" t="s">
        <v>1245</v>
      </c>
      <c r="C477" t="s">
        <v>1245</v>
      </c>
      <c r="D477" t="s">
        <v>1245</v>
      </c>
      <c r="E477" t="str">
        <f t="shared" si="7"/>
        <v>BBB</v>
      </c>
    </row>
    <row r="478" spans="1:5" x14ac:dyDescent="0.25">
      <c r="A478" t="s">
        <v>184</v>
      </c>
      <c r="B478" t="s">
        <v>1245</v>
      </c>
      <c r="C478" t="s">
        <v>1246</v>
      </c>
      <c r="D478" t="s">
        <v>1245</v>
      </c>
      <c r="E478" t="str">
        <f t="shared" si="7"/>
        <v>BCB</v>
      </c>
    </row>
    <row r="479" spans="1:5" x14ac:dyDescent="0.25">
      <c r="A479" t="s">
        <v>50</v>
      </c>
      <c r="B479" t="s">
        <v>1245</v>
      </c>
      <c r="C479" t="s">
        <v>1246</v>
      </c>
      <c r="D479" t="s">
        <v>1245</v>
      </c>
      <c r="E479" t="str">
        <f t="shared" si="7"/>
        <v>BCB</v>
      </c>
    </row>
    <row r="480" spans="1:5" x14ac:dyDescent="0.25">
      <c r="A480" t="s">
        <v>35</v>
      </c>
      <c r="B480" t="s">
        <v>1245</v>
      </c>
      <c r="C480" t="s">
        <v>1244</v>
      </c>
      <c r="D480" t="s">
        <v>1245</v>
      </c>
      <c r="E480" t="str">
        <f t="shared" si="7"/>
        <v>BAB</v>
      </c>
    </row>
    <row r="481" spans="1:5" x14ac:dyDescent="0.25">
      <c r="A481" t="s">
        <v>1195</v>
      </c>
      <c r="B481" t="s">
        <v>1245</v>
      </c>
      <c r="C481" t="s">
        <v>1244</v>
      </c>
      <c r="D481" t="s">
        <v>1245</v>
      </c>
      <c r="E481" t="str">
        <f t="shared" si="7"/>
        <v>BAB</v>
      </c>
    </row>
    <row r="482" spans="1:5" x14ac:dyDescent="0.25">
      <c r="A482" t="s">
        <v>1146</v>
      </c>
      <c r="B482" t="s">
        <v>1245</v>
      </c>
      <c r="C482" t="s">
        <v>1245</v>
      </c>
      <c r="D482" t="s">
        <v>1245</v>
      </c>
      <c r="E482" t="str">
        <f t="shared" si="7"/>
        <v>BBB</v>
      </c>
    </row>
    <row r="483" spans="1:5" x14ac:dyDescent="0.25">
      <c r="A483" t="s">
        <v>280</v>
      </c>
      <c r="B483" t="s">
        <v>1245</v>
      </c>
      <c r="C483" t="s">
        <v>1244</v>
      </c>
      <c r="D483" t="s">
        <v>1245</v>
      </c>
      <c r="E483" t="str">
        <f t="shared" si="7"/>
        <v>BAB</v>
      </c>
    </row>
    <row r="484" spans="1:5" x14ac:dyDescent="0.25">
      <c r="A484" t="s">
        <v>933</v>
      </c>
      <c r="B484" t="s">
        <v>1245</v>
      </c>
      <c r="C484" t="s">
        <v>1245</v>
      </c>
      <c r="D484" t="s">
        <v>1245</v>
      </c>
      <c r="E484" t="str">
        <f t="shared" si="7"/>
        <v>BBB</v>
      </c>
    </row>
    <row r="485" spans="1:5" x14ac:dyDescent="0.25">
      <c r="A485" t="s">
        <v>1210</v>
      </c>
      <c r="B485" t="s">
        <v>1245</v>
      </c>
      <c r="C485" t="s">
        <v>1244</v>
      </c>
      <c r="D485" t="s">
        <v>1245</v>
      </c>
      <c r="E485" t="str">
        <f t="shared" si="7"/>
        <v>BAB</v>
      </c>
    </row>
    <row r="486" spans="1:5" x14ac:dyDescent="0.25">
      <c r="A486" t="s">
        <v>193</v>
      </c>
      <c r="B486" t="s">
        <v>1245</v>
      </c>
      <c r="C486" t="s">
        <v>1244</v>
      </c>
      <c r="D486" t="s">
        <v>1245</v>
      </c>
      <c r="E486" t="str">
        <f t="shared" si="7"/>
        <v>BAB</v>
      </c>
    </row>
    <row r="487" spans="1:5" x14ac:dyDescent="0.25">
      <c r="A487" t="s">
        <v>921</v>
      </c>
      <c r="B487" t="s">
        <v>1245</v>
      </c>
      <c r="C487" t="s">
        <v>1245</v>
      </c>
      <c r="D487" t="s">
        <v>1245</v>
      </c>
      <c r="E487" t="str">
        <f t="shared" si="7"/>
        <v>BBB</v>
      </c>
    </row>
    <row r="488" spans="1:5" x14ac:dyDescent="0.25">
      <c r="A488" t="s">
        <v>554</v>
      </c>
      <c r="B488" t="s">
        <v>1245</v>
      </c>
      <c r="C488" t="s">
        <v>1245</v>
      </c>
      <c r="D488" t="s">
        <v>1245</v>
      </c>
      <c r="E488" t="str">
        <f t="shared" si="7"/>
        <v>BBB</v>
      </c>
    </row>
    <row r="489" spans="1:5" x14ac:dyDescent="0.25">
      <c r="A489" t="s">
        <v>1153</v>
      </c>
      <c r="B489" t="s">
        <v>1245</v>
      </c>
      <c r="C489" t="s">
        <v>1245</v>
      </c>
      <c r="D489" t="s">
        <v>1245</v>
      </c>
      <c r="E489" t="str">
        <f t="shared" si="7"/>
        <v>BBB</v>
      </c>
    </row>
    <row r="490" spans="1:5" x14ac:dyDescent="0.25">
      <c r="A490" t="s">
        <v>362</v>
      </c>
      <c r="B490" t="s">
        <v>1245</v>
      </c>
      <c r="C490" t="s">
        <v>1245</v>
      </c>
      <c r="D490" t="s">
        <v>1245</v>
      </c>
      <c r="E490" t="str">
        <f t="shared" si="7"/>
        <v>BBB</v>
      </c>
    </row>
    <row r="491" spans="1:5" x14ac:dyDescent="0.25">
      <c r="A491" t="s">
        <v>660</v>
      </c>
      <c r="B491" t="s">
        <v>1245</v>
      </c>
      <c r="C491" t="s">
        <v>1244</v>
      </c>
      <c r="D491" t="s">
        <v>1245</v>
      </c>
      <c r="E491" t="str">
        <f t="shared" si="7"/>
        <v>BAB</v>
      </c>
    </row>
    <row r="492" spans="1:5" x14ac:dyDescent="0.25">
      <c r="A492" t="s">
        <v>973</v>
      </c>
      <c r="B492" t="s">
        <v>1245</v>
      </c>
      <c r="C492" t="s">
        <v>1246</v>
      </c>
      <c r="D492" t="s">
        <v>1245</v>
      </c>
      <c r="E492" t="str">
        <f t="shared" si="7"/>
        <v>BCB</v>
      </c>
    </row>
    <row r="493" spans="1:5" x14ac:dyDescent="0.25">
      <c r="A493" t="s">
        <v>870</v>
      </c>
      <c r="B493" t="s">
        <v>1245</v>
      </c>
      <c r="C493" t="s">
        <v>1244</v>
      </c>
      <c r="D493" t="s">
        <v>1245</v>
      </c>
      <c r="E493" t="str">
        <f t="shared" si="7"/>
        <v>BAB</v>
      </c>
    </row>
    <row r="494" spans="1:5" x14ac:dyDescent="0.25">
      <c r="A494" t="s">
        <v>1029</v>
      </c>
      <c r="B494" t="s">
        <v>1245</v>
      </c>
      <c r="C494" t="s">
        <v>1245</v>
      </c>
      <c r="D494" t="s">
        <v>1245</v>
      </c>
      <c r="E494" t="str">
        <f t="shared" si="7"/>
        <v>BBB</v>
      </c>
    </row>
    <row r="495" spans="1:5" x14ac:dyDescent="0.25">
      <c r="A495" t="s">
        <v>1053</v>
      </c>
      <c r="B495" t="s">
        <v>1245</v>
      </c>
      <c r="C495" t="s">
        <v>1245</v>
      </c>
      <c r="D495" t="s">
        <v>1245</v>
      </c>
      <c r="E495" t="str">
        <f t="shared" si="7"/>
        <v>BBB</v>
      </c>
    </row>
    <row r="496" spans="1:5" x14ac:dyDescent="0.25">
      <c r="A496" t="s">
        <v>805</v>
      </c>
      <c r="B496" t="s">
        <v>1245</v>
      </c>
      <c r="C496" t="s">
        <v>1244</v>
      </c>
      <c r="D496" t="s">
        <v>1245</v>
      </c>
      <c r="E496" t="str">
        <f t="shared" si="7"/>
        <v>BAB</v>
      </c>
    </row>
    <row r="497" spans="1:5" x14ac:dyDescent="0.25">
      <c r="A497" t="s">
        <v>641</v>
      </c>
      <c r="B497" t="s">
        <v>1245</v>
      </c>
      <c r="C497" t="s">
        <v>1244</v>
      </c>
      <c r="D497" t="s">
        <v>1245</v>
      </c>
      <c r="E497" t="str">
        <f t="shared" si="7"/>
        <v>BAB</v>
      </c>
    </row>
    <row r="498" spans="1:5" x14ac:dyDescent="0.25">
      <c r="A498" t="s">
        <v>1219</v>
      </c>
      <c r="B498" t="s">
        <v>1245</v>
      </c>
      <c r="C498" t="s">
        <v>1246</v>
      </c>
      <c r="D498" t="s">
        <v>1245</v>
      </c>
      <c r="E498" t="str">
        <f t="shared" si="7"/>
        <v>BCB</v>
      </c>
    </row>
    <row r="499" spans="1:5" x14ac:dyDescent="0.25">
      <c r="A499" t="s">
        <v>208</v>
      </c>
      <c r="B499" t="s">
        <v>1245</v>
      </c>
      <c r="C499" t="s">
        <v>1246</v>
      </c>
      <c r="D499" t="s">
        <v>1245</v>
      </c>
      <c r="E499" t="str">
        <f t="shared" si="7"/>
        <v>BCB</v>
      </c>
    </row>
    <row r="500" spans="1:5" x14ac:dyDescent="0.25">
      <c r="A500" t="s">
        <v>39</v>
      </c>
      <c r="B500" t="s">
        <v>1245</v>
      </c>
      <c r="C500" t="s">
        <v>1245</v>
      </c>
      <c r="D500" t="s">
        <v>1245</v>
      </c>
      <c r="E500" t="str">
        <f t="shared" si="7"/>
        <v>BBB</v>
      </c>
    </row>
    <row r="501" spans="1:5" x14ac:dyDescent="0.25">
      <c r="A501" t="s">
        <v>904</v>
      </c>
      <c r="B501" t="s">
        <v>1245</v>
      </c>
      <c r="C501" t="s">
        <v>1244</v>
      </c>
      <c r="D501" t="s">
        <v>1245</v>
      </c>
      <c r="E501" t="str">
        <f t="shared" si="7"/>
        <v>BAB</v>
      </c>
    </row>
    <row r="502" spans="1:5" x14ac:dyDescent="0.25">
      <c r="A502" t="s">
        <v>320</v>
      </c>
      <c r="B502" t="s">
        <v>1245</v>
      </c>
      <c r="C502" t="s">
        <v>1245</v>
      </c>
      <c r="D502" t="s">
        <v>1245</v>
      </c>
      <c r="E502" t="str">
        <f t="shared" si="7"/>
        <v>BBB</v>
      </c>
    </row>
    <row r="503" spans="1:5" x14ac:dyDescent="0.25">
      <c r="A503" t="s">
        <v>1120</v>
      </c>
      <c r="B503" t="s">
        <v>1245</v>
      </c>
      <c r="C503" t="s">
        <v>1245</v>
      </c>
      <c r="D503" t="s">
        <v>1245</v>
      </c>
      <c r="E503" t="str">
        <f t="shared" si="7"/>
        <v>BBB</v>
      </c>
    </row>
    <row r="504" spans="1:5" x14ac:dyDescent="0.25">
      <c r="A504" t="s">
        <v>1112</v>
      </c>
      <c r="B504" t="s">
        <v>1245</v>
      </c>
      <c r="C504" t="s">
        <v>1246</v>
      </c>
      <c r="D504" t="s">
        <v>1245</v>
      </c>
      <c r="E504" t="str">
        <f t="shared" si="7"/>
        <v>BCB</v>
      </c>
    </row>
    <row r="505" spans="1:5" x14ac:dyDescent="0.25">
      <c r="A505" t="s">
        <v>733</v>
      </c>
      <c r="B505" t="s">
        <v>1245</v>
      </c>
      <c r="C505" t="s">
        <v>1246</v>
      </c>
      <c r="D505" t="s">
        <v>1245</v>
      </c>
      <c r="E505" t="str">
        <f t="shared" si="7"/>
        <v>BCB</v>
      </c>
    </row>
    <row r="506" spans="1:5" x14ac:dyDescent="0.25">
      <c r="A506" t="s">
        <v>647</v>
      </c>
      <c r="B506" t="s">
        <v>1245</v>
      </c>
      <c r="C506" t="s">
        <v>1246</v>
      </c>
      <c r="D506" t="s">
        <v>1245</v>
      </c>
      <c r="E506" t="str">
        <f t="shared" si="7"/>
        <v>BCB</v>
      </c>
    </row>
    <row r="507" spans="1:5" x14ac:dyDescent="0.25">
      <c r="A507" t="s">
        <v>949</v>
      </c>
      <c r="B507" t="s">
        <v>1245</v>
      </c>
      <c r="C507" t="s">
        <v>1246</v>
      </c>
      <c r="D507" t="s">
        <v>1245</v>
      </c>
      <c r="E507" t="str">
        <f t="shared" si="7"/>
        <v>BCB</v>
      </c>
    </row>
    <row r="508" spans="1:5" x14ac:dyDescent="0.25">
      <c r="A508" t="s">
        <v>1032</v>
      </c>
      <c r="B508" t="s">
        <v>1245</v>
      </c>
      <c r="C508" t="s">
        <v>1244</v>
      </c>
      <c r="D508" t="s">
        <v>1245</v>
      </c>
      <c r="E508" t="str">
        <f t="shared" si="7"/>
        <v>BAB</v>
      </c>
    </row>
    <row r="509" spans="1:5" x14ac:dyDescent="0.25">
      <c r="A509" t="s">
        <v>951</v>
      </c>
      <c r="B509" t="s">
        <v>1245</v>
      </c>
      <c r="C509" t="s">
        <v>1245</v>
      </c>
      <c r="D509" t="s">
        <v>1245</v>
      </c>
      <c r="E509" t="str">
        <f t="shared" si="7"/>
        <v>BBB</v>
      </c>
    </row>
    <row r="510" spans="1:5" x14ac:dyDescent="0.25">
      <c r="A510" t="s">
        <v>1194</v>
      </c>
      <c r="B510" t="s">
        <v>1245</v>
      </c>
      <c r="C510" t="s">
        <v>1245</v>
      </c>
      <c r="D510" t="s">
        <v>1245</v>
      </c>
      <c r="E510" t="str">
        <f t="shared" si="7"/>
        <v>BBB</v>
      </c>
    </row>
    <row r="511" spans="1:5" x14ac:dyDescent="0.25">
      <c r="A511" t="s">
        <v>744</v>
      </c>
      <c r="B511" t="s">
        <v>1245</v>
      </c>
      <c r="C511" t="s">
        <v>1244</v>
      </c>
      <c r="D511" t="s">
        <v>1245</v>
      </c>
      <c r="E511" t="str">
        <f t="shared" si="7"/>
        <v>BAB</v>
      </c>
    </row>
    <row r="512" spans="1:5" x14ac:dyDescent="0.25">
      <c r="A512" t="s">
        <v>850</v>
      </c>
      <c r="B512" t="s">
        <v>1245</v>
      </c>
      <c r="C512" t="s">
        <v>1246</v>
      </c>
      <c r="D512" t="s">
        <v>1245</v>
      </c>
      <c r="E512" t="str">
        <f t="shared" si="7"/>
        <v>BCB</v>
      </c>
    </row>
    <row r="513" spans="1:5" x14ac:dyDescent="0.25">
      <c r="A513" t="s">
        <v>942</v>
      </c>
      <c r="B513" t="s">
        <v>1245</v>
      </c>
      <c r="C513" t="s">
        <v>1246</v>
      </c>
      <c r="D513" t="s">
        <v>1245</v>
      </c>
      <c r="E513" t="str">
        <f t="shared" si="7"/>
        <v>BCB</v>
      </c>
    </row>
    <row r="514" spans="1:5" x14ac:dyDescent="0.25">
      <c r="A514" t="s">
        <v>557</v>
      </c>
      <c r="B514" t="s">
        <v>1245</v>
      </c>
      <c r="C514" t="s">
        <v>1246</v>
      </c>
      <c r="D514" t="s">
        <v>1245</v>
      </c>
      <c r="E514" t="str">
        <f t="shared" si="7"/>
        <v>BCB</v>
      </c>
    </row>
    <row r="515" spans="1:5" x14ac:dyDescent="0.25">
      <c r="A515" t="s">
        <v>1145</v>
      </c>
      <c r="B515" t="s">
        <v>1245</v>
      </c>
      <c r="C515" t="s">
        <v>1244</v>
      </c>
      <c r="D515" t="s">
        <v>1245</v>
      </c>
      <c r="E515" t="str">
        <f t="shared" si="7"/>
        <v>BAB</v>
      </c>
    </row>
    <row r="516" spans="1:5" x14ac:dyDescent="0.25">
      <c r="A516" t="s">
        <v>680</v>
      </c>
      <c r="B516" t="s">
        <v>1245</v>
      </c>
      <c r="C516" t="s">
        <v>1245</v>
      </c>
      <c r="D516" t="s">
        <v>1245</v>
      </c>
      <c r="E516" t="str">
        <f t="shared" si="7"/>
        <v>BBB</v>
      </c>
    </row>
    <row r="517" spans="1:5" x14ac:dyDescent="0.25">
      <c r="A517" t="s">
        <v>532</v>
      </c>
      <c r="B517" t="s">
        <v>1245</v>
      </c>
      <c r="C517" t="s">
        <v>1244</v>
      </c>
      <c r="D517" t="s">
        <v>1245</v>
      </c>
      <c r="E517" t="str">
        <f t="shared" ref="E517:E580" si="8">B517&amp;C517&amp;D517</f>
        <v>BAB</v>
      </c>
    </row>
    <row r="518" spans="1:5" x14ac:dyDescent="0.25">
      <c r="A518" t="s">
        <v>658</v>
      </c>
      <c r="B518" t="s">
        <v>1245</v>
      </c>
      <c r="C518" t="s">
        <v>1244</v>
      </c>
      <c r="D518" t="s">
        <v>1245</v>
      </c>
      <c r="E518" t="str">
        <f t="shared" si="8"/>
        <v>BAB</v>
      </c>
    </row>
    <row r="519" spans="1:5" x14ac:dyDescent="0.25">
      <c r="A519" t="s">
        <v>750</v>
      </c>
      <c r="B519" t="s">
        <v>1245</v>
      </c>
      <c r="C519" t="s">
        <v>1244</v>
      </c>
      <c r="D519" t="s">
        <v>1245</v>
      </c>
      <c r="E519" t="str">
        <f t="shared" si="8"/>
        <v>BAB</v>
      </c>
    </row>
    <row r="520" spans="1:5" x14ac:dyDescent="0.25">
      <c r="A520" t="s">
        <v>943</v>
      </c>
      <c r="B520" t="s">
        <v>1245</v>
      </c>
      <c r="C520" t="s">
        <v>1244</v>
      </c>
      <c r="D520" t="s">
        <v>1245</v>
      </c>
      <c r="E520" t="str">
        <f t="shared" si="8"/>
        <v>BAB</v>
      </c>
    </row>
    <row r="521" spans="1:5" x14ac:dyDescent="0.25">
      <c r="A521" t="s">
        <v>429</v>
      </c>
      <c r="B521" t="s">
        <v>1245</v>
      </c>
      <c r="C521" t="s">
        <v>1246</v>
      </c>
      <c r="D521" t="s">
        <v>1245</v>
      </c>
      <c r="E521" t="str">
        <f t="shared" si="8"/>
        <v>BCB</v>
      </c>
    </row>
    <row r="522" spans="1:5" x14ac:dyDescent="0.25">
      <c r="A522" t="s">
        <v>324</v>
      </c>
      <c r="B522" t="s">
        <v>1245</v>
      </c>
      <c r="C522" t="s">
        <v>1246</v>
      </c>
      <c r="D522" t="s">
        <v>1245</v>
      </c>
      <c r="E522" t="str">
        <f t="shared" si="8"/>
        <v>BCB</v>
      </c>
    </row>
    <row r="523" spans="1:5" x14ac:dyDescent="0.25">
      <c r="A523" t="s">
        <v>190</v>
      </c>
      <c r="B523" t="s">
        <v>1245</v>
      </c>
      <c r="C523" t="s">
        <v>1246</v>
      </c>
      <c r="D523" t="s">
        <v>1245</v>
      </c>
      <c r="E523" t="str">
        <f t="shared" si="8"/>
        <v>BCB</v>
      </c>
    </row>
    <row r="524" spans="1:5" x14ac:dyDescent="0.25">
      <c r="A524" t="s">
        <v>499</v>
      </c>
      <c r="B524" t="s">
        <v>1245</v>
      </c>
      <c r="C524" t="s">
        <v>1246</v>
      </c>
      <c r="D524" t="s">
        <v>1245</v>
      </c>
      <c r="E524" t="str">
        <f t="shared" si="8"/>
        <v>BCB</v>
      </c>
    </row>
    <row r="525" spans="1:5" x14ac:dyDescent="0.25">
      <c r="A525" t="s">
        <v>873</v>
      </c>
      <c r="B525" t="s">
        <v>1245</v>
      </c>
      <c r="C525" t="s">
        <v>1246</v>
      </c>
      <c r="D525" t="s">
        <v>1245</v>
      </c>
      <c r="E525" t="str">
        <f t="shared" si="8"/>
        <v>BCB</v>
      </c>
    </row>
    <row r="526" spans="1:5" x14ac:dyDescent="0.25">
      <c r="A526" t="s">
        <v>1044</v>
      </c>
      <c r="B526" t="s">
        <v>1245</v>
      </c>
      <c r="C526" t="s">
        <v>1246</v>
      </c>
      <c r="D526" t="s">
        <v>1245</v>
      </c>
      <c r="E526" t="str">
        <f t="shared" si="8"/>
        <v>BCB</v>
      </c>
    </row>
    <row r="527" spans="1:5" x14ac:dyDescent="0.25">
      <c r="A527" t="s">
        <v>603</v>
      </c>
      <c r="B527" t="s">
        <v>1245</v>
      </c>
      <c r="C527" t="s">
        <v>1244</v>
      </c>
      <c r="D527" t="s">
        <v>1245</v>
      </c>
      <c r="E527" t="str">
        <f t="shared" si="8"/>
        <v>BAB</v>
      </c>
    </row>
    <row r="528" spans="1:5" x14ac:dyDescent="0.25">
      <c r="A528" t="s">
        <v>937</v>
      </c>
      <c r="B528" t="s">
        <v>1245</v>
      </c>
      <c r="C528" t="s">
        <v>1244</v>
      </c>
      <c r="D528" t="s">
        <v>1245</v>
      </c>
      <c r="E528" t="str">
        <f t="shared" si="8"/>
        <v>BAB</v>
      </c>
    </row>
    <row r="529" spans="1:5" x14ac:dyDescent="0.25">
      <c r="A529" t="s">
        <v>1092</v>
      </c>
      <c r="B529" t="s">
        <v>1245</v>
      </c>
      <c r="C529" t="s">
        <v>1245</v>
      </c>
      <c r="D529" t="s">
        <v>1245</v>
      </c>
      <c r="E529" t="str">
        <f t="shared" si="8"/>
        <v>BBB</v>
      </c>
    </row>
    <row r="530" spans="1:5" x14ac:dyDescent="0.25">
      <c r="A530" t="s">
        <v>690</v>
      </c>
      <c r="B530" t="s">
        <v>1245</v>
      </c>
      <c r="C530" t="s">
        <v>1244</v>
      </c>
      <c r="D530" t="s">
        <v>1245</v>
      </c>
      <c r="E530" t="str">
        <f t="shared" si="8"/>
        <v>BAB</v>
      </c>
    </row>
    <row r="531" spans="1:5" x14ac:dyDescent="0.25">
      <c r="A531" t="s">
        <v>974</v>
      </c>
      <c r="B531" t="s">
        <v>1245</v>
      </c>
      <c r="C531" t="s">
        <v>1246</v>
      </c>
      <c r="D531" t="s">
        <v>1245</v>
      </c>
      <c r="E531" t="str">
        <f t="shared" si="8"/>
        <v>BCB</v>
      </c>
    </row>
    <row r="532" spans="1:5" x14ac:dyDescent="0.25">
      <c r="A532" t="s">
        <v>988</v>
      </c>
      <c r="B532" t="s">
        <v>1245</v>
      </c>
      <c r="C532" t="s">
        <v>1244</v>
      </c>
      <c r="D532" t="s">
        <v>1245</v>
      </c>
      <c r="E532" t="str">
        <f t="shared" si="8"/>
        <v>BAB</v>
      </c>
    </row>
    <row r="533" spans="1:5" x14ac:dyDescent="0.25">
      <c r="A533" t="s">
        <v>1051</v>
      </c>
      <c r="B533" t="s">
        <v>1245</v>
      </c>
      <c r="C533" t="s">
        <v>1244</v>
      </c>
      <c r="D533" t="s">
        <v>1245</v>
      </c>
      <c r="E533" t="str">
        <f t="shared" si="8"/>
        <v>BAB</v>
      </c>
    </row>
    <row r="534" spans="1:5" x14ac:dyDescent="0.25">
      <c r="A534" t="s">
        <v>447</v>
      </c>
      <c r="B534" t="s">
        <v>1245</v>
      </c>
      <c r="C534" t="s">
        <v>1244</v>
      </c>
      <c r="D534" t="s">
        <v>1245</v>
      </c>
      <c r="E534" t="str">
        <f t="shared" si="8"/>
        <v>BAB</v>
      </c>
    </row>
    <row r="535" spans="1:5" x14ac:dyDescent="0.25">
      <c r="A535" t="s">
        <v>481</v>
      </c>
      <c r="B535" t="s">
        <v>1245</v>
      </c>
      <c r="C535" t="s">
        <v>1245</v>
      </c>
      <c r="D535" t="s">
        <v>1245</v>
      </c>
      <c r="E535" t="str">
        <f t="shared" si="8"/>
        <v>BBB</v>
      </c>
    </row>
    <row r="536" spans="1:5" x14ac:dyDescent="0.25">
      <c r="A536" t="s">
        <v>1035</v>
      </c>
      <c r="B536" t="s">
        <v>1245</v>
      </c>
      <c r="C536" t="s">
        <v>1246</v>
      </c>
      <c r="D536" t="s">
        <v>1245</v>
      </c>
      <c r="E536" t="str">
        <f t="shared" si="8"/>
        <v>BCB</v>
      </c>
    </row>
    <row r="537" spans="1:5" x14ac:dyDescent="0.25">
      <c r="A537" t="s">
        <v>893</v>
      </c>
      <c r="B537" t="s">
        <v>1245</v>
      </c>
      <c r="C537" t="s">
        <v>1246</v>
      </c>
      <c r="D537" t="s">
        <v>1245</v>
      </c>
      <c r="E537" t="str">
        <f t="shared" si="8"/>
        <v>BCB</v>
      </c>
    </row>
    <row r="538" spans="1:5" x14ac:dyDescent="0.25">
      <c r="A538" t="s">
        <v>713</v>
      </c>
      <c r="B538" t="s">
        <v>1245</v>
      </c>
      <c r="C538" t="s">
        <v>1244</v>
      </c>
      <c r="D538" t="s">
        <v>1245</v>
      </c>
      <c r="E538" t="str">
        <f t="shared" si="8"/>
        <v>BAB</v>
      </c>
    </row>
    <row r="539" spans="1:5" x14ac:dyDescent="0.25">
      <c r="A539" t="s">
        <v>820</v>
      </c>
      <c r="B539" t="s">
        <v>1245</v>
      </c>
      <c r="C539" t="s">
        <v>1244</v>
      </c>
      <c r="D539" t="s">
        <v>1245</v>
      </c>
      <c r="E539" t="str">
        <f t="shared" si="8"/>
        <v>BAB</v>
      </c>
    </row>
    <row r="540" spans="1:5" x14ac:dyDescent="0.25">
      <c r="A540" t="s">
        <v>488</v>
      </c>
      <c r="B540" t="s">
        <v>1245</v>
      </c>
      <c r="C540" t="s">
        <v>1244</v>
      </c>
      <c r="D540" t="s">
        <v>1245</v>
      </c>
      <c r="E540" t="str">
        <f t="shared" si="8"/>
        <v>BAB</v>
      </c>
    </row>
    <row r="541" spans="1:5" x14ac:dyDescent="0.25">
      <c r="A541" t="s">
        <v>723</v>
      </c>
      <c r="B541" t="s">
        <v>1245</v>
      </c>
      <c r="C541" t="s">
        <v>1244</v>
      </c>
      <c r="D541" t="s">
        <v>1245</v>
      </c>
      <c r="E541" t="str">
        <f t="shared" si="8"/>
        <v>BAB</v>
      </c>
    </row>
    <row r="542" spans="1:5" x14ac:dyDescent="0.25">
      <c r="A542" t="s">
        <v>1068</v>
      </c>
      <c r="B542" t="s">
        <v>1245</v>
      </c>
      <c r="C542" t="s">
        <v>1245</v>
      </c>
      <c r="D542" t="s">
        <v>1245</v>
      </c>
      <c r="E542" t="str">
        <f t="shared" si="8"/>
        <v>BBB</v>
      </c>
    </row>
    <row r="543" spans="1:5" x14ac:dyDescent="0.25">
      <c r="A543" t="s">
        <v>765</v>
      </c>
      <c r="B543" t="s">
        <v>1245</v>
      </c>
      <c r="C543" t="s">
        <v>1244</v>
      </c>
      <c r="D543" t="s">
        <v>1245</v>
      </c>
      <c r="E543" t="str">
        <f t="shared" si="8"/>
        <v>BAB</v>
      </c>
    </row>
    <row r="544" spans="1:5" x14ac:dyDescent="0.25">
      <c r="A544" t="s">
        <v>1170</v>
      </c>
      <c r="B544" t="s">
        <v>1245</v>
      </c>
      <c r="C544" t="s">
        <v>1244</v>
      </c>
      <c r="D544" t="s">
        <v>1245</v>
      </c>
      <c r="E544" t="str">
        <f t="shared" si="8"/>
        <v>BAB</v>
      </c>
    </row>
    <row r="545" spans="1:5" x14ac:dyDescent="0.25">
      <c r="A545" t="s">
        <v>640</v>
      </c>
      <c r="B545" t="s">
        <v>1245</v>
      </c>
      <c r="C545" t="s">
        <v>1246</v>
      </c>
      <c r="D545" t="s">
        <v>1245</v>
      </c>
      <c r="E545" t="str">
        <f t="shared" si="8"/>
        <v>BCB</v>
      </c>
    </row>
    <row r="546" spans="1:5" x14ac:dyDescent="0.25">
      <c r="A546" t="s">
        <v>546</v>
      </c>
      <c r="B546" t="s">
        <v>1245</v>
      </c>
      <c r="C546" t="s">
        <v>1246</v>
      </c>
      <c r="D546" t="s">
        <v>1245</v>
      </c>
      <c r="E546" t="str">
        <f t="shared" si="8"/>
        <v>BCB</v>
      </c>
    </row>
    <row r="547" spans="1:5" x14ac:dyDescent="0.25">
      <c r="A547" t="s">
        <v>1059</v>
      </c>
      <c r="B547" t="s">
        <v>1245</v>
      </c>
      <c r="C547" t="s">
        <v>1244</v>
      </c>
      <c r="D547" t="s">
        <v>1245</v>
      </c>
      <c r="E547" t="str">
        <f t="shared" si="8"/>
        <v>BAB</v>
      </c>
    </row>
    <row r="548" spans="1:5" x14ac:dyDescent="0.25">
      <c r="A548" t="s">
        <v>364</v>
      </c>
      <c r="B548" t="s">
        <v>1245</v>
      </c>
      <c r="C548" t="s">
        <v>1245</v>
      </c>
      <c r="D548" t="s">
        <v>1245</v>
      </c>
      <c r="E548" t="str">
        <f t="shared" si="8"/>
        <v>BBB</v>
      </c>
    </row>
    <row r="549" spans="1:5" x14ac:dyDescent="0.25">
      <c r="A549" t="s">
        <v>684</v>
      </c>
      <c r="B549" t="s">
        <v>1245</v>
      </c>
      <c r="C549" t="s">
        <v>1244</v>
      </c>
      <c r="D549" t="s">
        <v>1245</v>
      </c>
      <c r="E549" t="str">
        <f t="shared" si="8"/>
        <v>BAB</v>
      </c>
    </row>
    <row r="550" spans="1:5" x14ac:dyDescent="0.25">
      <c r="A550" t="s">
        <v>547</v>
      </c>
      <c r="B550" t="s">
        <v>1245</v>
      </c>
      <c r="C550" t="s">
        <v>1246</v>
      </c>
      <c r="D550" t="s">
        <v>1245</v>
      </c>
      <c r="E550" t="str">
        <f t="shared" si="8"/>
        <v>BCB</v>
      </c>
    </row>
    <row r="551" spans="1:5" x14ac:dyDescent="0.25">
      <c r="A551" t="s">
        <v>423</v>
      </c>
      <c r="B551" t="s">
        <v>1245</v>
      </c>
      <c r="C551" t="s">
        <v>1245</v>
      </c>
      <c r="D551" t="s">
        <v>1245</v>
      </c>
      <c r="E551" t="str">
        <f t="shared" si="8"/>
        <v>BBB</v>
      </c>
    </row>
    <row r="552" spans="1:5" x14ac:dyDescent="0.25">
      <c r="A552" t="s">
        <v>810</v>
      </c>
      <c r="B552" t="s">
        <v>1245</v>
      </c>
      <c r="C552" t="s">
        <v>1245</v>
      </c>
      <c r="D552" t="s">
        <v>1245</v>
      </c>
      <c r="E552" t="str">
        <f t="shared" si="8"/>
        <v>BBB</v>
      </c>
    </row>
    <row r="553" spans="1:5" x14ac:dyDescent="0.25">
      <c r="A553" t="s">
        <v>812</v>
      </c>
      <c r="B553" t="s">
        <v>1245</v>
      </c>
      <c r="C553" t="s">
        <v>1246</v>
      </c>
      <c r="D553" t="s">
        <v>1245</v>
      </c>
      <c r="E553" t="str">
        <f t="shared" si="8"/>
        <v>BCB</v>
      </c>
    </row>
    <row r="554" spans="1:5" x14ac:dyDescent="0.25">
      <c r="A554" t="s">
        <v>811</v>
      </c>
      <c r="B554" t="s">
        <v>1245</v>
      </c>
      <c r="C554" t="s">
        <v>1246</v>
      </c>
      <c r="D554" t="s">
        <v>1245</v>
      </c>
      <c r="E554" t="str">
        <f t="shared" si="8"/>
        <v>BCB</v>
      </c>
    </row>
    <row r="555" spans="1:5" x14ac:dyDescent="0.25">
      <c r="A555" t="s">
        <v>454</v>
      </c>
      <c r="B555" t="s">
        <v>1245</v>
      </c>
      <c r="C555" t="s">
        <v>1245</v>
      </c>
      <c r="D555" t="s">
        <v>1245</v>
      </c>
      <c r="E555" t="str">
        <f t="shared" si="8"/>
        <v>BBB</v>
      </c>
    </row>
    <row r="556" spans="1:5" x14ac:dyDescent="0.25">
      <c r="A556" t="s">
        <v>1161</v>
      </c>
      <c r="B556" t="s">
        <v>1245</v>
      </c>
      <c r="C556" t="s">
        <v>1244</v>
      </c>
      <c r="D556" t="s">
        <v>1245</v>
      </c>
      <c r="E556" t="str">
        <f t="shared" si="8"/>
        <v>BAB</v>
      </c>
    </row>
    <row r="557" spans="1:5" x14ac:dyDescent="0.25">
      <c r="A557" t="s">
        <v>725</v>
      </c>
      <c r="B557" t="s">
        <v>1245</v>
      </c>
      <c r="C557" t="s">
        <v>1245</v>
      </c>
      <c r="D557" t="s">
        <v>1245</v>
      </c>
      <c r="E557" t="str">
        <f t="shared" si="8"/>
        <v>BBB</v>
      </c>
    </row>
    <row r="558" spans="1:5" x14ac:dyDescent="0.25">
      <c r="A558" t="s">
        <v>632</v>
      </c>
      <c r="B558" t="s">
        <v>1245</v>
      </c>
      <c r="C558" t="s">
        <v>1246</v>
      </c>
      <c r="D558" t="s">
        <v>1245</v>
      </c>
      <c r="E558" t="str">
        <f t="shared" si="8"/>
        <v>BCB</v>
      </c>
    </row>
    <row r="559" spans="1:5" x14ac:dyDescent="0.25">
      <c r="A559" t="s">
        <v>848</v>
      </c>
      <c r="B559" t="s">
        <v>1245</v>
      </c>
      <c r="C559" t="s">
        <v>1245</v>
      </c>
      <c r="D559" t="s">
        <v>1245</v>
      </c>
      <c r="E559" t="str">
        <f t="shared" si="8"/>
        <v>BBB</v>
      </c>
    </row>
    <row r="560" spans="1:5" x14ac:dyDescent="0.25">
      <c r="A560" t="s">
        <v>1083</v>
      </c>
      <c r="B560" t="s">
        <v>1245</v>
      </c>
      <c r="C560" t="s">
        <v>1245</v>
      </c>
      <c r="D560" t="s">
        <v>1245</v>
      </c>
      <c r="E560" t="str">
        <f t="shared" si="8"/>
        <v>BBB</v>
      </c>
    </row>
    <row r="561" spans="1:5" x14ac:dyDescent="0.25">
      <c r="A561" t="s">
        <v>1114</v>
      </c>
      <c r="B561" t="s">
        <v>1245</v>
      </c>
      <c r="C561" t="s">
        <v>1244</v>
      </c>
      <c r="D561" t="s">
        <v>1245</v>
      </c>
      <c r="E561" t="str">
        <f t="shared" si="8"/>
        <v>BAB</v>
      </c>
    </row>
    <row r="562" spans="1:5" x14ac:dyDescent="0.25">
      <c r="A562" t="s">
        <v>1123</v>
      </c>
      <c r="B562" t="s">
        <v>1245</v>
      </c>
      <c r="C562" t="s">
        <v>1244</v>
      </c>
      <c r="D562" t="s">
        <v>1245</v>
      </c>
      <c r="E562" t="str">
        <f t="shared" si="8"/>
        <v>BAB</v>
      </c>
    </row>
    <row r="563" spans="1:5" x14ac:dyDescent="0.25">
      <c r="A563" t="s">
        <v>308</v>
      </c>
      <c r="B563" t="s">
        <v>1245</v>
      </c>
      <c r="C563" t="s">
        <v>1245</v>
      </c>
      <c r="D563" t="s">
        <v>1245</v>
      </c>
      <c r="E563" t="str">
        <f t="shared" si="8"/>
        <v>BBB</v>
      </c>
    </row>
    <row r="564" spans="1:5" x14ac:dyDescent="0.25">
      <c r="A564" t="s">
        <v>99</v>
      </c>
      <c r="B564" t="s">
        <v>1245</v>
      </c>
      <c r="C564" t="s">
        <v>1244</v>
      </c>
      <c r="D564" t="s">
        <v>1245</v>
      </c>
      <c r="E564" t="str">
        <f t="shared" si="8"/>
        <v>BAB</v>
      </c>
    </row>
    <row r="565" spans="1:5" x14ac:dyDescent="0.25">
      <c r="A565" t="s">
        <v>650</v>
      </c>
      <c r="B565" t="s">
        <v>1245</v>
      </c>
      <c r="C565" t="s">
        <v>1246</v>
      </c>
      <c r="D565" t="s">
        <v>1245</v>
      </c>
      <c r="E565" t="str">
        <f t="shared" si="8"/>
        <v>BCB</v>
      </c>
    </row>
    <row r="566" spans="1:5" x14ac:dyDescent="0.25">
      <c r="A566" t="s">
        <v>368</v>
      </c>
      <c r="B566" t="s">
        <v>1245</v>
      </c>
      <c r="C566" t="s">
        <v>1244</v>
      </c>
      <c r="D566" t="s">
        <v>1245</v>
      </c>
      <c r="E566" t="str">
        <f t="shared" si="8"/>
        <v>BAB</v>
      </c>
    </row>
    <row r="567" spans="1:5" x14ac:dyDescent="0.25">
      <c r="A567" t="s">
        <v>509</v>
      </c>
      <c r="B567" t="s">
        <v>1245</v>
      </c>
      <c r="C567" t="s">
        <v>1245</v>
      </c>
      <c r="D567" t="s">
        <v>1245</v>
      </c>
      <c r="E567" t="str">
        <f t="shared" si="8"/>
        <v>BBB</v>
      </c>
    </row>
    <row r="568" spans="1:5" x14ac:dyDescent="0.25">
      <c r="A568" t="s">
        <v>1074</v>
      </c>
      <c r="B568" t="s">
        <v>1245</v>
      </c>
      <c r="C568" t="s">
        <v>1246</v>
      </c>
      <c r="D568" t="s">
        <v>1245</v>
      </c>
      <c r="E568" t="str">
        <f t="shared" si="8"/>
        <v>BCB</v>
      </c>
    </row>
    <row r="569" spans="1:5" x14ac:dyDescent="0.25">
      <c r="A569" t="s">
        <v>297</v>
      </c>
      <c r="B569" t="s">
        <v>1245</v>
      </c>
      <c r="C569" t="s">
        <v>1246</v>
      </c>
      <c r="D569" t="s">
        <v>1245</v>
      </c>
      <c r="E569" t="str">
        <f t="shared" si="8"/>
        <v>BCB</v>
      </c>
    </row>
    <row r="570" spans="1:5" x14ac:dyDescent="0.25">
      <c r="A570" t="s">
        <v>931</v>
      </c>
      <c r="B570" t="s">
        <v>1245</v>
      </c>
      <c r="C570" t="s">
        <v>1244</v>
      </c>
      <c r="D570" t="s">
        <v>1245</v>
      </c>
      <c r="E570" t="str">
        <f t="shared" si="8"/>
        <v>BAB</v>
      </c>
    </row>
    <row r="571" spans="1:5" x14ac:dyDescent="0.25">
      <c r="A571" t="s">
        <v>1181</v>
      </c>
      <c r="B571" t="s">
        <v>1245</v>
      </c>
      <c r="C571" t="s">
        <v>1244</v>
      </c>
      <c r="D571" t="s">
        <v>1245</v>
      </c>
      <c r="E571" t="str">
        <f t="shared" si="8"/>
        <v>BAB</v>
      </c>
    </row>
    <row r="572" spans="1:5" x14ac:dyDescent="0.25">
      <c r="A572" t="s">
        <v>531</v>
      </c>
      <c r="B572" t="s">
        <v>1245</v>
      </c>
      <c r="C572" t="s">
        <v>1245</v>
      </c>
      <c r="D572" t="s">
        <v>1245</v>
      </c>
      <c r="E572" t="str">
        <f t="shared" si="8"/>
        <v>BBB</v>
      </c>
    </row>
    <row r="573" spans="1:5" x14ac:dyDescent="0.25">
      <c r="A573" t="s">
        <v>469</v>
      </c>
      <c r="B573" t="s">
        <v>1245</v>
      </c>
      <c r="C573" t="s">
        <v>1245</v>
      </c>
      <c r="D573" t="s">
        <v>1245</v>
      </c>
      <c r="E573" t="str">
        <f t="shared" si="8"/>
        <v>BBB</v>
      </c>
    </row>
    <row r="574" spans="1:5" x14ac:dyDescent="0.25">
      <c r="A574" t="s">
        <v>828</v>
      </c>
      <c r="B574" t="s">
        <v>1245</v>
      </c>
      <c r="C574" t="s">
        <v>1245</v>
      </c>
      <c r="D574" t="s">
        <v>1245</v>
      </c>
      <c r="E574" t="str">
        <f t="shared" si="8"/>
        <v>BBB</v>
      </c>
    </row>
    <row r="575" spans="1:5" x14ac:dyDescent="0.25">
      <c r="A575" t="s">
        <v>1072</v>
      </c>
      <c r="B575" t="s">
        <v>1245</v>
      </c>
      <c r="C575" t="s">
        <v>1244</v>
      </c>
      <c r="D575" t="s">
        <v>1245</v>
      </c>
      <c r="E575" t="str">
        <f t="shared" si="8"/>
        <v>BAB</v>
      </c>
    </row>
    <row r="576" spans="1:5" x14ac:dyDescent="0.25">
      <c r="A576" t="s">
        <v>520</v>
      </c>
      <c r="B576" t="s">
        <v>1245</v>
      </c>
      <c r="C576" t="s">
        <v>1244</v>
      </c>
      <c r="D576" t="s">
        <v>1245</v>
      </c>
      <c r="E576" t="str">
        <f t="shared" si="8"/>
        <v>BAB</v>
      </c>
    </row>
    <row r="577" spans="1:5" x14ac:dyDescent="0.25">
      <c r="A577" t="s">
        <v>496</v>
      </c>
      <c r="B577" t="s">
        <v>1245</v>
      </c>
      <c r="C577" t="s">
        <v>1244</v>
      </c>
      <c r="D577" t="s">
        <v>1245</v>
      </c>
      <c r="E577" t="str">
        <f t="shared" si="8"/>
        <v>BAB</v>
      </c>
    </row>
    <row r="578" spans="1:5" x14ac:dyDescent="0.25">
      <c r="A578" t="s">
        <v>490</v>
      </c>
      <c r="B578" t="s">
        <v>1245</v>
      </c>
      <c r="C578" t="s">
        <v>1245</v>
      </c>
      <c r="D578" t="s">
        <v>1245</v>
      </c>
      <c r="E578" t="str">
        <f t="shared" si="8"/>
        <v>BBB</v>
      </c>
    </row>
    <row r="579" spans="1:5" x14ac:dyDescent="0.25">
      <c r="A579" t="s">
        <v>907</v>
      </c>
      <c r="B579" t="s">
        <v>1245</v>
      </c>
      <c r="C579" t="s">
        <v>1246</v>
      </c>
      <c r="D579" t="s">
        <v>1245</v>
      </c>
      <c r="E579" t="str">
        <f t="shared" si="8"/>
        <v>BCB</v>
      </c>
    </row>
    <row r="580" spans="1:5" x14ac:dyDescent="0.25">
      <c r="A580" t="s">
        <v>922</v>
      </c>
      <c r="B580" t="s">
        <v>1245</v>
      </c>
      <c r="C580" t="s">
        <v>1244</v>
      </c>
      <c r="D580" t="s">
        <v>1245</v>
      </c>
      <c r="E580" t="str">
        <f t="shared" si="8"/>
        <v>BAB</v>
      </c>
    </row>
    <row r="581" spans="1:5" x14ac:dyDescent="0.25">
      <c r="A581" t="s">
        <v>272</v>
      </c>
      <c r="B581" t="s">
        <v>1245</v>
      </c>
      <c r="C581" t="s">
        <v>1244</v>
      </c>
      <c r="D581" t="s">
        <v>1245</v>
      </c>
      <c r="E581" t="str">
        <f t="shared" ref="E581:E644" si="9">B581&amp;C581&amp;D581</f>
        <v>BAB</v>
      </c>
    </row>
    <row r="582" spans="1:5" x14ac:dyDescent="0.25">
      <c r="A582" t="s">
        <v>600</v>
      </c>
      <c r="B582" t="s">
        <v>1245</v>
      </c>
      <c r="C582" t="s">
        <v>1244</v>
      </c>
      <c r="D582" t="s">
        <v>1245</v>
      </c>
      <c r="E582" t="str">
        <f t="shared" si="9"/>
        <v>BAB</v>
      </c>
    </row>
    <row r="583" spans="1:5" x14ac:dyDescent="0.25">
      <c r="A583" t="s">
        <v>1046</v>
      </c>
      <c r="B583" t="s">
        <v>1245</v>
      </c>
      <c r="C583" t="s">
        <v>1245</v>
      </c>
      <c r="D583" t="s">
        <v>1245</v>
      </c>
      <c r="E583" t="str">
        <f t="shared" si="9"/>
        <v>BBB</v>
      </c>
    </row>
    <row r="584" spans="1:5" x14ac:dyDescent="0.25">
      <c r="A584" t="s">
        <v>445</v>
      </c>
      <c r="B584" t="s">
        <v>1245</v>
      </c>
      <c r="C584" t="s">
        <v>1245</v>
      </c>
      <c r="D584" t="s">
        <v>1245</v>
      </c>
      <c r="E584" t="str">
        <f t="shared" si="9"/>
        <v>BBB</v>
      </c>
    </row>
    <row r="585" spans="1:5" x14ac:dyDescent="0.25">
      <c r="A585" t="s">
        <v>535</v>
      </c>
      <c r="B585" t="s">
        <v>1245</v>
      </c>
      <c r="C585" t="s">
        <v>1245</v>
      </c>
      <c r="D585" t="s">
        <v>1245</v>
      </c>
      <c r="E585" t="str">
        <f t="shared" si="9"/>
        <v>BBB</v>
      </c>
    </row>
    <row r="586" spans="1:5" x14ac:dyDescent="0.25">
      <c r="A586" t="s">
        <v>1191</v>
      </c>
      <c r="B586" t="s">
        <v>1245</v>
      </c>
      <c r="C586" t="s">
        <v>1245</v>
      </c>
      <c r="D586" t="s">
        <v>1245</v>
      </c>
      <c r="E586" t="str">
        <f t="shared" si="9"/>
        <v>BBB</v>
      </c>
    </row>
    <row r="587" spans="1:5" x14ac:dyDescent="0.25">
      <c r="A587" t="s">
        <v>188</v>
      </c>
      <c r="B587" t="s">
        <v>1245</v>
      </c>
      <c r="C587" t="s">
        <v>1246</v>
      </c>
      <c r="D587" t="s">
        <v>1245</v>
      </c>
      <c r="E587" t="str">
        <f t="shared" si="9"/>
        <v>BCB</v>
      </c>
    </row>
    <row r="588" spans="1:5" x14ac:dyDescent="0.25">
      <c r="A588" t="s">
        <v>570</v>
      </c>
      <c r="B588" t="s">
        <v>1245</v>
      </c>
      <c r="C588" t="s">
        <v>1245</v>
      </c>
      <c r="D588" t="s">
        <v>1245</v>
      </c>
      <c r="E588" t="str">
        <f t="shared" si="9"/>
        <v>BBB</v>
      </c>
    </row>
    <row r="589" spans="1:5" x14ac:dyDescent="0.25">
      <c r="A589" t="s">
        <v>1064</v>
      </c>
      <c r="B589" t="s">
        <v>1245</v>
      </c>
      <c r="C589" t="s">
        <v>1244</v>
      </c>
      <c r="D589" t="s">
        <v>1245</v>
      </c>
      <c r="E589" t="str">
        <f t="shared" si="9"/>
        <v>BAB</v>
      </c>
    </row>
    <row r="590" spans="1:5" x14ac:dyDescent="0.25">
      <c r="A590" t="s">
        <v>948</v>
      </c>
      <c r="B590" t="s">
        <v>1245</v>
      </c>
      <c r="C590" t="s">
        <v>1245</v>
      </c>
      <c r="D590" t="s">
        <v>1245</v>
      </c>
      <c r="E590" t="str">
        <f t="shared" si="9"/>
        <v>BBB</v>
      </c>
    </row>
    <row r="591" spans="1:5" x14ac:dyDescent="0.25">
      <c r="A591" t="s">
        <v>1080</v>
      </c>
      <c r="B591" t="s">
        <v>1245</v>
      </c>
      <c r="C591" t="s">
        <v>1246</v>
      </c>
      <c r="D591" t="s">
        <v>1245</v>
      </c>
      <c r="E591" t="str">
        <f t="shared" si="9"/>
        <v>BCB</v>
      </c>
    </row>
    <row r="592" spans="1:5" x14ac:dyDescent="0.25">
      <c r="A592" t="s">
        <v>363</v>
      </c>
      <c r="B592" t="s">
        <v>1245</v>
      </c>
      <c r="C592" t="s">
        <v>1244</v>
      </c>
      <c r="D592" t="s">
        <v>1245</v>
      </c>
      <c r="E592" t="str">
        <f t="shared" si="9"/>
        <v>BAB</v>
      </c>
    </row>
    <row r="593" spans="1:5" x14ac:dyDescent="0.25">
      <c r="A593" t="s">
        <v>738</v>
      </c>
      <c r="B593" t="s">
        <v>1245</v>
      </c>
      <c r="C593" t="s">
        <v>1246</v>
      </c>
      <c r="D593" t="s">
        <v>1245</v>
      </c>
      <c r="E593" t="str">
        <f t="shared" si="9"/>
        <v>BCB</v>
      </c>
    </row>
    <row r="594" spans="1:5" x14ac:dyDescent="0.25">
      <c r="A594" t="s">
        <v>186</v>
      </c>
      <c r="B594" t="s">
        <v>1245</v>
      </c>
      <c r="C594" t="s">
        <v>1245</v>
      </c>
      <c r="D594" t="s">
        <v>1245</v>
      </c>
      <c r="E594" t="str">
        <f t="shared" si="9"/>
        <v>BBB</v>
      </c>
    </row>
    <row r="595" spans="1:5" x14ac:dyDescent="0.25">
      <c r="A595" t="s">
        <v>202</v>
      </c>
      <c r="B595" t="s">
        <v>1245</v>
      </c>
      <c r="C595" t="s">
        <v>1246</v>
      </c>
      <c r="D595" t="s">
        <v>1245</v>
      </c>
      <c r="E595" t="str">
        <f t="shared" si="9"/>
        <v>BCB</v>
      </c>
    </row>
    <row r="596" spans="1:5" x14ac:dyDescent="0.25">
      <c r="A596" t="s">
        <v>1067</v>
      </c>
      <c r="B596" t="s">
        <v>1245</v>
      </c>
      <c r="C596" t="s">
        <v>1246</v>
      </c>
      <c r="D596" t="s">
        <v>1245</v>
      </c>
      <c r="E596" t="str">
        <f t="shared" si="9"/>
        <v>BCB</v>
      </c>
    </row>
    <row r="597" spans="1:5" x14ac:dyDescent="0.25">
      <c r="A597" t="s">
        <v>645</v>
      </c>
      <c r="B597" t="s">
        <v>1245</v>
      </c>
      <c r="C597" t="s">
        <v>1244</v>
      </c>
      <c r="D597" t="s">
        <v>1245</v>
      </c>
      <c r="E597" t="str">
        <f t="shared" si="9"/>
        <v>BAB</v>
      </c>
    </row>
    <row r="598" spans="1:5" x14ac:dyDescent="0.25">
      <c r="A598" t="s">
        <v>204</v>
      </c>
      <c r="B598" t="s">
        <v>1245</v>
      </c>
      <c r="C598" t="s">
        <v>1244</v>
      </c>
      <c r="D598" t="s">
        <v>1245</v>
      </c>
      <c r="E598" t="str">
        <f t="shared" si="9"/>
        <v>BAB</v>
      </c>
    </row>
    <row r="599" spans="1:5" x14ac:dyDescent="0.25">
      <c r="A599" t="s">
        <v>1208</v>
      </c>
      <c r="B599" t="s">
        <v>1245</v>
      </c>
      <c r="C599" t="s">
        <v>1245</v>
      </c>
      <c r="D599" t="s">
        <v>1245</v>
      </c>
      <c r="E599" t="str">
        <f t="shared" si="9"/>
        <v>BBB</v>
      </c>
    </row>
    <row r="600" spans="1:5" x14ac:dyDescent="0.25">
      <c r="A600" t="s">
        <v>350</v>
      </c>
      <c r="B600" t="s">
        <v>1245</v>
      </c>
      <c r="C600" t="s">
        <v>1244</v>
      </c>
      <c r="D600" t="s">
        <v>1245</v>
      </c>
      <c r="E600" t="str">
        <f t="shared" si="9"/>
        <v>BAB</v>
      </c>
    </row>
    <row r="601" spans="1:5" x14ac:dyDescent="0.25">
      <c r="A601" t="s">
        <v>1122</v>
      </c>
      <c r="B601" t="s">
        <v>1245</v>
      </c>
      <c r="C601" t="s">
        <v>1244</v>
      </c>
      <c r="D601" t="s">
        <v>1245</v>
      </c>
      <c r="E601" t="str">
        <f t="shared" si="9"/>
        <v>BAB</v>
      </c>
    </row>
    <row r="602" spans="1:5" x14ac:dyDescent="0.25">
      <c r="A602" t="s">
        <v>1144</v>
      </c>
      <c r="B602" t="s">
        <v>1245</v>
      </c>
      <c r="C602" t="s">
        <v>1244</v>
      </c>
      <c r="D602" t="s">
        <v>1245</v>
      </c>
      <c r="E602" t="str">
        <f t="shared" si="9"/>
        <v>BAB</v>
      </c>
    </row>
    <row r="603" spans="1:5" x14ac:dyDescent="0.25">
      <c r="A603" t="s">
        <v>987</v>
      </c>
      <c r="B603" t="s">
        <v>1245</v>
      </c>
      <c r="C603" t="s">
        <v>1244</v>
      </c>
      <c r="D603" t="s">
        <v>1245</v>
      </c>
      <c r="E603" t="str">
        <f t="shared" si="9"/>
        <v>BAB</v>
      </c>
    </row>
    <row r="604" spans="1:5" x14ac:dyDescent="0.25">
      <c r="A604" t="s">
        <v>1220</v>
      </c>
      <c r="B604" t="s">
        <v>1245</v>
      </c>
      <c r="C604" t="s">
        <v>1246</v>
      </c>
      <c r="D604" t="s">
        <v>1245</v>
      </c>
      <c r="E604" t="str">
        <f t="shared" si="9"/>
        <v>BCB</v>
      </c>
    </row>
    <row r="605" spans="1:5" x14ac:dyDescent="0.25">
      <c r="A605" t="s">
        <v>798</v>
      </c>
      <c r="B605" t="s">
        <v>1245</v>
      </c>
      <c r="C605" t="s">
        <v>1244</v>
      </c>
      <c r="D605" t="s">
        <v>1245</v>
      </c>
      <c r="E605" t="str">
        <f t="shared" si="9"/>
        <v>BAB</v>
      </c>
    </row>
    <row r="606" spans="1:5" x14ac:dyDescent="0.25">
      <c r="A606" t="s">
        <v>1158</v>
      </c>
      <c r="B606" t="s">
        <v>1245</v>
      </c>
      <c r="C606" t="s">
        <v>1246</v>
      </c>
      <c r="D606" t="s">
        <v>1245</v>
      </c>
      <c r="E606" t="str">
        <f t="shared" si="9"/>
        <v>BCB</v>
      </c>
    </row>
    <row r="607" spans="1:5" x14ac:dyDescent="0.25">
      <c r="A607" t="s">
        <v>449</v>
      </c>
      <c r="B607" t="s">
        <v>1245</v>
      </c>
      <c r="C607" t="s">
        <v>1244</v>
      </c>
      <c r="D607" t="s">
        <v>1245</v>
      </c>
      <c r="E607" t="str">
        <f t="shared" si="9"/>
        <v>BAB</v>
      </c>
    </row>
    <row r="608" spans="1:5" x14ac:dyDescent="0.25">
      <c r="A608" t="s">
        <v>1013</v>
      </c>
      <c r="B608" t="s">
        <v>1245</v>
      </c>
      <c r="C608" t="s">
        <v>1244</v>
      </c>
      <c r="D608" t="s">
        <v>1245</v>
      </c>
      <c r="E608" t="str">
        <f t="shared" si="9"/>
        <v>BAB</v>
      </c>
    </row>
    <row r="609" spans="1:5" x14ac:dyDescent="0.25">
      <c r="A609" t="s">
        <v>1014</v>
      </c>
      <c r="B609" t="s">
        <v>1245</v>
      </c>
      <c r="C609" t="s">
        <v>1245</v>
      </c>
      <c r="D609" t="s">
        <v>1245</v>
      </c>
      <c r="E609" t="str">
        <f t="shared" si="9"/>
        <v>BBB</v>
      </c>
    </row>
    <row r="610" spans="1:5" x14ac:dyDescent="0.25">
      <c r="A610" t="s">
        <v>129</v>
      </c>
      <c r="B610" t="s">
        <v>1245</v>
      </c>
      <c r="C610" t="s">
        <v>1245</v>
      </c>
      <c r="D610" t="s">
        <v>1245</v>
      </c>
      <c r="E610" t="str">
        <f t="shared" si="9"/>
        <v>BBB</v>
      </c>
    </row>
    <row r="611" spans="1:5" x14ac:dyDescent="0.25">
      <c r="A611" t="s">
        <v>60</v>
      </c>
      <c r="B611" t="s">
        <v>1245</v>
      </c>
      <c r="C611" t="s">
        <v>1246</v>
      </c>
      <c r="D611" t="s">
        <v>1245</v>
      </c>
      <c r="E611" t="str">
        <f t="shared" si="9"/>
        <v>BCB</v>
      </c>
    </row>
    <row r="612" spans="1:5" x14ac:dyDescent="0.25">
      <c r="A612" t="s">
        <v>698</v>
      </c>
      <c r="B612" t="s">
        <v>1245</v>
      </c>
      <c r="C612" t="s">
        <v>1246</v>
      </c>
      <c r="D612" t="s">
        <v>1245</v>
      </c>
      <c r="E612" t="str">
        <f t="shared" si="9"/>
        <v>BCB</v>
      </c>
    </row>
    <row r="613" spans="1:5" x14ac:dyDescent="0.25">
      <c r="A613" t="s">
        <v>580</v>
      </c>
      <c r="B613" t="s">
        <v>1245</v>
      </c>
      <c r="C613" t="s">
        <v>1246</v>
      </c>
      <c r="D613" t="s">
        <v>1245</v>
      </c>
      <c r="E613" t="str">
        <f t="shared" si="9"/>
        <v>BCB</v>
      </c>
    </row>
    <row r="614" spans="1:5" x14ac:dyDescent="0.25">
      <c r="A614" t="s">
        <v>1058</v>
      </c>
      <c r="B614" t="s">
        <v>1245</v>
      </c>
      <c r="C614" t="s">
        <v>1244</v>
      </c>
      <c r="D614" t="s">
        <v>1245</v>
      </c>
      <c r="E614" t="str">
        <f t="shared" si="9"/>
        <v>BAB</v>
      </c>
    </row>
    <row r="615" spans="1:5" x14ac:dyDescent="0.25">
      <c r="A615" t="s">
        <v>351</v>
      </c>
      <c r="B615" t="s">
        <v>1245</v>
      </c>
      <c r="C615" t="s">
        <v>1244</v>
      </c>
      <c r="D615" t="s">
        <v>1245</v>
      </c>
      <c r="E615" t="str">
        <f t="shared" si="9"/>
        <v>BAB</v>
      </c>
    </row>
    <row r="616" spans="1:5" x14ac:dyDescent="0.25">
      <c r="A616" t="s">
        <v>1027</v>
      </c>
      <c r="B616" t="s">
        <v>1245</v>
      </c>
      <c r="C616" t="s">
        <v>1244</v>
      </c>
      <c r="D616" t="s">
        <v>1245</v>
      </c>
      <c r="E616" t="str">
        <f t="shared" si="9"/>
        <v>BAB</v>
      </c>
    </row>
    <row r="617" spans="1:5" x14ac:dyDescent="0.25">
      <c r="A617" t="s">
        <v>576</v>
      </c>
      <c r="B617" t="s">
        <v>1245</v>
      </c>
      <c r="C617" t="s">
        <v>1244</v>
      </c>
      <c r="D617" t="s">
        <v>1245</v>
      </c>
      <c r="E617" t="str">
        <f t="shared" si="9"/>
        <v>BAB</v>
      </c>
    </row>
    <row r="618" spans="1:5" x14ac:dyDescent="0.25">
      <c r="A618" t="s">
        <v>997</v>
      </c>
      <c r="B618" t="s">
        <v>1245</v>
      </c>
      <c r="C618" t="s">
        <v>1245</v>
      </c>
      <c r="D618" t="s">
        <v>1245</v>
      </c>
      <c r="E618" t="str">
        <f t="shared" si="9"/>
        <v>BBB</v>
      </c>
    </row>
    <row r="619" spans="1:5" x14ac:dyDescent="0.25">
      <c r="A619" t="s">
        <v>175</v>
      </c>
      <c r="B619" t="s">
        <v>1245</v>
      </c>
      <c r="C619" t="s">
        <v>1244</v>
      </c>
      <c r="D619" t="s">
        <v>1245</v>
      </c>
      <c r="E619" t="str">
        <f t="shared" si="9"/>
        <v>BAB</v>
      </c>
    </row>
    <row r="620" spans="1:5" x14ac:dyDescent="0.25">
      <c r="A620" t="s">
        <v>906</v>
      </c>
      <c r="B620" t="s">
        <v>1245</v>
      </c>
      <c r="C620" t="s">
        <v>1244</v>
      </c>
      <c r="D620" t="s">
        <v>1245</v>
      </c>
      <c r="E620" t="str">
        <f t="shared" si="9"/>
        <v>BAB</v>
      </c>
    </row>
    <row r="621" spans="1:5" x14ac:dyDescent="0.25">
      <c r="A621" t="s">
        <v>782</v>
      </c>
      <c r="B621" t="s">
        <v>1245</v>
      </c>
      <c r="C621" t="s">
        <v>1244</v>
      </c>
      <c r="D621" t="s">
        <v>1245</v>
      </c>
      <c r="E621" t="str">
        <f t="shared" si="9"/>
        <v>BAB</v>
      </c>
    </row>
    <row r="622" spans="1:5" x14ac:dyDescent="0.25">
      <c r="A622" t="s">
        <v>1138</v>
      </c>
      <c r="B622" t="s">
        <v>1245</v>
      </c>
      <c r="C622" t="s">
        <v>1246</v>
      </c>
      <c r="D622" t="s">
        <v>1245</v>
      </c>
      <c r="E622" t="str">
        <f t="shared" si="9"/>
        <v>BCB</v>
      </c>
    </row>
    <row r="623" spans="1:5" x14ac:dyDescent="0.25">
      <c r="A623" t="s">
        <v>180</v>
      </c>
      <c r="B623" t="s">
        <v>1245</v>
      </c>
      <c r="C623" t="s">
        <v>1244</v>
      </c>
      <c r="D623" t="s">
        <v>1245</v>
      </c>
      <c r="E623" t="str">
        <f t="shared" si="9"/>
        <v>BAB</v>
      </c>
    </row>
    <row r="624" spans="1:5" x14ac:dyDescent="0.25">
      <c r="A624" t="s">
        <v>1021</v>
      </c>
      <c r="B624" t="s">
        <v>1245</v>
      </c>
      <c r="C624" t="s">
        <v>1246</v>
      </c>
      <c r="D624" t="s">
        <v>1245</v>
      </c>
      <c r="E624" t="str">
        <f t="shared" si="9"/>
        <v>BCB</v>
      </c>
    </row>
    <row r="625" spans="1:5" x14ac:dyDescent="0.25">
      <c r="A625" t="s">
        <v>123</v>
      </c>
      <c r="B625" t="s">
        <v>1245</v>
      </c>
      <c r="C625" t="s">
        <v>1245</v>
      </c>
      <c r="D625" t="s">
        <v>1245</v>
      </c>
      <c r="E625" t="str">
        <f t="shared" si="9"/>
        <v>BBB</v>
      </c>
    </row>
    <row r="626" spans="1:5" x14ac:dyDescent="0.25">
      <c r="A626" t="s">
        <v>507</v>
      </c>
      <c r="B626" t="s">
        <v>1245</v>
      </c>
      <c r="C626" t="s">
        <v>1244</v>
      </c>
      <c r="D626" t="s">
        <v>1245</v>
      </c>
      <c r="E626" t="str">
        <f t="shared" si="9"/>
        <v>BAB</v>
      </c>
    </row>
    <row r="627" spans="1:5" x14ac:dyDescent="0.25">
      <c r="A627" t="s">
        <v>599</v>
      </c>
      <c r="B627" t="s">
        <v>1245</v>
      </c>
      <c r="C627" t="s">
        <v>1245</v>
      </c>
      <c r="D627" t="s">
        <v>1245</v>
      </c>
      <c r="E627" t="str">
        <f t="shared" si="9"/>
        <v>BBB</v>
      </c>
    </row>
    <row r="628" spans="1:5" x14ac:dyDescent="0.25">
      <c r="A628" t="s">
        <v>895</v>
      </c>
      <c r="B628" t="s">
        <v>1245</v>
      </c>
      <c r="C628" t="s">
        <v>1244</v>
      </c>
      <c r="D628" t="s">
        <v>1245</v>
      </c>
      <c r="E628" t="str">
        <f t="shared" si="9"/>
        <v>BAB</v>
      </c>
    </row>
    <row r="629" spans="1:5" x14ac:dyDescent="0.25">
      <c r="A629" t="s">
        <v>464</v>
      </c>
      <c r="B629" t="s">
        <v>1245</v>
      </c>
      <c r="C629" t="s">
        <v>1244</v>
      </c>
      <c r="D629" t="s">
        <v>1245</v>
      </c>
      <c r="E629" t="str">
        <f t="shared" si="9"/>
        <v>BAB</v>
      </c>
    </row>
    <row r="630" spans="1:5" x14ac:dyDescent="0.25">
      <c r="A630" t="s">
        <v>898</v>
      </c>
      <c r="B630" t="s">
        <v>1245</v>
      </c>
      <c r="C630" t="s">
        <v>1244</v>
      </c>
      <c r="D630" t="s">
        <v>1245</v>
      </c>
      <c r="E630" t="str">
        <f t="shared" si="9"/>
        <v>BAB</v>
      </c>
    </row>
    <row r="631" spans="1:5" x14ac:dyDescent="0.25">
      <c r="A631" t="s">
        <v>149</v>
      </c>
      <c r="B631" t="s">
        <v>1245</v>
      </c>
      <c r="C631" t="s">
        <v>1245</v>
      </c>
      <c r="D631" t="s">
        <v>1245</v>
      </c>
      <c r="E631" t="str">
        <f t="shared" si="9"/>
        <v>BBB</v>
      </c>
    </row>
    <row r="632" spans="1:5" x14ac:dyDescent="0.25">
      <c r="A632" t="s">
        <v>511</v>
      </c>
      <c r="B632" t="s">
        <v>1245</v>
      </c>
      <c r="C632" t="s">
        <v>1246</v>
      </c>
      <c r="D632" t="s">
        <v>1245</v>
      </c>
      <c r="E632" t="str">
        <f t="shared" si="9"/>
        <v>BCB</v>
      </c>
    </row>
    <row r="633" spans="1:5" x14ac:dyDescent="0.25">
      <c r="A633" t="s">
        <v>161</v>
      </c>
      <c r="B633" t="s">
        <v>1245</v>
      </c>
      <c r="C633" t="s">
        <v>1245</v>
      </c>
      <c r="D633" t="s">
        <v>1245</v>
      </c>
      <c r="E633" t="str">
        <f t="shared" si="9"/>
        <v>BBB</v>
      </c>
    </row>
    <row r="634" spans="1:5" x14ac:dyDescent="0.25">
      <c r="A634" t="s">
        <v>889</v>
      </c>
      <c r="B634" t="s">
        <v>1245</v>
      </c>
      <c r="C634" t="s">
        <v>1244</v>
      </c>
      <c r="D634" t="s">
        <v>1245</v>
      </c>
      <c r="E634" t="str">
        <f t="shared" si="9"/>
        <v>BAB</v>
      </c>
    </row>
    <row r="635" spans="1:5" x14ac:dyDescent="0.25">
      <c r="A635" t="s">
        <v>409</v>
      </c>
      <c r="B635" t="s">
        <v>1245</v>
      </c>
      <c r="C635" t="s">
        <v>1244</v>
      </c>
      <c r="D635" t="s">
        <v>1245</v>
      </c>
      <c r="E635" t="str">
        <f t="shared" si="9"/>
        <v>BAB</v>
      </c>
    </row>
    <row r="636" spans="1:5" x14ac:dyDescent="0.25">
      <c r="A636" t="s">
        <v>1129</v>
      </c>
      <c r="B636" t="s">
        <v>1245</v>
      </c>
      <c r="C636" t="s">
        <v>1245</v>
      </c>
      <c r="D636" t="s">
        <v>1245</v>
      </c>
      <c r="E636" t="str">
        <f t="shared" si="9"/>
        <v>BBB</v>
      </c>
    </row>
    <row r="637" spans="1:5" x14ac:dyDescent="0.25">
      <c r="A637" t="s">
        <v>627</v>
      </c>
      <c r="B637" t="s">
        <v>1245</v>
      </c>
      <c r="C637" t="s">
        <v>1244</v>
      </c>
      <c r="D637" t="s">
        <v>1245</v>
      </c>
      <c r="E637" t="str">
        <f t="shared" si="9"/>
        <v>BAB</v>
      </c>
    </row>
    <row r="638" spans="1:5" x14ac:dyDescent="0.25">
      <c r="A638" t="s">
        <v>1206</v>
      </c>
      <c r="B638" t="s">
        <v>1245</v>
      </c>
      <c r="C638" t="s">
        <v>1244</v>
      </c>
      <c r="D638" t="s">
        <v>1245</v>
      </c>
      <c r="E638" t="str">
        <f t="shared" si="9"/>
        <v>BAB</v>
      </c>
    </row>
    <row r="639" spans="1:5" x14ac:dyDescent="0.25">
      <c r="A639" t="s">
        <v>760</v>
      </c>
      <c r="B639" t="s">
        <v>1245</v>
      </c>
      <c r="C639" t="s">
        <v>1244</v>
      </c>
      <c r="D639" t="s">
        <v>1245</v>
      </c>
      <c r="E639" t="str">
        <f t="shared" si="9"/>
        <v>BAB</v>
      </c>
    </row>
    <row r="640" spans="1:5" x14ac:dyDescent="0.25">
      <c r="A640" t="s">
        <v>1091</v>
      </c>
      <c r="B640" t="s">
        <v>1245</v>
      </c>
      <c r="C640" t="s">
        <v>1246</v>
      </c>
      <c r="D640" t="s">
        <v>1245</v>
      </c>
      <c r="E640" t="str">
        <f t="shared" si="9"/>
        <v>BCB</v>
      </c>
    </row>
    <row r="641" spans="1:5" x14ac:dyDescent="0.25">
      <c r="A641" t="s">
        <v>692</v>
      </c>
      <c r="B641" t="s">
        <v>1245</v>
      </c>
      <c r="C641" t="s">
        <v>1244</v>
      </c>
      <c r="D641" t="s">
        <v>1245</v>
      </c>
      <c r="E641" t="str">
        <f t="shared" si="9"/>
        <v>BAB</v>
      </c>
    </row>
    <row r="642" spans="1:5" x14ac:dyDescent="0.25">
      <c r="A642" t="s">
        <v>875</v>
      </c>
      <c r="B642" t="s">
        <v>1245</v>
      </c>
      <c r="C642" t="s">
        <v>1246</v>
      </c>
      <c r="D642" t="s">
        <v>1245</v>
      </c>
      <c r="E642" t="str">
        <f t="shared" si="9"/>
        <v>BCB</v>
      </c>
    </row>
    <row r="643" spans="1:5" x14ac:dyDescent="0.25">
      <c r="A643" t="s">
        <v>131</v>
      </c>
      <c r="B643" t="s">
        <v>1245</v>
      </c>
      <c r="C643" t="s">
        <v>1244</v>
      </c>
      <c r="D643" t="s">
        <v>1245</v>
      </c>
      <c r="E643" t="str">
        <f t="shared" si="9"/>
        <v>BAB</v>
      </c>
    </row>
    <row r="644" spans="1:5" x14ac:dyDescent="0.25">
      <c r="A644" t="s">
        <v>813</v>
      </c>
      <c r="B644" t="s">
        <v>1245</v>
      </c>
      <c r="C644" t="s">
        <v>1244</v>
      </c>
      <c r="D644" t="s">
        <v>1245</v>
      </c>
      <c r="E644" t="str">
        <f t="shared" si="9"/>
        <v>BAB</v>
      </c>
    </row>
    <row r="645" spans="1:5" x14ac:dyDescent="0.25">
      <c r="A645" t="s">
        <v>1089</v>
      </c>
      <c r="B645" t="s">
        <v>1245</v>
      </c>
      <c r="C645" t="s">
        <v>1245</v>
      </c>
      <c r="D645" t="s">
        <v>1245</v>
      </c>
      <c r="E645" t="str">
        <f t="shared" ref="E645:E708" si="10">B645&amp;C645&amp;D645</f>
        <v>BBB</v>
      </c>
    </row>
    <row r="646" spans="1:5" x14ac:dyDescent="0.25">
      <c r="A646" t="s">
        <v>1007</v>
      </c>
      <c r="B646" t="s">
        <v>1245</v>
      </c>
      <c r="C646" t="s">
        <v>1246</v>
      </c>
      <c r="D646" t="s">
        <v>1245</v>
      </c>
      <c r="E646" t="str">
        <f t="shared" si="10"/>
        <v>BCB</v>
      </c>
    </row>
    <row r="647" spans="1:5" x14ac:dyDescent="0.25">
      <c r="A647" t="s">
        <v>268</v>
      </c>
      <c r="B647" t="s">
        <v>1245</v>
      </c>
      <c r="C647" t="s">
        <v>1245</v>
      </c>
      <c r="D647" t="s">
        <v>1245</v>
      </c>
      <c r="E647" t="str">
        <f t="shared" si="10"/>
        <v>BBB</v>
      </c>
    </row>
    <row r="648" spans="1:5" x14ac:dyDescent="0.25">
      <c r="A648" t="s">
        <v>965</v>
      </c>
      <c r="B648" t="s">
        <v>1245</v>
      </c>
      <c r="C648" t="s">
        <v>1246</v>
      </c>
      <c r="D648" t="s">
        <v>1245</v>
      </c>
      <c r="E648" t="str">
        <f t="shared" si="10"/>
        <v>BCB</v>
      </c>
    </row>
    <row r="649" spans="1:5" x14ac:dyDescent="0.25">
      <c r="A649" t="s">
        <v>403</v>
      </c>
      <c r="B649" t="s">
        <v>1245</v>
      </c>
      <c r="C649" t="s">
        <v>1246</v>
      </c>
      <c r="D649" t="s">
        <v>1245</v>
      </c>
      <c r="E649" t="str">
        <f t="shared" si="10"/>
        <v>BCB</v>
      </c>
    </row>
    <row r="650" spans="1:5" x14ac:dyDescent="0.25">
      <c r="A650" t="s">
        <v>262</v>
      </c>
      <c r="B650" t="s">
        <v>1245</v>
      </c>
      <c r="C650" t="s">
        <v>1246</v>
      </c>
      <c r="D650" t="s">
        <v>1245</v>
      </c>
      <c r="E650" t="str">
        <f t="shared" si="10"/>
        <v>BCB</v>
      </c>
    </row>
    <row r="651" spans="1:5" x14ac:dyDescent="0.25">
      <c r="A651" t="s">
        <v>500</v>
      </c>
      <c r="B651" t="s">
        <v>1245</v>
      </c>
      <c r="C651" t="s">
        <v>1246</v>
      </c>
      <c r="D651" t="s">
        <v>1245</v>
      </c>
      <c r="E651" t="str">
        <f t="shared" si="10"/>
        <v>BCB</v>
      </c>
    </row>
    <row r="652" spans="1:5" x14ac:dyDescent="0.25">
      <c r="A652" t="s">
        <v>400</v>
      </c>
      <c r="B652" t="s">
        <v>1245</v>
      </c>
      <c r="C652" t="s">
        <v>1245</v>
      </c>
      <c r="D652" t="s">
        <v>1245</v>
      </c>
      <c r="E652" t="str">
        <f t="shared" si="10"/>
        <v>BBB</v>
      </c>
    </row>
    <row r="653" spans="1:5" x14ac:dyDescent="0.25">
      <c r="A653" t="s">
        <v>427</v>
      </c>
      <c r="B653" t="s">
        <v>1245</v>
      </c>
      <c r="C653" t="s">
        <v>1244</v>
      </c>
      <c r="D653" t="s">
        <v>1245</v>
      </c>
      <c r="E653" t="str">
        <f t="shared" si="10"/>
        <v>BAB</v>
      </c>
    </row>
    <row r="654" spans="1:5" x14ac:dyDescent="0.25">
      <c r="A654" t="s">
        <v>856</v>
      </c>
      <c r="B654" t="s">
        <v>1245</v>
      </c>
      <c r="C654" t="s">
        <v>1246</v>
      </c>
      <c r="D654" t="s">
        <v>1245</v>
      </c>
      <c r="E654" t="str">
        <f t="shared" si="10"/>
        <v>BCB</v>
      </c>
    </row>
    <row r="655" spans="1:5" x14ac:dyDescent="0.25">
      <c r="A655" t="s">
        <v>1038</v>
      </c>
      <c r="B655" t="s">
        <v>1245</v>
      </c>
      <c r="C655" t="s">
        <v>1244</v>
      </c>
      <c r="D655" t="s">
        <v>1245</v>
      </c>
      <c r="E655" t="str">
        <f t="shared" si="10"/>
        <v>BAB</v>
      </c>
    </row>
    <row r="656" spans="1:5" x14ac:dyDescent="0.25">
      <c r="A656" t="s">
        <v>237</v>
      </c>
      <c r="B656" t="s">
        <v>1245</v>
      </c>
      <c r="C656" t="s">
        <v>1244</v>
      </c>
      <c r="D656" t="s">
        <v>1245</v>
      </c>
      <c r="E656" t="str">
        <f t="shared" si="10"/>
        <v>BAB</v>
      </c>
    </row>
    <row r="657" spans="1:5" x14ac:dyDescent="0.25">
      <c r="A657" t="s">
        <v>534</v>
      </c>
      <c r="B657" t="s">
        <v>1245</v>
      </c>
      <c r="C657" t="s">
        <v>1244</v>
      </c>
      <c r="D657" t="s">
        <v>1245</v>
      </c>
      <c r="E657" t="str">
        <f t="shared" si="10"/>
        <v>BAB</v>
      </c>
    </row>
    <row r="658" spans="1:5" x14ac:dyDescent="0.25">
      <c r="A658" t="s">
        <v>678</v>
      </c>
      <c r="B658" t="s">
        <v>1245</v>
      </c>
      <c r="C658" t="s">
        <v>1245</v>
      </c>
      <c r="D658" t="s">
        <v>1245</v>
      </c>
      <c r="E658" t="str">
        <f t="shared" si="10"/>
        <v>BBB</v>
      </c>
    </row>
    <row r="659" spans="1:5" x14ac:dyDescent="0.25">
      <c r="A659" t="s">
        <v>468</v>
      </c>
      <c r="B659" t="s">
        <v>1245</v>
      </c>
      <c r="C659" t="s">
        <v>1245</v>
      </c>
      <c r="D659" t="s">
        <v>1245</v>
      </c>
      <c r="E659" t="str">
        <f t="shared" si="10"/>
        <v>BBB</v>
      </c>
    </row>
    <row r="660" spans="1:5" x14ac:dyDescent="0.25">
      <c r="A660" t="s">
        <v>341</v>
      </c>
      <c r="B660" t="s">
        <v>1245</v>
      </c>
      <c r="C660" t="s">
        <v>1245</v>
      </c>
      <c r="D660" t="s">
        <v>1245</v>
      </c>
      <c r="E660" t="str">
        <f t="shared" si="10"/>
        <v>BBB</v>
      </c>
    </row>
    <row r="661" spans="1:5" x14ac:dyDescent="0.25">
      <c r="A661" t="s">
        <v>240</v>
      </c>
      <c r="B661" t="s">
        <v>1245</v>
      </c>
      <c r="C661" t="s">
        <v>1244</v>
      </c>
      <c r="D661" t="s">
        <v>1245</v>
      </c>
      <c r="E661" t="str">
        <f t="shared" si="10"/>
        <v>BAB</v>
      </c>
    </row>
    <row r="662" spans="1:5" x14ac:dyDescent="0.25">
      <c r="A662" t="s">
        <v>367</v>
      </c>
      <c r="B662" t="s">
        <v>1245</v>
      </c>
      <c r="C662" t="s">
        <v>1246</v>
      </c>
      <c r="D662" t="s">
        <v>1245</v>
      </c>
      <c r="E662" t="str">
        <f t="shared" si="10"/>
        <v>BCB</v>
      </c>
    </row>
    <row r="663" spans="1:5" x14ac:dyDescent="0.25">
      <c r="A663" t="s">
        <v>358</v>
      </c>
      <c r="B663" t="s">
        <v>1245</v>
      </c>
      <c r="C663" t="s">
        <v>1246</v>
      </c>
      <c r="D663" t="s">
        <v>1245</v>
      </c>
      <c r="E663" t="str">
        <f t="shared" si="10"/>
        <v>BCB</v>
      </c>
    </row>
    <row r="664" spans="1:5" x14ac:dyDescent="0.25">
      <c r="A664" t="s">
        <v>1222</v>
      </c>
      <c r="B664" t="s">
        <v>1245</v>
      </c>
      <c r="C664" t="s">
        <v>1245</v>
      </c>
      <c r="D664" t="s">
        <v>1245</v>
      </c>
      <c r="E664" t="str">
        <f t="shared" si="10"/>
        <v>BBB</v>
      </c>
    </row>
    <row r="665" spans="1:5" x14ac:dyDescent="0.25">
      <c r="A665" t="s">
        <v>977</v>
      </c>
      <c r="B665" t="s">
        <v>1245</v>
      </c>
      <c r="C665" t="s">
        <v>1245</v>
      </c>
      <c r="D665" t="s">
        <v>1245</v>
      </c>
      <c r="E665" t="str">
        <f t="shared" si="10"/>
        <v>BBB</v>
      </c>
    </row>
    <row r="666" spans="1:5" x14ac:dyDescent="0.25">
      <c r="A666" t="s">
        <v>1193</v>
      </c>
      <c r="B666" t="s">
        <v>1245</v>
      </c>
      <c r="C666" t="s">
        <v>1245</v>
      </c>
      <c r="D666" t="s">
        <v>1245</v>
      </c>
      <c r="E666" t="str">
        <f t="shared" si="10"/>
        <v>BBB</v>
      </c>
    </row>
    <row r="667" spans="1:5" x14ac:dyDescent="0.25">
      <c r="A667" t="s">
        <v>795</v>
      </c>
      <c r="B667" t="s">
        <v>1245</v>
      </c>
      <c r="C667" t="s">
        <v>1245</v>
      </c>
      <c r="D667" t="s">
        <v>1245</v>
      </c>
      <c r="E667" t="str">
        <f t="shared" si="10"/>
        <v>BBB</v>
      </c>
    </row>
    <row r="668" spans="1:5" x14ac:dyDescent="0.25">
      <c r="A668" t="s">
        <v>216</v>
      </c>
      <c r="B668" t="s">
        <v>1245</v>
      </c>
      <c r="C668" t="s">
        <v>1245</v>
      </c>
      <c r="D668" t="s">
        <v>1245</v>
      </c>
      <c r="E668" t="str">
        <f t="shared" si="10"/>
        <v>BBB</v>
      </c>
    </row>
    <row r="669" spans="1:5" x14ac:dyDescent="0.25">
      <c r="A669" t="s">
        <v>787</v>
      </c>
      <c r="B669" t="s">
        <v>1245</v>
      </c>
      <c r="C669" t="s">
        <v>1244</v>
      </c>
      <c r="D669" t="s">
        <v>1245</v>
      </c>
      <c r="E669" t="str">
        <f t="shared" si="10"/>
        <v>BAB</v>
      </c>
    </row>
    <row r="670" spans="1:5" x14ac:dyDescent="0.25">
      <c r="A670" t="s">
        <v>1023</v>
      </c>
      <c r="B670" t="s">
        <v>1245</v>
      </c>
      <c r="C670" t="s">
        <v>1245</v>
      </c>
      <c r="D670" t="s">
        <v>1245</v>
      </c>
      <c r="E670" t="str">
        <f t="shared" si="10"/>
        <v>BBB</v>
      </c>
    </row>
    <row r="671" spans="1:5" x14ac:dyDescent="0.25">
      <c r="A671" t="s">
        <v>559</v>
      </c>
      <c r="B671" t="s">
        <v>1245</v>
      </c>
      <c r="C671" t="s">
        <v>1245</v>
      </c>
      <c r="D671" t="s">
        <v>1245</v>
      </c>
      <c r="E671" t="str">
        <f t="shared" si="10"/>
        <v>BBB</v>
      </c>
    </row>
    <row r="672" spans="1:5" x14ac:dyDescent="0.25">
      <c r="A672" t="s">
        <v>102</v>
      </c>
      <c r="B672" t="s">
        <v>1245</v>
      </c>
      <c r="C672" t="s">
        <v>1246</v>
      </c>
      <c r="D672" t="s">
        <v>1245</v>
      </c>
      <c r="E672" t="str">
        <f t="shared" si="10"/>
        <v>BCB</v>
      </c>
    </row>
    <row r="673" spans="1:5" x14ac:dyDescent="0.25">
      <c r="A673" t="s">
        <v>1042</v>
      </c>
      <c r="B673" t="s">
        <v>1245</v>
      </c>
      <c r="C673" t="s">
        <v>1244</v>
      </c>
      <c r="D673" t="s">
        <v>1245</v>
      </c>
      <c r="E673" t="str">
        <f t="shared" si="10"/>
        <v>BAB</v>
      </c>
    </row>
    <row r="674" spans="1:5" x14ac:dyDescent="0.25">
      <c r="A674" t="s">
        <v>757</v>
      </c>
      <c r="B674" t="s">
        <v>1245</v>
      </c>
      <c r="C674" t="s">
        <v>1244</v>
      </c>
      <c r="D674" t="s">
        <v>1245</v>
      </c>
      <c r="E674" t="str">
        <f t="shared" si="10"/>
        <v>BAB</v>
      </c>
    </row>
    <row r="675" spans="1:5" x14ac:dyDescent="0.25">
      <c r="A675" t="s">
        <v>1164</v>
      </c>
      <c r="B675" t="s">
        <v>1245</v>
      </c>
      <c r="C675" t="s">
        <v>1244</v>
      </c>
      <c r="D675" t="s">
        <v>1245</v>
      </c>
      <c r="E675" t="str">
        <f t="shared" si="10"/>
        <v>BAB</v>
      </c>
    </row>
    <row r="676" spans="1:5" x14ac:dyDescent="0.25">
      <c r="A676" t="s">
        <v>616</v>
      </c>
      <c r="B676" t="s">
        <v>1245</v>
      </c>
      <c r="C676" t="s">
        <v>1244</v>
      </c>
      <c r="D676" t="s">
        <v>1245</v>
      </c>
      <c r="E676" t="str">
        <f t="shared" si="10"/>
        <v>BAB</v>
      </c>
    </row>
    <row r="677" spans="1:5" x14ac:dyDescent="0.25">
      <c r="A677" t="s">
        <v>1133</v>
      </c>
      <c r="B677" t="s">
        <v>1245</v>
      </c>
      <c r="C677" t="s">
        <v>1244</v>
      </c>
      <c r="D677" t="s">
        <v>1245</v>
      </c>
      <c r="E677" t="str">
        <f t="shared" si="10"/>
        <v>BAB</v>
      </c>
    </row>
    <row r="678" spans="1:5" x14ac:dyDescent="0.25">
      <c r="A678" t="s">
        <v>558</v>
      </c>
      <c r="B678" t="s">
        <v>1245</v>
      </c>
      <c r="C678" t="s">
        <v>1245</v>
      </c>
      <c r="D678" t="s">
        <v>1245</v>
      </c>
      <c r="E678" t="str">
        <f t="shared" si="10"/>
        <v>BBB</v>
      </c>
    </row>
    <row r="679" spans="1:5" x14ac:dyDescent="0.25">
      <c r="A679" t="s">
        <v>1136</v>
      </c>
      <c r="B679" t="s">
        <v>1245</v>
      </c>
      <c r="C679" t="s">
        <v>1246</v>
      </c>
      <c r="D679" t="s">
        <v>1245</v>
      </c>
      <c r="E679" t="str">
        <f t="shared" si="10"/>
        <v>BCB</v>
      </c>
    </row>
    <row r="680" spans="1:5" x14ac:dyDescent="0.25">
      <c r="A680" t="s">
        <v>1168</v>
      </c>
      <c r="B680" t="s">
        <v>1245</v>
      </c>
      <c r="C680" t="s">
        <v>1244</v>
      </c>
      <c r="D680" t="s">
        <v>1245</v>
      </c>
      <c r="E680" t="str">
        <f t="shared" si="10"/>
        <v>BAB</v>
      </c>
    </row>
    <row r="681" spans="1:5" x14ac:dyDescent="0.25">
      <c r="A681" t="s">
        <v>693</v>
      </c>
      <c r="B681" t="s">
        <v>1245</v>
      </c>
      <c r="C681" t="s">
        <v>1244</v>
      </c>
      <c r="D681" t="s">
        <v>1245</v>
      </c>
      <c r="E681" t="str">
        <f t="shared" si="10"/>
        <v>BAB</v>
      </c>
    </row>
    <row r="682" spans="1:5" x14ac:dyDescent="0.25">
      <c r="A682" t="s">
        <v>888</v>
      </c>
      <c r="B682" t="s">
        <v>1245</v>
      </c>
      <c r="C682" t="s">
        <v>1244</v>
      </c>
      <c r="D682" t="s">
        <v>1245</v>
      </c>
      <c r="E682" t="str">
        <f t="shared" si="10"/>
        <v>BAB</v>
      </c>
    </row>
    <row r="683" spans="1:5" x14ac:dyDescent="0.25">
      <c r="A683" t="s">
        <v>344</v>
      </c>
      <c r="B683" t="s">
        <v>1245</v>
      </c>
      <c r="C683" t="s">
        <v>1246</v>
      </c>
      <c r="D683" t="s">
        <v>1245</v>
      </c>
      <c r="E683" t="str">
        <f t="shared" si="10"/>
        <v>BCB</v>
      </c>
    </row>
    <row r="684" spans="1:5" x14ac:dyDescent="0.25">
      <c r="A684" t="s">
        <v>1088</v>
      </c>
      <c r="B684" t="s">
        <v>1245</v>
      </c>
      <c r="C684" t="s">
        <v>1246</v>
      </c>
      <c r="D684" t="s">
        <v>1245</v>
      </c>
      <c r="E684" t="str">
        <f t="shared" si="10"/>
        <v>BCB</v>
      </c>
    </row>
    <row r="685" spans="1:5" x14ac:dyDescent="0.25">
      <c r="A685" t="s">
        <v>946</v>
      </c>
      <c r="B685" t="s">
        <v>1245</v>
      </c>
      <c r="C685" t="s">
        <v>1244</v>
      </c>
      <c r="D685" t="s">
        <v>1245</v>
      </c>
      <c r="E685" t="str">
        <f t="shared" si="10"/>
        <v>BAB</v>
      </c>
    </row>
    <row r="686" spans="1:5" x14ac:dyDescent="0.25">
      <c r="A686" t="s">
        <v>497</v>
      </c>
      <c r="B686" t="s">
        <v>1245</v>
      </c>
      <c r="C686" t="s">
        <v>1245</v>
      </c>
      <c r="D686" t="s">
        <v>1245</v>
      </c>
      <c r="E686" t="str">
        <f t="shared" si="10"/>
        <v>BBB</v>
      </c>
    </row>
    <row r="687" spans="1:5" x14ac:dyDescent="0.25">
      <c r="A687" t="s">
        <v>561</v>
      </c>
      <c r="B687" t="s">
        <v>1245</v>
      </c>
      <c r="C687" t="s">
        <v>1246</v>
      </c>
      <c r="D687" t="s">
        <v>1245</v>
      </c>
      <c r="E687" t="str">
        <f t="shared" si="10"/>
        <v>BCB</v>
      </c>
    </row>
    <row r="688" spans="1:5" x14ac:dyDescent="0.25">
      <c r="A688" t="s">
        <v>348</v>
      </c>
      <c r="B688" t="s">
        <v>1245</v>
      </c>
      <c r="C688" t="s">
        <v>1244</v>
      </c>
      <c r="D688" t="s">
        <v>1245</v>
      </c>
      <c r="E688" t="str">
        <f t="shared" si="10"/>
        <v>BAB</v>
      </c>
    </row>
    <row r="689" spans="1:5" x14ac:dyDescent="0.25">
      <c r="A689" t="s">
        <v>343</v>
      </c>
      <c r="B689" t="s">
        <v>1245</v>
      </c>
      <c r="C689" t="s">
        <v>1244</v>
      </c>
      <c r="D689" t="s">
        <v>1245</v>
      </c>
      <c r="E689" t="str">
        <f t="shared" si="10"/>
        <v>BAB</v>
      </c>
    </row>
    <row r="690" spans="1:5" x14ac:dyDescent="0.25">
      <c r="A690" t="s">
        <v>754</v>
      </c>
      <c r="B690" t="s">
        <v>1245</v>
      </c>
      <c r="C690" t="s">
        <v>1244</v>
      </c>
      <c r="D690" t="s">
        <v>1245</v>
      </c>
      <c r="E690" t="str">
        <f t="shared" si="10"/>
        <v>BAB</v>
      </c>
    </row>
    <row r="691" spans="1:5" x14ac:dyDescent="0.25">
      <c r="A691" t="s">
        <v>1137</v>
      </c>
      <c r="B691" t="s">
        <v>1245</v>
      </c>
      <c r="C691" t="s">
        <v>1245</v>
      </c>
      <c r="D691" t="s">
        <v>1245</v>
      </c>
      <c r="E691" t="str">
        <f t="shared" si="10"/>
        <v>BBB</v>
      </c>
    </row>
    <row r="692" spans="1:5" x14ac:dyDescent="0.25">
      <c r="A692" t="s">
        <v>206</v>
      </c>
      <c r="B692" t="s">
        <v>1245</v>
      </c>
      <c r="C692" t="s">
        <v>1245</v>
      </c>
      <c r="D692" t="s">
        <v>1245</v>
      </c>
      <c r="E692" t="str">
        <f t="shared" si="10"/>
        <v>BBB</v>
      </c>
    </row>
    <row r="693" spans="1:5" x14ac:dyDescent="0.25">
      <c r="A693" t="s">
        <v>359</v>
      </c>
      <c r="B693" t="s">
        <v>1245</v>
      </c>
      <c r="C693" t="s">
        <v>1245</v>
      </c>
      <c r="D693" t="s">
        <v>1245</v>
      </c>
      <c r="E693" t="str">
        <f t="shared" si="10"/>
        <v>BBB</v>
      </c>
    </row>
    <row r="694" spans="1:5" x14ac:dyDescent="0.25">
      <c r="A694" t="s">
        <v>857</v>
      </c>
      <c r="B694" t="s">
        <v>1245</v>
      </c>
      <c r="C694" t="s">
        <v>1244</v>
      </c>
      <c r="D694" t="s">
        <v>1245</v>
      </c>
      <c r="E694" t="str">
        <f t="shared" si="10"/>
        <v>BAB</v>
      </c>
    </row>
    <row r="695" spans="1:5" x14ac:dyDescent="0.25">
      <c r="A695" t="s">
        <v>573</v>
      </c>
      <c r="B695" t="s">
        <v>1245</v>
      </c>
      <c r="C695" t="s">
        <v>1246</v>
      </c>
      <c r="D695" t="s">
        <v>1245</v>
      </c>
      <c r="E695" t="str">
        <f t="shared" si="10"/>
        <v>BCB</v>
      </c>
    </row>
    <row r="696" spans="1:5" x14ac:dyDescent="0.25">
      <c r="A696" t="s">
        <v>336</v>
      </c>
      <c r="B696" t="s">
        <v>1245</v>
      </c>
      <c r="C696" t="s">
        <v>1245</v>
      </c>
      <c r="D696" t="s">
        <v>1245</v>
      </c>
      <c r="E696" t="str">
        <f t="shared" si="10"/>
        <v>BBB</v>
      </c>
    </row>
    <row r="697" spans="1:5" x14ac:dyDescent="0.25">
      <c r="A697" t="s">
        <v>74</v>
      </c>
      <c r="B697" t="s">
        <v>1245</v>
      </c>
      <c r="C697" t="s">
        <v>1246</v>
      </c>
      <c r="D697" t="s">
        <v>1245</v>
      </c>
      <c r="E697" t="str">
        <f t="shared" si="10"/>
        <v>BCB</v>
      </c>
    </row>
    <row r="698" spans="1:5" x14ac:dyDescent="0.25">
      <c r="A698" t="s">
        <v>1003</v>
      </c>
      <c r="B698" t="s">
        <v>1246</v>
      </c>
      <c r="C698" t="s">
        <v>1245</v>
      </c>
      <c r="D698" t="s">
        <v>1246</v>
      </c>
      <c r="E698" t="str">
        <f t="shared" si="10"/>
        <v>CBC</v>
      </c>
    </row>
    <row r="699" spans="1:5" x14ac:dyDescent="0.25">
      <c r="A699" t="s">
        <v>23</v>
      </c>
      <c r="B699" t="s">
        <v>1246</v>
      </c>
      <c r="C699" t="s">
        <v>1246</v>
      </c>
      <c r="D699" t="s">
        <v>1246</v>
      </c>
      <c r="E699" t="str">
        <f t="shared" si="10"/>
        <v>CCC</v>
      </c>
    </row>
    <row r="700" spans="1:5" x14ac:dyDescent="0.25">
      <c r="A700" t="s">
        <v>1015</v>
      </c>
      <c r="B700" t="s">
        <v>1246</v>
      </c>
      <c r="C700" t="s">
        <v>1244</v>
      </c>
      <c r="D700" t="s">
        <v>1246</v>
      </c>
      <c r="E700" t="str">
        <f t="shared" si="10"/>
        <v>CAC</v>
      </c>
    </row>
    <row r="701" spans="1:5" x14ac:dyDescent="0.25">
      <c r="A701" t="s">
        <v>564</v>
      </c>
      <c r="B701" t="s">
        <v>1246</v>
      </c>
      <c r="C701" t="s">
        <v>1245</v>
      </c>
      <c r="D701" t="s">
        <v>1246</v>
      </c>
      <c r="E701" t="str">
        <f t="shared" si="10"/>
        <v>CBC</v>
      </c>
    </row>
    <row r="702" spans="1:5" x14ac:dyDescent="0.25">
      <c r="A702" t="s">
        <v>1054</v>
      </c>
      <c r="B702" t="s">
        <v>1246</v>
      </c>
      <c r="C702" t="s">
        <v>1244</v>
      </c>
      <c r="D702" t="s">
        <v>1246</v>
      </c>
      <c r="E702" t="str">
        <f t="shared" si="10"/>
        <v>CAC</v>
      </c>
    </row>
    <row r="703" spans="1:5" x14ac:dyDescent="0.25">
      <c r="A703" t="s">
        <v>539</v>
      </c>
      <c r="B703" t="s">
        <v>1246</v>
      </c>
      <c r="C703" t="s">
        <v>1246</v>
      </c>
      <c r="D703" t="s">
        <v>1246</v>
      </c>
      <c r="E703" t="str">
        <f t="shared" si="10"/>
        <v>CCC</v>
      </c>
    </row>
    <row r="704" spans="1:5" x14ac:dyDescent="0.25">
      <c r="A704" t="s">
        <v>85</v>
      </c>
      <c r="B704" t="s">
        <v>1246</v>
      </c>
      <c r="C704" t="s">
        <v>1244</v>
      </c>
      <c r="D704" t="s">
        <v>1246</v>
      </c>
      <c r="E704" t="str">
        <f t="shared" si="10"/>
        <v>CAC</v>
      </c>
    </row>
    <row r="705" spans="1:5" x14ac:dyDescent="0.25">
      <c r="A705" t="s">
        <v>1200</v>
      </c>
      <c r="B705" t="s">
        <v>1246</v>
      </c>
      <c r="C705" t="s">
        <v>1244</v>
      </c>
      <c r="D705" t="s">
        <v>1246</v>
      </c>
      <c r="E705" t="str">
        <f t="shared" si="10"/>
        <v>CAC</v>
      </c>
    </row>
    <row r="706" spans="1:5" x14ac:dyDescent="0.25">
      <c r="A706" t="s">
        <v>1116</v>
      </c>
      <c r="B706" t="s">
        <v>1246</v>
      </c>
      <c r="C706" t="s">
        <v>1244</v>
      </c>
      <c r="D706" t="s">
        <v>1246</v>
      </c>
      <c r="E706" t="str">
        <f t="shared" si="10"/>
        <v>CAC</v>
      </c>
    </row>
    <row r="707" spans="1:5" x14ac:dyDescent="0.25">
      <c r="A707" t="s">
        <v>646</v>
      </c>
      <c r="B707" t="s">
        <v>1246</v>
      </c>
      <c r="C707" t="s">
        <v>1244</v>
      </c>
      <c r="D707" t="s">
        <v>1246</v>
      </c>
      <c r="E707" t="str">
        <f t="shared" si="10"/>
        <v>CAC</v>
      </c>
    </row>
    <row r="708" spans="1:5" x14ac:dyDescent="0.25">
      <c r="A708" t="s">
        <v>1033</v>
      </c>
      <c r="B708" t="s">
        <v>1246</v>
      </c>
      <c r="C708" t="s">
        <v>1244</v>
      </c>
      <c r="D708" t="s">
        <v>1246</v>
      </c>
      <c r="E708" t="str">
        <f t="shared" si="10"/>
        <v>CAC</v>
      </c>
    </row>
    <row r="709" spans="1:5" x14ac:dyDescent="0.25">
      <c r="A709" t="s">
        <v>372</v>
      </c>
      <c r="B709" t="s">
        <v>1246</v>
      </c>
      <c r="C709" t="s">
        <v>1244</v>
      </c>
      <c r="D709" t="s">
        <v>1246</v>
      </c>
      <c r="E709" t="str">
        <f t="shared" ref="E709:E772" si="11">B709&amp;C709&amp;D709</f>
        <v>CAC</v>
      </c>
    </row>
    <row r="710" spans="1:5" x14ac:dyDescent="0.25">
      <c r="A710" t="s">
        <v>843</v>
      </c>
      <c r="B710" t="s">
        <v>1246</v>
      </c>
      <c r="C710" t="s">
        <v>1246</v>
      </c>
      <c r="D710" t="s">
        <v>1246</v>
      </c>
      <c r="E710" t="str">
        <f t="shared" si="11"/>
        <v>CCC</v>
      </c>
    </row>
    <row r="711" spans="1:5" x14ac:dyDescent="0.25">
      <c r="A711" t="s">
        <v>815</v>
      </c>
      <c r="B711" t="s">
        <v>1246</v>
      </c>
      <c r="C711" t="s">
        <v>1246</v>
      </c>
      <c r="D711" t="s">
        <v>1246</v>
      </c>
      <c r="E711" t="str">
        <f t="shared" si="11"/>
        <v>CCC</v>
      </c>
    </row>
    <row r="712" spans="1:5" x14ac:dyDescent="0.25">
      <c r="A712" t="s">
        <v>817</v>
      </c>
      <c r="B712" t="s">
        <v>1246</v>
      </c>
      <c r="C712" t="s">
        <v>1244</v>
      </c>
      <c r="D712" t="s">
        <v>1246</v>
      </c>
      <c r="E712" t="str">
        <f t="shared" si="11"/>
        <v>CAC</v>
      </c>
    </row>
    <row r="713" spans="1:5" x14ac:dyDescent="0.25">
      <c r="A713" t="s">
        <v>729</v>
      </c>
      <c r="B713" t="s">
        <v>1246</v>
      </c>
      <c r="C713" t="s">
        <v>1246</v>
      </c>
      <c r="D713" t="s">
        <v>1246</v>
      </c>
      <c r="E713" t="str">
        <f t="shared" si="11"/>
        <v>CCC</v>
      </c>
    </row>
    <row r="714" spans="1:5" x14ac:dyDescent="0.25">
      <c r="A714" t="s">
        <v>1186</v>
      </c>
      <c r="B714" t="s">
        <v>1246</v>
      </c>
      <c r="C714" t="s">
        <v>1244</v>
      </c>
      <c r="D714" t="s">
        <v>1246</v>
      </c>
      <c r="E714" t="str">
        <f t="shared" si="11"/>
        <v>CAC</v>
      </c>
    </row>
    <row r="715" spans="1:5" x14ac:dyDescent="0.25">
      <c r="A715" t="s">
        <v>836</v>
      </c>
      <c r="B715" t="s">
        <v>1246</v>
      </c>
      <c r="C715" t="s">
        <v>1244</v>
      </c>
      <c r="D715" t="s">
        <v>1246</v>
      </c>
      <c r="E715" t="str">
        <f t="shared" si="11"/>
        <v>CAC</v>
      </c>
    </row>
    <row r="716" spans="1:5" x14ac:dyDescent="0.25">
      <c r="A716" t="s">
        <v>903</v>
      </c>
      <c r="B716" t="s">
        <v>1246</v>
      </c>
      <c r="C716" t="s">
        <v>1244</v>
      </c>
      <c r="D716" t="s">
        <v>1246</v>
      </c>
      <c r="E716" t="str">
        <f t="shared" si="11"/>
        <v>CAC</v>
      </c>
    </row>
    <row r="717" spans="1:5" x14ac:dyDescent="0.25">
      <c r="A717" t="s">
        <v>928</v>
      </c>
      <c r="B717" t="s">
        <v>1246</v>
      </c>
      <c r="C717" t="s">
        <v>1244</v>
      </c>
      <c r="D717" t="s">
        <v>1246</v>
      </c>
      <c r="E717" t="str">
        <f t="shared" si="11"/>
        <v>CAC</v>
      </c>
    </row>
    <row r="718" spans="1:5" x14ac:dyDescent="0.25">
      <c r="A718" t="s">
        <v>295</v>
      </c>
      <c r="B718" t="s">
        <v>1246</v>
      </c>
      <c r="C718" t="s">
        <v>1244</v>
      </c>
      <c r="D718" t="s">
        <v>1246</v>
      </c>
      <c r="E718" t="str">
        <f t="shared" si="11"/>
        <v>CAC</v>
      </c>
    </row>
    <row r="719" spans="1:5" x14ac:dyDescent="0.25">
      <c r="A719" t="s">
        <v>479</v>
      </c>
      <c r="B719" t="s">
        <v>1246</v>
      </c>
      <c r="C719" t="s">
        <v>1246</v>
      </c>
      <c r="D719" t="s">
        <v>1246</v>
      </c>
      <c r="E719" t="str">
        <f t="shared" si="11"/>
        <v>CCC</v>
      </c>
    </row>
    <row r="720" spans="1:5" x14ac:dyDescent="0.25">
      <c r="A720" t="s">
        <v>1214</v>
      </c>
      <c r="B720" t="s">
        <v>1246</v>
      </c>
      <c r="C720" t="s">
        <v>1244</v>
      </c>
      <c r="D720" t="s">
        <v>1246</v>
      </c>
      <c r="E720" t="str">
        <f t="shared" si="11"/>
        <v>CAC</v>
      </c>
    </row>
    <row r="721" spans="1:5" x14ac:dyDescent="0.25">
      <c r="A721" t="s">
        <v>1108</v>
      </c>
      <c r="B721" t="s">
        <v>1246</v>
      </c>
      <c r="C721" t="s">
        <v>1245</v>
      </c>
      <c r="D721" t="s">
        <v>1246</v>
      </c>
      <c r="E721" t="str">
        <f t="shared" si="11"/>
        <v>CBC</v>
      </c>
    </row>
    <row r="722" spans="1:5" x14ac:dyDescent="0.25">
      <c r="A722" t="s">
        <v>808</v>
      </c>
      <c r="B722" t="s">
        <v>1246</v>
      </c>
      <c r="C722" t="s">
        <v>1245</v>
      </c>
      <c r="D722" t="s">
        <v>1246</v>
      </c>
      <c r="E722" t="str">
        <f t="shared" si="11"/>
        <v>CBC</v>
      </c>
    </row>
    <row r="723" spans="1:5" x14ac:dyDescent="0.25">
      <c r="A723" t="s">
        <v>383</v>
      </c>
      <c r="B723" t="s">
        <v>1246</v>
      </c>
      <c r="C723" t="s">
        <v>1246</v>
      </c>
      <c r="D723" t="s">
        <v>1246</v>
      </c>
      <c r="E723" t="str">
        <f t="shared" si="11"/>
        <v>CCC</v>
      </c>
    </row>
    <row r="724" spans="1:5" x14ac:dyDescent="0.25">
      <c r="A724" t="s">
        <v>1037</v>
      </c>
      <c r="B724" t="s">
        <v>1246</v>
      </c>
      <c r="C724" t="s">
        <v>1245</v>
      </c>
      <c r="D724" t="s">
        <v>1246</v>
      </c>
      <c r="E724" t="str">
        <f t="shared" si="11"/>
        <v>CBC</v>
      </c>
    </row>
    <row r="725" spans="1:5" x14ac:dyDescent="0.25">
      <c r="A725" t="s">
        <v>924</v>
      </c>
      <c r="B725" t="s">
        <v>1246</v>
      </c>
      <c r="C725" t="s">
        <v>1244</v>
      </c>
      <c r="D725" t="s">
        <v>1246</v>
      </c>
      <c r="E725" t="str">
        <f t="shared" si="11"/>
        <v>CAC</v>
      </c>
    </row>
    <row r="726" spans="1:5" x14ac:dyDescent="0.25">
      <c r="A726" t="s">
        <v>1188</v>
      </c>
      <c r="B726" t="s">
        <v>1246</v>
      </c>
      <c r="C726" t="s">
        <v>1245</v>
      </c>
      <c r="D726" t="s">
        <v>1246</v>
      </c>
      <c r="E726" t="str">
        <f t="shared" si="11"/>
        <v>CBC</v>
      </c>
    </row>
    <row r="727" spans="1:5" x14ac:dyDescent="0.25">
      <c r="A727" t="s">
        <v>440</v>
      </c>
      <c r="B727" t="s">
        <v>1246</v>
      </c>
      <c r="C727" t="s">
        <v>1246</v>
      </c>
      <c r="D727" t="s">
        <v>1246</v>
      </c>
      <c r="E727" t="str">
        <f t="shared" si="11"/>
        <v>CCC</v>
      </c>
    </row>
    <row r="728" spans="1:5" x14ac:dyDescent="0.25">
      <c r="A728" t="s">
        <v>636</v>
      </c>
      <c r="B728" t="s">
        <v>1246</v>
      </c>
      <c r="C728" t="s">
        <v>1245</v>
      </c>
      <c r="D728" t="s">
        <v>1246</v>
      </c>
      <c r="E728" t="str">
        <f t="shared" si="11"/>
        <v>CBC</v>
      </c>
    </row>
    <row r="729" spans="1:5" x14ac:dyDescent="0.25">
      <c r="A729" t="s">
        <v>253</v>
      </c>
      <c r="B729" t="s">
        <v>1246</v>
      </c>
      <c r="C729" t="s">
        <v>1246</v>
      </c>
      <c r="D729" t="s">
        <v>1246</v>
      </c>
      <c r="E729" t="str">
        <f t="shared" si="11"/>
        <v>CCC</v>
      </c>
    </row>
    <row r="730" spans="1:5" x14ac:dyDescent="0.25">
      <c r="A730" t="s">
        <v>521</v>
      </c>
      <c r="B730" t="s">
        <v>1246</v>
      </c>
      <c r="C730" t="s">
        <v>1245</v>
      </c>
      <c r="D730" t="s">
        <v>1246</v>
      </c>
      <c r="E730" t="str">
        <f t="shared" si="11"/>
        <v>CBC</v>
      </c>
    </row>
    <row r="731" spans="1:5" x14ac:dyDescent="0.25">
      <c r="A731" t="s">
        <v>439</v>
      </c>
      <c r="B731" t="s">
        <v>1246</v>
      </c>
      <c r="C731" t="s">
        <v>1245</v>
      </c>
      <c r="D731" t="s">
        <v>1246</v>
      </c>
      <c r="E731" t="str">
        <f t="shared" si="11"/>
        <v>CBC</v>
      </c>
    </row>
    <row r="732" spans="1:5" x14ac:dyDescent="0.25">
      <c r="A732" t="s">
        <v>855</v>
      </c>
      <c r="B732" t="s">
        <v>1246</v>
      </c>
      <c r="C732" t="s">
        <v>1244</v>
      </c>
      <c r="D732" t="s">
        <v>1246</v>
      </c>
      <c r="E732" t="str">
        <f t="shared" si="11"/>
        <v>CAC</v>
      </c>
    </row>
    <row r="733" spans="1:5" x14ac:dyDescent="0.25">
      <c r="A733" t="s">
        <v>302</v>
      </c>
      <c r="B733" t="s">
        <v>1246</v>
      </c>
      <c r="C733" t="s">
        <v>1246</v>
      </c>
      <c r="D733" t="s">
        <v>1246</v>
      </c>
      <c r="E733" t="str">
        <f t="shared" si="11"/>
        <v>CCC</v>
      </c>
    </row>
    <row r="734" spans="1:5" x14ac:dyDescent="0.25">
      <c r="A734" t="s">
        <v>244</v>
      </c>
      <c r="B734" t="s">
        <v>1246</v>
      </c>
      <c r="C734" t="s">
        <v>1246</v>
      </c>
      <c r="D734" t="s">
        <v>1246</v>
      </c>
      <c r="E734" t="str">
        <f t="shared" si="11"/>
        <v>CCC</v>
      </c>
    </row>
    <row r="735" spans="1:5" x14ac:dyDescent="0.25">
      <c r="A735" t="s">
        <v>493</v>
      </c>
      <c r="B735" t="s">
        <v>1246</v>
      </c>
      <c r="C735" t="s">
        <v>1245</v>
      </c>
      <c r="D735" t="s">
        <v>1246</v>
      </c>
      <c r="E735" t="str">
        <f t="shared" si="11"/>
        <v>CBC</v>
      </c>
    </row>
    <row r="736" spans="1:5" x14ac:dyDescent="0.25">
      <c r="A736" t="s">
        <v>1049</v>
      </c>
      <c r="B736" t="s">
        <v>1246</v>
      </c>
      <c r="C736" t="s">
        <v>1245</v>
      </c>
      <c r="D736" t="s">
        <v>1246</v>
      </c>
      <c r="E736" t="str">
        <f t="shared" si="11"/>
        <v>CBC</v>
      </c>
    </row>
    <row r="737" spans="1:5" x14ac:dyDescent="0.25">
      <c r="A737" t="s">
        <v>260</v>
      </c>
      <c r="B737" t="s">
        <v>1246</v>
      </c>
      <c r="C737" t="s">
        <v>1246</v>
      </c>
      <c r="D737" t="s">
        <v>1246</v>
      </c>
      <c r="E737" t="str">
        <f t="shared" si="11"/>
        <v>CCC</v>
      </c>
    </row>
    <row r="738" spans="1:5" x14ac:dyDescent="0.25">
      <c r="A738" t="s">
        <v>590</v>
      </c>
      <c r="B738" t="s">
        <v>1246</v>
      </c>
      <c r="C738" t="s">
        <v>1246</v>
      </c>
      <c r="D738" t="s">
        <v>1246</v>
      </c>
      <c r="E738" t="str">
        <f t="shared" si="11"/>
        <v>CCC</v>
      </c>
    </row>
    <row r="739" spans="1:5" x14ac:dyDescent="0.25">
      <c r="A739" t="s">
        <v>633</v>
      </c>
      <c r="B739" t="s">
        <v>1246</v>
      </c>
      <c r="C739" t="s">
        <v>1246</v>
      </c>
      <c r="D739" t="s">
        <v>1246</v>
      </c>
      <c r="E739" t="str">
        <f t="shared" si="11"/>
        <v>CCC</v>
      </c>
    </row>
    <row r="740" spans="1:5" x14ac:dyDescent="0.25">
      <c r="A740" t="s">
        <v>629</v>
      </c>
      <c r="B740" t="s">
        <v>1246</v>
      </c>
      <c r="C740" t="s">
        <v>1244</v>
      </c>
      <c r="D740" t="s">
        <v>1246</v>
      </c>
      <c r="E740" t="str">
        <f t="shared" si="11"/>
        <v>CAC</v>
      </c>
    </row>
    <row r="741" spans="1:5" x14ac:dyDescent="0.25">
      <c r="A741" t="s">
        <v>913</v>
      </c>
      <c r="B741" t="s">
        <v>1246</v>
      </c>
      <c r="C741" t="s">
        <v>1246</v>
      </c>
      <c r="D741" t="s">
        <v>1246</v>
      </c>
      <c r="E741" t="str">
        <f t="shared" si="11"/>
        <v>CCC</v>
      </c>
    </row>
    <row r="742" spans="1:5" x14ac:dyDescent="0.25">
      <c r="A742" t="s">
        <v>1139</v>
      </c>
      <c r="B742" t="s">
        <v>1246</v>
      </c>
      <c r="C742" t="s">
        <v>1246</v>
      </c>
      <c r="D742" t="s">
        <v>1246</v>
      </c>
      <c r="E742" t="str">
        <f t="shared" si="11"/>
        <v>CCC</v>
      </c>
    </row>
    <row r="743" spans="1:5" x14ac:dyDescent="0.25">
      <c r="A743" t="s">
        <v>718</v>
      </c>
      <c r="B743" t="s">
        <v>1246</v>
      </c>
      <c r="C743" t="s">
        <v>1245</v>
      </c>
      <c r="D743" t="s">
        <v>1246</v>
      </c>
      <c r="E743" t="str">
        <f t="shared" si="11"/>
        <v>CBC</v>
      </c>
    </row>
    <row r="744" spans="1:5" x14ac:dyDescent="0.25">
      <c r="A744" t="s">
        <v>1104</v>
      </c>
      <c r="B744" t="s">
        <v>1246</v>
      </c>
      <c r="C744" t="s">
        <v>1245</v>
      </c>
      <c r="D744" t="s">
        <v>1246</v>
      </c>
      <c r="E744" t="str">
        <f t="shared" si="11"/>
        <v>CBC</v>
      </c>
    </row>
    <row r="745" spans="1:5" x14ac:dyDescent="0.25">
      <c r="A745" t="s">
        <v>954</v>
      </c>
      <c r="B745" t="s">
        <v>1246</v>
      </c>
      <c r="C745" t="s">
        <v>1244</v>
      </c>
      <c r="D745" t="s">
        <v>1246</v>
      </c>
      <c r="E745" t="str">
        <f t="shared" si="11"/>
        <v>CAC</v>
      </c>
    </row>
    <row r="746" spans="1:5" x14ac:dyDescent="0.25">
      <c r="A746" t="s">
        <v>595</v>
      </c>
      <c r="B746" t="s">
        <v>1246</v>
      </c>
      <c r="C746" t="s">
        <v>1245</v>
      </c>
      <c r="D746" t="s">
        <v>1246</v>
      </c>
      <c r="E746" t="str">
        <f t="shared" si="11"/>
        <v>CBC</v>
      </c>
    </row>
    <row r="747" spans="1:5" x14ac:dyDescent="0.25">
      <c r="A747" t="s">
        <v>620</v>
      </c>
      <c r="B747" t="s">
        <v>1246</v>
      </c>
      <c r="C747" t="s">
        <v>1246</v>
      </c>
      <c r="D747" t="s">
        <v>1246</v>
      </c>
      <c r="E747" t="str">
        <f t="shared" si="11"/>
        <v>CCC</v>
      </c>
    </row>
    <row r="748" spans="1:5" x14ac:dyDescent="0.25">
      <c r="A748" t="s">
        <v>1192</v>
      </c>
      <c r="B748" t="s">
        <v>1246</v>
      </c>
      <c r="C748" t="s">
        <v>1244</v>
      </c>
      <c r="D748" t="s">
        <v>1246</v>
      </c>
      <c r="E748" t="str">
        <f t="shared" si="11"/>
        <v>CAC</v>
      </c>
    </row>
    <row r="749" spans="1:5" x14ac:dyDescent="0.25">
      <c r="A749" t="s">
        <v>473</v>
      </c>
      <c r="B749" t="s">
        <v>1246</v>
      </c>
      <c r="C749" t="s">
        <v>1244</v>
      </c>
      <c r="D749" t="s">
        <v>1246</v>
      </c>
      <c r="E749" t="str">
        <f t="shared" si="11"/>
        <v>CAC</v>
      </c>
    </row>
    <row r="750" spans="1:5" x14ac:dyDescent="0.25">
      <c r="A750" t="s">
        <v>1148</v>
      </c>
      <c r="B750" t="s">
        <v>1246</v>
      </c>
      <c r="C750" t="s">
        <v>1245</v>
      </c>
      <c r="D750" t="s">
        <v>1246</v>
      </c>
      <c r="E750" t="str">
        <f t="shared" si="11"/>
        <v>CBC</v>
      </c>
    </row>
    <row r="751" spans="1:5" x14ac:dyDescent="0.25">
      <c r="A751" t="s">
        <v>748</v>
      </c>
      <c r="B751" t="s">
        <v>1246</v>
      </c>
      <c r="C751" t="s">
        <v>1244</v>
      </c>
      <c r="D751" t="s">
        <v>1246</v>
      </c>
      <c r="E751" t="str">
        <f t="shared" si="11"/>
        <v>CAC</v>
      </c>
    </row>
    <row r="752" spans="1:5" x14ac:dyDescent="0.25">
      <c r="A752" t="s">
        <v>113</v>
      </c>
      <c r="B752" t="s">
        <v>1246</v>
      </c>
      <c r="C752" t="s">
        <v>1246</v>
      </c>
      <c r="D752" t="s">
        <v>1246</v>
      </c>
      <c r="E752" t="str">
        <f t="shared" si="11"/>
        <v>CCC</v>
      </c>
    </row>
    <row r="753" spans="1:5" x14ac:dyDescent="0.25">
      <c r="A753" t="s">
        <v>279</v>
      </c>
      <c r="B753" t="s">
        <v>1246</v>
      </c>
      <c r="C753" t="s">
        <v>1245</v>
      </c>
      <c r="D753" t="s">
        <v>1246</v>
      </c>
      <c r="E753" t="str">
        <f t="shared" si="11"/>
        <v>CBC</v>
      </c>
    </row>
    <row r="754" spans="1:5" x14ac:dyDescent="0.25">
      <c r="A754" t="s">
        <v>1102</v>
      </c>
      <c r="B754" t="s">
        <v>1246</v>
      </c>
      <c r="C754" t="s">
        <v>1246</v>
      </c>
      <c r="D754" t="s">
        <v>1246</v>
      </c>
      <c r="E754" t="str">
        <f t="shared" si="11"/>
        <v>CCC</v>
      </c>
    </row>
    <row r="755" spans="1:5" x14ac:dyDescent="0.25">
      <c r="A755" t="s">
        <v>1178</v>
      </c>
      <c r="B755" t="s">
        <v>1246</v>
      </c>
      <c r="C755" t="s">
        <v>1246</v>
      </c>
      <c r="D755" t="s">
        <v>1246</v>
      </c>
      <c r="E755" t="str">
        <f t="shared" si="11"/>
        <v>CCC</v>
      </c>
    </row>
    <row r="756" spans="1:5" x14ac:dyDescent="0.25">
      <c r="A756" t="s">
        <v>824</v>
      </c>
      <c r="B756" t="s">
        <v>1246</v>
      </c>
      <c r="C756" t="s">
        <v>1246</v>
      </c>
      <c r="D756" t="s">
        <v>1246</v>
      </c>
      <c r="E756" t="str">
        <f t="shared" si="11"/>
        <v>CCC</v>
      </c>
    </row>
    <row r="757" spans="1:5" x14ac:dyDescent="0.25">
      <c r="A757" t="s">
        <v>746</v>
      </c>
      <c r="B757" t="s">
        <v>1246</v>
      </c>
      <c r="C757" t="s">
        <v>1245</v>
      </c>
      <c r="D757" t="s">
        <v>1246</v>
      </c>
      <c r="E757" t="str">
        <f t="shared" si="11"/>
        <v>CBC</v>
      </c>
    </row>
    <row r="758" spans="1:5" x14ac:dyDescent="0.25">
      <c r="A758" t="s">
        <v>171</v>
      </c>
      <c r="B758" t="s">
        <v>1246</v>
      </c>
      <c r="C758" t="s">
        <v>1246</v>
      </c>
      <c r="D758" t="s">
        <v>1246</v>
      </c>
      <c r="E758" t="str">
        <f t="shared" si="11"/>
        <v>CCC</v>
      </c>
    </row>
    <row r="759" spans="1:5" x14ac:dyDescent="0.25">
      <c r="A759" t="s">
        <v>274</v>
      </c>
      <c r="B759" t="s">
        <v>1246</v>
      </c>
      <c r="C759" t="s">
        <v>1246</v>
      </c>
      <c r="D759" t="s">
        <v>1246</v>
      </c>
      <c r="E759" t="str">
        <f t="shared" si="11"/>
        <v>CCC</v>
      </c>
    </row>
    <row r="760" spans="1:5" x14ac:dyDescent="0.25">
      <c r="A760" t="s">
        <v>978</v>
      </c>
      <c r="B760" t="s">
        <v>1246</v>
      </c>
      <c r="C760" t="s">
        <v>1246</v>
      </c>
      <c r="D760" t="s">
        <v>1246</v>
      </c>
      <c r="E760" t="str">
        <f t="shared" si="11"/>
        <v>CCC</v>
      </c>
    </row>
    <row r="761" spans="1:5" x14ac:dyDescent="0.25">
      <c r="A761" t="s">
        <v>311</v>
      </c>
      <c r="B761" t="s">
        <v>1246</v>
      </c>
      <c r="C761" t="s">
        <v>1244</v>
      </c>
      <c r="D761" t="s">
        <v>1246</v>
      </c>
      <c r="E761" t="str">
        <f t="shared" si="11"/>
        <v>CAC</v>
      </c>
    </row>
    <row r="762" spans="1:5" x14ac:dyDescent="0.25">
      <c r="A762" t="s">
        <v>218</v>
      </c>
      <c r="B762" t="s">
        <v>1246</v>
      </c>
      <c r="C762" t="s">
        <v>1246</v>
      </c>
      <c r="D762" t="s">
        <v>1246</v>
      </c>
      <c r="E762" t="str">
        <f t="shared" si="11"/>
        <v>CCC</v>
      </c>
    </row>
    <row r="763" spans="1:5" x14ac:dyDescent="0.25">
      <c r="A763" t="s">
        <v>621</v>
      </c>
      <c r="B763" t="s">
        <v>1246</v>
      </c>
      <c r="C763" t="s">
        <v>1246</v>
      </c>
      <c r="D763" t="s">
        <v>1246</v>
      </c>
      <c r="E763" t="str">
        <f t="shared" si="11"/>
        <v>CCC</v>
      </c>
    </row>
    <row r="764" spans="1:5" x14ac:dyDescent="0.25">
      <c r="A764" t="s">
        <v>1047</v>
      </c>
      <c r="B764" t="s">
        <v>1246</v>
      </c>
      <c r="C764" t="s">
        <v>1244</v>
      </c>
      <c r="D764" t="s">
        <v>1246</v>
      </c>
      <c r="E764" t="str">
        <f t="shared" si="11"/>
        <v>CAC</v>
      </c>
    </row>
    <row r="765" spans="1:5" x14ac:dyDescent="0.25">
      <c r="A765" t="s">
        <v>1184</v>
      </c>
      <c r="B765" t="s">
        <v>1246</v>
      </c>
      <c r="C765" t="s">
        <v>1244</v>
      </c>
      <c r="D765" t="s">
        <v>1246</v>
      </c>
      <c r="E765" t="str">
        <f t="shared" si="11"/>
        <v>CAC</v>
      </c>
    </row>
    <row r="766" spans="1:5" x14ac:dyDescent="0.25">
      <c r="A766" t="s">
        <v>133</v>
      </c>
      <c r="B766" t="s">
        <v>1246</v>
      </c>
      <c r="C766" t="s">
        <v>1244</v>
      </c>
      <c r="D766" t="s">
        <v>1246</v>
      </c>
      <c r="E766" t="str">
        <f t="shared" si="11"/>
        <v>CAC</v>
      </c>
    </row>
    <row r="767" spans="1:5" x14ac:dyDescent="0.25">
      <c r="A767" t="s">
        <v>1093</v>
      </c>
      <c r="B767" t="s">
        <v>1246</v>
      </c>
      <c r="C767" t="s">
        <v>1244</v>
      </c>
      <c r="D767" t="s">
        <v>1246</v>
      </c>
      <c r="E767" t="str">
        <f t="shared" si="11"/>
        <v>CAC</v>
      </c>
    </row>
    <row r="768" spans="1:5" x14ac:dyDescent="0.25">
      <c r="A768" t="s">
        <v>625</v>
      </c>
      <c r="B768" t="s">
        <v>1246</v>
      </c>
      <c r="C768" t="s">
        <v>1244</v>
      </c>
      <c r="D768" t="s">
        <v>1246</v>
      </c>
      <c r="E768" t="str">
        <f t="shared" si="11"/>
        <v>CAC</v>
      </c>
    </row>
    <row r="769" spans="1:5" x14ac:dyDescent="0.25">
      <c r="A769" t="s">
        <v>353</v>
      </c>
      <c r="B769" t="s">
        <v>1246</v>
      </c>
      <c r="C769" t="s">
        <v>1245</v>
      </c>
      <c r="D769" t="s">
        <v>1246</v>
      </c>
      <c r="E769" t="str">
        <f t="shared" si="11"/>
        <v>CBC</v>
      </c>
    </row>
    <row r="770" spans="1:5" x14ac:dyDescent="0.25">
      <c r="A770" t="s">
        <v>715</v>
      </c>
      <c r="B770" t="s">
        <v>1246</v>
      </c>
      <c r="C770" t="s">
        <v>1244</v>
      </c>
      <c r="D770" t="s">
        <v>1246</v>
      </c>
      <c r="E770" t="str">
        <f t="shared" si="11"/>
        <v>CAC</v>
      </c>
    </row>
    <row r="771" spans="1:5" x14ac:dyDescent="0.25">
      <c r="A771" t="s">
        <v>328</v>
      </c>
      <c r="B771" t="s">
        <v>1246</v>
      </c>
      <c r="C771" t="s">
        <v>1244</v>
      </c>
      <c r="D771" t="s">
        <v>1246</v>
      </c>
      <c r="E771" t="str">
        <f t="shared" si="11"/>
        <v>CAC</v>
      </c>
    </row>
    <row r="772" spans="1:5" x14ac:dyDescent="0.25">
      <c r="A772" t="s">
        <v>865</v>
      </c>
      <c r="B772" t="s">
        <v>1246</v>
      </c>
      <c r="C772" t="s">
        <v>1244</v>
      </c>
      <c r="D772" t="s">
        <v>1246</v>
      </c>
      <c r="E772" t="str">
        <f t="shared" si="11"/>
        <v>CAC</v>
      </c>
    </row>
    <row r="773" spans="1:5" x14ac:dyDescent="0.25">
      <c r="A773" t="s">
        <v>716</v>
      </c>
      <c r="B773" t="s">
        <v>1246</v>
      </c>
      <c r="C773" t="s">
        <v>1244</v>
      </c>
      <c r="D773" t="s">
        <v>1246</v>
      </c>
      <c r="E773" t="str">
        <f t="shared" ref="E773:E806" si="12">B773&amp;C773&amp;D773</f>
        <v>CAC</v>
      </c>
    </row>
    <row r="774" spans="1:5" x14ac:dyDescent="0.25">
      <c r="A774" t="s">
        <v>602</v>
      </c>
      <c r="B774" t="s">
        <v>1246</v>
      </c>
      <c r="C774" t="s">
        <v>1245</v>
      </c>
      <c r="D774" t="s">
        <v>1246</v>
      </c>
      <c r="E774" t="str">
        <f t="shared" si="12"/>
        <v>CBC</v>
      </c>
    </row>
    <row r="775" spans="1:5" x14ac:dyDescent="0.25">
      <c r="A775" t="s">
        <v>373</v>
      </c>
      <c r="B775" t="s">
        <v>1246</v>
      </c>
      <c r="C775" t="s">
        <v>1244</v>
      </c>
      <c r="D775" t="s">
        <v>1246</v>
      </c>
      <c r="E775" t="str">
        <f t="shared" si="12"/>
        <v>CAC</v>
      </c>
    </row>
    <row r="776" spans="1:5" x14ac:dyDescent="0.25">
      <c r="A776" t="s">
        <v>1217</v>
      </c>
      <c r="B776" t="s">
        <v>1246</v>
      </c>
      <c r="C776" t="s">
        <v>1244</v>
      </c>
      <c r="D776" t="s">
        <v>1246</v>
      </c>
      <c r="E776" t="str">
        <f t="shared" si="12"/>
        <v>CAC</v>
      </c>
    </row>
    <row r="777" spans="1:5" x14ac:dyDescent="0.25">
      <c r="A777" t="s">
        <v>891</v>
      </c>
      <c r="B777" t="s">
        <v>1246</v>
      </c>
      <c r="C777" t="s">
        <v>1244</v>
      </c>
      <c r="D777" t="s">
        <v>1246</v>
      </c>
      <c r="E777" t="str">
        <f t="shared" si="12"/>
        <v>CAC</v>
      </c>
    </row>
    <row r="778" spans="1:5" x14ac:dyDescent="0.25">
      <c r="A778" t="s">
        <v>1018</v>
      </c>
      <c r="B778" t="s">
        <v>1246</v>
      </c>
      <c r="C778" t="s">
        <v>1244</v>
      </c>
      <c r="D778" t="s">
        <v>1246</v>
      </c>
      <c r="E778" t="str">
        <f t="shared" si="12"/>
        <v>CAC</v>
      </c>
    </row>
    <row r="779" spans="1:5" x14ac:dyDescent="0.25">
      <c r="A779" t="s">
        <v>1082</v>
      </c>
      <c r="B779" t="s">
        <v>1246</v>
      </c>
      <c r="C779" t="s">
        <v>1244</v>
      </c>
      <c r="D779" t="s">
        <v>1246</v>
      </c>
      <c r="E779" t="str">
        <f t="shared" si="12"/>
        <v>CAC</v>
      </c>
    </row>
    <row r="780" spans="1:5" x14ac:dyDescent="0.25">
      <c r="A780" t="s">
        <v>1215</v>
      </c>
      <c r="B780" t="s">
        <v>1246</v>
      </c>
      <c r="C780" t="s">
        <v>1244</v>
      </c>
      <c r="D780" t="s">
        <v>1246</v>
      </c>
      <c r="E780" t="str">
        <f t="shared" si="12"/>
        <v>CAC</v>
      </c>
    </row>
    <row r="781" spans="1:5" x14ac:dyDescent="0.25">
      <c r="A781" t="s">
        <v>918</v>
      </c>
      <c r="B781" t="s">
        <v>1246</v>
      </c>
      <c r="C781" t="s">
        <v>1244</v>
      </c>
      <c r="D781" t="s">
        <v>1246</v>
      </c>
      <c r="E781" t="str">
        <f t="shared" si="12"/>
        <v>CAC</v>
      </c>
    </row>
    <row r="782" spans="1:5" x14ac:dyDescent="0.25">
      <c r="A782" t="s">
        <v>679</v>
      </c>
      <c r="B782" t="s">
        <v>1246</v>
      </c>
      <c r="C782" t="s">
        <v>1244</v>
      </c>
      <c r="D782" t="s">
        <v>1246</v>
      </c>
      <c r="E782" t="str">
        <f t="shared" si="12"/>
        <v>CAC</v>
      </c>
    </row>
    <row r="783" spans="1:5" x14ac:dyDescent="0.25">
      <c r="A783" t="s">
        <v>537</v>
      </c>
      <c r="B783" t="s">
        <v>1246</v>
      </c>
      <c r="C783" t="s">
        <v>1245</v>
      </c>
      <c r="D783" t="s">
        <v>1246</v>
      </c>
      <c r="E783" t="str">
        <f t="shared" si="12"/>
        <v>CBC</v>
      </c>
    </row>
    <row r="784" spans="1:5" x14ac:dyDescent="0.25">
      <c r="A784" t="s">
        <v>957</v>
      </c>
      <c r="B784" t="s">
        <v>1246</v>
      </c>
      <c r="C784" t="s">
        <v>1245</v>
      </c>
      <c r="D784" t="s">
        <v>1246</v>
      </c>
      <c r="E784" t="str">
        <f t="shared" si="12"/>
        <v>CBC</v>
      </c>
    </row>
    <row r="785" spans="1:5" x14ac:dyDescent="0.25">
      <c r="A785" t="s">
        <v>823</v>
      </c>
      <c r="B785" t="s">
        <v>1246</v>
      </c>
      <c r="C785" t="s">
        <v>1244</v>
      </c>
      <c r="D785" t="s">
        <v>1246</v>
      </c>
      <c r="E785" t="str">
        <f t="shared" si="12"/>
        <v>CAC</v>
      </c>
    </row>
    <row r="786" spans="1:5" x14ac:dyDescent="0.25">
      <c r="A786" t="s">
        <v>200</v>
      </c>
      <c r="B786" t="s">
        <v>1246</v>
      </c>
      <c r="C786" t="s">
        <v>1244</v>
      </c>
      <c r="D786" t="s">
        <v>1246</v>
      </c>
      <c r="E786" t="str">
        <f t="shared" si="12"/>
        <v>CAC</v>
      </c>
    </row>
    <row r="787" spans="1:5" x14ac:dyDescent="0.25">
      <c r="A787" t="s">
        <v>1179</v>
      </c>
      <c r="B787" t="s">
        <v>1246</v>
      </c>
      <c r="C787" t="s">
        <v>1244</v>
      </c>
      <c r="D787" t="s">
        <v>1246</v>
      </c>
      <c r="E787" t="str">
        <f t="shared" si="12"/>
        <v>CAC</v>
      </c>
    </row>
    <row r="788" spans="1:5" x14ac:dyDescent="0.25">
      <c r="A788" t="s">
        <v>421</v>
      </c>
      <c r="B788" t="s">
        <v>1246</v>
      </c>
      <c r="C788" t="s">
        <v>1246</v>
      </c>
      <c r="D788" t="s">
        <v>1246</v>
      </c>
      <c r="E788" t="str">
        <f t="shared" si="12"/>
        <v>CCC</v>
      </c>
    </row>
    <row r="789" spans="1:5" x14ac:dyDescent="0.25">
      <c r="A789" t="s">
        <v>1183</v>
      </c>
      <c r="B789" t="s">
        <v>1246</v>
      </c>
      <c r="C789" t="s">
        <v>1244</v>
      </c>
      <c r="D789" t="s">
        <v>1246</v>
      </c>
      <c r="E789" t="str">
        <f t="shared" si="12"/>
        <v>CAC</v>
      </c>
    </row>
    <row r="790" spans="1:5" x14ac:dyDescent="0.25">
      <c r="A790" t="s">
        <v>1078</v>
      </c>
      <c r="B790" t="s">
        <v>1246</v>
      </c>
      <c r="C790" t="s">
        <v>1246</v>
      </c>
      <c r="D790" t="s">
        <v>1246</v>
      </c>
      <c r="E790" t="str">
        <f t="shared" si="12"/>
        <v>CCC</v>
      </c>
    </row>
    <row r="791" spans="1:5" x14ac:dyDescent="0.25">
      <c r="A791" t="s">
        <v>970</v>
      </c>
      <c r="B791" t="s">
        <v>1246</v>
      </c>
      <c r="C791" t="s">
        <v>1246</v>
      </c>
      <c r="D791" t="s">
        <v>1246</v>
      </c>
      <c r="E791" t="str">
        <f t="shared" si="12"/>
        <v>CCC</v>
      </c>
    </row>
    <row r="792" spans="1:5" x14ac:dyDescent="0.25">
      <c r="A792" t="s">
        <v>912</v>
      </c>
      <c r="B792" t="s">
        <v>1246</v>
      </c>
      <c r="C792" t="s">
        <v>1246</v>
      </c>
      <c r="D792" t="s">
        <v>1246</v>
      </c>
      <c r="E792" t="str">
        <f t="shared" si="12"/>
        <v>CCC</v>
      </c>
    </row>
    <row r="793" spans="1:5" x14ac:dyDescent="0.25">
      <c r="A793" t="s">
        <v>932</v>
      </c>
      <c r="B793" t="s">
        <v>1246</v>
      </c>
      <c r="C793" t="s">
        <v>1245</v>
      </c>
      <c r="D793" t="s">
        <v>1246</v>
      </c>
      <c r="E793" t="str">
        <f t="shared" si="12"/>
        <v>CBC</v>
      </c>
    </row>
    <row r="794" spans="1:5" x14ac:dyDescent="0.25">
      <c r="A794" t="s">
        <v>654</v>
      </c>
      <c r="B794" t="s">
        <v>1246</v>
      </c>
      <c r="C794" t="s">
        <v>1245</v>
      </c>
      <c r="D794" t="s">
        <v>1246</v>
      </c>
      <c r="E794" t="str">
        <f t="shared" si="12"/>
        <v>CBC</v>
      </c>
    </row>
    <row r="795" spans="1:5" x14ac:dyDescent="0.25">
      <c r="A795" t="s">
        <v>314</v>
      </c>
      <c r="B795" t="s">
        <v>1246</v>
      </c>
      <c r="C795" t="s">
        <v>1244</v>
      </c>
      <c r="D795" t="s">
        <v>1246</v>
      </c>
      <c r="E795" t="str">
        <f t="shared" si="12"/>
        <v>CAC</v>
      </c>
    </row>
    <row r="796" spans="1:5" x14ac:dyDescent="0.25">
      <c r="A796" t="s">
        <v>800</v>
      </c>
      <c r="B796" t="s">
        <v>1246</v>
      </c>
      <c r="C796" t="s">
        <v>1246</v>
      </c>
      <c r="D796" t="s">
        <v>1246</v>
      </c>
      <c r="E796" t="str">
        <f t="shared" si="12"/>
        <v>CCC</v>
      </c>
    </row>
    <row r="797" spans="1:5" x14ac:dyDescent="0.25">
      <c r="A797" t="s">
        <v>806</v>
      </c>
      <c r="B797" t="s">
        <v>1246</v>
      </c>
      <c r="C797" t="s">
        <v>1246</v>
      </c>
      <c r="D797" t="s">
        <v>1246</v>
      </c>
      <c r="E797" t="str">
        <f t="shared" si="12"/>
        <v>CCC</v>
      </c>
    </row>
    <row r="798" spans="1:5" x14ac:dyDescent="0.25">
      <c r="A798" t="s">
        <v>711</v>
      </c>
      <c r="B798" t="s">
        <v>1246</v>
      </c>
      <c r="C798" t="s">
        <v>1246</v>
      </c>
      <c r="D798" t="s">
        <v>1246</v>
      </c>
      <c r="E798" t="str">
        <f t="shared" si="12"/>
        <v>CCC</v>
      </c>
    </row>
    <row r="799" spans="1:5" x14ac:dyDescent="0.25">
      <c r="A799" t="s">
        <v>801</v>
      </c>
      <c r="B799" t="s">
        <v>1246</v>
      </c>
      <c r="C799" t="s">
        <v>1246</v>
      </c>
      <c r="D799" t="s">
        <v>1246</v>
      </c>
      <c r="E799" t="str">
        <f t="shared" si="12"/>
        <v>CCC</v>
      </c>
    </row>
    <row r="800" spans="1:5" x14ac:dyDescent="0.25">
      <c r="A800" t="s">
        <v>649</v>
      </c>
      <c r="B800" t="s">
        <v>1246</v>
      </c>
      <c r="C800" t="s">
        <v>1246</v>
      </c>
      <c r="D800" t="s">
        <v>1246</v>
      </c>
      <c r="E800" t="str">
        <f t="shared" si="12"/>
        <v>CCC</v>
      </c>
    </row>
    <row r="801" spans="1:5" x14ac:dyDescent="0.25">
      <c r="A801" t="s">
        <v>876</v>
      </c>
      <c r="B801" t="s">
        <v>1246</v>
      </c>
      <c r="C801" t="s">
        <v>1246</v>
      </c>
      <c r="D801" t="s">
        <v>1246</v>
      </c>
      <c r="E801" t="str">
        <f t="shared" si="12"/>
        <v>CCC</v>
      </c>
    </row>
    <row r="802" spans="1:5" x14ac:dyDescent="0.25">
      <c r="A802" t="s">
        <v>662</v>
      </c>
      <c r="B802" t="s">
        <v>1246</v>
      </c>
      <c r="C802" t="s">
        <v>1246</v>
      </c>
      <c r="D802" t="s">
        <v>1246</v>
      </c>
      <c r="E802" t="str">
        <f t="shared" si="12"/>
        <v>CCC</v>
      </c>
    </row>
    <row r="803" spans="1:5" x14ac:dyDescent="0.25">
      <c r="A803" t="s">
        <v>1034</v>
      </c>
      <c r="B803" t="s">
        <v>1246</v>
      </c>
      <c r="C803" t="s">
        <v>1245</v>
      </c>
      <c r="D803" t="s">
        <v>1246</v>
      </c>
      <c r="E803" t="str">
        <f t="shared" si="12"/>
        <v>CBC</v>
      </c>
    </row>
    <row r="804" spans="1:5" x14ac:dyDescent="0.25">
      <c r="A804" t="s">
        <v>1111</v>
      </c>
      <c r="B804" t="s">
        <v>1246</v>
      </c>
      <c r="C804" t="s">
        <v>1246</v>
      </c>
      <c r="D804" t="s">
        <v>1246</v>
      </c>
      <c r="E804" t="str">
        <f t="shared" si="12"/>
        <v>CCC</v>
      </c>
    </row>
    <row r="805" spans="1:5" x14ac:dyDescent="0.25">
      <c r="A805" t="s">
        <v>1066</v>
      </c>
      <c r="B805" t="s">
        <v>1246</v>
      </c>
      <c r="C805" t="s">
        <v>1246</v>
      </c>
      <c r="D805" t="s">
        <v>1246</v>
      </c>
      <c r="E805" t="str">
        <f t="shared" si="12"/>
        <v>CCC</v>
      </c>
    </row>
    <row r="806" spans="1:5" x14ac:dyDescent="0.25">
      <c r="A806" t="s">
        <v>1008</v>
      </c>
      <c r="B806" t="s">
        <v>1246</v>
      </c>
      <c r="C806" t="s">
        <v>1246</v>
      </c>
      <c r="D806" t="s">
        <v>1246</v>
      </c>
      <c r="E806" t="str">
        <f t="shared" si="12"/>
        <v>CCC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ИСХОД. ДАННЫЕ</vt:lpstr>
      <vt:lpstr>КОЛИЧЕСТВО</vt:lpstr>
      <vt:lpstr>СУММА ПРОДАЖ</vt:lpstr>
      <vt:lpstr>МЕСЯЧНАЯ ОБОР.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Арина Рощина</cp:lastModifiedBy>
  <dcterms:created xsi:type="dcterms:W3CDTF">2026-09-27T12:44:24Z</dcterms:created>
  <dcterms:modified xsi:type="dcterms:W3CDTF">2026-09-27T13:02:08Z</dcterms:modified>
</cp:coreProperties>
</file>