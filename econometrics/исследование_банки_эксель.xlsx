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79281\Desktop\резюме\"/>
    </mc:Choice>
  </mc:AlternateContent>
  <xr:revisionPtr revIDLastSave="0" documentId="13_ncr:1_{5F0FD606-4D8B-428B-9078-395BA16CD8BD}" xr6:coauthVersionLast="47" xr6:coauthVersionMax="47" xr10:uidLastSave="{00000000-0000-0000-0000-000000000000}"/>
  <bookViews>
    <workbookView xWindow="-108" yWindow="-108" windowWidth="23256" windowHeight="12576" firstSheet="3" activeTab="9" xr2:uid="{00000000-000D-0000-FFFF-FFFF00000000}"/>
  </bookViews>
  <sheets>
    <sheet name="ДАННЫЕ" sheetId="1" r:id="rId1"/>
    <sheet name="КОРРЕЛЯЦИЯ" sheetId="4" r:id="rId2"/>
    <sheet name="АВТОКОРРЕЛЯЦИЯ" sheetId="10" r:id="rId3"/>
    <sheet name="ГРАФИКИ" sheetId="5" r:id="rId4"/>
    <sheet name="ГЕТЕРОСКЕДАСТИЧНОСТЬ" sheetId="11" r:id="rId5"/>
    <sheet name="ФП=0" sheetId="13" r:id="rId6"/>
    <sheet name="ФП=1" sheetId="14" r:id="rId7"/>
    <sheet name="ТЕСТ ЧОУ" sheetId="12" r:id="rId8"/>
    <sheet name="РЕГРЕССИЯ" sheetId="6" r:id="rId9"/>
    <sheet name="Рез. РЕГРЕССИИ" sheetId="7" r:id="rId10"/>
  </sheets>
  <externalReferences>
    <externalReference r:id="rId11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" i="12" l="1"/>
  <c r="T10" i="12"/>
  <c r="T9" i="12"/>
  <c r="T8" i="12"/>
  <c r="G208" i="10"/>
  <c r="E208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33" i="10"/>
  <c r="E34" i="10"/>
  <c r="E35" i="10"/>
  <c r="E36" i="10"/>
  <c r="E30" i="10"/>
  <c r="E31" i="10"/>
  <c r="E32" i="10"/>
  <c r="E29" i="10"/>
  <c r="C208" i="10"/>
</calcChain>
</file>

<file path=xl/sharedStrings.xml><?xml version="1.0" encoding="utf-8"?>
<sst xmlns="http://schemas.openxmlformats.org/spreadsheetml/2006/main" count="734" uniqueCount="79">
  <si>
    <t>Количество
предоставленных
кредитов,
единиц</t>
  </si>
  <si>
    <t>Х1</t>
  </si>
  <si>
    <t>Х2</t>
  </si>
  <si>
    <t>Х3</t>
  </si>
  <si>
    <t>Х4</t>
  </si>
  <si>
    <t>X5</t>
  </si>
  <si>
    <t>У</t>
  </si>
  <si>
    <t>01.02</t>
  </si>
  <si>
    <t>01.03</t>
  </si>
  <si>
    <t>01.04</t>
  </si>
  <si>
    <t>01.05</t>
  </si>
  <si>
    <t>01.06</t>
  </si>
  <si>
    <t>01.07</t>
  </si>
  <si>
    <t>01.08</t>
  </si>
  <si>
    <t>01.09</t>
  </si>
  <si>
    <t>01.10</t>
  </si>
  <si>
    <t>01.11</t>
  </si>
  <si>
    <t>01.12</t>
  </si>
  <si>
    <t>01.01</t>
  </si>
  <si>
    <t>1.02</t>
  </si>
  <si>
    <t>1.03</t>
  </si>
  <si>
    <t>1.04</t>
  </si>
  <si>
    <t>1.05</t>
  </si>
  <si>
    <t>1.06</t>
  </si>
  <si>
    <t>1.07</t>
  </si>
  <si>
    <t>1.08</t>
  </si>
  <si>
    <t>1.09</t>
  </si>
  <si>
    <t>1.10</t>
  </si>
  <si>
    <t>1.11</t>
  </si>
  <si>
    <t>1.12</t>
  </si>
  <si>
    <t>Просроченная адолженность по предоставленным кредитам, 
млн. руб.</t>
  </si>
  <si>
    <t>До кризиса/после кризиса</t>
  </si>
  <si>
    <t>Средневзвешенная ставка,
%  годовых</t>
  </si>
  <si>
    <t>Ключевая ставка ЦБ</t>
  </si>
  <si>
    <t>D</t>
  </si>
  <si>
    <t>ОБЩАЯ адолженность по предоставленным кредитам, 
млн. руб.</t>
  </si>
  <si>
    <r>
      <t xml:space="preserve">Средневзвешенный </t>
    </r>
    <r>
      <rPr>
        <b/>
        <u/>
        <sz val="12"/>
        <rFont val="Arial"/>
        <family val="2"/>
        <charset val="204"/>
      </rPr>
      <t>срок</t>
    </r>
    <r>
      <rPr>
        <b/>
        <sz val="12"/>
        <rFont val="Arial"/>
        <family val="2"/>
        <charset val="204"/>
      </rPr>
      <t xml:space="preserve"> кредитования,
месяцев</t>
    </r>
  </si>
  <si>
    <t>ГОД</t>
  </si>
  <si>
    <t>(До кризиса 2014 - 0 /после кризиса 2014 -1)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</si>
  <si>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</si>
  <si>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</si>
  <si>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</si>
  <si>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</si>
  <si>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</si>
  <si>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</si>
  <si>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</si>
  <si>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</si>
  <si>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</si>
  <si>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</si>
  <si>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</si>
  <si>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</si>
  <si>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</si>
  <si>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</si>
  <si>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</si>
  <si>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</si>
  <si>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</si>
  <si>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</si>
  <si>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</si>
  <si>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</si>
  <si>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</si>
  <si>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</si>
  <si>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</si>
  <si>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</si>
  <si>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ВЫВОД ОСТАТКА</t>
  </si>
  <si>
    <t>Наблюдение</t>
  </si>
  <si>
    <t>Предсказанное У</t>
  </si>
  <si>
    <t>Остатки</t>
  </si>
  <si>
    <t>et</t>
  </si>
  <si>
    <t>(et-et-1)^2</t>
  </si>
  <si>
    <t>Переменная X 1</t>
  </si>
  <si>
    <t>Переменная X 2</t>
  </si>
  <si>
    <t>Переменная X 3</t>
  </si>
  <si>
    <t>Переменная X 4</t>
  </si>
  <si>
    <t>RSS</t>
  </si>
  <si>
    <t>RSS1</t>
  </si>
  <si>
    <t>RSS2</t>
  </si>
  <si>
    <t>числитель</t>
  </si>
  <si>
    <t>знаменатель</t>
  </si>
  <si>
    <t>F крит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</si>
</sst>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20"/>
      <name val="Arial"/>
      <family val="2"/>
      <charset val="204"/>
    </font>
    <font>
      <b/>
      <sz val="22"/>
      <color rgb="FF0F1115"/>
      <name val="Segoe UI"/>
      <family val="2"/>
      <charset val="204"/>
    </font>
    <font>
      <sz val="10"/>
      <color theme="9" tint="-0.499984740745262"/>
      <name val="Arial"/>
      <family val="2"/>
      <charset val="204"/>
    </font>
    <font>
      <sz val="9"/>
      <color rgb="FF0F1115"/>
      <name val="Segoe UI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b/>
      <u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22"/>
      <name val="Arial"/>
      <family val="2"/>
      <charset val="204"/>
    </font>
    <font>
      <b/>
      <sz val="22"/>
      <color theme="1"/>
      <name val="Calibri"/>
      <family val="2"/>
      <charset val="204"/>
      <scheme val="minor"/>
    </font>
    <font>
      <i/>
      <sz val="10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89">
    <xf numFmtId="0" fontId="0" fillId="0" borderId="0" xfId="0"/>
    <xf numFmtId="49" fontId="8" fillId="4" borderId="1" xfId="2" applyNumberFormat="1" applyFont="1" applyFill="1" applyBorder="1"/>
    <xf numFmtId="3" fontId="4" fillId="4" borderId="1" xfId="2" applyNumberFormat="1" applyFont="1" applyFill="1" applyBorder="1"/>
    <xf numFmtId="164" fontId="4" fillId="4" borderId="1" xfId="2" applyNumberFormat="1" applyFont="1" applyFill="1" applyBorder="1"/>
    <xf numFmtId="0" fontId="9" fillId="3" borderId="1" xfId="0" applyFont="1" applyFill="1" applyBorder="1" applyAlignment="1">
      <alignment horizontal="left" vertical="center" wrapText="1" indent="1"/>
    </xf>
    <xf numFmtId="4" fontId="4" fillId="4" borderId="1" xfId="2" applyNumberFormat="1" applyFont="1" applyFill="1" applyBorder="1"/>
    <xf numFmtId="49" fontId="8" fillId="0" borderId="1" xfId="2" applyNumberFormat="1" applyFont="1" applyBorder="1"/>
    <xf numFmtId="3" fontId="4" fillId="0" borderId="1" xfId="2" applyNumberFormat="1" applyFont="1" applyBorder="1"/>
    <xf numFmtId="164" fontId="4" fillId="0" borderId="1" xfId="2" applyNumberFormat="1" applyFont="1" applyBorder="1"/>
    <xf numFmtId="4" fontId="4" fillId="0" borderId="1" xfId="2" applyNumberFormat="1" applyFont="1" applyBorder="1"/>
    <xf numFmtId="49" fontId="8" fillId="0" borderId="1" xfId="0" applyNumberFormat="1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4" fontId="4" fillId="0" borderId="1" xfId="0" applyNumberFormat="1" applyFont="1" applyBorder="1"/>
    <xf numFmtId="3" fontId="10" fillId="0" borderId="1" xfId="0" applyNumberFormat="1" applyFont="1" applyBorder="1"/>
    <xf numFmtId="164" fontId="10" fillId="0" borderId="1" xfId="0" applyNumberFormat="1" applyFont="1" applyBorder="1"/>
    <xf numFmtId="4" fontId="10" fillId="0" borderId="1" xfId="0" applyNumberFormat="1" applyFont="1" applyBorder="1"/>
    <xf numFmtId="3" fontId="10" fillId="0" borderId="1" xfId="1" applyNumberFormat="1" applyFont="1" applyFill="1" applyBorder="1" applyAlignment="1"/>
    <xf numFmtId="164" fontId="10" fillId="0" borderId="1" xfId="1" applyNumberFormat="1" applyFont="1" applyFill="1" applyBorder="1" applyAlignment="1"/>
    <xf numFmtId="4" fontId="10" fillId="0" borderId="1" xfId="1" applyNumberFormat="1" applyFont="1" applyFill="1" applyBorder="1" applyAlignment="1"/>
    <xf numFmtId="164" fontId="4" fillId="0" borderId="1" xfId="1" applyNumberFormat="1" applyFont="1" applyFill="1" applyBorder="1" applyAlignment="1"/>
    <xf numFmtId="4" fontId="4" fillId="0" borderId="1" xfId="1" applyNumberFormat="1" applyFont="1" applyFill="1" applyBorder="1" applyAlignment="1"/>
    <xf numFmtId="0" fontId="9" fillId="3" borderId="0" xfId="0" applyFont="1" applyFill="1" applyAlignment="1">
      <alignment horizontal="left" vertical="center" wrapText="1" indent="1"/>
    </xf>
    <xf numFmtId="0" fontId="5" fillId="0" borderId="1" xfId="2" applyFont="1" applyBorder="1" applyAlignment="1">
      <alignment horizontal="center" vertical="center" wrapText="1"/>
    </xf>
    <xf numFmtId="0" fontId="4" fillId="0" borderId="1" xfId="2" applyFont="1" applyBorder="1"/>
    <xf numFmtId="49" fontId="4" fillId="0" borderId="1" xfId="2" applyNumberFormat="1" applyFont="1" applyBorder="1" applyAlignment="1">
      <alignment horizontal="center" vertical="center"/>
    </xf>
    <xf numFmtId="0" fontId="5" fillId="0" borderId="1" xfId="2" applyFont="1" applyBorder="1" applyAlignment="1">
      <alignment vertical="center" wrapText="1"/>
    </xf>
    <xf numFmtId="0" fontId="4" fillId="0" borderId="1" xfId="2" applyFont="1" applyBorder="1" applyAlignment="1">
      <alignment vertical="center" wrapText="1"/>
    </xf>
    <xf numFmtId="0" fontId="0" fillId="0" borderId="0" xfId="0" applyAlignment="1">
      <alignment wrapText="1"/>
    </xf>
    <xf numFmtId="0" fontId="13" fillId="0" borderId="0" xfId="0" applyFont="1"/>
    <xf numFmtId="0" fontId="0" fillId="0" borderId="4" xfId="0" applyBorder="1"/>
    <xf numFmtId="0" fontId="14" fillId="0" borderId="5" xfId="0" applyFont="1" applyBorder="1" applyAlignment="1">
      <alignment horizontal="center"/>
    </xf>
    <xf numFmtId="0" fontId="3" fillId="4" borderId="1" xfId="2" applyFill="1" applyBorder="1"/>
    <xf numFmtId="0" fontId="3" fillId="0" borderId="1" xfId="2" applyBorder="1"/>
    <xf numFmtId="3" fontId="6" fillId="2" borderId="3" xfId="2" applyNumberFormat="1" applyFont="1" applyFill="1" applyBorder="1" applyAlignment="1">
      <alignment horizontal="center" vertical="center"/>
    </xf>
    <xf numFmtId="3" fontId="6" fillId="2" borderId="6" xfId="2" applyNumberFormat="1" applyFont="1" applyFill="1" applyBorder="1" applyAlignment="1">
      <alignment horizontal="center" vertical="center"/>
    </xf>
    <xf numFmtId="164" fontId="6" fillId="2" borderId="3" xfId="2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 wrapText="1" indent="1"/>
    </xf>
    <xf numFmtId="0" fontId="0" fillId="0" borderId="1" xfId="0" applyBorder="1"/>
    <xf numFmtId="0" fontId="16" fillId="0" borderId="1" xfId="2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4" fillId="4" borderId="3" xfId="2" applyNumberFormat="1" applyFont="1" applyFill="1" applyBorder="1"/>
    <xf numFmtId="0" fontId="9" fillId="3" borderId="3" xfId="0" applyFont="1" applyFill="1" applyBorder="1" applyAlignment="1">
      <alignment horizontal="left" vertical="center" wrapText="1" indent="1"/>
    </xf>
    <xf numFmtId="4" fontId="4" fillId="4" borderId="3" xfId="2" applyNumberFormat="1" applyFont="1" applyFill="1" applyBorder="1"/>
    <xf numFmtId="0" fontId="3" fillId="4" borderId="3" xfId="2" applyFill="1" applyBorder="1"/>
    <xf numFmtId="0" fontId="7" fillId="2" borderId="1" xfId="0" applyFont="1" applyFill="1" applyBorder="1" applyAlignment="1">
      <alignment horizontal="center" vertical="center" wrapText="1"/>
    </xf>
    <xf numFmtId="3" fontId="17" fillId="2" borderId="3" xfId="2" applyNumberFormat="1" applyFont="1" applyFill="1" applyBorder="1" applyAlignment="1">
      <alignment horizontal="center" vertical="center"/>
    </xf>
    <xf numFmtId="164" fontId="17" fillId="2" borderId="1" xfId="2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Continuous"/>
    </xf>
    <xf numFmtId="0" fontId="14" fillId="0" borderId="5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4" fillId="0" borderId="5" xfId="0" applyFont="1" applyBorder="1" applyAlignment="1">
      <alignment horizontal="centerContinuous" wrapText="1"/>
    </xf>
    <xf numFmtId="0" fontId="19" fillId="0" borderId="0" xfId="0" applyFont="1" applyAlignment="1">
      <alignment horizontal="center"/>
    </xf>
    <xf numFmtId="49" fontId="8" fillId="0" borderId="2" xfId="0" applyNumberFormat="1" applyFont="1" applyBorder="1"/>
    <xf numFmtId="3" fontId="4" fillId="0" borderId="2" xfId="0" applyNumberFormat="1" applyFont="1" applyBorder="1"/>
    <xf numFmtId="164" fontId="4" fillId="0" borderId="2" xfId="0" applyNumberFormat="1" applyFont="1" applyBorder="1"/>
    <xf numFmtId="0" fontId="9" fillId="3" borderId="2" xfId="0" applyFont="1" applyFill="1" applyBorder="1" applyAlignment="1">
      <alignment horizontal="left" vertical="center" wrapText="1" indent="1"/>
    </xf>
    <xf numFmtId="0" fontId="0" fillId="0" borderId="2" xfId="0" applyBorder="1"/>
    <xf numFmtId="4" fontId="4" fillId="0" borderId="2" xfId="0" applyNumberFormat="1" applyFont="1" applyBorder="1"/>
    <xf numFmtId="0" fontId="4" fillId="0" borderId="2" xfId="2" applyFont="1" applyBorder="1"/>
    <xf numFmtId="49" fontId="8" fillId="0" borderId="0" xfId="0" applyNumberFormat="1" applyFont="1"/>
    <xf numFmtId="3" fontId="4" fillId="0" borderId="0" xfId="0" applyNumberFormat="1" applyFont="1"/>
    <xf numFmtId="164" fontId="4" fillId="0" borderId="0" xfId="0" applyNumberFormat="1" applyFont="1"/>
    <xf numFmtId="4" fontId="4" fillId="0" borderId="0" xfId="0" applyNumberFormat="1" applyFont="1"/>
    <xf numFmtId="0" fontId="4" fillId="0" borderId="0" xfId="2" applyFont="1"/>
    <xf numFmtId="3" fontId="10" fillId="0" borderId="0" xfId="0" applyNumberFormat="1" applyFont="1"/>
    <xf numFmtId="164" fontId="10" fillId="0" borderId="0" xfId="0" applyNumberFormat="1" applyFont="1"/>
    <xf numFmtId="4" fontId="10" fillId="0" borderId="0" xfId="0" applyNumberFormat="1" applyFont="1"/>
    <xf numFmtId="3" fontId="10" fillId="0" borderId="0" xfId="1" applyNumberFormat="1" applyFont="1" applyFill="1" applyBorder="1" applyAlignment="1"/>
    <xf numFmtId="164" fontId="10" fillId="0" borderId="0" xfId="1" applyNumberFormat="1" applyFont="1" applyFill="1" applyBorder="1" applyAlignment="1"/>
    <xf numFmtId="4" fontId="10" fillId="0" borderId="0" xfId="1" applyNumberFormat="1" applyFont="1" applyFill="1" applyBorder="1" applyAlignment="1"/>
    <xf numFmtId="164" fontId="4" fillId="0" borderId="0" xfId="1" applyNumberFormat="1" applyFont="1" applyFill="1" applyBorder="1" applyAlignment="1"/>
    <xf numFmtId="4" fontId="4" fillId="0" borderId="0" xfId="1" applyNumberFormat="1" applyFont="1" applyFill="1" applyBorder="1" applyAlignment="1"/>
    <xf numFmtId="0" fontId="4" fillId="0" borderId="1" xfId="0" applyFont="1" applyBorder="1"/>
    <xf numFmtId="0" fontId="4" fillId="0" borderId="1" xfId="2" applyFont="1" applyBorder="1" applyAlignment="1">
      <alignment horizontal="center" vertical="center"/>
    </xf>
    <xf numFmtId="0" fontId="17" fillId="2" borderId="3" xfId="2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horizontal="center" vertical="center"/>
    </xf>
    <xf numFmtId="0" fontId="8" fillId="0" borderId="1" xfId="0" applyFont="1" applyBorder="1"/>
    <xf numFmtId="0" fontId="10" fillId="0" borderId="1" xfId="0" applyFont="1" applyBorder="1"/>
    <xf numFmtId="0" fontId="10" fillId="0" borderId="1" xfId="1" applyNumberFormat="1" applyFont="1" applyFill="1" applyBorder="1" applyAlignment="1"/>
    <xf numFmtId="0" fontId="4" fillId="0" borderId="1" xfId="1" applyNumberFormat="1" applyFont="1" applyFill="1" applyBorder="1" applyAlignment="1"/>
    <xf numFmtId="0" fontId="2" fillId="6" borderId="1" xfId="0" applyFont="1" applyFill="1" applyBorder="1" applyAlignment="1">
      <alignment wrapText="1"/>
    </xf>
    <xf numFmtId="0" fontId="2" fillId="0" borderId="7" xfId="0" applyFont="1" applyBorder="1"/>
    <xf numFmtId="0" fontId="0" fillId="6" borderId="1" xfId="0" applyFill="1" applyBorder="1" applyAlignment="1">
      <alignment wrapText="1"/>
    </xf>
  </cellXfs>
  <cellStyles count="3">
    <cellStyle name="Обычный" xfId="0" builtinId="0"/>
    <cellStyle name="Обычный 2" xfId="2" xr:uid="{65635AA3-8951-4EE2-B04A-F6875D78E6F7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АВТОКОРРЕЛЯЦИЯ!$B$28:$B$206</c:f>
              <c:numCache>
                <c:formatCode>General</c:formatCode>
                <c:ptCount val="179"/>
                <c:pt idx="0">
                  <c:v>14.096331154927823</c:v>
                </c:pt>
                <c:pt idx="1">
                  <c:v>14.038796599963989</c:v>
                </c:pt>
                <c:pt idx="2">
                  <c:v>13.956498164658978</c:v>
                </c:pt>
                <c:pt idx="3">
                  <c:v>13.792482657037628</c:v>
                </c:pt>
                <c:pt idx="4">
                  <c:v>13.726672473622095</c:v>
                </c:pt>
                <c:pt idx="5">
                  <c:v>13.662960254704782</c:v>
                </c:pt>
                <c:pt idx="6">
                  <c:v>13.573487728775538</c:v>
                </c:pt>
                <c:pt idx="7">
                  <c:v>13.475535880897374</c:v>
                </c:pt>
                <c:pt idx="8">
                  <c:v>13.195422348387879</c:v>
                </c:pt>
                <c:pt idx="9">
                  <c:v>13.036975200297771</c:v>
                </c:pt>
                <c:pt idx="10">
                  <c:v>12.918141173766506</c:v>
                </c:pt>
                <c:pt idx="11">
                  <c:v>12.902047084225567</c:v>
                </c:pt>
                <c:pt idx="12">
                  <c:v>13.039620837752988</c:v>
                </c:pt>
                <c:pt idx="13">
                  <c:v>12.918137839830312</c:v>
                </c:pt>
                <c:pt idx="14">
                  <c:v>12.816094894107129</c:v>
                </c:pt>
                <c:pt idx="15">
                  <c:v>12.779873763472658</c:v>
                </c:pt>
                <c:pt idx="16">
                  <c:v>12.663305064108464</c:v>
                </c:pt>
                <c:pt idx="17">
                  <c:v>12.631316430047056</c:v>
                </c:pt>
                <c:pt idx="18">
                  <c:v>12.581539732963524</c:v>
                </c:pt>
                <c:pt idx="19">
                  <c:v>12.57804526597085</c:v>
                </c:pt>
                <c:pt idx="20">
                  <c:v>12.554562032708446</c:v>
                </c:pt>
                <c:pt idx="21">
                  <c:v>12.522916119467414</c:v>
                </c:pt>
                <c:pt idx="22">
                  <c:v>12.49215894745223</c:v>
                </c:pt>
                <c:pt idx="23">
                  <c:v>12.435053374739361</c:v>
                </c:pt>
                <c:pt idx="24">
                  <c:v>13.011980069326894</c:v>
                </c:pt>
                <c:pt idx="25">
                  <c:v>12.884073246761112</c:v>
                </c:pt>
                <c:pt idx="26">
                  <c:v>12.800276523132524</c:v>
                </c:pt>
                <c:pt idx="27">
                  <c:v>12.844570123475711</c:v>
                </c:pt>
                <c:pt idx="28">
                  <c:v>12.848097061433895</c:v>
                </c:pt>
                <c:pt idx="29">
                  <c:v>12.861643630295742</c:v>
                </c:pt>
                <c:pt idx="30">
                  <c:v>12.913485938502628</c:v>
                </c:pt>
                <c:pt idx="31">
                  <c:v>12.941121427578787</c:v>
                </c:pt>
                <c:pt idx="32">
                  <c:v>12.996399225404645</c:v>
                </c:pt>
                <c:pt idx="33">
                  <c:v>13.011547918566649</c:v>
                </c:pt>
                <c:pt idx="34">
                  <c:v>12.943831697781036</c:v>
                </c:pt>
                <c:pt idx="35">
                  <c:v>12.938029347452412</c:v>
                </c:pt>
                <c:pt idx="36">
                  <c:v>13.642290644294693</c:v>
                </c:pt>
                <c:pt idx="37">
                  <c:v>13.504749411700541</c:v>
                </c:pt>
                <c:pt idx="38">
                  <c:v>13.389150932390805</c:v>
                </c:pt>
                <c:pt idx="39">
                  <c:v>13.278389145749687</c:v>
                </c:pt>
                <c:pt idx="40">
                  <c:v>13.211950415276105</c:v>
                </c:pt>
                <c:pt idx="41">
                  <c:v>13.149072352365614</c:v>
                </c:pt>
                <c:pt idx="42">
                  <c:v>13.092506982489207</c:v>
                </c:pt>
                <c:pt idx="43">
                  <c:v>13.082316526430805</c:v>
                </c:pt>
                <c:pt idx="44">
                  <c:v>13.034703363755538</c:v>
                </c:pt>
                <c:pt idx="45">
                  <c:v>12.979205732911836</c:v>
                </c:pt>
                <c:pt idx="46">
                  <c:v>12.898466271405074</c:v>
                </c:pt>
                <c:pt idx="47">
                  <c:v>12.795914135534119</c:v>
                </c:pt>
                <c:pt idx="48">
                  <c:v>13.279122991309466</c:v>
                </c:pt>
                <c:pt idx="49">
                  <c:v>13.285526932261853</c:v>
                </c:pt>
                <c:pt idx="50">
                  <c:v>13.251253570231249</c:v>
                </c:pt>
                <c:pt idx="51">
                  <c:v>13.207699523470286</c:v>
                </c:pt>
                <c:pt idx="52">
                  <c:v>13.202198740739505</c:v>
                </c:pt>
                <c:pt idx="53">
                  <c:v>13.16507840955031</c:v>
                </c:pt>
                <c:pt idx="54">
                  <c:v>13.11079312588323</c:v>
                </c:pt>
                <c:pt idx="55">
                  <c:v>12.318519438161186</c:v>
                </c:pt>
                <c:pt idx="56">
                  <c:v>12.267310817418059</c:v>
                </c:pt>
                <c:pt idx="57">
                  <c:v>12.197199453226219</c:v>
                </c:pt>
                <c:pt idx="58">
                  <c:v>12.177902205382479</c:v>
                </c:pt>
                <c:pt idx="59">
                  <c:v>12.081563778360842</c:v>
                </c:pt>
                <c:pt idx="60">
                  <c:v>12.807887613739412</c:v>
                </c:pt>
                <c:pt idx="61">
                  <c:v>12.866903609266322</c:v>
                </c:pt>
                <c:pt idx="62">
                  <c:v>12.819665931239154</c:v>
                </c:pt>
                <c:pt idx="63">
                  <c:v>13.126951510937559</c:v>
                </c:pt>
                <c:pt idx="64">
                  <c:v>12.982661812782482</c:v>
                </c:pt>
                <c:pt idx="65">
                  <c:v>13.064340119821914</c:v>
                </c:pt>
                <c:pt idx="66">
                  <c:v>12.871726855514552</c:v>
                </c:pt>
                <c:pt idx="67">
                  <c:v>12.799595648465459</c:v>
                </c:pt>
                <c:pt idx="68">
                  <c:v>12.706232062211301</c:v>
                </c:pt>
                <c:pt idx="69">
                  <c:v>13.008118702124452</c:v>
                </c:pt>
                <c:pt idx="70">
                  <c:v>13.573105368628443</c:v>
                </c:pt>
                <c:pt idx="71">
                  <c:v>13.461162043613637</c:v>
                </c:pt>
                <c:pt idx="72">
                  <c:v>13.847420071321693</c:v>
                </c:pt>
                <c:pt idx="73">
                  <c:v>13.586268633760127</c:v>
                </c:pt>
                <c:pt idx="74">
                  <c:v>13.621593286902307</c:v>
                </c:pt>
                <c:pt idx="75">
                  <c:v>13.222530204097833</c:v>
                </c:pt>
                <c:pt idx="76">
                  <c:v>12.923209036216633</c:v>
                </c:pt>
                <c:pt idx="77">
                  <c:v>12.853396316139307</c:v>
                </c:pt>
                <c:pt idx="78">
                  <c:v>12.662413997831234</c:v>
                </c:pt>
                <c:pt idx="79">
                  <c:v>12.592263343000344</c:v>
                </c:pt>
                <c:pt idx="80">
                  <c:v>12.515350179738284</c:v>
                </c:pt>
                <c:pt idx="81">
                  <c:v>12.443157873515773</c:v>
                </c:pt>
                <c:pt idx="82">
                  <c:v>12.356852861051824</c:v>
                </c:pt>
                <c:pt idx="83">
                  <c:v>12.225307508498208</c:v>
                </c:pt>
                <c:pt idx="84">
                  <c:v>12.606858642890504</c:v>
                </c:pt>
                <c:pt idx="85">
                  <c:v>12.480356176676271</c:v>
                </c:pt>
                <c:pt idx="86">
                  <c:v>12.428981024345582</c:v>
                </c:pt>
                <c:pt idx="87">
                  <c:v>12.350838176109157</c:v>
                </c:pt>
                <c:pt idx="88">
                  <c:v>12.136303099643111</c:v>
                </c:pt>
                <c:pt idx="89">
                  <c:v>12.079610058578712</c:v>
                </c:pt>
                <c:pt idx="90">
                  <c:v>12.024914105846641</c:v>
                </c:pt>
                <c:pt idx="91">
                  <c:v>11.830702005236919</c:v>
                </c:pt>
                <c:pt idx="92">
                  <c:v>11.764400518084955</c:v>
                </c:pt>
                <c:pt idx="93">
                  <c:v>11.699871727317859</c:v>
                </c:pt>
                <c:pt idx="94">
                  <c:v>11.621792356589424</c:v>
                </c:pt>
                <c:pt idx="95">
                  <c:v>11.527007736244023</c:v>
                </c:pt>
                <c:pt idx="96">
                  <c:v>12.054901395683899</c:v>
                </c:pt>
                <c:pt idx="97">
                  <c:v>11.984448108890469</c:v>
                </c:pt>
                <c:pt idx="98">
                  <c:v>11.912935742069891</c:v>
                </c:pt>
                <c:pt idx="99">
                  <c:v>11.698837413518916</c:v>
                </c:pt>
                <c:pt idx="100">
                  <c:v>11.551629355261365</c:v>
                </c:pt>
                <c:pt idx="101">
                  <c:v>11.468077314258966</c:v>
                </c:pt>
                <c:pt idx="102">
                  <c:v>11.397508540029168</c:v>
                </c:pt>
                <c:pt idx="103">
                  <c:v>11.177135863092595</c:v>
                </c:pt>
                <c:pt idx="104">
                  <c:v>11.022047291652132</c:v>
                </c:pt>
                <c:pt idx="105">
                  <c:v>10.92379737767072</c:v>
                </c:pt>
                <c:pt idx="106">
                  <c:v>10.675992054287306</c:v>
                </c:pt>
                <c:pt idx="107">
                  <c:v>10.541401133545204</c:v>
                </c:pt>
                <c:pt idx="108">
                  <c:v>11.12928733552139</c:v>
                </c:pt>
                <c:pt idx="109">
                  <c:v>11.000433221130692</c:v>
                </c:pt>
                <c:pt idx="110">
                  <c:v>10.897230893760881</c:v>
                </c:pt>
                <c:pt idx="111">
                  <c:v>10.771583123837388</c:v>
                </c:pt>
                <c:pt idx="112">
                  <c:v>10.664605709932474</c:v>
                </c:pt>
                <c:pt idx="113">
                  <c:v>10.54711365600712</c:v>
                </c:pt>
                <c:pt idx="114">
                  <c:v>10.365149896707237</c:v>
                </c:pt>
                <c:pt idx="115">
                  <c:v>10.315875149469509</c:v>
                </c:pt>
                <c:pt idx="116">
                  <c:v>10.201495810293636</c:v>
                </c:pt>
                <c:pt idx="117">
                  <c:v>10.062618888445915</c:v>
                </c:pt>
                <c:pt idx="118">
                  <c:v>9.9935213907749301</c:v>
                </c:pt>
                <c:pt idx="119">
                  <c:v>9.8371631898092211</c:v>
                </c:pt>
                <c:pt idx="120">
                  <c:v>10.522401765476797</c:v>
                </c:pt>
                <c:pt idx="121">
                  <c:v>10.336564737140673</c:v>
                </c:pt>
                <c:pt idx="122">
                  <c:v>10.198757702841672</c:v>
                </c:pt>
                <c:pt idx="123">
                  <c:v>10.059430105117904</c:v>
                </c:pt>
                <c:pt idx="124">
                  <c:v>9.897121500299022</c:v>
                </c:pt>
                <c:pt idx="125">
                  <c:v>9.7257466297217938</c:v>
                </c:pt>
                <c:pt idx="126">
                  <c:v>9.6230644443282749</c:v>
                </c:pt>
                <c:pt idx="127">
                  <c:v>9.4459263403568663</c:v>
                </c:pt>
                <c:pt idx="128">
                  <c:v>9.203714709785114</c:v>
                </c:pt>
                <c:pt idx="129">
                  <c:v>9.0836562768459395</c:v>
                </c:pt>
                <c:pt idx="130">
                  <c:v>8.9041219651036094</c:v>
                </c:pt>
                <c:pt idx="131">
                  <c:v>8.7695296975291193</c:v>
                </c:pt>
                <c:pt idx="132">
                  <c:v>9.6169582883594593</c:v>
                </c:pt>
                <c:pt idx="133">
                  <c:v>9.4868948686495997</c:v>
                </c:pt>
                <c:pt idx="134">
                  <c:v>9.2430040530365751</c:v>
                </c:pt>
                <c:pt idx="135">
                  <c:v>9.1703931116640582</c:v>
                </c:pt>
                <c:pt idx="136">
                  <c:v>8.8478544561113424</c:v>
                </c:pt>
                <c:pt idx="137">
                  <c:v>8.6861367794850821</c:v>
                </c:pt>
                <c:pt idx="138">
                  <c:v>8.5438979334111096</c:v>
                </c:pt>
                <c:pt idx="139">
                  <c:v>8.3946231531625841</c:v>
                </c:pt>
                <c:pt idx="140">
                  <c:v>8.2080596181561596</c:v>
                </c:pt>
                <c:pt idx="141">
                  <c:v>8.001758103007738</c:v>
                </c:pt>
                <c:pt idx="142">
                  <c:v>7.8195241861756637</c:v>
                </c:pt>
                <c:pt idx="143">
                  <c:v>7.6095107466699305</c:v>
                </c:pt>
                <c:pt idx="144">
                  <c:v>8.6654368267269319</c:v>
                </c:pt>
                <c:pt idx="145">
                  <c:v>8.5626151674490067</c:v>
                </c:pt>
                <c:pt idx="146">
                  <c:v>8.4628101656839796</c:v>
                </c:pt>
                <c:pt idx="147">
                  <c:v>8.2103722605117149</c:v>
                </c:pt>
                <c:pt idx="148">
                  <c:v>8.1648856146419995</c:v>
                </c:pt>
                <c:pt idx="149">
                  <c:v>8.2103737216888568</c:v>
                </c:pt>
                <c:pt idx="150">
                  <c:v>8.0462165390179763</c:v>
                </c:pt>
                <c:pt idx="151">
                  <c:v>7.9512620101107467</c:v>
                </c:pt>
                <c:pt idx="152">
                  <c:v>7.9836241868713538</c:v>
                </c:pt>
                <c:pt idx="153">
                  <c:v>7.7981787421282869</c:v>
                </c:pt>
                <c:pt idx="154">
                  <c:v>7.8824350435329409</c:v>
                </c:pt>
                <c:pt idx="155">
                  <c:v>7.6503593754583905</c:v>
                </c:pt>
                <c:pt idx="156">
                  <c:v>11.527328525226171</c:v>
                </c:pt>
                <c:pt idx="157">
                  <c:v>11.359392816785753</c:v>
                </c:pt>
                <c:pt idx="158">
                  <c:v>10.357578883994194</c:v>
                </c:pt>
                <c:pt idx="159">
                  <c:v>9.5008206764856133</c:v>
                </c:pt>
                <c:pt idx="160">
                  <c:v>8.2088781269181013</c:v>
                </c:pt>
                <c:pt idx="161">
                  <c:v>7.712656997238537</c:v>
                </c:pt>
                <c:pt idx="162">
                  <c:v>7.5770716436402159</c:v>
                </c:pt>
                <c:pt idx="163">
                  <c:v>7.2620641975247446</c:v>
                </c:pt>
                <c:pt idx="164">
                  <c:v>7.0636837742353409</c:v>
                </c:pt>
                <c:pt idx="165">
                  <c:v>6.9111253624247775</c:v>
                </c:pt>
                <c:pt idx="166">
                  <c:v>6.7488892094496409</c:v>
                </c:pt>
                <c:pt idx="167">
                  <c:v>6.5049246937480003</c:v>
                </c:pt>
                <c:pt idx="168">
                  <c:v>7.1525944135477078</c:v>
                </c:pt>
                <c:pt idx="169">
                  <c:v>6.9936620091087436</c:v>
                </c:pt>
                <c:pt idx="170">
                  <c:v>6.8443192806156015</c:v>
                </c:pt>
                <c:pt idx="171">
                  <c:v>6.7251436858216396</c:v>
                </c:pt>
                <c:pt idx="172">
                  <c:v>6.572623733568836</c:v>
                </c:pt>
                <c:pt idx="173">
                  <c:v>6.6906973925938393</c:v>
                </c:pt>
                <c:pt idx="174">
                  <c:v>7.4846897721743568</c:v>
                </c:pt>
                <c:pt idx="175">
                  <c:v>7.5330725647410111</c:v>
                </c:pt>
                <c:pt idx="176">
                  <c:v>7.8165848380940348</c:v>
                </c:pt>
                <c:pt idx="177">
                  <c:v>7.6203310957037393</c:v>
                </c:pt>
                <c:pt idx="178">
                  <c:v>7.703847964581656</c:v>
                </c:pt>
              </c:numCache>
            </c:numRef>
          </c:xVal>
          <c:yVal>
            <c:numRef>
              <c:f>АВТОКОРРЕЛЯЦИЯ!$C$28:$C$206</c:f>
              <c:numCache>
                <c:formatCode>General</c:formatCode>
                <c:ptCount val="179"/>
                <c:pt idx="0">
                  <c:v>0.25366884507217691</c:v>
                </c:pt>
                <c:pt idx="1">
                  <c:v>0.46120340003601079</c:v>
                </c:pt>
                <c:pt idx="2">
                  <c:v>0.71350183534102207</c:v>
                </c:pt>
                <c:pt idx="3">
                  <c:v>0.91751734296237331</c:v>
                </c:pt>
                <c:pt idx="4">
                  <c:v>1.1133275263779048</c:v>
                </c:pt>
                <c:pt idx="5">
                  <c:v>1.1970397452952177</c:v>
                </c:pt>
                <c:pt idx="6">
                  <c:v>1.306512271224463</c:v>
                </c:pt>
                <c:pt idx="7">
                  <c:v>1.3744641191026261</c:v>
                </c:pt>
                <c:pt idx="8">
                  <c:v>1.6045776516121215</c:v>
                </c:pt>
                <c:pt idx="9">
                  <c:v>1.7230247997022285</c:v>
                </c:pt>
                <c:pt idx="10">
                  <c:v>1.8018588262334951</c:v>
                </c:pt>
                <c:pt idx="11">
                  <c:v>1.6879529157744333</c:v>
                </c:pt>
                <c:pt idx="12">
                  <c:v>1.1303791622470118</c:v>
                </c:pt>
                <c:pt idx="13">
                  <c:v>1.0918621601696881</c:v>
                </c:pt>
                <c:pt idx="14">
                  <c:v>1.0339051058928703</c:v>
                </c:pt>
                <c:pt idx="15">
                  <c:v>1.0201262365273429</c:v>
                </c:pt>
                <c:pt idx="16">
                  <c:v>1.0866949358915363</c:v>
                </c:pt>
                <c:pt idx="17">
                  <c:v>1.0786835699529451</c:v>
                </c:pt>
                <c:pt idx="18">
                  <c:v>1.088460267036476</c:v>
                </c:pt>
                <c:pt idx="19">
                  <c:v>1.0719547340291502</c:v>
                </c:pt>
                <c:pt idx="20">
                  <c:v>1.0754379672915544</c:v>
                </c:pt>
                <c:pt idx="21">
                  <c:v>0.98708388053258567</c:v>
                </c:pt>
                <c:pt idx="22">
                  <c:v>0.94784105254776918</c:v>
                </c:pt>
                <c:pt idx="23">
                  <c:v>0.85494662526063792</c:v>
                </c:pt>
                <c:pt idx="24">
                  <c:v>-5.198006932689303E-2</c:v>
                </c:pt>
                <c:pt idx="25">
                  <c:v>-0.14407324676111166</c:v>
                </c:pt>
                <c:pt idx="26">
                  <c:v>-0.16027652313252361</c:v>
                </c:pt>
                <c:pt idx="27">
                  <c:v>-0.37457012347570995</c:v>
                </c:pt>
                <c:pt idx="28">
                  <c:v>-0.44809706143389505</c:v>
                </c:pt>
                <c:pt idx="29">
                  <c:v>-0.51164363029574211</c:v>
                </c:pt>
                <c:pt idx="30">
                  <c:v>-0.62348593850262901</c:v>
                </c:pt>
                <c:pt idx="31">
                  <c:v>-0.72112142757878672</c:v>
                </c:pt>
                <c:pt idx="32">
                  <c:v>-0.84639922540464418</c:v>
                </c:pt>
                <c:pt idx="33">
                  <c:v>-0.93154791856664865</c:v>
                </c:pt>
                <c:pt idx="34">
                  <c:v>-0.91383169778103657</c:v>
                </c:pt>
                <c:pt idx="35">
                  <c:v>-0.95802934745241153</c:v>
                </c:pt>
                <c:pt idx="36">
                  <c:v>-1.7222906442946933</c:v>
                </c:pt>
                <c:pt idx="37">
                  <c:v>-1.5247494117005402</c:v>
                </c:pt>
                <c:pt idx="38">
                  <c:v>-1.3391509323908046</c:v>
                </c:pt>
                <c:pt idx="39">
                  <c:v>-1.1883891457496869</c:v>
                </c:pt>
                <c:pt idx="40">
                  <c:v>-1.0919504152761057</c:v>
                </c:pt>
                <c:pt idx="41">
                  <c:v>-1.0090723523656138</c:v>
                </c:pt>
                <c:pt idx="42">
                  <c:v>-0.93250698248920649</c:v>
                </c:pt>
                <c:pt idx="43">
                  <c:v>-0.89231652643080572</c:v>
                </c:pt>
                <c:pt idx="44">
                  <c:v>-0.82470336375553721</c:v>
                </c:pt>
                <c:pt idx="45">
                  <c:v>-0.72920573291183644</c:v>
                </c:pt>
                <c:pt idx="46">
                  <c:v>-0.60846627140507437</c:v>
                </c:pt>
                <c:pt idx="47">
                  <c:v>-0.47591413553411854</c:v>
                </c:pt>
                <c:pt idx="48">
                  <c:v>-0.54912299130946529</c:v>
                </c:pt>
                <c:pt idx="49">
                  <c:v>-0.46552693226185227</c:v>
                </c:pt>
                <c:pt idx="50">
                  <c:v>-0.38125357023124984</c:v>
                </c:pt>
                <c:pt idx="51">
                  <c:v>-0.39769952347028514</c:v>
                </c:pt>
                <c:pt idx="52">
                  <c:v>-0.40219874073950379</c:v>
                </c:pt>
                <c:pt idx="53">
                  <c:v>-0.40507840955030971</c:v>
                </c:pt>
                <c:pt idx="54">
                  <c:v>-0.40079312588322935</c:v>
                </c:pt>
                <c:pt idx="55">
                  <c:v>0.35148056183881415</c:v>
                </c:pt>
                <c:pt idx="56">
                  <c:v>0.37268918258194184</c:v>
                </c:pt>
                <c:pt idx="57">
                  <c:v>0.40280054677378097</c:v>
                </c:pt>
                <c:pt idx="58">
                  <c:v>0.38209779461752191</c:v>
                </c:pt>
                <c:pt idx="59">
                  <c:v>0.42843622163915818</c:v>
                </c:pt>
                <c:pt idx="60">
                  <c:v>-0.50788761373941149</c:v>
                </c:pt>
                <c:pt idx="61">
                  <c:v>-0.56690360926632088</c:v>
                </c:pt>
                <c:pt idx="62">
                  <c:v>-0.63966593123915416</c:v>
                </c:pt>
                <c:pt idx="63">
                  <c:v>-0.90695151093755833</c:v>
                </c:pt>
                <c:pt idx="64">
                  <c:v>-0.76266181278248091</c:v>
                </c:pt>
                <c:pt idx="65">
                  <c:v>-0.84434011982191315</c:v>
                </c:pt>
                <c:pt idx="66">
                  <c:v>-0.64172685551455189</c:v>
                </c:pt>
                <c:pt idx="67">
                  <c:v>-0.55959564846545895</c:v>
                </c:pt>
                <c:pt idx="68">
                  <c:v>-0.4362320622113014</c:v>
                </c:pt>
                <c:pt idx="69">
                  <c:v>-0.66811870212445257</c:v>
                </c:pt>
                <c:pt idx="70">
                  <c:v>-1.2031053686284441</c:v>
                </c:pt>
                <c:pt idx="71">
                  <c:v>-0.99116204361363636</c:v>
                </c:pt>
                <c:pt idx="72">
                  <c:v>0.31257992867830708</c:v>
                </c:pt>
                <c:pt idx="73">
                  <c:v>0.87373136623987335</c:v>
                </c:pt>
                <c:pt idx="74">
                  <c:v>0.91840671309769206</c:v>
                </c:pt>
                <c:pt idx="75">
                  <c:v>1.1874697959021674</c:v>
                </c:pt>
                <c:pt idx="76">
                  <c:v>1.3067909637833672</c:v>
                </c:pt>
                <c:pt idx="77">
                  <c:v>1.1966036838606939</c:v>
                </c:pt>
                <c:pt idx="78">
                  <c:v>1.2875860021687657</c:v>
                </c:pt>
                <c:pt idx="79">
                  <c:v>1.1977366569996555</c:v>
                </c:pt>
                <c:pt idx="80">
                  <c:v>1.1846498202617148</c:v>
                </c:pt>
                <c:pt idx="81">
                  <c:v>1.146842126484227</c:v>
                </c:pt>
                <c:pt idx="82">
                  <c:v>1.0831471389481759</c:v>
                </c:pt>
                <c:pt idx="83">
                  <c:v>1.1346924915017915</c:v>
                </c:pt>
                <c:pt idx="84">
                  <c:v>-9.6858642890504498E-2</c:v>
                </c:pt>
                <c:pt idx="85">
                  <c:v>-0.24035617667627029</c:v>
                </c:pt>
                <c:pt idx="86">
                  <c:v>5.1018975654418597E-2</c:v>
                </c:pt>
                <c:pt idx="87">
                  <c:v>0.24916182389084263</c:v>
                </c:pt>
                <c:pt idx="88">
                  <c:v>0.56369690035688791</c:v>
                </c:pt>
                <c:pt idx="89">
                  <c:v>0.66038994142128793</c:v>
                </c:pt>
                <c:pt idx="90">
                  <c:v>0.72508589415335933</c:v>
                </c:pt>
                <c:pt idx="91">
                  <c:v>0.90929799476308126</c:v>
                </c:pt>
                <c:pt idx="92">
                  <c:v>0.94559948191504617</c:v>
                </c:pt>
                <c:pt idx="93">
                  <c:v>0.98012827268214053</c:v>
                </c:pt>
                <c:pt idx="94">
                  <c:v>0.99820764341057533</c:v>
                </c:pt>
                <c:pt idx="95">
                  <c:v>0.96299226375597691</c:v>
                </c:pt>
                <c:pt idx="96">
                  <c:v>-0.21490139568389921</c:v>
                </c:pt>
                <c:pt idx="97">
                  <c:v>-8.4448108890468276E-2</c:v>
                </c:pt>
                <c:pt idx="98">
                  <c:v>-0.10293574206989042</c:v>
                </c:pt>
                <c:pt idx="99">
                  <c:v>-8.8374135189166481E-3</c:v>
                </c:pt>
                <c:pt idx="100">
                  <c:v>5.837064473863407E-2</c:v>
                </c:pt>
                <c:pt idx="101">
                  <c:v>3.1922685741033519E-2</c:v>
                </c:pt>
                <c:pt idx="102">
                  <c:v>1.2491459970831897E-2</c:v>
                </c:pt>
                <c:pt idx="103">
                  <c:v>0.10286413690740481</c:v>
                </c:pt>
                <c:pt idx="104">
                  <c:v>7.7952708347867272E-2</c:v>
                </c:pt>
                <c:pt idx="105">
                  <c:v>1.6202622329279492E-2</c:v>
                </c:pt>
                <c:pt idx="106">
                  <c:v>0.10400794571269323</c:v>
                </c:pt>
                <c:pt idx="107">
                  <c:v>9.8598866454796763E-2</c:v>
                </c:pt>
                <c:pt idx="108">
                  <c:v>-1.2792873355213903</c:v>
                </c:pt>
                <c:pt idx="109">
                  <c:v>-1.200433221130691</c:v>
                </c:pt>
                <c:pt idx="110">
                  <c:v>-1.1572308937608806</c:v>
                </c:pt>
                <c:pt idx="111">
                  <c:v>-1.0815831238373885</c:v>
                </c:pt>
                <c:pt idx="112">
                  <c:v>-1.0046057099324734</c:v>
                </c:pt>
                <c:pt idx="113">
                  <c:v>-0.91711365600711936</c:v>
                </c:pt>
                <c:pt idx="114">
                  <c:v>-0.74514989670723786</c:v>
                </c:pt>
                <c:pt idx="115">
                  <c:v>-0.72587514946950904</c:v>
                </c:pt>
                <c:pt idx="116">
                  <c:v>-0.63149581029363588</c:v>
                </c:pt>
                <c:pt idx="117">
                  <c:v>-0.51261888844591397</c:v>
                </c:pt>
                <c:pt idx="118">
                  <c:v>-0.45352139077493092</c:v>
                </c:pt>
                <c:pt idx="119">
                  <c:v>-0.27716318980922061</c:v>
                </c:pt>
                <c:pt idx="120">
                  <c:v>-0.63240176547679638</c:v>
                </c:pt>
                <c:pt idx="121">
                  <c:v>-0.29533253675917237</c:v>
                </c:pt>
                <c:pt idx="122">
                  <c:v>-1.9842741557971166E-2</c:v>
                </c:pt>
                <c:pt idx="123">
                  <c:v>0.22655727085049548</c:v>
                </c:pt>
                <c:pt idx="124">
                  <c:v>0.43483609669137735</c:v>
                </c:pt>
                <c:pt idx="125">
                  <c:v>0.60063901535770547</c:v>
                </c:pt>
                <c:pt idx="126">
                  <c:v>0.68841132442432595</c:v>
                </c:pt>
                <c:pt idx="127">
                  <c:v>0.80869363990293408</c:v>
                </c:pt>
                <c:pt idx="128">
                  <c:v>0.97886366058138563</c:v>
                </c:pt>
                <c:pt idx="129">
                  <c:v>1.0034325171256597</c:v>
                </c:pt>
                <c:pt idx="130">
                  <c:v>1.0861574983471112</c:v>
                </c:pt>
                <c:pt idx="131">
                  <c:v>1.102849162207681</c:v>
                </c:pt>
                <c:pt idx="132">
                  <c:v>-0.77085324021958002</c:v>
                </c:pt>
                <c:pt idx="133">
                  <c:v>-0.70626386466103952</c:v>
                </c:pt>
                <c:pt idx="134">
                  <c:v>-0.50212109795764448</c:v>
                </c:pt>
                <c:pt idx="135">
                  <c:v>-0.49772660933391855</c:v>
                </c:pt>
                <c:pt idx="136">
                  <c:v>-0.36468731870870208</c:v>
                </c:pt>
                <c:pt idx="137">
                  <c:v>-0.36509511811191153</c:v>
                </c:pt>
                <c:pt idx="138">
                  <c:v>-0.40982574034577013</c:v>
                </c:pt>
                <c:pt idx="139">
                  <c:v>-0.41648450423475403</c:v>
                </c:pt>
                <c:pt idx="140">
                  <c:v>-0.34693401874821994</c:v>
                </c:pt>
                <c:pt idx="141">
                  <c:v>-0.22984644013008815</c:v>
                </c:pt>
                <c:pt idx="142">
                  <c:v>-9.770153635109402E-2</c:v>
                </c:pt>
                <c:pt idx="143">
                  <c:v>6.5177080133599574E-2</c:v>
                </c:pt>
                <c:pt idx="144">
                  <c:v>-1.4355227009199716</c:v>
                </c:pt>
                <c:pt idx="145">
                  <c:v>-1.3112658762404665</c:v>
                </c:pt>
                <c:pt idx="146">
                  <c:v>-1.2183793767309696</c:v>
                </c:pt>
                <c:pt idx="147">
                  <c:v>-0.94837120424725452</c:v>
                </c:pt>
                <c:pt idx="148">
                  <c:v>-0.89529793697667959</c:v>
                </c:pt>
                <c:pt idx="149">
                  <c:v>-0.98256625676962717</c:v>
                </c:pt>
                <c:pt idx="150">
                  <c:v>-0.75514358841204654</c:v>
                </c:pt>
                <c:pt idx="151">
                  <c:v>-0.59861218153681683</c:v>
                </c:pt>
                <c:pt idx="152">
                  <c:v>-0.58497646866015351</c:v>
                </c:pt>
                <c:pt idx="153">
                  <c:v>-0.36447128608195722</c:v>
                </c:pt>
                <c:pt idx="154">
                  <c:v>-0.43178113595663081</c:v>
                </c:pt>
                <c:pt idx="155">
                  <c:v>-0.1573744276676301</c:v>
                </c:pt>
                <c:pt idx="156">
                  <c:v>-3.6563264921070706</c:v>
                </c:pt>
                <c:pt idx="157">
                  <c:v>-3.3496715089991138</c:v>
                </c:pt>
                <c:pt idx="158">
                  <c:v>-2.3330111831009042</c:v>
                </c:pt>
                <c:pt idx="159">
                  <c:v>-1.5171633582588937</c:v>
                </c:pt>
                <c:pt idx="160">
                  <c:v>-0.38487193590689106</c:v>
                </c:pt>
                <c:pt idx="161">
                  <c:v>-8.9462382757766967E-2</c:v>
                </c:pt>
                <c:pt idx="162">
                  <c:v>-0.10405892819438556</c:v>
                </c:pt>
                <c:pt idx="163">
                  <c:v>7.0235501146495238E-2</c:v>
                </c:pt>
                <c:pt idx="164">
                  <c:v>0.16476810242099926</c:v>
                </c:pt>
                <c:pt idx="165">
                  <c:v>0.33633610385947232</c:v>
                </c:pt>
                <c:pt idx="166">
                  <c:v>0.48286974600567945</c:v>
                </c:pt>
                <c:pt idx="167">
                  <c:v>0.63851671132109988</c:v>
                </c:pt>
                <c:pt idx="168">
                  <c:v>0.70907649513466264</c:v>
                </c:pt>
                <c:pt idx="169">
                  <c:v>0.98315369525401675</c:v>
                </c:pt>
                <c:pt idx="170">
                  <c:v>1.223878642711159</c:v>
                </c:pt>
                <c:pt idx="171">
                  <c:v>1.4806281322934707</c:v>
                </c:pt>
                <c:pt idx="172">
                  <c:v>1.6810548954723039</c:v>
                </c:pt>
                <c:pt idx="173">
                  <c:v>1.6030831179282599</c:v>
                </c:pt>
                <c:pt idx="174">
                  <c:v>0.8013826101961028</c:v>
                </c:pt>
                <c:pt idx="175">
                  <c:v>0.70703263218491852</c:v>
                </c:pt>
                <c:pt idx="176">
                  <c:v>0.36613043149524582</c:v>
                </c:pt>
                <c:pt idx="177">
                  <c:v>0.58294556325234037</c:v>
                </c:pt>
                <c:pt idx="178">
                  <c:v>0.49719132335352345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01-41F7-9457-34131655A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345232"/>
        <c:axId val="937354352"/>
      </c:scatterChart>
      <c:valAx>
        <c:axId val="93734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7354352"/>
        <c:crosses val="autoZero"/>
        <c:crossBetween val="midCat"/>
      </c:valAx>
      <c:valAx>
        <c:axId val="93735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734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Кол-во Кредитов - Ставка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6342082239720037E-2"/>
                  <c:y val="-0.366850029163021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'[1]Данные +поле'!$B$6:$B$184</c:f>
              <c:numCache>
                <c:formatCode>General</c:formatCode>
                <c:ptCount val="179"/>
                <c:pt idx="0">
                  <c:v>6198</c:v>
                </c:pt>
                <c:pt idx="1">
                  <c:v>14330</c:v>
                </c:pt>
                <c:pt idx="2">
                  <c:v>24486</c:v>
                </c:pt>
                <c:pt idx="3">
                  <c:v>36232</c:v>
                </c:pt>
                <c:pt idx="4">
                  <c:v>46914</c:v>
                </c:pt>
                <c:pt idx="5">
                  <c:v>60163</c:v>
                </c:pt>
                <c:pt idx="6">
                  <c:v>75018</c:v>
                </c:pt>
                <c:pt idx="7">
                  <c:v>89893</c:v>
                </c:pt>
                <c:pt idx="8">
                  <c:v>106642</c:v>
                </c:pt>
                <c:pt idx="9">
                  <c:v>126962</c:v>
                </c:pt>
                <c:pt idx="10">
                  <c:v>146598</c:v>
                </c:pt>
                <c:pt idx="11">
                  <c:v>176146</c:v>
                </c:pt>
                <c:pt idx="12">
                  <c:v>9452</c:v>
                </c:pt>
                <c:pt idx="13">
                  <c:v>27184</c:v>
                </c:pt>
                <c:pt idx="14">
                  <c:v>52073</c:v>
                </c:pt>
                <c:pt idx="15">
                  <c:v>80382</c:v>
                </c:pt>
                <c:pt idx="16">
                  <c:v>107475</c:v>
                </c:pt>
                <c:pt idx="17">
                  <c:v>140874</c:v>
                </c:pt>
                <c:pt idx="18">
                  <c:v>175311</c:v>
                </c:pt>
                <c:pt idx="19">
                  <c:v>210064</c:v>
                </c:pt>
                <c:pt idx="20">
                  <c:v>248503</c:v>
                </c:pt>
                <c:pt idx="21">
                  <c:v>286581</c:v>
                </c:pt>
                <c:pt idx="22">
                  <c:v>328681</c:v>
                </c:pt>
                <c:pt idx="23">
                  <c:v>392302</c:v>
                </c:pt>
                <c:pt idx="24">
                  <c:v>20029</c:v>
                </c:pt>
                <c:pt idx="25">
                  <c:v>51740</c:v>
                </c:pt>
                <c:pt idx="26">
                  <c:v>91472</c:v>
                </c:pt>
                <c:pt idx="27">
                  <c:v>136070</c:v>
                </c:pt>
                <c:pt idx="28">
                  <c:v>182740</c:v>
                </c:pt>
                <c:pt idx="29">
                  <c:v>232628</c:v>
                </c:pt>
                <c:pt idx="30">
                  <c:v>282259</c:v>
                </c:pt>
                <c:pt idx="31">
                  <c:v>335560</c:v>
                </c:pt>
                <c:pt idx="32">
                  <c:v>391240</c:v>
                </c:pt>
                <c:pt idx="33">
                  <c:v>449383</c:v>
                </c:pt>
                <c:pt idx="34">
                  <c:v>509339</c:v>
                </c:pt>
                <c:pt idx="35">
                  <c:v>587600</c:v>
                </c:pt>
                <c:pt idx="36">
                  <c:v>30405</c:v>
                </c:pt>
                <c:pt idx="37">
                  <c:v>78800</c:v>
                </c:pt>
                <c:pt idx="38">
                  <c:v>136432</c:v>
                </c:pt>
                <c:pt idx="39">
                  <c:v>198427</c:v>
                </c:pt>
                <c:pt idx="40">
                  <c:v>258004</c:v>
                </c:pt>
                <c:pt idx="41">
                  <c:v>318388</c:v>
                </c:pt>
                <c:pt idx="42">
                  <c:v>381359</c:v>
                </c:pt>
                <c:pt idx="43">
                  <c:v>450784</c:v>
                </c:pt>
                <c:pt idx="44">
                  <c:v>513166</c:v>
                </c:pt>
                <c:pt idx="45">
                  <c:v>585035</c:v>
                </c:pt>
                <c:pt idx="46">
                  <c:v>656728</c:v>
                </c:pt>
                <c:pt idx="47">
                  <c:v>739393</c:v>
                </c:pt>
                <c:pt idx="48">
                  <c:v>35778</c:v>
                </c:pt>
                <c:pt idx="49">
                  <c:v>89169</c:v>
                </c:pt>
                <c:pt idx="50">
                  <c:v>150774</c:v>
                </c:pt>
                <c:pt idx="51">
                  <c:v>223546</c:v>
                </c:pt>
                <c:pt idx="52">
                  <c:v>286170</c:v>
                </c:pt>
                <c:pt idx="53">
                  <c:v>356292</c:v>
                </c:pt>
                <c:pt idx="54">
                  <c:v>436885</c:v>
                </c:pt>
                <c:pt idx="55">
                  <c:v>517007</c:v>
                </c:pt>
                <c:pt idx="56">
                  <c:v>593898</c:v>
                </c:pt>
                <c:pt idx="57">
                  <c:v>683351</c:v>
                </c:pt>
                <c:pt idx="58">
                  <c:v>767667</c:v>
                </c:pt>
                <c:pt idx="59">
                  <c:v>878495</c:v>
                </c:pt>
                <c:pt idx="60">
                  <c:v>50367</c:v>
                </c:pt>
                <c:pt idx="61">
                  <c:v>123772</c:v>
                </c:pt>
                <c:pt idx="62">
                  <c:v>208384</c:v>
                </c:pt>
                <c:pt idx="63">
                  <c:v>307049</c:v>
                </c:pt>
                <c:pt idx="64">
                  <c:v>389021</c:v>
                </c:pt>
                <c:pt idx="65">
                  <c:v>471256</c:v>
                </c:pt>
                <c:pt idx="66">
                  <c:v>565551</c:v>
                </c:pt>
                <c:pt idx="67">
                  <c:v>652343</c:v>
                </c:pt>
                <c:pt idx="68">
                  <c:v>739226</c:v>
                </c:pt>
                <c:pt idx="69">
                  <c:v>836062</c:v>
                </c:pt>
                <c:pt idx="70">
                  <c:v>923945</c:v>
                </c:pt>
                <c:pt idx="71">
                  <c:v>1058641</c:v>
                </c:pt>
                <c:pt idx="72">
                  <c:v>44924</c:v>
                </c:pt>
                <c:pt idx="73">
                  <c:v>94862</c:v>
                </c:pt>
                <c:pt idx="74">
                  <c:v>138911</c:v>
                </c:pt>
                <c:pt idx="75">
                  <c:v>189551</c:v>
                </c:pt>
                <c:pt idx="76">
                  <c:v>234503</c:v>
                </c:pt>
                <c:pt idx="77">
                  <c:v>287957</c:v>
                </c:pt>
                <c:pt idx="78">
                  <c:v>347425</c:v>
                </c:pt>
                <c:pt idx="79">
                  <c:v>406377</c:v>
                </c:pt>
                <c:pt idx="80">
                  <c:v>473466</c:v>
                </c:pt>
                <c:pt idx="81">
                  <c:v>539966</c:v>
                </c:pt>
                <c:pt idx="82">
                  <c:v>608173</c:v>
                </c:pt>
                <c:pt idx="83">
                  <c:v>710450</c:v>
                </c:pt>
                <c:pt idx="84">
                  <c:v>37510</c:v>
                </c:pt>
                <c:pt idx="85">
                  <c:v>118445</c:v>
                </c:pt>
                <c:pt idx="86">
                  <c:v>190445</c:v>
                </c:pt>
                <c:pt idx="87">
                  <c:v>264105</c:v>
                </c:pt>
                <c:pt idx="88">
                  <c:v>326456</c:v>
                </c:pt>
                <c:pt idx="89">
                  <c:v>394672</c:v>
                </c:pt>
                <c:pt idx="90">
                  <c:v>460485</c:v>
                </c:pt>
                <c:pt idx="91">
                  <c:v>534022</c:v>
                </c:pt>
                <c:pt idx="92">
                  <c:v>608708</c:v>
                </c:pt>
                <c:pt idx="93">
                  <c:v>681261</c:v>
                </c:pt>
                <c:pt idx="94">
                  <c:v>759936</c:v>
                </c:pt>
                <c:pt idx="95">
                  <c:v>863803</c:v>
                </c:pt>
                <c:pt idx="96">
                  <c:v>40233</c:v>
                </c:pt>
                <c:pt idx="97">
                  <c:v>98391</c:v>
                </c:pt>
                <c:pt idx="98">
                  <c:v>179347</c:v>
                </c:pt>
                <c:pt idx="99">
                  <c:v>261538</c:v>
                </c:pt>
                <c:pt idx="100">
                  <c:v>340772</c:v>
                </c:pt>
                <c:pt idx="101">
                  <c:v>426032</c:v>
                </c:pt>
                <c:pt idx="102">
                  <c:v>510944</c:v>
                </c:pt>
                <c:pt idx="103">
                  <c:v>605776</c:v>
                </c:pt>
                <c:pt idx="104">
                  <c:v>704675</c:v>
                </c:pt>
                <c:pt idx="105">
                  <c:v>817803</c:v>
                </c:pt>
                <c:pt idx="106">
                  <c:v>940552</c:v>
                </c:pt>
                <c:pt idx="107">
                  <c:v>1092316</c:v>
                </c:pt>
                <c:pt idx="108">
                  <c:v>78300</c:v>
                </c:pt>
                <c:pt idx="109">
                  <c:v>181272</c:v>
                </c:pt>
                <c:pt idx="110">
                  <c:v>300359</c:v>
                </c:pt>
                <c:pt idx="111">
                  <c:v>426088</c:v>
                </c:pt>
                <c:pt idx="112">
                  <c:v>544626</c:v>
                </c:pt>
                <c:pt idx="113">
                  <c:v>665633</c:v>
                </c:pt>
                <c:pt idx="114">
                  <c:v>787845</c:v>
                </c:pt>
                <c:pt idx="115">
                  <c:v>914481</c:v>
                </c:pt>
                <c:pt idx="116">
                  <c:v>1036834</c:v>
                </c:pt>
                <c:pt idx="117">
                  <c:v>1178481</c:v>
                </c:pt>
                <c:pt idx="118">
                  <c:v>1318786</c:v>
                </c:pt>
                <c:pt idx="119">
                  <c:v>1476376</c:v>
                </c:pt>
                <c:pt idx="120">
                  <c:v>81627</c:v>
                </c:pt>
                <c:pt idx="121">
                  <c:v>188134</c:v>
                </c:pt>
                <c:pt idx="122">
                  <c:v>292854</c:v>
                </c:pt>
                <c:pt idx="123">
                  <c:v>404495</c:v>
                </c:pt>
                <c:pt idx="124">
                  <c:v>491716</c:v>
                </c:pt>
                <c:pt idx="125">
                  <c:v>589846</c:v>
                </c:pt>
                <c:pt idx="126">
                  <c:v>693033</c:v>
                </c:pt>
                <c:pt idx="127">
                  <c:v>803189</c:v>
                </c:pt>
                <c:pt idx="128">
                  <c:v>914116</c:v>
                </c:pt>
                <c:pt idx="129">
                  <c:v>1038211</c:v>
                </c:pt>
                <c:pt idx="130">
                  <c:v>1161433</c:v>
                </c:pt>
                <c:pt idx="131">
                  <c:v>1318290</c:v>
                </c:pt>
                <c:pt idx="132">
                  <c:v>83624</c:v>
                </c:pt>
                <c:pt idx="133">
                  <c:v>199392</c:v>
                </c:pt>
                <c:pt idx="134">
                  <c:v>332705</c:v>
                </c:pt>
                <c:pt idx="135">
                  <c:v>430257</c:v>
                </c:pt>
                <c:pt idx="136">
                  <c:v>523511</c:v>
                </c:pt>
                <c:pt idx="137">
                  <c:v>650752</c:v>
                </c:pt>
                <c:pt idx="138">
                  <c:v>806627</c:v>
                </c:pt>
                <c:pt idx="139">
                  <c:v>970968</c:v>
                </c:pt>
                <c:pt idx="140">
                  <c:v>1169994</c:v>
                </c:pt>
                <c:pt idx="141">
                  <c:v>1382587</c:v>
                </c:pt>
                <c:pt idx="142">
                  <c:v>1571312</c:v>
                </c:pt>
                <c:pt idx="143">
                  <c:v>1783280</c:v>
                </c:pt>
                <c:pt idx="144">
                  <c:v>95242</c:v>
                </c:pt>
                <c:pt idx="145">
                  <c:v>240486</c:v>
                </c:pt>
                <c:pt idx="146">
                  <c:v>418898</c:v>
                </c:pt>
                <c:pt idx="147">
                  <c:v>610634</c:v>
                </c:pt>
                <c:pt idx="148">
                  <c:v>759327</c:v>
                </c:pt>
                <c:pt idx="149">
                  <c:v>938338</c:v>
                </c:pt>
                <c:pt idx="150">
                  <c:v>1090038</c:v>
                </c:pt>
                <c:pt idx="151">
                  <c:v>1241090</c:v>
                </c:pt>
                <c:pt idx="152">
                  <c:v>1399097</c:v>
                </c:pt>
                <c:pt idx="153">
                  <c:v>1561138</c:v>
                </c:pt>
                <c:pt idx="154">
                  <c:v>1718958</c:v>
                </c:pt>
                <c:pt idx="155">
                  <c:v>1911650</c:v>
                </c:pt>
                <c:pt idx="156">
                  <c:v>95122</c:v>
                </c:pt>
                <c:pt idx="157">
                  <c:v>231003</c:v>
                </c:pt>
                <c:pt idx="158">
                  <c:v>394081</c:v>
                </c:pt>
                <c:pt idx="159">
                  <c:v>443717</c:v>
                </c:pt>
                <c:pt idx="160">
                  <c:v>480537</c:v>
                </c:pt>
                <c:pt idx="161">
                  <c:v>546255</c:v>
                </c:pt>
                <c:pt idx="162">
                  <c:v>638119</c:v>
                </c:pt>
                <c:pt idx="163">
                  <c:v>760267</c:v>
                </c:pt>
                <c:pt idx="164">
                  <c:v>897141</c:v>
                </c:pt>
                <c:pt idx="165">
                  <c:v>1024702</c:v>
                </c:pt>
                <c:pt idx="166">
                  <c:v>1153725</c:v>
                </c:pt>
                <c:pt idx="167">
                  <c:v>1330174</c:v>
                </c:pt>
                <c:pt idx="168">
                  <c:v>77366</c:v>
                </c:pt>
                <c:pt idx="169">
                  <c:v>192231</c:v>
                </c:pt>
                <c:pt idx="170">
                  <c:v>346471</c:v>
                </c:pt>
                <c:pt idx="171">
                  <c:v>500052</c:v>
                </c:pt>
                <c:pt idx="172">
                  <c:v>658115</c:v>
                </c:pt>
                <c:pt idx="173">
                  <c:v>826158</c:v>
                </c:pt>
                <c:pt idx="174">
                  <c:v>996920</c:v>
                </c:pt>
                <c:pt idx="175">
                  <c:v>1213179</c:v>
                </c:pt>
                <c:pt idx="176">
                  <c:v>1451542</c:v>
                </c:pt>
                <c:pt idx="177">
                  <c:v>1652045</c:v>
                </c:pt>
                <c:pt idx="178">
                  <c:v>1841303</c:v>
                </c:pt>
              </c:numCache>
            </c:numRef>
          </c:xVal>
          <c:yVal>
            <c:numRef>
              <c:f>'[1]Данные +поле'!$F$6:$F$184</c:f>
              <c:numCache>
                <c:formatCode>General</c:formatCode>
                <c:ptCount val="179"/>
                <c:pt idx="0">
                  <c:v>14.35</c:v>
                </c:pt>
                <c:pt idx="1">
                  <c:v>14.5</c:v>
                </c:pt>
                <c:pt idx="2">
                  <c:v>14.67</c:v>
                </c:pt>
                <c:pt idx="3">
                  <c:v>14.71</c:v>
                </c:pt>
                <c:pt idx="4">
                  <c:v>14.84</c:v>
                </c:pt>
                <c:pt idx="5">
                  <c:v>14.86</c:v>
                </c:pt>
                <c:pt idx="6">
                  <c:v>14.88</c:v>
                </c:pt>
                <c:pt idx="7">
                  <c:v>14.85</c:v>
                </c:pt>
                <c:pt idx="8">
                  <c:v>14.8</c:v>
                </c:pt>
                <c:pt idx="9">
                  <c:v>14.76</c:v>
                </c:pt>
                <c:pt idx="10">
                  <c:v>14.72</c:v>
                </c:pt>
                <c:pt idx="11">
                  <c:v>14.59</c:v>
                </c:pt>
                <c:pt idx="12">
                  <c:v>14.17</c:v>
                </c:pt>
                <c:pt idx="13">
                  <c:v>14.01</c:v>
                </c:pt>
                <c:pt idx="14">
                  <c:v>13.85</c:v>
                </c:pt>
                <c:pt idx="15">
                  <c:v>13.8</c:v>
                </c:pt>
                <c:pt idx="16">
                  <c:v>13.75</c:v>
                </c:pt>
                <c:pt idx="17">
                  <c:v>13.71</c:v>
                </c:pt>
                <c:pt idx="18">
                  <c:v>13.67</c:v>
                </c:pt>
                <c:pt idx="19">
                  <c:v>13.65</c:v>
                </c:pt>
                <c:pt idx="20">
                  <c:v>13.63</c:v>
                </c:pt>
                <c:pt idx="21">
                  <c:v>13.51</c:v>
                </c:pt>
                <c:pt idx="22">
                  <c:v>13.44</c:v>
                </c:pt>
                <c:pt idx="23">
                  <c:v>13.29</c:v>
                </c:pt>
                <c:pt idx="24">
                  <c:v>12.96</c:v>
                </c:pt>
                <c:pt idx="25">
                  <c:v>12.74</c:v>
                </c:pt>
                <c:pt idx="26">
                  <c:v>12.64</c:v>
                </c:pt>
                <c:pt idx="27">
                  <c:v>12.47</c:v>
                </c:pt>
                <c:pt idx="28">
                  <c:v>12.4</c:v>
                </c:pt>
                <c:pt idx="29">
                  <c:v>12.35</c:v>
                </c:pt>
                <c:pt idx="30">
                  <c:v>12.29</c:v>
                </c:pt>
                <c:pt idx="31">
                  <c:v>12.22</c:v>
                </c:pt>
                <c:pt idx="32">
                  <c:v>12.15</c:v>
                </c:pt>
                <c:pt idx="33">
                  <c:v>12.08</c:v>
                </c:pt>
                <c:pt idx="34">
                  <c:v>12.03</c:v>
                </c:pt>
                <c:pt idx="35">
                  <c:v>11.98</c:v>
                </c:pt>
                <c:pt idx="36">
                  <c:v>11.92</c:v>
                </c:pt>
                <c:pt idx="37">
                  <c:v>11.98</c:v>
                </c:pt>
                <c:pt idx="38">
                  <c:v>12.05</c:v>
                </c:pt>
                <c:pt idx="39">
                  <c:v>12.09</c:v>
                </c:pt>
                <c:pt idx="40">
                  <c:v>12.12</c:v>
                </c:pt>
                <c:pt idx="41">
                  <c:v>12.14</c:v>
                </c:pt>
                <c:pt idx="42">
                  <c:v>12.16</c:v>
                </c:pt>
                <c:pt idx="43">
                  <c:v>12.19</c:v>
                </c:pt>
                <c:pt idx="44">
                  <c:v>12.21</c:v>
                </c:pt>
                <c:pt idx="45">
                  <c:v>12.25</c:v>
                </c:pt>
                <c:pt idx="46">
                  <c:v>12.29</c:v>
                </c:pt>
                <c:pt idx="47">
                  <c:v>12.32</c:v>
                </c:pt>
                <c:pt idx="48">
                  <c:v>12.73</c:v>
                </c:pt>
                <c:pt idx="49">
                  <c:v>12.82</c:v>
                </c:pt>
                <c:pt idx="50">
                  <c:v>12.87</c:v>
                </c:pt>
                <c:pt idx="51">
                  <c:v>12.81</c:v>
                </c:pt>
                <c:pt idx="52">
                  <c:v>12.8</c:v>
                </c:pt>
                <c:pt idx="53">
                  <c:v>12.76</c:v>
                </c:pt>
                <c:pt idx="54">
                  <c:v>12.71</c:v>
                </c:pt>
                <c:pt idx="55">
                  <c:v>12.67</c:v>
                </c:pt>
                <c:pt idx="56">
                  <c:v>12.64</c:v>
                </c:pt>
                <c:pt idx="57">
                  <c:v>12.6</c:v>
                </c:pt>
                <c:pt idx="58">
                  <c:v>12.56</c:v>
                </c:pt>
                <c:pt idx="59">
                  <c:v>12.51</c:v>
                </c:pt>
                <c:pt idx="60">
                  <c:v>12.3</c:v>
                </c:pt>
                <c:pt idx="61">
                  <c:v>12.3</c:v>
                </c:pt>
                <c:pt idx="62">
                  <c:v>12.18</c:v>
                </c:pt>
                <c:pt idx="63">
                  <c:v>12.22</c:v>
                </c:pt>
                <c:pt idx="64">
                  <c:v>12.22</c:v>
                </c:pt>
                <c:pt idx="65">
                  <c:v>12.22</c:v>
                </c:pt>
                <c:pt idx="66">
                  <c:v>12.23</c:v>
                </c:pt>
                <c:pt idx="67">
                  <c:v>12.24</c:v>
                </c:pt>
                <c:pt idx="68">
                  <c:v>12.27</c:v>
                </c:pt>
                <c:pt idx="69">
                  <c:v>12.34</c:v>
                </c:pt>
                <c:pt idx="70">
                  <c:v>12.37</c:v>
                </c:pt>
                <c:pt idx="71">
                  <c:v>12.47</c:v>
                </c:pt>
                <c:pt idx="72">
                  <c:v>14.16</c:v>
                </c:pt>
                <c:pt idx="73">
                  <c:v>14.46</c:v>
                </c:pt>
                <c:pt idx="74">
                  <c:v>14.54</c:v>
                </c:pt>
                <c:pt idx="75">
                  <c:v>14.41</c:v>
                </c:pt>
                <c:pt idx="76">
                  <c:v>14.23</c:v>
                </c:pt>
                <c:pt idx="77">
                  <c:v>14.05</c:v>
                </c:pt>
                <c:pt idx="78">
                  <c:v>13.95</c:v>
                </c:pt>
                <c:pt idx="79">
                  <c:v>13.79</c:v>
                </c:pt>
                <c:pt idx="80">
                  <c:v>13.7</c:v>
                </c:pt>
                <c:pt idx="81">
                  <c:v>13.59</c:v>
                </c:pt>
                <c:pt idx="82">
                  <c:v>13.44</c:v>
                </c:pt>
                <c:pt idx="83">
                  <c:v>13.36</c:v>
                </c:pt>
                <c:pt idx="84">
                  <c:v>12.51</c:v>
                </c:pt>
                <c:pt idx="85">
                  <c:v>12.24</c:v>
                </c:pt>
                <c:pt idx="86">
                  <c:v>12.48</c:v>
                </c:pt>
                <c:pt idx="87">
                  <c:v>12.6</c:v>
                </c:pt>
                <c:pt idx="88">
                  <c:v>12.7</c:v>
                </c:pt>
                <c:pt idx="89">
                  <c:v>12.74</c:v>
                </c:pt>
                <c:pt idx="90">
                  <c:v>12.75</c:v>
                </c:pt>
                <c:pt idx="91">
                  <c:v>12.74</c:v>
                </c:pt>
                <c:pt idx="92">
                  <c:v>12.71</c:v>
                </c:pt>
                <c:pt idx="93">
                  <c:v>12.68</c:v>
                </c:pt>
                <c:pt idx="94">
                  <c:v>12.62</c:v>
                </c:pt>
                <c:pt idx="95">
                  <c:v>12.49</c:v>
                </c:pt>
                <c:pt idx="96">
                  <c:v>11.84</c:v>
                </c:pt>
                <c:pt idx="97">
                  <c:v>11.9</c:v>
                </c:pt>
                <c:pt idx="98">
                  <c:v>11.81</c:v>
                </c:pt>
                <c:pt idx="99">
                  <c:v>11.69</c:v>
                </c:pt>
                <c:pt idx="100">
                  <c:v>11.61</c:v>
                </c:pt>
                <c:pt idx="101">
                  <c:v>11.5</c:v>
                </c:pt>
                <c:pt idx="102">
                  <c:v>11.41</c:v>
                </c:pt>
                <c:pt idx="103">
                  <c:v>11.28</c:v>
                </c:pt>
                <c:pt idx="104">
                  <c:v>11.1</c:v>
                </c:pt>
                <c:pt idx="105">
                  <c:v>10.94</c:v>
                </c:pt>
                <c:pt idx="106">
                  <c:v>10.78</c:v>
                </c:pt>
                <c:pt idx="107">
                  <c:v>10.64</c:v>
                </c:pt>
                <c:pt idx="108">
                  <c:v>9.85</c:v>
                </c:pt>
                <c:pt idx="109">
                  <c:v>9.8000000000000007</c:v>
                </c:pt>
                <c:pt idx="110">
                  <c:v>9.74</c:v>
                </c:pt>
                <c:pt idx="111">
                  <c:v>9.69</c:v>
                </c:pt>
                <c:pt idx="112">
                  <c:v>9.66</c:v>
                </c:pt>
                <c:pt idx="113">
                  <c:v>9.6300000000000008</c:v>
                </c:pt>
                <c:pt idx="114">
                  <c:v>9.6199999999999992</c:v>
                </c:pt>
                <c:pt idx="115">
                  <c:v>9.59</c:v>
                </c:pt>
                <c:pt idx="116">
                  <c:v>9.57</c:v>
                </c:pt>
                <c:pt idx="117">
                  <c:v>9.5500000000000007</c:v>
                </c:pt>
                <c:pt idx="118">
                  <c:v>9.5399999999999991</c:v>
                </c:pt>
                <c:pt idx="119">
                  <c:v>9.56</c:v>
                </c:pt>
                <c:pt idx="120">
                  <c:v>9.89</c:v>
                </c:pt>
                <c:pt idx="121">
                  <c:v>10.041232200381501</c:v>
                </c:pt>
                <c:pt idx="122">
                  <c:v>10.1789149612837</c:v>
                </c:pt>
                <c:pt idx="123">
                  <c:v>10.2859873759684</c:v>
                </c:pt>
                <c:pt idx="124">
                  <c:v>10.331957596990399</c:v>
                </c:pt>
                <c:pt idx="125">
                  <c:v>10.326385645079499</c:v>
                </c:pt>
                <c:pt idx="126">
                  <c:v>10.311475768752601</c:v>
                </c:pt>
                <c:pt idx="127">
                  <c:v>10.2546199802598</c:v>
                </c:pt>
                <c:pt idx="128">
                  <c:v>10.1825783703665</c:v>
                </c:pt>
                <c:pt idx="129">
                  <c:v>10.087088793971599</c:v>
                </c:pt>
                <c:pt idx="130">
                  <c:v>9.9902794634507206</c:v>
                </c:pt>
                <c:pt idx="131">
                  <c:v>9.8723788597368003</c:v>
                </c:pt>
                <c:pt idx="132">
                  <c:v>8.8461050481398793</c:v>
                </c:pt>
                <c:pt idx="133">
                  <c:v>8.7806310039885602</c:v>
                </c:pt>
                <c:pt idx="134">
                  <c:v>8.7408829550789306</c:v>
                </c:pt>
                <c:pt idx="135">
                  <c:v>8.6726665023301397</c:v>
                </c:pt>
                <c:pt idx="136">
                  <c:v>8.4831671374026403</c:v>
                </c:pt>
                <c:pt idx="137">
                  <c:v>8.3210416613731706</c:v>
                </c:pt>
                <c:pt idx="138">
                  <c:v>8.1340721930653395</c:v>
                </c:pt>
                <c:pt idx="139">
                  <c:v>7.9781386489278301</c:v>
                </c:pt>
                <c:pt idx="140">
                  <c:v>7.8611255994079396</c:v>
                </c:pt>
                <c:pt idx="141">
                  <c:v>7.7719116628776499</c:v>
                </c:pt>
                <c:pt idx="142">
                  <c:v>7.7218226498245697</c:v>
                </c:pt>
                <c:pt idx="143">
                  <c:v>7.6746878268035301</c:v>
                </c:pt>
                <c:pt idx="144">
                  <c:v>7.2299141258069604</c:v>
                </c:pt>
                <c:pt idx="145">
                  <c:v>7.2513492912085402</c:v>
                </c:pt>
                <c:pt idx="146">
                  <c:v>7.24443078895301</c:v>
                </c:pt>
                <c:pt idx="147">
                  <c:v>7.2620010562644604</c:v>
                </c:pt>
                <c:pt idx="148">
                  <c:v>7.2695876776653199</c:v>
                </c:pt>
                <c:pt idx="149">
                  <c:v>7.2278074649192297</c:v>
                </c:pt>
                <c:pt idx="150">
                  <c:v>7.2910729506059297</c:v>
                </c:pt>
                <c:pt idx="151">
                  <c:v>7.3526498285739299</c:v>
                </c:pt>
                <c:pt idx="152">
                  <c:v>7.3986477182112003</c:v>
                </c:pt>
                <c:pt idx="153">
                  <c:v>7.4337074560463297</c:v>
                </c:pt>
                <c:pt idx="154">
                  <c:v>7.4506539075763101</c:v>
                </c:pt>
                <c:pt idx="155">
                  <c:v>7.4929849477907604</c:v>
                </c:pt>
                <c:pt idx="156">
                  <c:v>7.8710020331191002</c:v>
                </c:pt>
                <c:pt idx="157">
                  <c:v>8.0097213077866396</c:v>
                </c:pt>
                <c:pt idx="158">
                  <c:v>8.0245677008932894</c:v>
                </c:pt>
                <c:pt idx="159">
                  <c:v>7.9836573182267196</c:v>
                </c:pt>
                <c:pt idx="160">
                  <c:v>7.8240061910112102</c:v>
                </c:pt>
                <c:pt idx="161">
                  <c:v>7.6231946144807701</c:v>
                </c:pt>
                <c:pt idx="162">
                  <c:v>7.4730127154458303</c:v>
                </c:pt>
                <c:pt idx="163">
                  <c:v>7.3322996986712399</c:v>
                </c:pt>
                <c:pt idx="164">
                  <c:v>7.2284518766563401</c:v>
                </c:pt>
                <c:pt idx="165">
                  <c:v>7.2474614662842498</c:v>
                </c:pt>
                <c:pt idx="166">
                  <c:v>7.2317589554553203</c:v>
                </c:pt>
                <c:pt idx="167">
                  <c:v>7.1434414050691002</c:v>
                </c:pt>
                <c:pt idx="168">
                  <c:v>7.8616709086823704</c:v>
                </c:pt>
                <c:pt idx="169">
                  <c:v>7.9768157043627603</c:v>
                </c:pt>
                <c:pt idx="170">
                  <c:v>8.0681979233267604</c:v>
                </c:pt>
                <c:pt idx="171">
                  <c:v>8.2057718181151102</c:v>
                </c:pt>
                <c:pt idx="172">
                  <c:v>8.2536786290411399</c:v>
                </c:pt>
                <c:pt idx="173">
                  <c:v>8.2937805105220992</c:v>
                </c:pt>
                <c:pt idx="174">
                  <c:v>8.2860723823704596</c:v>
                </c:pt>
                <c:pt idx="175">
                  <c:v>8.2401051969259296</c:v>
                </c:pt>
                <c:pt idx="176">
                  <c:v>8.1827152695892806</c:v>
                </c:pt>
                <c:pt idx="177">
                  <c:v>8.2032766589560797</c:v>
                </c:pt>
                <c:pt idx="178">
                  <c:v>8.2010392879351794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F3-4259-BDBA-BDB54CB0B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426288"/>
        <c:axId val="340402288"/>
      </c:scatterChart>
      <c:valAx>
        <c:axId val="34042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0402288"/>
        <c:crosses val="autoZero"/>
        <c:crossBetween val="midCat"/>
      </c:valAx>
      <c:valAx>
        <c:axId val="34040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042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Х2 - 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249103237095362"/>
                  <c:y val="-0.56073344998541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'[1]Данные +поле (2)'!$C$6:$C$184</c:f>
              <c:numCache>
                <c:formatCode>General</c:formatCode>
                <c:ptCount val="179"/>
                <c:pt idx="0">
                  <c:v>1004951.4</c:v>
                </c:pt>
                <c:pt idx="1">
                  <c:v>998317.4</c:v>
                </c:pt>
                <c:pt idx="2">
                  <c:v>978253.9</c:v>
                </c:pt>
                <c:pt idx="3">
                  <c:v>971464</c:v>
                </c:pt>
                <c:pt idx="4">
                  <c:v>966368.7</c:v>
                </c:pt>
                <c:pt idx="5">
                  <c:v>961002</c:v>
                </c:pt>
                <c:pt idx="6">
                  <c:v>959846.3</c:v>
                </c:pt>
                <c:pt idx="7">
                  <c:v>958525.1</c:v>
                </c:pt>
                <c:pt idx="8">
                  <c:v>956324.2</c:v>
                </c:pt>
                <c:pt idx="9">
                  <c:v>957140.7</c:v>
                </c:pt>
                <c:pt idx="10">
                  <c:v>958752.5</c:v>
                </c:pt>
                <c:pt idx="11">
                  <c:v>966786.1</c:v>
                </c:pt>
                <c:pt idx="12">
                  <c:v>961161</c:v>
                </c:pt>
                <c:pt idx="13">
                  <c:v>962495</c:v>
                </c:pt>
                <c:pt idx="14">
                  <c:v>968289</c:v>
                </c:pt>
                <c:pt idx="15">
                  <c:v>976742</c:v>
                </c:pt>
                <c:pt idx="16">
                  <c:v>983664</c:v>
                </c:pt>
                <c:pt idx="17">
                  <c:v>990625</c:v>
                </c:pt>
                <c:pt idx="18">
                  <c:v>1005186</c:v>
                </c:pt>
                <c:pt idx="19">
                  <c:v>1017760</c:v>
                </c:pt>
                <c:pt idx="20">
                  <c:v>1033770</c:v>
                </c:pt>
                <c:pt idx="21">
                  <c:v>1050901</c:v>
                </c:pt>
                <c:pt idx="22">
                  <c:v>1070316</c:v>
                </c:pt>
                <c:pt idx="23">
                  <c:v>1102324</c:v>
                </c:pt>
                <c:pt idx="24">
                  <c:v>1102760</c:v>
                </c:pt>
                <c:pt idx="25">
                  <c:v>1114576</c:v>
                </c:pt>
                <c:pt idx="26">
                  <c:v>1134453</c:v>
                </c:pt>
                <c:pt idx="27">
                  <c:v>1160253</c:v>
                </c:pt>
                <c:pt idx="28">
                  <c:v>1189241</c:v>
                </c:pt>
                <c:pt idx="29">
                  <c:v>1225010</c:v>
                </c:pt>
                <c:pt idx="30">
                  <c:v>1255772</c:v>
                </c:pt>
                <c:pt idx="31">
                  <c:v>1290781</c:v>
                </c:pt>
                <c:pt idx="32">
                  <c:v>1321632</c:v>
                </c:pt>
                <c:pt idx="33">
                  <c:v>1356057</c:v>
                </c:pt>
                <c:pt idx="34">
                  <c:v>1398578</c:v>
                </c:pt>
                <c:pt idx="35">
                  <c:v>1448522</c:v>
                </c:pt>
                <c:pt idx="36">
                  <c:v>1456199</c:v>
                </c:pt>
                <c:pt idx="37">
                  <c:v>1488459</c:v>
                </c:pt>
                <c:pt idx="38">
                  <c:v>1529396</c:v>
                </c:pt>
                <c:pt idx="39">
                  <c:v>1578338</c:v>
                </c:pt>
                <c:pt idx="40">
                  <c:v>1619098</c:v>
                </c:pt>
                <c:pt idx="41">
                  <c:v>1662618</c:v>
                </c:pt>
                <c:pt idx="42">
                  <c:v>1702749</c:v>
                </c:pt>
                <c:pt idx="43">
                  <c:v>1758902</c:v>
                </c:pt>
                <c:pt idx="44">
                  <c:v>1807153</c:v>
                </c:pt>
                <c:pt idx="45">
                  <c:v>1867604</c:v>
                </c:pt>
                <c:pt idx="46">
                  <c:v>1926842</c:v>
                </c:pt>
                <c:pt idx="47">
                  <c:v>1992388</c:v>
                </c:pt>
                <c:pt idx="48">
                  <c:v>2000178</c:v>
                </c:pt>
                <c:pt idx="49">
                  <c:v>2042749</c:v>
                </c:pt>
                <c:pt idx="50">
                  <c:v>2083220</c:v>
                </c:pt>
                <c:pt idx="51">
                  <c:v>2147924</c:v>
                </c:pt>
                <c:pt idx="52">
                  <c:v>2201187</c:v>
                </c:pt>
                <c:pt idx="53">
                  <c:v>2258703</c:v>
                </c:pt>
                <c:pt idx="54">
                  <c:v>2326601</c:v>
                </c:pt>
                <c:pt idx="55">
                  <c:v>2384020</c:v>
                </c:pt>
                <c:pt idx="56">
                  <c:v>2390674</c:v>
                </c:pt>
                <c:pt idx="57">
                  <c:v>2476266</c:v>
                </c:pt>
                <c:pt idx="58">
                  <c:v>2553718</c:v>
                </c:pt>
                <c:pt idx="59">
                  <c:v>2647421</c:v>
                </c:pt>
                <c:pt idx="60">
                  <c:v>2673992</c:v>
                </c:pt>
                <c:pt idx="61">
                  <c:v>2738205</c:v>
                </c:pt>
                <c:pt idx="62">
                  <c:v>2808289</c:v>
                </c:pt>
                <c:pt idx="63">
                  <c:v>2907478</c:v>
                </c:pt>
                <c:pt idx="64">
                  <c:v>2983358</c:v>
                </c:pt>
                <c:pt idx="65">
                  <c:v>3049741</c:v>
                </c:pt>
                <c:pt idx="66">
                  <c:v>3143500</c:v>
                </c:pt>
                <c:pt idx="67">
                  <c:v>3213547</c:v>
                </c:pt>
                <c:pt idx="68">
                  <c:v>3288628</c:v>
                </c:pt>
                <c:pt idx="69">
                  <c:v>3360775</c:v>
                </c:pt>
                <c:pt idx="70">
                  <c:v>3443067</c:v>
                </c:pt>
                <c:pt idx="71">
                  <c:v>3517094</c:v>
                </c:pt>
                <c:pt idx="72">
                  <c:v>3520747</c:v>
                </c:pt>
                <c:pt idx="73">
                  <c:v>3546831</c:v>
                </c:pt>
                <c:pt idx="74">
                  <c:v>3547477</c:v>
                </c:pt>
                <c:pt idx="75">
                  <c:v>3570523</c:v>
                </c:pt>
                <c:pt idx="76">
                  <c:v>3594711</c:v>
                </c:pt>
                <c:pt idx="77">
                  <c:v>3612817</c:v>
                </c:pt>
                <c:pt idx="78">
                  <c:v>3645485</c:v>
                </c:pt>
                <c:pt idx="79">
                  <c:v>3686484</c:v>
                </c:pt>
                <c:pt idx="80">
                  <c:v>3732393</c:v>
                </c:pt>
                <c:pt idx="81">
                  <c:v>3782381</c:v>
                </c:pt>
                <c:pt idx="82">
                  <c:v>3831417</c:v>
                </c:pt>
                <c:pt idx="83">
                  <c:v>3912845</c:v>
                </c:pt>
                <c:pt idx="84">
                  <c:v>3922380</c:v>
                </c:pt>
                <c:pt idx="85">
                  <c:v>3993926</c:v>
                </c:pt>
                <c:pt idx="86">
                  <c:v>4036169</c:v>
                </c:pt>
                <c:pt idx="87">
                  <c:v>4076528</c:v>
                </c:pt>
                <c:pt idx="88">
                  <c:v>4108092</c:v>
                </c:pt>
                <c:pt idx="89">
                  <c:v>4140825</c:v>
                </c:pt>
                <c:pt idx="90">
                  <c:v>4181431</c:v>
                </c:pt>
                <c:pt idx="91">
                  <c:v>4232381</c:v>
                </c:pt>
                <c:pt idx="92">
                  <c:v>4280157</c:v>
                </c:pt>
                <c:pt idx="93">
                  <c:v>4329929</c:v>
                </c:pt>
                <c:pt idx="94">
                  <c:v>4389148</c:v>
                </c:pt>
                <c:pt idx="95">
                  <c:v>4464519</c:v>
                </c:pt>
                <c:pt idx="96">
                  <c:v>4451478</c:v>
                </c:pt>
                <c:pt idx="97">
                  <c:v>4474505</c:v>
                </c:pt>
                <c:pt idx="98">
                  <c:v>4526411</c:v>
                </c:pt>
                <c:pt idx="99">
                  <c:v>4589781</c:v>
                </c:pt>
                <c:pt idx="100">
                  <c:v>4591635</c:v>
                </c:pt>
                <c:pt idx="101">
                  <c:v>4652411</c:v>
                </c:pt>
                <c:pt idx="102">
                  <c:v>4713446</c:v>
                </c:pt>
                <c:pt idx="103">
                  <c:v>4792371</c:v>
                </c:pt>
                <c:pt idx="104">
                  <c:v>4882482</c:v>
                </c:pt>
                <c:pt idx="105">
                  <c:v>4935580</c:v>
                </c:pt>
                <c:pt idx="106">
                  <c:v>5049032</c:v>
                </c:pt>
                <c:pt idx="107">
                  <c:v>5176062</c:v>
                </c:pt>
                <c:pt idx="108">
                  <c:v>5214178</c:v>
                </c:pt>
                <c:pt idx="109">
                  <c:v>5301002</c:v>
                </c:pt>
                <c:pt idx="110">
                  <c:v>5408938</c:v>
                </c:pt>
                <c:pt idx="111">
                  <c:v>5527172</c:v>
                </c:pt>
                <c:pt idx="112">
                  <c:v>5628078</c:v>
                </c:pt>
                <c:pt idx="113">
                  <c:v>5744447</c:v>
                </c:pt>
                <c:pt idx="114">
                  <c:v>5852754</c:v>
                </c:pt>
                <c:pt idx="115">
                  <c:v>5978286</c:v>
                </c:pt>
                <c:pt idx="116">
                  <c:v>6108197</c:v>
                </c:pt>
                <c:pt idx="117">
                  <c:v>6192574</c:v>
                </c:pt>
                <c:pt idx="118">
                  <c:v>6346175</c:v>
                </c:pt>
                <c:pt idx="119">
                  <c:v>6399125</c:v>
                </c:pt>
                <c:pt idx="120">
                  <c:v>6634400</c:v>
                </c:pt>
                <c:pt idx="121">
                  <c:v>6747958</c:v>
                </c:pt>
                <c:pt idx="122">
                  <c:v>6851944</c:v>
                </c:pt>
                <c:pt idx="123">
                  <c:v>6966595</c:v>
                </c:pt>
                <c:pt idx="124">
                  <c:v>7040227</c:v>
                </c:pt>
                <c:pt idx="125">
                  <c:v>7117413</c:v>
                </c:pt>
                <c:pt idx="126">
                  <c:v>7131892</c:v>
                </c:pt>
                <c:pt idx="127">
                  <c:v>7241983</c:v>
                </c:pt>
                <c:pt idx="128">
                  <c:v>7354700</c:v>
                </c:pt>
                <c:pt idx="129">
                  <c:v>7384738</c:v>
                </c:pt>
                <c:pt idx="130">
                  <c:v>7523413</c:v>
                </c:pt>
                <c:pt idx="131">
                  <c:v>7635233</c:v>
                </c:pt>
                <c:pt idx="132">
                  <c:v>7691709</c:v>
                </c:pt>
                <c:pt idx="133">
                  <c:v>7818153</c:v>
                </c:pt>
                <c:pt idx="134">
                  <c:v>7943382</c:v>
                </c:pt>
                <c:pt idx="135">
                  <c:v>8008025</c:v>
                </c:pt>
                <c:pt idx="136">
                  <c:v>8079780</c:v>
                </c:pt>
                <c:pt idx="137">
                  <c:v>8194510</c:v>
                </c:pt>
                <c:pt idx="138">
                  <c:v>8374341</c:v>
                </c:pt>
                <c:pt idx="139">
                  <c:v>8577360</c:v>
                </c:pt>
                <c:pt idx="140">
                  <c:v>8841775</c:v>
                </c:pt>
                <c:pt idx="141">
                  <c:v>9124657</c:v>
                </c:pt>
                <c:pt idx="142">
                  <c:v>9152675</c:v>
                </c:pt>
                <c:pt idx="143">
                  <c:v>9292031</c:v>
                </c:pt>
                <c:pt idx="144">
                  <c:v>9376452</c:v>
                </c:pt>
                <c:pt idx="145">
                  <c:v>9560962</c:v>
                </c:pt>
                <c:pt idx="146">
                  <c:v>9791979</c:v>
                </c:pt>
                <c:pt idx="147">
                  <c:v>10071434</c:v>
                </c:pt>
                <c:pt idx="148">
                  <c:v>10283733</c:v>
                </c:pt>
                <c:pt idx="149">
                  <c:v>10576222</c:v>
                </c:pt>
                <c:pt idx="150">
                  <c:v>10782019</c:v>
                </c:pt>
                <c:pt idx="151">
                  <c:v>10968749</c:v>
                </c:pt>
                <c:pt idx="152">
                  <c:v>11208347</c:v>
                </c:pt>
                <c:pt idx="153">
                  <c:v>11433941</c:v>
                </c:pt>
                <c:pt idx="154">
                  <c:v>11455360</c:v>
                </c:pt>
                <c:pt idx="155">
                  <c:v>11765807</c:v>
                </c:pt>
                <c:pt idx="156">
                  <c:v>11903853</c:v>
                </c:pt>
                <c:pt idx="157">
                  <c:v>12175992</c:v>
                </c:pt>
                <c:pt idx="158">
                  <c:v>12447133</c:v>
                </c:pt>
                <c:pt idx="159">
                  <c:v>12436289</c:v>
                </c:pt>
                <c:pt idx="160">
                  <c:v>12424644</c:v>
                </c:pt>
                <c:pt idx="161">
                  <c:v>12514054</c:v>
                </c:pt>
                <c:pt idx="162">
                  <c:v>12686975</c:v>
                </c:pt>
                <c:pt idx="163">
                  <c:v>12798727</c:v>
                </c:pt>
                <c:pt idx="164">
                  <c:v>13098567</c:v>
                </c:pt>
                <c:pt idx="165">
                  <c:v>13326562</c:v>
                </c:pt>
                <c:pt idx="166">
                  <c:v>13533292</c:v>
                </c:pt>
                <c:pt idx="167">
                  <c:v>13848612</c:v>
                </c:pt>
                <c:pt idx="168">
                  <c:v>13930343</c:v>
                </c:pt>
                <c:pt idx="169">
                  <c:v>14147170</c:v>
                </c:pt>
                <c:pt idx="170">
                  <c:v>14447971</c:v>
                </c:pt>
                <c:pt idx="171">
                  <c:v>14755312</c:v>
                </c:pt>
                <c:pt idx="172">
                  <c:v>15087428</c:v>
                </c:pt>
                <c:pt idx="173">
                  <c:v>15451210</c:v>
                </c:pt>
                <c:pt idx="174">
                  <c:v>15655105</c:v>
                </c:pt>
                <c:pt idx="175">
                  <c:v>16237499</c:v>
                </c:pt>
                <c:pt idx="176">
                  <c:v>16906304</c:v>
                </c:pt>
                <c:pt idx="177">
                  <c:v>17399539</c:v>
                </c:pt>
                <c:pt idx="178">
                  <c:v>17728848</c:v>
                </c:pt>
              </c:numCache>
            </c:numRef>
          </c:xVal>
          <c:yVal>
            <c:numRef>
              <c:f>'[1]Данные +поле (2)'!$G$6:$G$185</c:f>
              <c:numCache>
                <c:formatCode>General</c:formatCode>
                <c:ptCount val="180"/>
                <c:pt idx="0">
                  <c:v>14.35</c:v>
                </c:pt>
                <c:pt idx="1">
                  <c:v>14.5</c:v>
                </c:pt>
                <c:pt idx="2">
                  <c:v>14.67</c:v>
                </c:pt>
                <c:pt idx="3">
                  <c:v>14.71</c:v>
                </c:pt>
                <c:pt idx="4">
                  <c:v>14.84</c:v>
                </c:pt>
                <c:pt idx="5">
                  <c:v>14.86</c:v>
                </c:pt>
                <c:pt idx="6">
                  <c:v>14.88</c:v>
                </c:pt>
                <c:pt idx="7">
                  <c:v>14.85</c:v>
                </c:pt>
                <c:pt idx="8">
                  <c:v>14.8</c:v>
                </c:pt>
                <c:pt idx="9">
                  <c:v>14.76</c:v>
                </c:pt>
                <c:pt idx="10">
                  <c:v>14.72</c:v>
                </c:pt>
                <c:pt idx="11">
                  <c:v>14.59</c:v>
                </c:pt>
                <c:pt idx="12">
                  <c:v>14.17</c:v>
                </c:pt>
                <c:pt idx="13">
                  <c:v>14.01</c:v>
                </c:pt>
                <c:pt idx="14">
                  <c:v>13.85</c:v>
                </c:pt>
                <c:pt idx="15">
                  <c:v>13.8</c:v>
                </c:pt>
                <c:pt idx="16">
                  <c:v>13.75</c:v>
                </c:pt>
                <c:pt idx="17">
                  <c:v>13.71</c:v>
                </c:pt>
                <c:pt idx="18">
                  <c:v>13.67</c:v>
                </c:pt>
                <c:pt idx="19">
                  <c:v>13.65</c:v>
                </c:pt>
                <c:pt idx="20">
                  <c:v>13.63</c:v>
                </c:pt>
                <c:pt idx="21">
                  <c:v>13.51</c:v>
                </c:pt>
                <c:pt idx="22">
                  <c:v>13.44</c:v>
                </c:pt>
                <c:pt idx="23">
                  <c:v>13.29</c:v>
                </c:pt>
                <c:pt idx="24">
                  <c:v>12.96</c:v>
                </c:pt>
                <c:pt idx="25">
                  <c:v>12.74</c:v>
                </c:pt>
                <c:pt idx="26">
                  <c:v>12.64</c:v>
                </c:pt>
                <c:pt idx="27">
                  <c:v>12.47</c:v>
                </c:pt>
                <c:pt idx="28">
                  <c:v>12.4</c:v>
                </c:pt>
                <c:pt idx="29">
                  <c:v>12.35</c:v>
                </c:pt>
                <c:pt idx="30">
                  <c:v>12.29</c:v>
                </c:pt>
                <c:pt idx="31">
                  <c:v>12.22</c:v>
                </c:pt>
                <c:pt idx="32">
                  <c:v>12.15</c:v>
                </c:pt>
                <c:pt idx="33">
                  <c:v>12.08</c:v>
                </c:pt>
                <c:pt idx="34">
                  <c:v>12.03</c:v>
                </c:pt>
                <c:pt idx="35">
                  <c:v>11.98</c:v>
                </c:pt>
                <c:pt idx="36">
                  <c:v>11.92</c:v>
                </c:pt>
                <c:pt idx="37">
                  <c:v>11.98</c:v>
                </c:pt>
                <c:pt idx="38">
                  <c:v>12.05</c:v>
                </c:pt>
                <c:pt idx="39">
                  <c:v>12.09</c:v>
                </c:pt>
                <c:pt idx="40">
                  <c:v>12.12</c:v>
                </c:pt>
                <c:pt idx="41">
                  <c:v>12.14</c:v>
                </c:pt>
                <c:pt idx="42">
                  <c:v>12.16</c:v>
                </c:pt>
                <c:pt idx="43">
                  <c:v>12.19</c:v>
                </c:pt>
                <c:pt idx="44">
                  <c:v>12.21</c:v>
                </c:pt>
                <c:pt idx="45">
                  <c:v>12.25</c:v>
                </c:pt>
                <c:pt idx="46">
                  <c:v>12.29</c:v>
                </c:pt>
                <c:pt idx="47">
                  <c:v>12.32</c:v>
                </c:pt>
                <c:pt idx="48">
                  <c:v>12.73</c:v>
                </c:pt>
                <c:pt idx="49">
                  <c:v>12.82</c:v>
                </c:pt>
                <c:pt idx="50">
                  <c:v>12.87</c:v>
                </c:pt>
                <c:pt idx="51">
                  <c:v>12.81</c:v>
                </c:pt>
                <c:pt idx="52">
                  <c:v>12.8</c:v>
                </c:pt>
                <c:pt idx="53">
                  <c:v>12.76</c:v>
                </c:pt>
                <c:pt idx="54">
                  <c:v>12.71</c:v>
                </c:pt>
                <c:pt idx="55">
                  <c:v>12.67</c:v>
                </c:pt>
                <c:pt idx="56">
                  <c:v>12.64</c:v>
                </c:pt>
                <c:pt idx="57">
                  <c:v>12.6</c:v>
                </c:pt>
                <c:pt idx="58">
                  <c:v>12.56</c:v>
                </c:pt>
                <c:pt idx="59">
                  <c:v>12.51</c:v>
                </c:pt>
                <c:pt idx="60">
                  <c:v>12.3</c:v>
                </c:pt>
                <c:pt idx="61">
                  <c:v>12.3</c:v>
                </c:pt>
                <c:pt idx="62">
                  <c:v>12.18</c:v>
                </c:pt>
                <c:pt idx="63">
                  <c:v>12.22</c:v>
                </c:pt>
                <c:pt idx="64">
                  <c:v>12.22</c:v>
                </c:pt>
                <c:pt idx="65">
                  <c:v>12.22</c:v>
                </c:pt>
                <c:pt idx="66">
                  <c:v>12.23</c:v>
                </c:pt>
                <c:pt idx="67">
                  <c:v>12.24</c:v>
                </c:pt>
                <c:pt idx="68">
                  <c:v>12.27</c:v>
                </c:pt>
                <c:pt idx="69">
                  <c:v>12.34</c:v>
                </c:pt>
                <c:pt idx="70">
                  <c:v>12.37</c:v>
                </c:pt>
                <c:pt idx="71">
                  <c:v>12.47</c:v>
                </c:pt>
                <c:pt idx="72">
                  <c:v>14.16</c:v>
                </c:pt>
                <c:pt idx="73">
                  <c:v>14.46</c:v>
                </c:pt>
                <c:pt idx="74">
                  <c:v>14.54</c:v>
                </c:pt>
                <c:pt idx="75">
                  <c:v>14.41</c:v>
                </c:pt>
                <c:pt idx="76">
                  <c:v>14.23</c:v>
                </c:pt>
                <c:pt idx="77">
                  <c:v>14.05</c:v>
                </c:pt>
                <c:pt idx="78">
                  <c:v>13.95</c:v>
                </c:pt>
                <c:pt idx="79">
                  <c:v>13.79</c:v>
                </c:pt>
                <c:pt idx="80">
                  <c:v>13.7</c:v>
                </c:pt>
                <c:pt idx="81">
                  <c:v>13.59</c:v>
                </c:pt>
                <c:pt idx="82">
                  <c:v>13.44</c:v>
                </c:pt>
                <c:pt idx="83">
                  <c:v>13.36</c:v>
                </c:pt>
                <c:pt idx="84">
                  <c:v>12.51</c:v>
                </c:pt>
                <c:pt idx="85">
                  <c:v>12.24</c:v>
                </c:pt>
                <c:pt idx="86">
                  <c:v>12.48</c:v>
                </c:pt>
                <c:pt idx="87">
                  <c:v>12.6</c:v>
                </c:pt>
                <c:pt idx="88">
                  <c:v>12.7</c:v>
                </c:pt>
                <c:pt idx="89">
                  <c:v>12.74</c:v>
                </c:pt>
                <c:pt idx="90">
                  <c:v>12.75</c:v>
                </c:pt>
                <c:pt idx="91">
                  <c:v>12.74</c:v>
                </c:pt>
                <c:pt idx="92">
                  <c:v>12.71</c:v>
                </c:pt>
                <c:pt idx="93">
                  <c:v>12.68</c:v>
                </c:pt>
                <c:pt idx="94">
                  <c:v>12.62</c:v>
                </c:pt>
                <c:pt idx="95">
                  <c:v>12.49</c:v>
                </c:pt>
                <c:pt idx="96">
                  <c:v>11.84</c:v>
                </c:pt>
                <c:pt idx="97">
                  <c:v>11.9</c:v>
                </c:pt>
                <c:pt idx="98">
                  <c:v>11.81</c:v>
                </c:pt>
                <c:pt idx="99">
                  <c:v>11.69</c:v>
                </c:pt>
                <c:pt idx="100">
                  <c:v>11.61</c:v>
                </c:pt>
                <c:pt idx="101">
                  <c:v>11.5</c:v>
                </c:pt>
                <c:pt idx="102">
                  <c:v>11.41</c:v>
                </c:pt>
                <c:pt idx="103">
                  <c:v>11.28</c:v>
                </c:pt>
                <c:pt idx="104">
                  <c:v>11.1</c:v>
                </c:pt>
                <c:pt idx="105">
                  <c:v>10.94</c:v>
                </c:pt>
                <c:pt idx="106">
                  <c:v>10.78</c:v>
                </c:pt>
                <c:pt idx="107">
                  <c:v>10.64</c:v>
                </c:pt>
                <c:pt idx="108">
                  <c:v>9.85</c:v>
                </c:pt>
                <c:pt idx="109">
                  <c:v>9.8000000000000007</c:v>
                </c:pt>
                <c:pt idx="110">
                  <c:v>9.74</c:v>
                </c:pt>
                <c:pt idx="111">
                  <c:v>9.69</c:v>
                </c:pt>
                <c:pt idx="112">
                  <c:v>9.66</c:v>
                </c:pt>
                <c:pt idx="113">
                  <c:v>9.6300000000000008</c:v>
                </c:pt>
                <c:pt idx="114">
                  <c:v>9.6199999999999992</c:v>
                </c:pt>
                <c:pt idx="115">
                  <c:v>9.59</c:v>
                </c:pt>
                <c:pt idx="116">
                  <c:v>9.57</c:v>
                </c:pt>
                <c:pt idx="117">
                  <c:v>9.5500000000000007</c:v>
                </c:pt>
                <c:pt idx="118">
                  <c:v>9.5399999999999991</c:v>
                </c:pt>
                <c:pt idx="119">
                  <c:v>9.56</c:v>
                </c:pt>
                <c:pt idx="120">
                  <c:v>9.89</c:v>
                </c:pt>
                <c:pt idx="121">
                  <c:v>10.041232200381501</c:v>
                </c:pt>
                <c:pt idx="122">
                  <c:v>10.1789149612837</c:v>
                </c:pt>
                <c:pt idx="123">
                  <c:v>10.2859873759684</c:v>
                </c:pt>
                <c:pt idx="124">
                  <c:v>10.331957596990399</c:v>
                </c:pt>
                <c:pt idx="125">
                  <c:v>10.326385645079499</c:v>
                </c:pt>
                <c:pt idx="126">
                  <c:v>10.311475768752601</c:v>
                </c:pt>
                <c:pt idx="127">
                  <c:v>10.2546199802598</c:v>
                </c:pt>
                <c:pt idx="128">
                  <c:v>10.1825783703665</c:v>
                </c:pt>
                <c:pt idx="129">
                  <c:v>10.087088793971599</c:v>
                </c:pt>
                <c:pt idx="130">
                  <c:v>9.9902794634507206</c:v>
                </c:pt>
                <c:pt idx="131">
                  <c:v>9.8723788597368003</c:v>
                </c:pt>
                <c:pt idx="132">
                  <c:v>8.8461050481398793</c:v>
                </c:pt>
                <c:pt idx="133">
                  <c:v>8.7806310039885602</c:v>
                </c:pt>
                <c:pt idx="134">
                  <c:v>8.7408829550789306</c:v>
                </c:pt>
                <c:pt idx="135">
                  <c:v>8.6726665023301397</c:v>
                </c:pt>
                <c:pt idx="136">
                  <c:v>8.4831671374026403</c:v>
                </c:pt>
                <c:pt idx="137">
                  <c:v>8.3210416613731706</c:v>
                </c:pt>
                <c:pt idx="138">
                  <c:v>8.1340721930653395</c:v>
                </c:pt>
                <c:pt idx="139">
                  <c:v>7.9781386489278301</c:v>
                </c:pt>
                <c:pt idx="140">
                  <c:v>7.8611255994079396</c:v>
                </c:pt>
                <c:pt idx="141">
                  <c:v>7.7719116628776499</c:v>
                </c:pt>
                <c:pt idx="142">
                  <c:v>7.7218226498245697</c:v>
                </c:pt>
                <c:pt idx="143">
                  <c:v>7.6746878268035301</c:v>
                </c:pt>
                <c:pt idx="144">
                  <c:v>7.2299141258069604</c:v>
                </c:pt>
                <c:pt idx="145">
                  <c:v>7.2513492912085402</c:v>
                </c:pt>
                <c:pt idx="146">
                  <c:v>7.24443078895301</c:v>
                </c:pt>
                <c:pt idx="147">
                  <c:v>7.2620010562644604</c:v>
                </c:pt>
                <c:pt idx="148">
                  <c:v>7.2695876776653199</c:v>
                </c:pt>
                <c:pt idx="149">
                  <c:v>7.2278074649192297</c:v>
                </c:pt>
                <c:pt idx="150">
                  <c:v>7.2910729506059297</c:v>
                </c:pt>
                <c:pt idx="151">
                  <c:v>7.3526498285739299</c:v>
                </c:pt>
                <c:pt idx="152">
                  <c:v>7.3986477182112003</c:v>
                </c:pt>
                <c:pt idx="153">
                  <c:v>7.4337074560463297</c:v>
                </c:pt>
                <c:pt idx="154">
                  <c:v>7.4506539075763101</c:v>
                </c:pt>
                <c:pt idx="155">
                  <c:v>7.4929849477907604</c:v>
                </c:pt>
                <c:pt idx="156">
                  <c:v>7.8710020331191002</c:v>
                </c:pt>
                <c:pt idx="157">
                  <c:v>8.0097213077866396</c:v>
                </c:pt>
                <c:pt idx="158">
                  <c:v>8.0245677008932894</c:v>
                </c:pt>
                <c:pt idx="159">
                  <c:v>7.9836573182267196</c:v>
                </c:pt>
                <c:pt idx="160">
                  <c:v>7.8240061910112102</c:v>
                </c:pt>
                <c:pt idx="161">
                  <c:v>7.6231946144807701</c:v>
                </c:pt>
                <c:pt idx="162">
                  <c:v>7.4730127154458303</c:v>
                </c:pt>
                <c:pt idx="163">
                  <c:v>7.3322996986712399</c:v>
                </c:pt>
                <c:pt idx="164">
                  <c:v>7.2284518766563401</c:v>
                </c:pt>
                <c:pt idx="165">
                  <c:v>7.2474614662842498</c:v>
                </c:pt>
                <c:pt idx="166">
                  <c:v>7.2317589554553203</c:v>
                </c:pt>
                <c:pt idx="167">
                  <c:v>7.1434414050691002</c:v>
                </c:pt>
                <c:pt idx="168">
                  <c:v>7.8616709086823704</c:v>
                </c:pt>
                <c:pt idx="169">
                  <c:v>7.9768157043627603</c:v>
                </c:pt>
                <c:pt idx="170">
                  <c:v>8.0681979233267604</c:v>
                </c:pt>
                <c:pt idx="171">
                  <c:v>8.2057718181151102</c:v>
                </c:pt>
                <c:pt idx="172">
                  <c:v>8.2536786290411399</c:v>
                </c:pt>
                <c:pt idx="173">
                  <c:v>8.2937805105220992</c:v>
                </c:pt>
                <c:pt idx="174">
                  <c:v>8.2860723823704596</c:v>
                </c:pt>
                <c:pt idx="175">
                  <c:v>8.2401051969259296</c:v>
                </c:pt>
                <c:pt idx="176">
                  <c:v>8.1827152695892806</c:v>
                </c:pt>
                <c:pt idx="177">
                  <c:v>8.2032766589560797</c:v>
                </c:pt>
                <c:pt idx="178">
                  <c:v>8.2010392879351794</c:v>
                </c:pt>
                <c:pt idx="179">
                  <c:v>7.91200268398799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19-46BE-B839-E577EB95D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542384"/>
        <c:axId val="908540464"/>
      </c:scatterChart>
      <c:valAx>
        <c:axId val="90854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540464"/>
        <c:crosses val="autoZero"/>
        <c:crossBetween val="midCat"/>
      </c:valAx>
      <c:valAx>
        <c:axId val="90854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54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Х3 - 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203937007874015"/>
          <c:y val="0.19486111111111112"/>
          <c:w val="0.8368009623797025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913385826771653E-2"/>
                  <c:y val="-0.486017789442986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'[1]Данные +поле (2)'!$D$6:$D$184</c:f>
              <c:numCache>
                <c:formatCode>General</c:formatCode>
                <c:ptCount val="179"/>
                <c:pt idx="0">
                  <c:v>7262.8</c:v>
                </c:pt>
                <c:pt idx="1">
                  <c:v>8203.1</c:v>
                </c:pt>
                <c:pt idx="2">
                  <c:v>9364.4</c:v>
                </c:pt>
                <c:pt idx="3">
                  <c:v>10768.9</c:v>
                </c:pt>
                <c:pt idx="4">
                  <c:v>12102.2</c:v>
                </c:pt>
                <c:pt idx="5">
                  <c:v>13363.8</c:v>
                </c:pt>
                <c:pt idx="6">
                  <c:v>14490</c:v>
                </c:pt>
                <c:pt idx="7">
                  <c:v>15669.5</c:v>
                </c:pt>
                <c:pt idx="8">
                  <c:v>17218.2</c:v>
                </c:pt>
                <c:pt idx="9">
                  <c:v>18416.400000000001</c:v>
                </c:pt>
                <c:pt idx="10">
                  <c:v>19390.400000000001</c:v>
                </c:pt>
                <c:pt idx="11">
                  <c:v>20660.3</c:v>
                </c:pt>
                <c:pt idx="12">
                  <c:v>21336</c:v>
                </c:pt>
                <c:pt idx="13">
                  <c:v>22247</c:v>
                </c:pt>
                <c:pt idx="14">
                  <c:v>23193</c:v>
                </c:pt>
                <c:pt idx="15">
                  <c:v>24139</c:v>
                </c:pt>
                <c:pt idx="16">
                  <c:v>25071</c:v>
                </c:pt>
                <c:pt idx="17">
                  <c:v>24996</c:v>
                </c:pt>
                <c:pt idx="18">
                  <c:v>26647</c:v>
                </c:pt>
                <c:pt idx="19">
                  <c:v>27270</c:v>
                </c:pt>
                <c:pt idx="20">
                  <c:v>28029</c:v>
                </c:pt>
                <c:pt idx="21">
                  <c:v>28373</c:v>
                </c:pt>
                <c:pt idx="22">
                  <c:v>29214</c:v>
                </c:pt>
                <c:pt idx="23">
                  <c:v>26726</c:v>
                </c:pt>
                <c:pt idx="24">
                  <c:v>27559</c:v>
                </c:pt>
                <c:pt idx="25">
                  <c:v>27539</c:v>
                </c:pt>
                <c:pt idx="26">
                  <c:v>27863</c:v>
                </c:pt>
                <c:pt idx="27">
                  <c:v>27967</c:v>
                </c:pt>
                <c:pt idx="28">
                  <c:v>28647</c:v>
                </c:pt>
                <c:pt idx="29">
                  <c:v>28965</c:v>
                </c:pt>
                <c:pt idx="30">
                  <c:v>29161</c:v>
                </c:pt>
                <c:pt idx="31">
                  <c:v>29158</c:v>
                </c:pt>
                <c:pt idx="32">
                  <c:v>29208</c:v>
                </c:pt>
                <c:pt idx="33">
                  <c:v>29515</c:v>
                </c:pt>
                <c:pt idx="34">
                  <c:v>29786</c:v>
                </c:pt>
                <c:pt idx="35">
                  <c:v>29313</c:v>
                </c:pt>
                <c:pt idx="36">
                  <c:v>29461</c:v>
                </c:pt>
                <c:pt idx="37">
                  <c:v>29847</c:v>
                </c:pt>
                <c:pt idx="38">
                  <c:v>28993</c:v>
                </c:pt>
                <c:pt idx="39">
                  <c:v>29212</c:v>
                </c:pt>
                <c:pt idx="40">
                  <c:v>29116</c:v>
                </c:pt>
                <c:pt idx="41">
                  <c:v>29071</c:v>
                </c:pt>
                <c:pt idx="42">
                  <c:v>29077</c:v>
                </c:pt>
                <c:pt idx="43">
                  <c:v>28999</c:v>
                </c:pt>
                <c:pt idx="44">
                  <c:v>28782</c:v>
                </c:pt>
                <c:pt idx="45">
                  <c:v>28689</c:v>
                </c:pt>
                <c:pt idx="46">
                  <c:v>28497</c:v>
                </c:pt>
                <c:pt idx="47">
                  <c:v>31213</c:v>
                </c:pt>
                <c:pt idx="48">
                  <c:v>31649</c:v>
                </c:pt>
                <c:pt idx="49">
                  <c:v>31576</c:v>
                </c:pt>
                <c:pt idx="50">
                  <c:v>31248</c:v>
                </c:pt>
                <c:pt idx="51">
                  <c:v>31415</c:v>
                </c:pt>
                <c:pt idx="52">
                  <c:v>31179</c:v>
                </c:pt>
                <c:pt idx="53">
                  <c:v>29994</c:v>
                </c:pt>
                <c:pt idx="54">
                  <c:v>30487</c:v>
                </c:pt>
                <c:pt idx="55">
                  <c:v>30362</c:v>
                </c:pt>
                <c:pt idx="56">
                  <c:v>29123</c:v>
                </c:pt>
                <c:pt idx="57">
                  <c:v>29002</c:v>
                </c:pt>
                <c:pt idx="58">
                  <c:v>28575</c:v>
                </c:pt>
                <c:pt idx="59">
                  <c:v>27783</c:v>
                </c:pt>
                <c:pt idx="60">
                  <c:v>28057</c:v>
                </c:pt>
                <c:pt idx="61">
                  <c:v>28410</c:v>
                </c:pt>
                <c:pt idx="62">
                  <c:v>28296</c:v>
                </c:pt>
                <c:pt idx="63">
                  <c:v>28611</c:v>
                </c:pt>
                <c:pt idx="64">
                  <c:v>28932</c:v>
                </c:pt>
                <c:pt idx="65">
                  <c:v>28983</c:v>
                </c:pt>
                <c:pt idx="66">
                  <c:v>29587</c:v>
                </c:pt>
                <c:pt idx="67">
                  <c:v>29800</c:v>
                </c:pt>
                <c:pt idx="68">
                  <c:v>29654</c:v>
                </c:pt>
                <c:pt idx="69">
                  <c:v>29946</c:v>
                </c:pt>
                <c:pt idx="70">
                  <c:v>30464</c:v>
                </c:pt>
                <c:pt idx="71">
                  <c:v>32131</c:v>
                </c:pt>
                <c:pt idx="72">
                  <c:v>32840</c:v>
                </c:pt>
                <c:pt idx="73">
                  <c:v>33401</c:v>
                </c:pt>
                <c:pt idx="74">
                  <c:v>34635</c:v>
                </c:pt>
                <c:pt idx="75">
                  <c:v>35794</c:v>
                </c:pt>
                <c:pt idx="76">
                  <c:v>36733</c:v>
                </c:pt>
                <c:pt idx="77">
                  <c:v>37602</c:v>
                </c:pt>
                <c:pt idx="78">
                  <c:v>38506</c:v>
                </c:pt>
                <c:pt idx="79">
                  <c:v>39958</c:v>
                </c:pt>
                <c:pt idx="80">
                  <c:v>40840</c:v>
                </c:pt>
                <c:pt idx="81">
                  <c:v>41743</c:v>
                </c:pt>
                <c:pt idx="82">
                  <c:v>43280</c:v>
                </c:pt>
                <c:pt idx="83">
                  <c:v>44226</c:v>
                </c:pt>
                <c:pt idx="84">
                  <c:v>45617</c:v>
                </c:pt>
                <c:pt idx="85">
                  <c:v>46740</c:v>
                </c:pt>
                <c:pt idx="86">
                  <c:v>47912</c:v>
                </c:pt>
                <c:pt idx="87">
                  <c:v>48698</c:v>
                </c:pt>
                <c:pt idx="88">
                  <c:v>50234</c:v>
                </c:pt>
                <c:pt idx="89">
                  <c:v>50699</c:v>
                </c:pt>
                <c:pt idx="90">
                  <c:v>51613</c:v>
                </c:pt>
                <c:pt idx="91">
                  <c:v>52514</c:v>
                </c:pt>
                <c:pt idx="92">
                  <c:v>52264</c:v>
                </c:pt>
                <c:pt idx="93">
                  <c:v>52719</c:v>
                </c:pt>
                <c:pt idx="94">
                  <c:v>53248</c:v>
                </c:pt>
                <c:pt idx="95">
                  <c:v>52837</c:v>
                </c:pt>
                <c:pt idx="96">
                  <c:v>53690</c:v>
                </c:pt>
                <c:pt idx="97">
                  <c:v>54391</c:v>
                </c:pt>
                <c:pt idx="98">
                  <c:v>55581</c:v>
                </c:pt>
                <c:pt idx="99">
                  <c:v>56305</c:v>
                </c:pt>
                <c:pt idx="100">
                  <c:v>57485</c:v>
                </c:pt>
                <c:pt idx="101">
                  <c:v>57226</c:v>
                </c:pt>
                <c:pt idx="102">
                  <c:v>58480</c:v>
                </c:pt>
                <c:pt idx="103">
                  <c:v>58842</c:v>
                </c:pt>
                <c:pt idx="104">
                  <c:v>59530</c:v>
                </c:pt>
                <c:pt idx="105">
                  <c:v>60612</c:v>
                </c:pt>
                <c:pt idx="106">
                  <c:v>61289</c:v>
                </c:pt>
                <c:pt idx="107">
                  <c:v>59654</c:v>
                </c:pt>
                <c:pt idx="108">
                  <c:v>60222</c:v>
                </c:pt>
                <c:pt idx="109">
                  <c:v>60783</c:v>
                </c:pt>
                <c:pt idx="110">
                  <c:v>60491</c:v>
                </c:pt>
                <c:pt idx="111">
                  <c:v>61069</c:v>
                </c:pt>
                <c:pt idx="112">
                  <c:v>61882</c:v>
                </c:pt>
                <c:pt idx="113">
                  <c:v>61838</c:v>
                </c:pt>
                <c:pt idx="114">
                  <c:v>63135</c:v>
                </c:pt>
                <c:pt idx="115">
                  <c:v>63698</c:v>
                </c:pt>
                <c:pt idx="116">
                  <c:v>64079</c:v>
                </c:pt>
                <c:pt idx="117">
                  <c:v>64616</c:v>
                </c:pt>
                <c:pt idx="118">
                  <c:v>64442</c:v>
                </c:pt>
                <c:pt idx="119">
                  <c:v>64650</c:v>
                </c:pt>
                <c:pt idx="120">
                  <c:v>67117</c:v>
                </c:pt>
                <c:pt idx="121">
                  <c:v>66707</c:v>
                </c:pt>
                <c:pt idx="122">
                  <c:v>66568</c:v>
                </c:pt>
                <c:pt idx="123">
                  <c:v>66762</c:v>
                </c:pt>
                <c:pt idx="124">
                  <c:v>67524</c:v>
                </c:pt>
                <c:pt idx="125">
                  <c:v>67391</c:v>
                </c:pt>
                <c:pt idx="126">
                  <c:v>68157</c:v>
                </c:pt>
                <c:pt idx="127">
                  <c:v>67984</c:v>
                </c:pt>
                <c:pt idx="128">
                  <c:v>67860</c:v>
                </c:pt>
                <c:pt idx="129">
                  <c:v>67704</c:v>
                </c:pt>
                <c:pt idx="130">
                  <c:v>67871</c:v>
                </c:pt>
                <c:pt idx="131">
                  <c:v>67174</c:v>
                </c:pt>
                <c:pt idx="132">
                  <c:v>68435</c:v>
                </c:pt>
                <c:pt idx="133">
                  <c:v>68439</c:v>
                </c:pt>
                <c:pt idx="134">
                  <c:v>68021</c:v>
                </c:pt>
                <c:pt idx="135">
                  <c:v>68343</c:v>
                </c:pt>
                <c:pt idx="136">
                  <c:v>69697</c:v>
                </c:pt>
                <c:pt idx="137">
                  <c:v>69751</c:v>
                </c:pt>
                <c:pt idx="138">
                  <c:v>70229</c:v>
                </c:pt>
                <c:pt idx="139">
                  <c:v>73422</c:v>
                </c:pt>
                <c:pt idx="140">
                  <c:v>74187</c:v>
                </c:pt>
                <c:pt idx="141">
                  <c:v>75062</c:v>
                </c:pt>
                <c:pt idx="142">
                  <c:v>75987</c:v>
                </c:pt>
                <c:pt idx="143">
                  <c:v>74894</c:v>
                </c:pt>
                <c:pt idx="144">
                  <c:v>75492</c:v>
                </c:pt>
                <c:pt idx="145">
                  <c:v>74706</c:v>
                </c:pt>
                <c:pt idx="146">
                  <c:v>74043</c:v>
                </c:pt>
                <c:pt idx="147">
                  <c:v>72666</c:v>
                </c:pt>
                <c:pt idx="148">
                  <c:v>72660</c:v>
                </c:pt>
                <c:pt idx="149">
                  <c:v>70563</c:v>
                </c:pt>
                <c:pt idx="150">
                  <c:v>69360</c:v>
                </c:pt>
                <c:pt idx="151">
                  <c:v>68971</c:v>
                </c:pt>
                <c:pt idx="152">
                  <c:v>67154</c:v>
                </c:pt>
                <c:pt idx="153">
                  <c:v>65602</c:v>
                </c:pt>
                <c:pt idx="154">
                  <c:v>64608</c:v>
                </c:pt>
                <c:pt idx="155">
                  <c:v>61816</c:v>
                </c:pt>
                <c:pt idx="156">
                  <c:v>61875</c:v>
                </c:pt>
                <c:pt idx="157">
                  <c:v>61522</c:v>
                </c:pt>
                <c:pt idx="158">
                  <c:v>59390</c:v>
                </c:pt>
                <c:pt idx="159">
                  <c:v>58465</c:v>
                </c:pt>
                <c:pt idx="160">
                  <c:v>58413</c:v>
                </c:pt>
                <c:pt idx="161">
                  <c:v>57901</c:v>
                </c:pt>
                <c:pt idx="162">
                  <c:v>57230</c:v>
                </c:pt>
                <c:pt idx="163">
                  <c:v>58171</c:v>
                </c:pt>
                <c:pt idx="164">
                  <c:v>58481</c:v>
                </c:pt>
                <c:pt idx="165">
                  <c:v>58517</c:v>
                </c:pt>
                <c:pt idx="166">
                  <c:v>58630</c:v>
                </c:pt>
                <c:pt idx="167">
                  <c:v>57536</c:v>
                </c:pt>
                <c:pt idx="168">
                  <c:v>58479</c:v>
                </c:pt>
                <c:pt idx="169">
                  <c:v>59359</c:v>
                </c:pt>
                <c:pt idx="170">
                  <c:v>58147</c:v>
                </c:pt>
                <c:pt idx="171">
                  <c:v>58215</c:v>
                </c:pt>
                <c:pt idx="172">
                  <c:v>58845</c:v>
                </c:pt>
                <c:pt idx="173">
                  <c:v>58436</c:v>
                </c:pt>
                <c:pt idx="174">
                  <c:v>58567</c:v>
                </c:pt>
                <c:pt idx="175">
                  <c:v>59002</c:v>
                </c:pt>
                <c:pt idx="176">
                  <c:v>59002</c:v>
                </c:pt>
                <c:pt idx="177">
                  <c:v>60279</c:v>
                </c:pt>
                <c:pt idx="178">
                  <c:v>61451</c:v>
                </c:pt>
              </c:numCache>
            </c:numRef>
          </c:xVal>
          <c:yVal>
            <c:numRef>
              <c:f>'[1]Данные +поле (2)'!$G$6:$G$184</c:f>
              <c:numCache>
                <c:formatCode>General</c:formatCode>
                <c:ptCount val="179"/>
                <c:pt idx="0">
                  <c:v>14.35</c:v>
                </c:pt>
                <c:pt idx="1">
                  <c:v>14.5</c:v>
                </c:pt>
                <c:pt idx="2">
                  <c:v>14.67</c:v>
                </c:pt>
                <c:pt idx="3">
                  <c:v>14.71</c:v>
                </c:pt>
                <c:pt idx="4">
                  <c:v>14.84</c:v>
                </c:pt>
                <c:pt idx="5">
                  <c:v>14.86</c:v>
                </c:pt>
                <c:pt idx="6">
                  <c:v>14.88</c:v>
                </c:pt>
                <c:pt idx="7">
                  <c:v>14.85</c:v>
                </c:pt>
                <c:pt idx="8">
                  <c:v>14.8</c:v>
                </c:pt>
                <c:pt idx="9">
                  <c:v>14.76</c:v>
                </c:pt>
                <c:pt idx="10">
                  <c:v>14.72</c:v>
                </c:pt>
                <c:pt idx="11">
                  <c:v>14.59</c:v>
                </c:pt>
                <c:pt idx="12">
                  <c:v>14.17</c:v>
                </c:pt>
                <c:pt idx="13">
                  <c:v>14.01</c:v>
                </c:pt>
                <c:pt idx="14">
                  <c:v>13.85</c:v>
                </c:pt>
                <c:pt idx="15">
                  <c:v>13.8</c:v>
                </c:pt>
                <c:pt idx="16">
                  <c:v>13.75</c:v>
                </c:pt>
                <c:pt idx="17">
                  <c:v>13.71</c:v>
                </c:pt>
                <c:pt idx="18">
                  <c:v>13.67</c:v>
                </c:pt>
                <c:pt idx="19">
                  <c:v>13.65</c:v>
                </c:pt>
                <c:pt idx="20">
                  <c:v>13.63</c:v>
                </c:pt>
                <c:pt idx="21">
                  <c:v>13.51</c:v>
                </c:pt>
                <c:pt idx="22">
                  <c:v>13.44</c:v>
                </c:pt>
                <c:pt idx="23">
                  <c:v>13.29</c:v>
                </c:pt>
                <c:pt idx="24">
                  <c:v>12.96</c:v>
                </c:pt>
                <c:pt idx="25">
                  <c:v>12.74</c:v>
                </c:pt>
                <c:pt idx="26">
                  <c:v>12.64</c:v>
                </c:pt>
                <c:pt idx="27">
                  <c:v>12.47</c:v>
                </c:pt>
                <c:pt idx="28">
                  <c:v>12.4</c:v>
                </c:pt>
                <c:pt idx="29">
                  <c:v>12.35</c:v>
                </c:pt>
                <c:pt idx="30">
                  <c:v>12.29</c:v>
                </c:pt>
                <c:pt idx="31">
                  <c:v>12.22</c:v>
                </c:pt>
                <c:pt idx="32">
                  <c:v>12.15</c:v>
                </c:pt>
                <c:pt idx="33">
                  <c:v>12.08</c:v>
                </c:pt>
                <c:pt idx="34">
                  <c:v>12.03</c:v>
                </c:pt>
                <c:pt idx="35">
                  <c:v>11.98</c:v>
                </c:pt>
                <c:pt idx="36">
                  <c:v>11.92</c:v>
                </c:pt>
                <c:pt idx="37">
                  <c:v>11.98</c:v>
                </c:pt>
                <c:pt idx="38">
                  <c:v>12.05</c:v>
                </c:pt>
                <c:pt idx="39">
                  <c:v>12.09</c:v>
                </c:pt>
                <c:pt idx="40">
                  <c:v>12.12</c:v>
                </c:pt>
                <c:pt idx="41">
                  <c:v>12.14</c:v>
                </c:pt>
                <c:pt idx="42">
                  <c:v>12.16</c:v>
                </c:pt>
                <c:pt idx="43">
                  <c:v>12.19</c:v>
                </c:pt>
                <c:pt idx="44">
                  <c:v>12.21</c:v>
                </c:pt>
                <c:pt idx="45">
                  <c:v>12.25</c:v>
                </c:pt>
                <c:pt idx="46">
                  <c:v>12.29</c:v>
                </c:pt>
                <c:pt idx="47">
                  <c:v>12.32</c:v>
                </c:pt>
                <c:pt idx="48">
                  <c:v>12.73</c:v>
                </c:pt>
                <c:pt idx="49">
                  <c:v>12.82</c:v>
                </c:pt>
                <c:pt idx="50">
                  <c:v>12.87</c:v>
                </c:pt>
                <c:pt idx="51">
                  <c:v>12.81</c:v>
                </c:pt>
                <c:pt idx="52">
                  <c:v>12.8</c:v>
                </c:pt>
                <c:pt idx="53">
                  <c:v>12.76</c:v>
                </c:pt>
                <c:pt idx="54">
                  <c:v>12.71</c:v>
                </c:pt>
                <c:pt idx="55">
                  <c:v>12.67</c:v>
                </c:pt>
                <c:pt idx="56">
                  <c:v>12.64</c:v>
                </c:pt>
                <c:pt idx="57">
                  <c:v>12.6</c:v>
                </c:pt>
                <c:pt idx="58">
                  <c:v>12.56</c:v>
                </c:pt>
                <c:pt idx="59">
                  <c:v>12.51</c:v>
                </c:pt>
                <c:pt idx="60">
                  <c:v>12.3</c:v>
                </c:pt>
                <c:pt idx="61">
                  <c:v>12.3</c:v>
                </c:pt>
                <c:pt idx="62">
                  <c:v>12.18</c:v>
                </c:pt>
                <c:pt idx="63">
                  <c:v>12.22</c:v>
                </c:pt>
                <c:pt idx="64">
                  <c:v>12.22</c:v>
                </c:pt>
                <c:pt idx="65">
                  <c:v>12.22</c:v>
                </c:pt>
                <c:pt idx="66">
                  <c:v>12.23</c:v>
                </c:pt>
                <c:pt idx="67">
                  <c:v>12.24</c:v>
                </c:pt>
                <c:pt idx="68">
                  <c:v>12.27</c:v>
                </c:pt>
                <c:pt idx="69">
                  <c:v>12.34</c:v>
                </c:pt>
                <c:pt idx="70">
                  <c:v>12.37</c:v>
                </c:pt>
                <c:pt idx="71">
                  <c:v>12.47</c:v>
                </c:pt>
                <c:pt idx="72">
                  <c:v>14.16</c:v>
                </c:pt>
                <c:pt idx="73">
                  <c:v>14.46</c:v>
                </c:pt>
                <c:pt idx="74">
                  <c:v>14.54</c:v>
                </c:pt>
                <c:pt idx="75">
                  <c:v>14.41</c:v>
                </c:pt>
                <c:pt idx="76">
                  <c:v>14.23</c:v>
                </c:pt>
                <c:pt idx="77">
                  <c:v>14.05</c:v>
                </c:pt>
                <c:pt idx="78">
                  <c:v>13.95</c:v>
                </c:pt>
                <c:pt idx="79">
                  <c:v>13.79</c:v>
                </c:pt>
                <c:pt idx="80">
                  <c:v>13.7</c:v>
                </c:pt>
                <c:pt idx="81">
                  <c:v>13.59</c:v>
                </c:pt>
                <c:pt idx="82">
                  <c:v>13.44</c:v>
                </c:pt>
                <c:pt idx="83">
                  <c:v>13.36</c:v>
                </c:pt>
                <c:pt idx="84">
                  <c:v>12.51</c:v>
                </c:pt>
                <c:pt idx="85">
                  <c:v>12.24</c:v>
                </c:pt>
                <c:pt idx="86">
                  <c:v>12.48</c:v>
                </c:pt>
                <c:pt idx="87">
                  <c:v>12.6</c:v>
                </c:pt>
                <c:pt idx="88">
                  <c:v>12.7</c:v>
                </c:pt>
                <c:pt idx="89">
                  <c:v>12.74</c:v>
                </c:pt>
                <c:pt idx="90">
                  <c:v>12.75</c:v>
                </c:pt>
                <c:pt idx="91">
                  <c:v>12.74</c:v>
                </c:pt>
                <c:pt idx="92">
                  <c:v>12.71</c:v>
                </c:pt>
                <c:pt idx="93">
                  <c:v>12.68</c:v>
                </c:pt>
                <c:pt idx="94">
                  <c:v>12.62</c:v>
                </c:pt>
                <c:pt idx="95">
                  <c:v>12.49</c:v>
                </c:pt>
                <c:pt idx="96">
                  <c:v>11.84</c:v>
                </c:pt>
                <c:pt idx="97">
                  <c:v>11.9</c:v>
                </c:pt>
                <c:pt idx="98">
                  <c:v>11.81</c:v>
                </c:pt>
                <c:pt idx="99">
                  <c:v>11.69</c:v>
                </c:pt>
                <c:pt idx="100">
                  <c:v>11.61</c:v>
                </c:pt>
                <c:pt idx="101">
                  <c:v>11.5</c:v>
                </c:pt>
                <c:pt idx="102">
                  <c:v>11.41</c:v>
                </c:pt>
                <c:pt idx="103">
                  <c:v>11.28</c:v>
                </c:pt>
                <c:pt idx="104">
                  <c:v>11.1</c:v>
                </c:pt>
                <c:pt idx="105">
                  <c:v>10.94</c:v>
                </c:pt>
                <c:pt idx="106">
                  <c:v>10.78</c:v>
                </c:pt>
                <c:pt idx="107">
                  <c:v>10.64</c:v>
                </c:pt>
                <c:pt idx="108">
                  <c:v>9.85</c:v>
                </c:pt>
                <c:pt idx="109">
                  <c:v>9.8000000000000007</c:v>
                </c:pt>
                <c:pt idx="110">
                  <c:v>9.74</c:v>
                </c:pt>
                <c:pt idx="111">
                  <c:v>9.69</c:v>
                </c:pt>
                <c:pt idx="112">
                  <c:v>9.66</c:v>
                </c:pt>
                <c:pt idx="113">
                  <c:v>9.6300000000000008</c:v>
                </c:pt>
                <c:pt idx="114">
                  <c:v>9.6199999999999992</c:v>
                </c:pt>
                <c:pt idx="115">
                  <c:v>9.59</c:v>
                </c:pt>
                <c:pt idx="116">
                  <c:v>9.57</c:v>
                </c:pt>
                <c:pt idx="117">
                  <c:v>9.5500000000000007</c:v>
                </c:pt>
                <c:pt idx="118">
                  <c:v>9.5399999999999991</c:v>
                </c:pt>
                <c:pt idx="119">
                  <c:v>9.56</c:v>
                </c:pt>
                <c:pt idx="120">
                  <c:v>9.89</c:v>
                </c:pt>
                <c:pt idx="121">
                  <c:v>10.041232200381501</c:v>
                </c:pt>
                <c:pt idx="122">
                  <c:v>10.1789149612837</c:v>
                </c:pt>
                <c:pt idx="123">
                  <c:v>10.2859873759684</c:v>
                </c:pt>
                <c:pt idx="124">
                  <c:v>10.331957596990399</c:v>
                </c:pt>
                <c:pt idx="125">
                  <c:v>10.326385645079499</c:v>
                </c:pt>
                <c:pt idx="126">
                  <c:v>10.311475768752601</c:v>
                </c:pt>
                <c:pt idx="127">
                  <c:v>10.2546199802598</c:v>
                </c:pt>
                <c:pt idx="128">
                  <c:v>10.1825783703665</c:v>
                </c:pt>
                <c:pt idx="129">
                  <c:v>10.087088793971599</c:v>
                </c:pt>
                <c:pt idx="130">
                  <c:v>9.9902794634507206</c:v>
                </c:pt>
                <c:pt idx="131">
                  <c:v>9.8723788597368003</c:v>
                </c:pt>
                <c:pt idx="132">
                  <c:v>8.8461050481398793</c:v>
                </c:pt>
                <c:pt idx="133">
                  <c:v>8.7806310039885602</c:v>
                </c:pt>
                <c:pt idx="134">
                  <c:v>8.7408829550789306</c:v>
                </c:pt>
                <c:pt idx="135">
                  <c:v>8.6726665023301397</c:v>
                </c:pt>
                <c:pt idx="136">
                  <c:v>8.4831671374026403</c:v>
                </c:pt>
                <c:pt idx="137">
                  <c:v>8.3210416613731706</c:v>
                </c:pt>
                <c:pt idx="138">
                  <c:v>8.1340721930653395</c:v>
                </c:pt>
                <c:pt idx="139">
                  <c:v>7.9781386489278301</c:v>
                </c:pt>
                <c:pt idx="140">
                  <c:v>7.8611255994079396</c:v>
                </c:pt>
                <c:pt idx="141">
                  <c:v>7.7719116628776499</c:v>
                </c:pt>
                <c:pt idx="142">
                  <c:v>7.7218226498245697</c:v>
                </c:pt>
                <c:pt idx="143">
                  <c:v>7.6746878268035301</c:v>
                </c:pt>
                <c:pt idx="144">
                  <c:v>7.2299141258069604</c:v>
                </c:pt>
                <c:pt idx="145">
                  <c:v>7.2513492912085402</c:v>
                </c:pt>
                <c:pt idx="146">
                  <c:v>7.24443078895301</c:v>
                </c:pt>
                <c:pt idx="147">
                  <c:v>7.2620010562644604</c:v>
                </c:pt>
                <c:pt idx="148">
                  <c:v>7.2695876776653199</c:v>
                </c:pt>
                <c:pt idx="149">
                  <c:v>7.2278074649192297</c:v>
                </c:pt>
                <c:pt idx="150">
                  <c:v>7.2910729506059297</c:v>
                </c:pt>
                <c:pt idx="151">
                  <c:v>7.3526498285739299</c:v>
                </c:pt>
                <c:pt idx="152">
                  <c:v>7.3986477182112003</c:v>
                </c:pt>
                <c:pt idx="153">
                  <c:v>7.4337074560463297</c:v>
                </c:pt>
                <c:pt idx="154">
                  <c:v>7.4506539075763101</c:v>
                </c:pt>
                <c:pt idx="155">
                  <c:v>7.4929849477907604</c:v>
                </c:pt>
                <c:pt idx="156">
                  <c:v>7.8710020331191002</c:v>
                </c:pt>
                <c:pt idx="157">
                  <c:v>8.0097213077866396</c:v>
                </c:pt>
                <c:pt idx="158">
                  <c:v>8.0245677008932894</c:v>
                </c:pt>
                <c:pt idx="159">
                  <c:v>7.9836573182267196</c:v>
                </c:pt>
                <c:pt idx="160">
                  <c:v>7.8240061910112102</c:v>
                </c:pt>
                <c:pt idx="161">
                  <c:v>7.6231946144807701</c:v>
                </c:pt>
                <c:pt idx="162">
                  <c:v>7.4730127154458303</c:v>
                </c:pt>
                <c:pt idx="163">
                  <c:v>7.3322996986712399</c:v>
                </c:pt>
                <c:pt idx="164">
                  <c:v>7.2284518766563401</c:v>
                </c:pt>
                <c:pt idx="165">
                  <c:v>7.2474614662842498</c:v>
                </c:pt>
                <c:pt idx="166">
                  <c:v>7.2317589554553203</c:v>
                </c:pt>
                <c:pt idx="167">
                  <c:v>7.1434414050691002</c:v>
                </c:pt>
                <c:pt idx="168">
                  <c:v>7.8616709086823704</c:v>
                </c:pt>
                <c:pt idx="169">
                  <c:v>7.9768157043627603</c:v>
                </c:pt>
                <c:pt idx="170">
                  <c:v>8.0681979233267604</c:v>
                </c:pt>
                <c:pt idx="171">
                  <c:v>8.2057718181151102</c:v>
                </c:pt>
                <c:pt idx="172">
                  <c:v>8.2536786290411399</c:v>
                </c:pt>
                <c:pt idx="173">
                  <c:v>8.2937805105220992</c:v>
                </c:pt>
                <c:pt idx="174">
                  <c:v>8.2860723823704596</c:v>
                </c:pt>
                <c:pt idx="175">
                  <c:v>8.2401051969259296</c:v>
                </c:pt>
                <c:pt idx="176">
                  <c:v>8.1827152695892806</c:v>
                </c:pt>
                <c:pt idx="177">
                  <c:v>8.2032766589560797</c:v>
                </c:pt>
                <c:pt idx="178">
                  <c:v>8.2010392879351794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F8-4AE5-811B-C1A84176E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526544"/>
        <c:axId val="908542864"/>
      </c:scatterChart>
      <c:valAx>
        <c:axId val="90852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542864"/>
        <c:crosses val="autoZero"/>
        <c:crossBetween val="midCat"/>
      </c:valAx>
      <c:valAx>
        <c:axId val="90854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52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х4 -У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676049868766404"/>
                  <c:y val="-0.512356372120151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'[1]Данные +поле (2)'!$E$6:$E$184</c:f>
              <c:numCache>
                <c:formatCode>General</c:formatCode>
                <c:ptCount val="179"/>
                <c:pt idx="0">
                  <c:v>191.1</c:v>
                </c:pt>
                <c:pt idx="1">
                  <c:v>192.3</c:v>
                </c:pt>
                <c:pt idx="2">
                  <c:v>190.8</c:v>
                </c:pt>
                <c:pt idx="3">
                  <c:v>191.2</c:v>
                </c:pt>
                <c:pt idx="4">
                  <c:v>189.3</c:v>
                </c:pt>
                <c:pt idx="5">
                  <c:v>187.3</c:v>
                </c:pt>
                <c:pt idx="6">
                  <c:v>187.5</c:v>
                </c:pt>
                <c:pt idx="7">
                  <c:v>187.9</c:v>
                </c:pt>
                <c:pt idx="8">
                  <c:v>187.7</c:v>
                </c:pt>
                <c:pt idx="9">
                  <c:v>187.8</c:v>
                </c:pt>
                <c:pt idx="10">
                  <c:v>188.6</c:v>
                </c:pt>
                <c:pt idx="11">
                  <c:v>188.4</c:v>
                </c:pt>
                <c:pt idx="12">
                  <c:v>186.8</c:v>
                </c:pt>
                <c:pt idx="13">
                  <c:v>187.7</c:v>
                </c:pt>
                <c:pt idx="14">
                  <c:v>188</c:v>
                </c:pt>
                <c:pt idx="15">
                  <c:v>188.3</c:v>
                </c:pt>
                <c:pt idx="16">
                  <c:v>188.9</c:v>
                </c:pt>
                <c:pt idx="17">
                  <c:v>189</c:v>
                </c:pt>
                <c:pt idx="18">
                  <c:v>189.5</c:v>
                </c:pt>
                <c:pt idx="19">
                  <c:v>188.9</c:v>
                </c:pt>
                <c:pt idx="20">
                  <c:v>188.7</c:v>
                </c:pt>
                <c:pt idx="21">
                  <c:v>188.7</c:v>
                </c:pt>
                <c:pt idx="22">
                  <c:v>188.6</c:v>
                </c:pt>
                <c:pt idx="23">
                  <c:v>188.7</c:v>
                </c:pt>
                <c:pt idx="24">
                  <c:v>184</c:v>
                </c:pt>
                <c:pt idx="25">
                  <c:v>186.4</c:v>
                </c:pt>
                <c:pt idx="26">
                  <c:v>187.6</c:v>
                </c:pt>
                <c:pt idx="27">
                  <c:v>187.3</c:v>
                </c:pt>
                <c:pt idx="28">
                  <c:v>186.3</c:v>
                </c:pt>
                <c:pt idx="29">
                  <c:v>185</c:v>
                </c:pt>
                <c:pt idx="30">
                  <c:v>182.8</c:v>
                </c:pt>
                <c:pt idx="31">
                  <c:v>181.1</c:v>
                </c:pt>
                <c:pt idx="32">
                  <c:v>178.7</c:v>
                </c:pt>
                <c:pt idx="33">
                  <c:v>177.2</c:v>
                </c:pt>
                <c:pt idx="34">
                  <c:v>176</c:v>
                </c:pt>
                <c:pt idx="35">
                  <c:v>174.6</c:v>
                </c:pt>
                <c:pt idx="36">
                  <c:v>168.9</c:v>
                </c:pt>
                <c:pt idx="37">
                  <c:v>171.2</c:v>
                </c:pt>
                <c:pt idx="38">
                  <c:v>172.8</c:v>
                </c:pt>
                <c:pt idx="39">
                  <c:v>174.2</c:v>
                </c:pt>
                <c:pt idx="40">
                  <c:v>174.6</c:v>
                </c:pt>
                <c:pt idx="41">
                  <c:v>174.9</c:v>
                </c:pt>
                <c:pt idx="42">
                  <c:v>175</c:v>
                </c:pt>
                <c:pt idx="43">
                  <c:v>175.5</c:v>
                </c:pt>
                <c:pt idx="44">
                  <c:v>175.4</c:v>
                </c:pt>
                <c:pt idx="45">
                  <c:v>175.3</c:v>
                </c:pt>
                <c:pt idx="46">
                  <c:v>175.8</c:v>
                </c:pt>
                <c:pt idx="47">
                  <c:v>176.6</c:v>
                </c:pt>
                <c:pt idx="48">
                  <c:v>179</c:v>
                </c:pt>
                <c:pt idx="49">
                  <c:v>177.8</c:v>
                </c:pt>
                <c:pt idx="50">
                  <c:v>177.4</c:v>
                </c:pt>
                <c:pt idx="51">
                  <c:v>177</c:v>
                </c:pt>
                <c:pt idx="52">
                  <c:v>175.9</c:v>
                </c:pt>
                <c:pt idx="53">
                  <c:v>175.4</c:v>
                </c:pt>
                <c:pt idx="54">
                  <c:v>175.1</c:v>
                </c:pt>
                <c:pt idx="55">
                  <c:v>174.4</c:v>
                </c:pt>
                <c:pt idx="56">
                  <c:v>174.1</c:v>
                </c:pt>
                <c:pt idx="57">
                  <c:v>174</c:v>
                </c:pt>
                <c:pt idx="58">
                  <c:v>172.8</c:v>
                </c:pt>
                <c:pt idx="59">
                  <c:v>172.9</c:v>
                </c:pt>
                <c:pt idx="60">
                  <c:v>172</c:v>
                </c:pt>
                <c:pt idx="61">
                  <c:v>178.9</c:v>
                </c:pt>
                <c:pt idx="62">
                  <c:v>181.6</c:v>
                </c:pt>
                <c:pt idx="63">
                  <c:v>172.4</c:v>
                </c:pt>
                <c:pt idx="64">
                  <c:v>174.2</c:v>
                </c:pt>
                <c:pt idx="65">
                  <c:v>173.9</c:v>
                </c:pt>
                <c:pt idx="66">
                  <c:v>176.6</c:v>
                </c:pt>
                <c:pt idx="67">
                  <c:v>176.6</c:v>
                </c:pt>
                <c:pt idx="68">
                  <c:v>177.1</c:v>
                </c:pt>
                <c:pt idx="69">
                  <c:v>177.8</c:v>
                </c:pt>
                <c:pt idx="70">
                  <c:v>178.1</c:v>
                </c:pt>
                <c:pt idx="71">
                  <c:v>178.1</c:v>
                </c:pt>
                <c:pt idx="72">
                  <c:v>175.9</c:v>
                </c:pt>
                <c:pt idx="73">
                  <c:v>174.6</c:v>
                </c:pt>
                <c:pt idx="74">
                  <c:v>172.9</c:v>
                </c:pt>
                <c:pt idx="75">
                  <c:v>171.6</c:v>
                </c:pt>
                <c:pt idx="76">
                  <c:v>171.3</c:v>
                </c:pt>
                <c:pt idx="77">
                  <c:v>171.9</c:v>
                </c:pt>
                <c:pt idx="78">
                  <c:v>172</c:v>
                </c:pt>
                <c:pt idx="79">
                  <c:v>172.5</c:v>
                </c:pt>
                <c:pt idx="80">
                  <c:v>173</c:v>
                </c:pt>
                <c:pt idx="81">
                  <c:v>173.4</c:v>
                </c:pt>
                <c:pt idx="82">
                  <c:v>174.1</c:v>
                </c:pt>
                <c:pt idx="83">
                  <c:v>175.2</c:v>
                </c:pt>
                <c:pt idx="84">
                  <c:v>179.4</c:v>
                </c:pt>
                <c:pt idx="85">
                  <c:v>180.8</c:v>
                </c:pt>
                <c:pt idx="86">
                  <c:v>180.6</c:v>
                </c:pt>
                <c:pt idx="87">
                  <c:v>181</c:v>
                </c:pt>
                <c:pt idx="88">
                  <c:v>181.6</c:v>
                </c:pt>
                <c:pt idx="89">
                  <c:v>181.6</c:v>
                </c:pt>
                <c:pt idx="90">
                  <c:v>181.6</c:v>
                </c:pt>
                <c:pt idx="91">
                  <c:v>181.5</c:v>
                </c:pt>
                <c:pt idx="92">
                  <c:v>181.6</c:v>
                </c:pt>
                <c:pt idx="93">
                  <c:v>181.7</c:v>
                </c:pt>
                <c:pt idx="94">
                  <c:v>182</c:v>
                </c:pt>
                <c:pt idx="95">
                  <c:v>182.2</c:v>
                </c:pt>
                <c:pt idx="96">
                  <c:v>185.9</c:v>
                </c:pt>
                <c:pt idx="97">
                  <c:v>184.8</c:v>
                </c:pt>
                <c:pt idx="98">
                  <c:v>184.9</c:v>
                </c:pt>
                <c:pt idx="99">
                  <c:v>185.1</c:v>
                </c:pt>
                <c:pt idx="100">
                  <c:v>185.4</c:v>
                </c:pt>
                <c:pt idx="101">
                  <c:v>185.7</c:v>
                </c:pt>
                <c:pt idx="102">
                  <c:v>185.7</c:v>
                </c:pt>
                <c:pt idx="103">
                  <c:v>185.8</c:v>
                </c:pt>
                <c:pt idx="104">
                  <c:v>185.9</c:v>
                </c:pt>
                <c:pt idx="105">
                  <c:v>186</c:v>
                </c:pt>
                <c:pt idx="106">
                  <c:v>186.2</c:v>
                </c:pt>
                <c:pt idx="107">
                  <c:v>186.4</c:v>
                </c:pt>
                <c:pt idx="108">
                  <c:v>190.8</c:v>
                </c:pt>
                <c:pt idx="109">
                  <c:v>190.2</c:v>
                </c:pt>
                <c:pt idx="110">
                  <c:v>190.3</c:v>
                </c:pt>
                <c:pt idx="111">
                  <c:v>190.8</c:v>
                </c:pt>
                <c:pt idx="112">
                  <c:v>191</c:v>
                </c:pt>
                <c:pt idx="113">
                  <c:v>191.4</c:v>
                </c:pt>
                <c:pt idx="114">
                  <c:v>193.3</c:v>
                </c:pt>
                <c:pt idx="115">
                  <c:v>193.6</c:v>
                </c:pt>
                <c:pt idx="116">
                  <c:v>193.9</c:v>
                </c:pt>
                <c:pt idx="117">
                  <c:v>194.4</c:v>
                </c:pt>
                <c:pt idx="118">
                  <c:v>194.9</c:v>
                </c:pt>
                <c:pt idx="119">
                  <c:v>195.5</c:v>
                </c:pt>
                <c:pt idx="120">
                  <c:v>206.7</c:v>
                </c:pt>
                <c:pt idx="121">
                  <c:v>209</c:v>
                </c:pt>
                <c:pt idx="122">
                  <c:v>210.2</c:v>
                </c:pt>
                <c:pt idx="123">
                  <c:v>211.3</c:v>
                </c:pt>
                <c:pt idx="124">
                  <c:v>211.8</c:v>
                </c:pt>
                <c:pt idx="125">
                  <c:v>212.3</c:v>
                </c:pt>
                <c:pt idx="126">
                  <c:v>212.7</c:v>
                </c:pt>
                <c:pt idx="127">
                  <c:v>213.1</c:v>
                </c:pt>
                <c:pt idx="128">
                  <c:v>213.4</c:v>
                </c:pt>
                <c:pt idx="129">
                  <c:v>213.8</c:v>
                </c:pt>
                <c:pt idx="130">
                  <c:v>214</c:v>
                </c:pt>
                <c:pt idx="131">
                  <c:v>214.1</c:v>
                </c:pt>
                <c:pt idx="132">
                  <c:v>216.7</c:v>
                </c:pt>
                <c:pt idx="133">
                  <c:v>217.5</c:v>
                </c:pt>
                <c:pt idx="134">
                  <c:v>217.4</c:v>
                </c:pt>
                <c:pt idx="135">
                  <c:v>217.2</c:v>
                </c:pt>
                <c:pt idx="136">
                  <c:v>216.5</c:v>
                </c:pt>
                <c:pt idx="137">
                  <c:v>216.2</c:v>
                </c:pt>
                <c:pt idx="138">
                  <c:v>216.5</c:v>
                </c:pt>
                <c:pt idx="139">
                  <c:v>216.8</c:v>
                </c:pt>
                <c:pt idx="140">
                  <c:v>217.3</c:v>
                </c:pt>
                <c:pt idx="141">
                  <c:v>218</c:v>
                </c:pt>
                <c:pt idx="142">
                  <c:v>218.6</c:v>
                </c:pt>
                <c:pt idx="143">
                  <c:v>219.4</c:v>
                </c:pt>
                <c:pt idx="144">
                  <c:v>227.6</c:v>
                </c:pt>
                <c:pt idx="145">
                  <c:v>228.8</c:v>
                </c:pt>
                <c:pt idx="146">
                  <c:v>230.9</c:v>
                </c:pt>
                <c:pt idx="147">
                  <c:v>233.1</c:v>
                </c:pt>
                <c:pt idx="148">
                  <c:v>234.5</c:v>
                </c:pt>
                <c:pt idx="149">
                  <c:v>236.4</c:v>
                </c:pt>
                <c:pt idx="150">
                  <c:v>237.3</c:v>
                </c:pt>
                <c:pt idx="151">
                  <c:v>238.2</c:v>
                </c:pt>
                <c:pt idx="152">
                  <c:v>239.2</c:v>
                </c:pt>
                <c:pt idx="153">
                  <c:v>240.4</c:v>
                </c:pt>
                <c:pt idx="154">
                  <c:v>241.8</c:v>
                </c:pt>
                <c:pt idx="155">
                  <c:v>243.5</c:v>
                </c:pt>
                <c:pt idx="156">
                  <c:v>262.2</c:v>
                </c:pt>
                <c:pt idx="157">
                  <c:v>263.5</c:v>
                </c:pt>
                <c:pt idx="158">
                  <c:v>264.5</c:v>
                </c:pt>
                <c:pt idx="159">
                  <c:v>264.3</c:v>
                </c:pt>
                <c:pt idx="160">
                  <c:v>264.89999999999998</c:v>
                </c:pt>
                <c:pt idx="161">
                  <c:v>265.60000000000002</c:v>
                </c:pt>
                <c:pt idx="162">
                  <c:v>267</c:v>
                </c:pt>
                <c:pt idx="163">
                  <c:v>268.8</c:v>
                </c:pt>
                <c:pt idx="164">
                  <c:v>270.8</c:v>
                </c:pt>
                <c:pt idx="165">
                  <c:v>271.89999999999998</c:v>
                </c:pt>
                <c:pt idx="166">
                  <c:v>273.2</c:v>
                </c:pt>
                <c:pt idx="167">
                  <c:v>275.5</c:v>
                </c:pt>
                <c:pt idx="168">
                  <c:v>284.8</c:v>
                </c:pt>
                <c:pt idx="169">
                  <c:v>286.3</c:v>
                </c:pt>
                <c:pt idx="170">
                  <c:v>286.8</c:v>
                </c:pt>
                <c:pt idx="171">
                  <c:v>286.60000000000002</c:v>
                </c:pt>
                <c:pt idx="172">
                  <c:v>287.10000000000002</c:v>
                </c:pt>
                <c:pt idx="173">
                  <c:v>287.5</c:v>
                </c:pt>
                <c:pt idx="174">
                  <c:v>288.10000000000002</c:v>
                </c:pt>
                <c:pt idx="175">
                  <c:v>289.2</c:v>
                </c:pt>
                <c:pt idx="176">
                  <c:v>290.8</c:v>
                </c:pt>
                <c:pt idx="177">
                  <c:v>291.5</c:v>
                </c:pt>
                <c:pt idx="178">
                  <c:v>292.3</c:v>
                </c:pt>
              </c:numCache>
            </c:numRef>
          </c:xVal>
          <c:yVal>
            <c:numRef>
              <c:f>'[1]Данные +поле (2)'!$G$6:$G$185</c:f>
              <c:numCache>
                <c:formatCode>General</c:formatCode>
                <c:ptCount val="180"/>
                <c:pt idx="0">
                  <c:v>14.35</c:v>
                </c:pt>
                <c:pt idx="1">
                  <c:v>14.5</c:v>
                </c:pt>
                <c:pt idx="2">
                  <c:v>14.67</c:v>
                </c:pt>
                <c:pt idx="3">
                  <c:v>14.71</c:v>
                </c:pt>
                <c:pt idx="4">
                  <c:v>14.84</c:v>
                </c:pt>
                <c:pt idx="5">
                  <c:v>14.86</c:v>
                </c:pt>
                <c:pt idx="6">
                  <c:v>14.88</c:v>
                </c:pt>
                <c:pt idx="7">
                  <c:v>14.85</c:v>
                </c:pt>
                <c:pt idx="8">
                  <c:v>14.8</c:v>
                </c:pt>
                <c:pt idx="9">
                  <c:v>14.76</c:v>
                </c:pt>
                <c:pt idx="10">
                  <c:v>14.72</c:v>
                </c:pt>
                <c:pt idx="11">
                  <c:v>14.59</c:v>
                </c:pt>
                <c:pt idx="12">
                  <c:v>14.17</c:v>
                </c:pt>
                <c:pt idx="13">
                  <c:v>14.01</c:v>
                </c:pt>
                <c:pt idx="14">
                  <c:v>13.85</c:v>
                </c:pt>
                <c:pt idx="15">
                  <c:v>13.8</c:v>
                </c:pt>
                <c:pt idx="16">
                  <c:v>13.75</c:v>
                </c:pt>
                <c:pt idx="17">
                  <c:v>13.71</c:v>
                </c:pt>
                <c:pt idx="18">
                  <c:v>13.67</c:v>
                </c:pt>
                <c:pt idx="19">
                  <c:v>13.65</c:v>
                </c:pt>
                <c:pt idx="20">
                  <c:v>13.63</c:v>
                </c:pt>
                <c:pt idx="21">
                  <c:v>13.51</c:v>
                </c:pt>
                <c:pt idx="22">
                  <c:v>13.44</c:v>
                </c:pt>
                <c:pt idx="23">
                  <c:v>13.29</c:v>
                </c:pt>
                <c:pt idx="24">
                  <c:v>12.96</c:v>
                </c:pt>
                <c:pt idx="25">
                  <c:v>12.74</c:v>
                </c:pt>
                <c:pt idx="26">
                  <c:v>12.64</c:v>
                </c:pt>
                <c:pt idx="27">
                  <c:v>12.47</c:v>
                </c:pt>
                <c:pt idx="28">
                  <c:v>12.4</c:v>
                </c:pt>
                <c:pt idx="29">
                  <c:v>12.35</c:v>
                </c:pt>
                <c:pt idx="30">
                  <c:v>12.29</c:v>
                </c:pt>
                <c:pt idx="31">
                  <c:v>12.22</c:v>
                </c:pt>
                <c:pt idx="32">
                  <c:v>12.15</c:v>
                </c:pt>
                <c:pt idx="33">
                  <c:v>12.08</c:v>
                </c:pt>
                <c:pt idx="34">
                  <c:v>12.03</c:v>
                </c:pt>
                <c:pt idx="35">
                  <c:v>11.98</c:v>
                </c:pt>
                <c:pt idx="36">
                  <c:v>11.92</c:v>
                </c:pt>
                <c:pt idx="37">
                  <c:v>11.98</c:v>
                </c:pt>
                <c:pt idx="38">
                  <c:v>12.05</c:v>
                </c:pt>
                <c:pt idx="39">
                  <c:v>12.09</c:v>
                </c:pt>
                <c:pt idx="40">
                  <c:v>12.12</c:v>
                </c:pt>
                <c:pt idx="41">
                  <c:v>12.14</c:v>
                </c:pt>
                <c:pt idx="42">
                  <c:v>12.16</c:v>
                </c:pt>
                <c:pt idx="43">
                  <c:v>12.19</c:v>
                </c:pt>
                <c:pt idx="44">
                  <c:v>12.21</c:v>
                </c:pt>
                <c:pt idx="45">
                  <c:v>12.25</c:v>
                </c:pt>
                <c:pt idx="46">
                  <c:v>12.29</c:v>
                </c:pt>
                <c:pt idx="47">
                  <c:v>12.32</c:v>
                </c:pt>
                <c:pt idx="48">
                  <c:v>12.73</c:v>
                </c:pt>
                <c:pt idx="49">
                  <c:v>12.82</c:v>
                </c:pt>
                <c:pt idx="50">
                  <c:v>12.87</c:v>
                </c:pt>
                <c:pt idx="51">
                  <c:v>12.81</c:v>
                </c:pt>
                <c:pt idx="52">
                  <c:v>12.8</c:v>
                </c:pt>
                <c:pt idx="53">
                  <c:v>12.76</c:v>
                </c:pt>
                <c:pt idx="54">
                  <c:v>12.71</c:v>
                </c:pt>
                <c:pt idx="55">
                  <c:v>12.67</c:v>
                </c:pt>
                <c:pt idx="56">
                  <c:v>12.64</c:v>
                </c:pt>
                <c:pt idx="57">
                  <c:v>12.6</c:v>
                </c:pt>
                <c:pt idx="58">
                  <c:v>12.56</c:v>
                </c:pt>
                <c:pt idx="59">
                  <c:v>12.51</c:v>
                </c:pt>
                <c:pt idx="60">
                  <c:v>12.3</c:v>
                </c:pt>
                <c:pt idx="61">
                  <c:v>12.3</c:v>
                </c:pt>
                <c:pt idx="62">
                  <c:v>12.18</c:v>
                </c:pt>
                <c:pt idx="63">
                  <c:v>12.22</c:v>
                </c:pt>
                <c:pt idx="64">
                  <c:v>12.22</c:v>
                </c:pt>
                <c:pt idx="65">
                  <c:v>12.22</c:v>
                </c:pt>
                <c:pt idx="66">
                  <c:v>12.23</c:v>
                </c:pt>
                <c:pt idx="67">
                  <c:v>12.24</c:v>
                </c:pt>
                <c:pt idx="68">
                  <c:v>12.27</c:v>
                </c:pt>
                <c:pt idx="69">
                  <c:v>12.34</c:v>
                </c:pt>
                <c:pt idx="70">
                  <c:v>12.37</c:v>
                </c:pt>
                <c:pt idx="71">
                  <c:v>12.47</c:v>
                </c:pt>
                <c:pt idx="72">
                  <c:v>14.16</c:v>
                </c:pt>
                <c:pt idx="73">
                  <c:v>14.46</c:v>
                </c:pt>
                <c:pt idx="74">
                  <c:v>14.54</c:v>
                </c:pt>
                <c:pt idx="75">
                  <c:v>14.41</c:v>
                </c:pt>
                <c:pt idx="76">
                  <c:v>14.23</c:v>
                </c:pt>
                <c:pt idx="77">
                  <c:v>14.05</c:v>
                </c:pt>
                <c:pt idx="78">
                  <c:v>13.95</c:v>
                </c:pt>
                <c:pt idx="79">
                  <c:v>13.79</c:v>
                </c:pt>
                <c:pt idx="80">
                  <c:v>13.7</c:v>
                </c:pt>
                <c:pt idx="81">
                  <c:v>13.59</c:v>
                </c:pt>
                <c:pt idx="82">
                  <c:v>13.44</c:v>
                </c:pt>
                <c:pt idx="83">
                  <c:v>13.36</c:v>
                </c:pt>
                <c:pt idx="84">
                  <c:v>12.51</c:v>
                </c:pt>
                <c:pt idx="85">
                  <c:v>12.24</c:v>
                </c:pt>
                <c:pt idx="86">
                  <c:v>12.48</c:v>
                </c:pt>
                <c:pt idx="87">
                  <c:v>12.6</c:v>
                </c:pt>
                <c:pt idx="88">
                  <c:v>12.7</c:v>
                </c:pt>
                <c:pt idx="89">
                  <c:v>12.74</c:v>
                </c:pt>
                <c:pt idx="90">
                  <c:v>12.75</c:v>
                </c:pt>
                <c:pt idx="91">
                  <c:v>12.74</c:v>
                </c:pt>
                <c:pt idx="92">
                  <c:v>12.71</c:v>
                </c:pt>
                <c:pt idx="93">
                  <c:v>12.68</c:v>
                </c:pt>
                <c:pt idx="94">
                  <c:v>12.62</c:v>
                </c:pt>
                <c:pt idx="95">
                  <c:v>12.49</c:v>
                </c:pt>
                <c:pt idx="96">
                  <c:v>11.84</c:v>
                </c:pt>
                <c:pt idx="97">
                  <c:v>11.9</c:v>
                </c:pt>
                <c:pt idx="98">
                  <c:v>11.81</c:v>
                </c:pt>
                <c:pt idx="99">
                  <c:v>11.69</c:v>
                </c:pt>
                <c:pt idx="100">
                  <c:v>11.61</c:v>
                </c:pt>
                <c:pt idx="101">
                  <c:v>11.5</c:v>
                </c:pt>
                <c:pt idx="102">
                  <c:v>11.41</c:v>
                </c:pt>
                <c:pt idx="103">
                  <c:v>11.28</c:v>
                </c:pt>
                <c:pt idx="104">
                  <c:v>11.1</c:v>
                </c:pt>
                <c:pt idx="105">
                  <c:v>10.94</c:v>
                </c:pt>
                <c:pt idx="106">
                  <c:v>10.78</c:v>
                </c:pt>
                <c:pt idx="107">
                  <c:v>10.64</c:v>
                </c:pt>
                <c:pt idx="108">
                  <c:v>9.85</c:v>
                </c:pt>
                <c:pt idx="109">
                  <c:v>9.8000000000000007</c:v>
                </c:pt>
                <c:pt idx="110">
                  <c:v>9.74</c:v>
                </c:pt>
                <c:pt idx="111">
                  <c:v>9.69</c:v>
                </c:pt>
                <c:pt idx="112">
                  <c:v>9.66</c:v>
                </c:pt>
                <c:pt idx="113">
                  <c:v>9.6300000000000008</c:v>
                </c:pt>
                <c:pt idx="114">
                  <c:v>9.6199999999999992</c:v>
                </c:pt>
                <c:pt idx="115">
                  <c:v>9.59</c:v>
                </c:pt>
                <c:pt idx="116">
                  <c:v>9.57</c:v>
                </c:pt>
                <c:pt idx="117">
                  <c:v>9.5500000000000007</c:v>
                </c:pt>
                <c:pt idx="118">
                  <c:v>9.5399999999999991</c:v>
                </c:pt>
                <c:pt idx="119">
                  <c:v>9.56</c:v>
                </c:pt>
                <c:pt idx="120">
                  <c:v>9.89</c:v>
                </c:pt>
                <c:pt idx="121">
                  <c:v>10.041232200381501</c:v>
                </c:pt>
                <c:pt idx="122">
                  <c:v>10.1789149612837</c:v>
                </c:pt>
                <c:pt idx="123">
                  <c:v>10.2859873759684</c:v>
                </c:pt>
                <c:pt idx="124">
                  <c:v>10.331957596990399</c:v>
                </c:pt>
                <c:pt idx="125">
                  <c:v>10.326385645079499</c:v>
                </c:pt>
                <c:pt idx="126">
                  <c:v>10.311475768752601</c:v>
                </c:pt>
                <c:pt idx="127">
                  <c:v>10.2546199802598</c:v>
                </c:pt>
                <c:pt idx="128">
                  <c:v>10.1825783703665</c:v>
                </c:pt>
                <c:pt idx="129">
                  <c:v>10.087088793971599</c:v>
                </c:pt>
                <c:pt idx="130">
                  <c:v>9.9902794634507206</c:v>
                </c:pt>
                <c:pt idx="131">
                  <c:v>9.8723788597368003</c:v>
                </c:pt>
                <c:pt idx="132">
                  <c:v>8.8461050481398793</c:v>
                </c:pt>
                <c:pt idx="133">
                  <c:v>8.7806310039885602</c:v>
                </c:pt>
                <c:pt idx="134">
                  <c:v>8.7408829550789306</c:v>
                </c:pt>
                <c:pt idx="135">
                  <c:v>8.6726665023301397</c:v>
                </c:pt>
                <c:pt idx="136">
                  <c:v>8.4831671374026403</c:v>
                </c:pt>
                <c:pt idx="137">
                  <c:v>8.3210416613731706</c:v>
                </c:pt>
                <c:pt idx="138">
                  <c:v>8.1340721930653395</c:v>
                </c:pt>
                <c:pt idx="139">
                  <c:v>7.9781386489278301</c:v>
                </c:pt>
                <c:pt idx="140">
                  <c:v>7.8611255994079396</c:v>
                </c:pt>
                <c:pt idx="141">
                  <c:v>7.7719116628776499</c:v>
                </c:pt>
                <c:pt idx="142">
                  <c:v>7.7218226498245697</c:v>
                </c:pt>
                <c:pt idx="143">
                  <c:v>7.6746878268035301</c:v>
                </c:pt>
                <c:pt idx="144">
                  <c:v>7.2299141258069604</c:v>
                </c:pt>
                <c:pt idx="145">
                  <c:v>7.2513492912085402</c:v>
                </c:pt>
                <c:pt idx="146">
                  <c:v>7.24443078895301</c:v>
                </c:pt>
                <c:pt idx="147">
                  <c:v>7.2620010562644604</c:v>
                </c:pt>
                <c:pt idx="148">
                  <c:v>7.2695876776653199</c:v>
                </c:pt>
                <c:pt idx="149">
                  <c:v>7.2278074649192297</c:v>
                </c:pt>
                <c:pt idx="150">
                  <c:v>7.2910729506059297</c:v>
                </c:pt>
                <c:pt idx="151">
                  <c:v>7.3526498285739299</c:v>
                </c:pt>
                <c:pt idx="152">
                  <c:v>7.3986477182112003</c:v>
                </c:pt>
                <c:pt idx="153">
                  <c:v>7.4337074560463297</c:v>
                </c:pt>
                <c:pt idx="154">
                  <c:v>7.4506539075763101</c:v>
                </c:pt>
                <c:pt idx="155">
                  <c:v>7.4929849477907604</c:v>
                </c:pt>
                <c:pt idx="156">
                  <c:v>7.8710020331191002</c:v>
                </c:pt>
                <c:pt idx="157">
                  <c:v>8.0097213077866396</c:v>
                </c:pt>
                <c:pt idx="158">
                  <c:v>8.0245677008932894</c:v>
                </c:pt>
                <c:pt idx="159">
                  <c:v>7.9836573182267196</c:v>
                </c:pt>
                <c:pt idx="160">
                  <c:v>7.8240061910112102</c:v>
                </c:pt>
                <c:pt idx="161">
                  <c:v>7.6231946144807701</c:v>
                </c:pt>
                <c:pt idx="162">
                  <c:v>7.4730127154458303</c:v>
                </c:pt>
                <c:pt idx="163">
                  <c:v>7.3322996986712399</c:v>
                </c:pt>
                <c:pt idx="164">
                  <c:v>7.2284518766563401</c:v>
                </c:pt>
                <c:pt idx="165">
                  <c:v>7.2474614662842498</c:v>
                </c:pt>
                <c:pt idx="166">
                  <c:v>7.2317589554553203</c:v>
                </c:pt>
                <c:pt idx="167">
                  <c:v>7.1434414050691002</c:v>
                </c:pt>
                <c:pt idx="168">
                  <c:v>7.8616709086823704</c:v>
                </c:pt>
                <c:pt idx="169">
                  <c:v>7.9768157043627603</c:v>
                </c:pt>
                <c:pt idx="170">
                  <c:v>8.0681979233267604</c:v>
                </c:pt>
                <c:pt idx="171">
                  <c:v>8.2057718181151102</c:v>
                </c:pt>
                <c:pt idx="172">
                  <c:v>8.2536786290411399</c:v>
                </c:pt>
                <c:pt idx="173">
                  <c:v>8.2937805105220992</c:v>
                </c:pt>
                <c:pt idx="174">
                  <c:v>8.2860723823704596</c:v>
                </c:pt>
                <c:pt idx="175">
                  <c:v>8.2401051969259296</c:v>
                </c:pt>
                <c:pt idx="176">
                  <c:v>8.1827152695892806</c:v>
                </c:pt>
                <c:pt idx="177">
                  <c:v>8.2032766589560797</c:v>
                </c:pt>
                <c:pt idx="178">
                  <c:v>8.2010392879351794</c:v>
                </c:pt>
                <c:pt idx="179">
                  <c:v>7.91200268398799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D8-4DB7-AC93-29336EF69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501584"/>
        <c:axId val="908503984"/>
      </c:scatterChart>
      <c:valAx>
        <c:axId val="90850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503984"/>
        <c:crosses val="autoZero"/>
        <c:crossBetween val="midCat"/>
      </c:valAx>
      <c:valAx>
        <c:axId val="90850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50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х5 - 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537270341207349E-2"/>
          <c:y val="0.18560185185185185"/>
          <c:w val="0.85862729658792647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429505686789152"/>
                  <c:y val="-0.1866936424613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'[1]Данные +поле (2)'!$F$6:$F$185</c:f>
              <c:numCache>
                <c:formatCode>General</c:formatCode>
                <c:ptCount val="180"/>
                <c:pt idx="0">
                  <c:v>13</c:v>
                </c:pt>
                <c:pt idx="1">
                  <c:v>13</c:v>
                </c:pt>
                <c:pt idx="2">
                  <c:v>12.5</c:v>
                </c:pt>
                <c:pt idx="3">
                  <c:v>12</c:v>
                </c:pt>
                <c:pt idx="4">
                  <c:v>11.5</c:v>
                </c:pt>
                <c:pt idx="5">
                  <c:v>11</c:v>
                </c:pt>
                <c:pt idx="6">
                  <c:v>10.75</c:v>
                </c:pt>
                <c:pt idx="7">
                  <c:v>10.5</c:v>
                </c:pt>
                <c:pt idx="8">
                  <c:v>9.5</c:v>
                </c:pt>
                <c:pt idx="9">
                  <c:v>9</c:v>
                </c:pt>
                <c:pt idx="10">
                  <c:v>8.75</c:v>
                </c:pt>
                <c:pt idx="11">
                  <c:v>8.75</c:v>
                </c:pt>
                <c:pt idx="12">
                  <c:v>8.5</c:v>
                </c:pt>
                <c:pt idx="13">
                  <c:v>8.25</c:v>
                </c:pt>
                <c:pt idx="14">
                  <c:v>8</c:v>
                </c:pt>
                <c:pt idx="15">
                  <c:v>8</c:v>
                </c:pt>
                <c:pt idx="16">
                  <c:v>7.75</c:v>
                </c:pt>
                <c:pt idx="17">
                  <c:v>7.75</c:v>
                </c:pt>
                <c:pt idx="18">
                  <c:v>7.75</c:v>
                </c:pt>
                <c:pt idx="19">
                  <c:v>7.75</c:v>
                </c:pt>
                <c:pt idx="20">
                  <c:v>7.75</c:v>
                </c:pt>
                <c:pt idx="21">
                  <c:v>7.75</c:v>
                </c:pt>
                <c:pt idx="22">
                  <c:v>7.75</c:v>
                </c:pt>
                <c:pt idx="23">
                  <c:v>7.75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8.25</c:v>
                </c:pt>
                <c:pt idx="28">
                  <c:v>8.25</c:v>
                </c:pt>
                <c:pt idx="29">
                  <c:v>8.25</c:v>
                </c:pt>
                <c:pt idx="30">
                  <c:v>8.25</c:v>
                </c:pt>
                <c:pt idx="31">
                  <c:v>8.25</c:v>
                </c:pt>
                <c:pt idx="32">
                  <c:v>8.25</c:v>
                </c:pt>
                <c:pt idx="33">
                  <c:v>8.25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8.25</c:v>
                </c:pt>
                <c:pt idx="44">
                  <c:v>8.25</c:v>
                </c:pt>
                <c:pt idx="45">
                  <c:v>8.25</c:v>
                </c:pt>
                <c:pt idx="46">
                  <c:v>8.25</c:v>
                </c:pt>
                <c:pt idx="47">
                  <c:v>8.25</c:v>
                </c:pt>
                <c:pt idx="48">
                  <c:v>8.25</c:v>
                </c:pt>
                <c:pt idx="49">
                  <c:v>8.25</c:v>
                </c:pt>
                <c:pt idx="50">
                  <c:v>8.25</c:v>
                </c:pt>
                <c:pt idx="51">
                  <c:v>8.25</c:v>
                </c:pt>
                <c:pt idx="52">
                  <c:v>8.25</c:v>
                </c:pt>
                <c:pt idx="53">
                  <c:v>8.25</c:v>
                </c:pt>
                <c:pt idx="54">
                  <c:v>8.25</c:v>
                </c:pt>
                <c:pt idx="55">
                  <c:v>5.5</c:v>
                </c:pt>
                <c:pt idx="56">
                  <c:v>5.5</c:v>
                </c:pt>
                <c:pt idx="57">
                  <c:v>5.5</c:v>
                </c:pt>
                <c:pt idx="58">
                  <c:v>5.5</c:v>
                </c:pt>
                <c:pt idx="59">
                  <c:v>5.5</c:v>
                </c:pt>
                <c:pt idx="60">
                  <c:v>5.5</c:v>
                </c:pt>
                <c:pt idx="61">
                  <c:v>7</c:v>
                </c:pt>
                <c:pt idx="62">
                  <c:v>7.5</c:v>
                </c:pt>
                <c:pt idx="63">
                  <c:v>7.5</c:v>
                </c:pt>
                <c:pt idx="64">
                  <c:v>7.5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9.5</c:v>
                </c:pt>
                <c:pt idx="70">
                  <c:v>17</c:v>
                </c:pt>
                <c:pt idx="71">
                  <c:v>17</c:v>
                </c:pt>
                <c:pt idx="72">
                  <c:v>15</c:v>
                </c:pt>
                <c:pt idx="73">
                  <c:v>14</c:v>
                </c:pt>
                <c:pt idx="74">
                  <c:v>14</c:v>
                </c:pt>
                <c:pt idx="75">
                  <c:v>12.5</c:v>
                </c:pt>
                <c:pt idx="76">
                  <c:v>11.5</c:v>
                </c:pt>
                <c:pt idx="77">
                  <c:v>11.5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10.5</c:v>
                </c:pt>
                <c:pt idx="89">
                  <c:v>10.5</c:v>
                </c:pt>
                <c:pt idx="90">
                  <c:v>10.5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9.75</c:v>
                </c:pt>
                <c:pt idx="98">
                  <c:v>9.75</c:v>
                </c:pt>
                <c:pt idx="99">
                  <c:v>9.25</c:v>
                </c:pt>
                <c:pt idx="100">
                  <c:v>9</c:v>
                </c:pt>
                <c:pt idx="101">
                  <c:v>9</c:v>
                </c:pt>
                <c:pt idx="102">
                  <c:v>9</c:v>
                </c:pt>
                <c:pt idx="103">
                  <c:v>8.5</c:v>
                </c:pt>
                <c:pt idx="104">
                  <c:v>8.25</c:v>
                </c:pt>
                <c:pt idx="105">
                  <c:v>8.25</c:v>
                </c:pt>
                <c:pt idx="106">
                  <c:v>7.75</c:v>
                </c:pt>
                <c:pt idx="107">
                  <c:v>7.75</c:v>
                </c:pt>
                <c:pt idx="108">
                  <c:v>7.5</c:v>
                </c:pt>
                <c:pt idx="109">
                  <c:v>7.25</c:v>
                </c:pt>
                <c:pt idx="110">
                  <c:v>7.25</c:v>
                </c:pt>
                <c:pt idx="111">
                  <c:v>7.25</c:v>
                </c:pt>
                <c:pt idx="112">
                  <c:v>7.25</c:v>
                </c:pt>
                <c:pt idx="113">
                  <c:v>7.25</c:v>
                </c:pt>
                <c:pt idx="114">
                  <c:v>7.25</c:v>
                </c:pt>
                <c:pt idx="115">
                  <c:v>7.5</c:v>
                </c:pt>
                <c:pt idx="116">
                  <c:v>7.5</c:v>
                </c:pt>
                <c:pt idx="117">
                  <c:v>7.5</c:v>
                </c:pt>
                <c:pt idx="118">
                  <c:v>7.75</c:v>
                </c:pt>
                <c:pt idx="119">
                  <c:v>7.75</c:v>
                </c:pt>
                <c:pt idx="120">
                  <c:v>7.75</c:v>
                </c:pt>
                <c:pt idx="121">
                  <c:v>7.75</c:v>
                </c:pt>
                <c:pt idx="122">
                  <c:v>7.75</c:v>
                </c:pt>
                <c:pt idx="123">
                  <c:v>7.75</c:v>
                </c:pt>
                <c:pt idx="124">
                  <c:v>7.5</c:v>
                </c:pt>
                <c:pt idx="125">
                  <c:v>7.25</c:v>
                </c:pt>
                <c:pt idx="126">
                  <c:v>7.25</c:v>
                </c:pt>
                <c:pt idx="127">
                  <c:v>7</c:v>
                </c:pt>
                <c:pt idx="128">
                  <c:v>6.5</c:v>
                </c:pt>
                <c:pt idx="129">
                  <c:v>6.5</c:v>
                </c:pt>
                <c:pt idx="130">
                  <c:v>6.25</c:v>
                </c:pt>
                <c:pt idx="131">
                  <c:v>6.25</c:v>
                </c:pt>
                <c:pt idx="132">
                  <c:v>6</c:v>
                </c:pt>
                <c:pt idx="133">
                  <c:v>6</c:v>
                </c:pt>
                <c:pt idx="134">
                  <c:v>5.5</c:v>
                </c:pt>
                <c:pt idx="135">
                  <c:v>5.5</c:v>
                </c:pt>
                <c:pt idx="136">
                  <c:v>4.5</c:v>
                </c:pt>
                <c:pt idx="137">
                  <c:v>4.25</c:v>
                </c:pt>
                <c:pt idx="138">
                  <c:v>4.25</c:v>
                </c:pt>
                <c:pt idx="139">
                  <c:v>4.25</c:v>
                </c:pt>
                <c:pt idx="140">
                  <c:v>4.25</c:v>
                </c:pt>
                <c:pt idx="141">
                  <c:v>4.25</c:v>
                </c:pt>
                <c:pt idx="142">
                  <c:v>4.25</c:v>
                </c:pt>
                <c:pt idx="143">
                  <c:v>4.25</c:v>
                </c:pt>
                <c:pt idx="144">
                  <c:v>4.25</c:v>
                </c:pt>
                <c:pt idx="145">
                  <c:v>4.5</c:v>
                </c:pt>
                <c:pt idx="146">
                  <c:v>5</c:v>
                </c:pt>
                <c:pt idx="147">
                  <c:v>5</c:v>
                </c:pt>
                <c:pt idx="148">
                  <c:v>5.5</c:v>
                </c:pt>
                <c:pt idx="149">
                  <c:v>6.5</c:v>
                </c:pt>
                <c:pt idx="150">
                  <c:v>6.5</c:v>
                </c:pt>
                <c:pt idx="151">
                  <c:v>6.75</c:v>
                </c:pt>
                <c:pt idx="152">
                  <c:v>7.5</c:v>
                </c:pt>
                <c:pt idx="153">
                  <c:v>7.5</c:v>
                </c:pt>
                <c:pt idx="154">
                  <c:v>8.5</c:v>
                </c:pt>
                <c:pt idx="155">
                  <c:v>8.5</c:v>
                </c:pt>
                <c:pt idx="156">
                  <c:v>20</c:v>
                </c:pt>
                <c:pt idx="157">
                  <c:v>20</c:v>
                </c:pt>
                <c:pt idx="158">
                  <c:v>17</c:v>
                </c:pt>
                <c:pt idx="159">
                  <c:v>14</c:v>
                </c:pt>
                <c:pt idx="160">
                  <c:v>9.5</c:v>
                </c:pt>
                <c:pt idx="161">
                  <c:v>8</c:v>
                </c:pt>
                <c:pt idx="162">
                  <c:v>8</c:v>
                </c:pt>
                <c:pt idx="163">
                  <c:v>7.5</c:v>
                </c:pt>
                <c:pt idx="164">
                  <c:v>7.5</c:v>
                </c:pt>
                <c:pt idx="165">
                  <c:v>7.5</c:v>
                </c:pt>
                <c:pt idx="166">
                  <c:v>7.5</c:v>
                </c:pt>
                <c:pt idx="167">
                  <c:v>7.5</c:v>
                </c:pt>
                <c:pt idx="168">
                  <c:v>7.5</c:v>
                </c:pt>
                <c:pt idx="169">
                  <c:v>7.5</c:v>
                </c:pt>
                <c:pt idx="170">
                  <c:v>7.5</c:v>
                </c:pt>
                <c:pt idx="171">
                  <c:v>7.5</c:v>
                </c:pt>
                <c:pt idx="172">
                  <c:v>7.5</c:v>
                </c:pt>
                <c:pt idx="173">
                  <c:v>8.5</c:v>
                </c:pt>
                <c:pt idx="174">
                  <c:v>12</c:v>
                </c:pt>
                <c:pt idx="175">
                  <c:v>13</c:v>
                </c:pt>
                <c:pt idx="176">
                  <c:v>15</c:v>
                </c:pt>
                <c:pt idx="177">
                  <c:v>15</c:v>
                </c:pt>
                <c:pt idx="178">
                  <c:v>16</c:v>
                </c:pt>
                <c:pt idx="179">
                  <c:v>17</c:v>
                </c:pt>
              </c:numCache>
            </c:numRef>
          </c:xVal>
          <c:yVal>
            <c:numRef>
              <c:f>'[1]Данные +поле (2)'!$G$6:$G$185</c:f>
              <c:numCache>
                <c:formatCode>General</c:formatCode>
                <c:ptCount val="180"/>
                <c:pt idx="0">
                  <c:v>14.35</c:v>
                </c:pt>
                <c:pt idx="1">
                  <c:v>14.5</c:v>
                </c:pt>
                <c:pt idx="2">
                  <c:v>14.67</c:v>
                </c:pt>
                <c:pt idx="3">
                  <c:v>14.71</c:v>
                </c:pt>
                <c:pt idx="4">
                  <c:v>14.84</c:v>
                </c:pt>
                <c:pt idx="5">
                  <c:v>14.86</c:v>
                </c:pt>
                <c:pt idx="6">
                  <c:v>14.88</c:v>
                </c:pt>
                <c:pt idx="7">
                  <c:v>14.85</c:v>
                </c:pt>
                <c:pt idx="8">
                  <c:v>14.8</c:v>
                </c:pt>
                <c:pt idx="9">
                  <c:v>14.76</c:v>
                </c:pt>
                <c:pt idx="10">
                  <c:v>14.72</c:v>
                </c:pt>
                <c:pt idx="11">
                  <c:v>14.59</c:v>
                </c:pt>
                <c:pt idx="12">
                  <c:v>14.17</c:v>
                </c:pt>
                <c:pt idx="13">
                  <c:v>14.01</c:v>
                </c:pt>
                <c:pt idx="14">
                  <c:v>13.85</c:v>
                </c:pt>
                <c:pt idx="15">
                  <c:v>13.8</c:v>
                </c:pt>
                <c:pt idx="16">
                  <c:v>13.75</c:v>
                </c:pt>
                <c:pt idx="17">
                  <c:v>13.71</c:v>
                </c:pt>
                <c:pt idx="18">
                  <c:v>13.67</c:v>
                </c:pt>
                <c:pt idx="19">
                  <c:v>13.65</c:v>
                </c:pt>
                <c:pt idx="20">
                  <c:v>13.63</c:v>
                </c:pt>
                <c:pt idx="21">
                  <c:v>13.51</c:v>
                </c:pt>
                <c:pt idx="22">
                  <c:v>13.44</c:v>
                </c:pt>
                <c:pt idx="23">
                  <c:v>13.29</c:v>
                </c:pt>
                <c:pt idx="24">
                  <c:v>12.96</c:v>
                </c:pt>
                <c:pt idx="25">
                  <c:v>12.74</c:v>
                </c:pt>
                <c:pt idx="26">
                  <c:v>12.64</c:v>
                </c:pt>
                <c:pt idx="27">
                  <c:v>12.47</c:v>
                </c:pt>
                <c:pt idx="28">
                  <c:v>12.4</c:v>
                </c:pt>
                <c:pt idx="29">
                  <c:v>12.35</c:v>
                </c:pt>
                <c:pt idx="30">
                  <c:v>12.29</c:v>
                </c:pt>
                <c:pt idx="31">
                  <c:v>12.22</c:v>
                </c:pt>
                <c:pt idx="32">
                  <c:v>12.15</c:v>
                </c:pt>
                <c:pt idx="33">
                  <c:v>12.08</c:v>
                </c:pt>
                <c:pt idx="34">
                  <c:v>12.03</c:v>
                </c:pt>
                <c:pt idx="35">
                  <c:v>11.98</c:v>
                </c:pt>
                <c:pt idx="36">
                  <c:v>11.92</c:v>
                </c:pt>
                <c:pt idx="37">
                  <c:v>11.98</c:v>
                </c:pt>
                <c:pt idx="38">
                  <c:v>12.05</c:v>
                </c:pt>
                <c:pt idx="39">
                  <c:v>12.09</c:v>
                </c:pt>
                <c:pt idx="40">
                  <c:v>12.12</c:v>
                </c:pt>
                <c:pt idx="41">
                  <c:v>12.14</c:v>
                </c:pt>
                <c:pt idx="42">
                  <c:v>12.16</c:v>
                </c:pt>
                <c:pt idx="43">
                  <c:v>12.19</c:v>
                </c:pt>
                <c:pt idx="44">
                  <c:v>12.21</c:v>
                </c:pt>
                <c:pt idx="45">
                  <c:v>12.25</c:v>
                </c:pt>
                <c:pt idx="46">
                  <c:v>12.29</c:v>
                </c:pt>
                <c:pt idx="47">
                  <c:v>12.32</c:v>
                </c:pt>
                <c:pt idx="48">
                  <c:v>12.73</c:v>
                </c:pt>
                <c:pt idx="49">
                  <c:v>12.82</c:v>
                </c:pt>
                <c:pt idx="50">
                  <c:v>12.87</c:v>
                </c:pt>
                <c:pt idx="51">
                  <c:v>12.81</c:v>
                </c:pt>
                <c:pt idx="52">
                  <c:v>12.8</c:v>
                </c:pt>
                <c:pt idx="53">
                  <c:v>12.76</c:v>
                </c:pt>
                <c:pt idx="54">
                  <c:v>12.71</c:v>
                </c:pt>
                <c:pt idx="55">
                  <c:v>12.67</c:v>
                </c:pt>
                <c:pt idx="56">
                  <c:v>12.64</c:v>
                </c:pt>
                <c:pt idx="57">
                  <c:v>12.6</c:v>
                </c:pt>
                <c:pt idx="58">
                  <c:v>12.56</c:v>
                </c:pt>
                <c:pt idx="59">
                  <c:v>12.51</c:v>
                </c:pt>
                <c:pt idx="60">
                  <c:v>12.3</c:v>
                </c:pt>
                <c:pt idx="61">
                  <c:v>12.3</c:v>
                </c:pt>
                <c:pt idx="62">
                  <c:v>12.18</c:v>
                </c:pt>
                <c:pt idx="63">
                  <c:v>12.22</c:v>
                </c:pt>
                <c:pt idx="64">
                  <c:v>12.22</c:v>
                </c:pt>
                <c:pt idx="65">
                  <c:v>12.22</c:v>
                </c:pt>
                <c:pt idx="66">
                  <c:v>12.23</c:v>
                </c:pt>
                <c:pt idx="67">
                  <c:v>12.24</c:v>
                </c:pt>
                <c:pt idx="68">
                  <c:v>12.27</c:v>
                </c:pt>
                <c:pt idx="69">
                  <c:v>12.34</c:v>
                </c:pt>
                <c:pt idx="70">
                  <c:v>12.37</c:v>
                </c:pt>
                <c:pt idx="71">
                  <c:v>12.47</c:v>
                </c:pt>
                <c:pt idx="72">
                  <c:v>14.16</c:v>
                </c:pt>
                <c:pt idx="73">
                  <c:v>14.46</c:v>
                </c:pt>
                <c:pt idx="74">
                  <c:v>14.54</c:v>
                </c:pt>
                <c:pt idx="75">
                  <c:v>14.41</c:v>
                </c:pt>
                <c:pt idx="76">
                  <c:v>14.23</c:v>
                </c:pt>
                <c:pt idx="77">
                  <c:v>14.05</c:v>
                </c:pt>
                <c:pt idx="78">
                  <c:v>13.95</c:v>
                </c:pt>
                <c:pt idx="79">
                  <c:v>13.79</c:v>
                </c:pt>
                <c:pt idx="80">
                  <c:v>13.7</c:v>
                </c:pt>
                <c:pt idx="81">
                  <c:v>13.59</c:v>
                </c:pt>
                <c:pt idx="82">
                  <c:v>13.44</c:v>
                </c:pt>
                <c:pt idx="83">
                  <c:v>13.36</c:v>
                </c:pt>
                <c:pt idx="84">
                  <c:v>12.51</c:v>
                </c:pt>
                <c:pt idx="85">
                  <c:v>12.24</c:v>
                </c:pt>
                <c:pt idx="86">
                  <c:v>12.48</c:v>
                </c:pt>
                <c:pt idx="87">
                  <c:v>12.6</c:v>
                </c:pt>
                <c:pt idx="88">
                  <c:v>12.7</c:v>
                </c:pt>
                <c:pt idx="89">
                  <c:v>12.74</c:v>
                </c:pt>
                <c:pt idx="90">
                  <c:v>12.75</c:v>
                </c:pt>
                <c:pt idx="91">
                  <c:v>12.74</c:v>
                </c:pt>
                <c:pt idx="92">
                  <c:v>12.71</c:v>
                </c:pt>
                <c:pt idx="93">
                  <c:v>12.68</c:v>
                </c:pt>
                <c:pt idx="94">
                  <c:v>12.62</c:v>
                </c:pt>
                <c:pt idx="95">
                  <c:v>12.49</c:v>
                </c:pt>
                <c:pt idx="96">
                  <c:v>11.84</c:v>
                </c:pt>
                <c:pt idx="97">
                  <c:v>11.9</c:v>
                </c:pt>
                <c:pt idx="98">
                  <c:v>11.81</c:v>
                </c:pt>
                <c:pt idx="99">
                  <c:v>11.69</c:v>
                </c:pt>
                <c:pt idx="100">
                  <c:v>11.61</c:v>
                </c:pt>
                <c:pt idx="101">
                  <c:v>11.5</c:v>
                </c:pt>
                <c:pt idx="102">
                  <c:v>11.41</c:v>
                </c:pt>
                <c:pt idx="103">
                  <c:v>11.28</c:v>
                </c:pt>
                <c:pt idx="104">
                  <c:v>11.1</c:v>
                </c:pt>
                <c:pt idx="105">
                  <c:v>10.94</c:v>
                </c:pt>
                <c:pt idx="106">
                  <c:v>10.78</c:v>
                </c:pt>
                <c:pt idx="107">
                  <c:v>10.64</c:v>
                </c:pt>
                <c:pt idx="108">
                  <c:v>9.85</c:v>
                </c:pt>
                <c:pt idx="109">
                  <c:v>9.8000000000000007</c:v>
                </c:pt>
                <c:pt idx="110">
                  <c:v>9.74</c:v>
                </c:pt>
                <c:pt idx="111">
                  <c:v>9.69</c:v>
                </c:pt>
                <c:pt idx="112">
                  <c:v>9.66</c:v>
                </c:pt>
                <c:pt idx="113">
                  <c:v>9.6300000000000008</c:v>
                </c:pt>
                <c:pt idx="114">
                  <c:v>9.6199999999999992</c:v>
                </c:pt>
                <c:pt idx="115">
                  <c:v>9.59</c:v>
                </c:pt>
                <c:pt idx="116">
                  <c:v>9.57</c:v>
                </c:pt>
                <c:pt idx="117">
                  <c:v>9.5500000000000007</c:v>
                </c:pt>
                <c:pt idx="118">
                  <c:v>9.5399999999999991</c:v>
                </c:pt>
                <c:pt idx="119">
                  <c:v>9.56</c:v>
                </c:pt>
                <c:pt idx="120">
                  <c:v>9.89</c:v>
                </c:pt>
                <c:pt idx="121">
                  <c:v>10.041232200381501</c:v>
                </c:pt>
                <c:pt idx="122">
                  <c:v>10.1789149612837</c:v>
                </c:pt>
                <c:pt idx="123">
                  <c:v>10.2859873759684</c:v>
                </c:pt>
                <c:pt idx="124">
                  <c:v>10.331957596990399</c:v>
                </c:pt>
                <c:pt idx="125">
                  <c:v>10.326385645079499</c:v>
                </c:pt>
                <c:pt idx="126">
                  <c:v>10.311475768752601</c:v>
                </c:pt>
                <c:pt idx="127">
                  <c:v>10.2546199802598</c:v>
                </c:pt>
                <c:pt idx="128">
                  <c:v>10.1825783703665</c:v>
                </c:pt>
                <c:pt idx="129">
                  <c:v>10.087088793971599</c:v>
                </c:pt>
                <c:pt idx="130">
                  <c:v>9.9902794634507206</c:v>
                </c:pt>
                <c:pt idx="131">
                  <c:v>9.8723788597368003</c:v>
                </c:pt>
                <c:pt idx="132">
                  <c:v>8.8461050481398793</c:v>
                </c:pt>
                <c:pt idx="133">
                  <c:v>8.7806310039885602</c:v>
                </c:pt>
                <c:pt idx="134">
                  <c:v>8.7408829550789306</c:v>
                </c:pt>
                <c:pt idx="135">
                  <c:v>8.6726665023301397</c:v>
                </c:pt>
                <c:pt idx="136">
                  <c:v>8.4831671374026403</c:v>
                </c:pt>
                <c:pt idx="137">
                  <c:v>8.3210416613731706</c:v>
                </c:pt>
                <c:pt idx="138">
                  <c:v>8.1340721930653395</c:v>
                </c:pt>
                <c:pt idx="139">
                  <c:v>7.9781386489278301</c:v>
                </c:pt>
                <c:pt idx="140">
                  <c:v>7.8611255994079396</c:v>
                </c:pt>
                <c:pt idx="141">
                  <c:v>7.7719116628776499</c:v>
                </c:pt>
                <c:pt idx="142">
                  <c:v>7.7218226498245697</c:v>
                </c:pt>
                <c:pt idx="143">
                  <c:v>7.6746878268035301</c:v>
                </c:pt>
                <c:pt idx="144">
                  <c:v>7.2299141258069604</c:v>
                </c:pt>
                <c:pt idx="145">
                  <c:v>7.2513492912085402</c:v>
                </c:pt>
                <c:pt idx="146">
                  <c:v>7.24443078895301</c:v>
                </c:pt>
                <c:pt idx="147">
                  <c:v>7.2620010562644604</c:v>
                </c:pt>
                <c:pt idx="148">
                  <c:v>7.2695876776653199</c:v>
                </c:pt>
                <c:pt idx="149">
                  <c:v>7.2278074649192297</c:v>
                </c:pt>
                <c:pt idx="150">
                  <c:v>7.2910729506059297</c:v>
                </c:pt>
                <c:pt idx="151">
                  <c:v>7.3526498285739299</c:v>
                </c:pt>
                <c:pt idx="152">
                  <c:v>7.3986477182112003</c:v>
                </c:pt>
                <c:pt idx="153">
                  <c:v>7.4337074560463297</c:v>
                </c:pt>
                <c:pt idx="154">
                  <c:v>7.4506539075763101</c:v>
                </c:pt>
                <c:pt idx="155">
                  <c:v>7.4929849477907604</c:v>
                </c:pt>
                <c:pt idx="156">
                  <c:v>7.8710020331191002</c:v>
                </c:pt>
                <c:pt idx="157">
                  <c:v>8.0097213077866396</c:v>
                </c:pt>
                <c:pt idx="158">
                  <c:v>8.0245677008932894</c:v>
                </c:pt>
                <c:pt idx="159">
                  <c:v>7.9836573182267196</c:v>
                </c:pt>
                <c:pt idx="160">
                  <c:v>7.8240061910112102</c:v>
                </c:pt>
                <c:pt idx="161">
                  <c:v>7.6231946144807701</c:v>
                </c:pt>
                <c:pt idx="162">
                  <c:v>7.4730127154458303</c:v>
                </c:pt>
                <c:pt idx="163">
                  <c:v>7.3322996986712399</c:v>
                </c:pt>
                <c:pt idx="164">
                  <c:v>7.2284518766563401</c:v>
                </c:pt>
                <c:pt idx="165">
                  <c:v>7.2474614662842498</c:v>
                </c:pt>
                <c:pt idx="166">
                  <c:v>7.2317589554553203</c:v>
                </c:pt>
                <c:pt idx="167">
                  <c:v>7.1434414050691002</c:v>
                </c:pt>
                <c:pt idx="168">
                  <c:v>7.8616709086823704</c:v>
                </c:pt>
                <c:pt idx="169">
                  <c:v>7.9768157043627603</c:v>
                </c:pt>
                <c:pt idx="170">
                  <c:v>8.0681979233267604</c:v>
                </c:pt>
                <c:pt idx="171">
                  <c:v>8.2057718181151102</c:v>
                </c:pt>
                <c:pt idx="172">
                  <c:v>8.2536786290411399</c:v>
                </c:pt>
                <c:pt idx="173">
                  <c:v>8.2937805105220992</c:v>
                </c:pt>
                <c:pt idx="174">
                  <c:v>8.2860723823704596</c:v>
                </c:pt>
                <c:pt idx="175">
                  <c:v>8.2401051969259296</c:v>
                </c:pt>
                <c:pt idx="176">
                  <c:v>8.1827152695892806</c:v>
                </c:pt>
                <c:pt idx="177">
                  <c:v>8.2032766589560797</c:v>
                </c:pt>
                <c:pt idx="178">
                  <c:v>8.2010392879351794</c:v>
                </c:pt>
                <c:pt idx="179">
                  <c:v>7.91200268398799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D6-47D3-9EE6-D24739AA0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473264"/>
        <c:axId val="908477584"/>
      </c:scatterChart>
      <c:valAx>
        <c:axId val="90847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477584"/>
        <c:crosses val="autoZero"/>
        <c:crossBetween val="midCat"/>
      </c:valAx>
      <c:valAx>
        <c:axId val="9084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47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Изменение</a:t>
            </a:r>
            <a:r>
              <a:rPr lang="ru-RU" baseline="0"/>
              <a:t> кредитной ставки по годам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ГРАФИКИ!$L$4:$L$182</c:f>
              <c:numCache>
                <c:formatCode>General</c:formatCode>
                <c:ptCount val="179"/>
                <c:pt idx="0">
                  <c:v>2009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2009</c:v>
                </c:pt>
                <c:pt idx="6">
                  <c:v>2009</c:v>
                </c:pt>
                <c:pt idx="7">
                  <c:v>2009</c:v>
                </c:pt>
                <c:pt idx="8">
                  <c:v>2009</c:v>
                </c:pt>
                <c:pt idx="9">
                  <c:v>2009</c:v>
                </c:pt>
                <c:pt idx="10">
                  <c:v>2009</c:v>
                </c:pt>
                <c:pt idx="11">
                  <c:v>2010</c:v>
                </c:pt>
                <c:pt idx="12">
                  <c:v>2010</c:v>
                </c:pt>
                <c:pt idx="13">
                  <c:v>2010</c:v>
                </c:pt>
                <c:pt idx="14">
                  <c:v>2010</c:v>
                </c:pt>
                <c:pt idx="15">
                  <c:v>2010</c:v>
                </c:pt>
                <c:pt idx="16">
                  <c:v>2010</c:v>
                </c:pt>
                <c:pt idx="17">
                  <c:v>2010</c:v>
                </c:pt>
                <c:pt idx="18">
                  <c:v>2010</c:v>
                </c:pt>
                <c:pt idx="19">
                  <c:v>2010</c:v>
                </c:pt>
                <c:pt idx="20">
                  <c:v>2010</c:v>
                </c:pt>
                <c:pt idx="21">
                  <c:v>2010</c:v>
                </c:pt>
                <c:pt idx="22">
                  <c:v>2010</c:v>
                </c:pt>
                <c:pt idx="23">
                  <c:v>2011</c:v>
                </c:pt>
                <c:pt idx="24">
                  <c:v>2011</c:v>
                </c:pt>
                <c:pt idx="25">
                  <c:v>2011</c:v>
                </c:pt>
                <c:pt idx="26">
                  <c:v>2011</c:v>
                </c:pt>
                <c:pt idx="27">
                  <c:v>2011</c:v>
                </c:pt>
                <c:pt idx="28">
                  <c:v>2011</c:v>
                </c:pt>
                <c:pt idx="29">
                  <c:v>2011</c:v>
                </c:pt>
                <c:pt idx="30">
                  <c:v>2011</c:v>
                </c:pt>
                <c:pt idx="31">
                  <c:v>2011</c:v>
                </c:pt>
                <c:pt idx="32">
                  <c:v>2011</c:v>
                </c:pt>
                <c:pt idx="33">
                  <c:v>2011</c:v>
                </c:pt>
                <c:pt idx="34">
                  <c:v>2011</c:v>
                </c:pt>
                <c:pt idx="35">
                  <c:v>2012</c:v>
                </c:pt>
                <c:pt idx="36">
                  <c:v>2012</c:v>
                </c:pt>
                <c:pt idx="37">
                  <c:v>2012</c:v>
                </c:pt>
                <c:pt idx="38">
                  <c:v>2012</c:v>
                </c:pt>
                <c:pt idx="39">
                  <c:v>2012</c:v>
                </c:pt>
                <c:pt idx="40">
                  <c:v>2012</c:v>
                </c:pt>
                <c:pt idx="41">
                  <c:v>2012</c:v>
                </c:pt>
                <c:pt idx="42">
                  <c:v>2012</c:v>
                </c:pt>
                <c:pt idx="43">
                  <c:v>2012</c:v>
                </c:pt>
                <c:pt idx="44">
                  <c:v>2012</c:v>
                </c:pt>
                <c:pt idx="45">
                  <c:v>2012</c:v>
                </c:pt>
                <c:pt idx="46">
                  <c:v>2012</c:v>
                </c:pt>
                <c:pt idx="47">
                  <c:v>2013</c:v>
                </c:pt>
                <c:pt idx="48">
                  <c:v>2013</c:v>
                </c:pt>
                <c:pt idx="49">
                  <c:v>2013</c:v>
                </c:pt>
                <c:pt idx="50">
                  <c:v>2013</c:v>
                </c:pt>
                <c:pt idx="51">
                  <c:v>2013</c:v>
                </c:pt>
                <c:pt idx="52">
                  <c:v>2013</c:v>
                </c:pt>
                <c:pt idx="53">
                  <c:v>2013</c:v>
                </c:pt>
                <c:pt idx="54">
                  <c:v>2013</c:v>
                </c:pt>
                <c:pt idx="55">
                  <c:v>2013</c:v>
                </c:pt>
                <c:pt idx="56">
                  <c:v>2013</c:v>
                </c:pt>
                <c:pt idx="57">
                  <c:v>2013</c:v>
                </c:pt>
                <c:pt idx="58">
                  <c:v>2013</c:v>
                </c:pt>
                <c:pt idx="59">
                  <c:v>2014</c:v>
                </c:pt>
                <c:pt idx="60">
                  <c:v>2014</c:v>
                </c:pt>
                <c:pt idx="61">
                  <c:v>2014</c:v>
                </c:pt>
                <c:pt idx="62">
                  <c:v>2014</c:v>
                </c:pt>
                <c:pt idx="63">
                  <c:v>2014</c:v>
                </c:pt>
                <c:pt idx="64">
                  <c:v>2014</c:v>
                </c:pt>
                <c:pt idx="65">
                  <c:v>2014</c:v>
                </c:pt>
                <c:pt idx="66">
                  <c:v>2014</c:v>
                </c:pt>
                <c:pt idx="67">
                  <c:v>2014</c:v>
                </c:pt>
                <c:pt idx="68">
                  <c:v>2014</c:v>
                </c:pt>
                <c:pt idx="69">
                  <c:v>2014</c:v>
                </c:pt>
                <c:pt idx="70">
                  <c:v>2014</c:v>
                </c:pt>
                <c:pt idx="71">
                  <c:v>2015</c:v>
                </c:pt>
                <c:pt idx="72">
                  <c:v>2015</c:v>
                </c:pt>
                <c:pt idx="73">
                  <c:v>2015</c:v>
                </c:pt>
                <c:pt idx="74">
                  <c:v>2015</c:v>
                </c:pt>
                <c:pt idx="75">
                  <c:v>2015</c:v>
                </c:pt>
                <c:pt idx="76">
                  <c:v>2015</c:v>
                </c:pt>
                <c:pt idx="77">
                  <c:v>2015</c:v>
                </c:pt>
                <c:pt idx="78">
                  <c:v>2015</c:v>
                </c:pt>
                <c:pt idx="79">
                  <c:v>2015</c:v>
                </c:pt>
                <c:pt idx="80">
                  <c:v>2015</c:v>
                </c:pt>
                <c:pt idx="81">
                  <c:v>2015</c:v>
                </c:pt>
                <c:pt idx="82">
                  <c:v>2015</c:v>
                </c:pt>
                <c:pt idx="83">
                  <c:v>2016</c:v>
                </c:pt>
                <c:pt idx="84">
                  <c:v>2016</c:v>
                </c:pt>
                <c:pt idx="85">
                  <c:v>2016</c:v>
                </c:pt>
                <c:pt idx="86">
                  <c:v>2016</c:v>
                </c:pt>
                <c:pt idx="87">
                  <c:v>2016</c:v>
                </c:pt>
                <c:pt idx="88">
                  <c:v>2016</c:v>
                </c:pt>
                <c:pt idx="89">
                  <c:v>2016</c:v>
                </c:pt>
                <c:pt idx="90">
                  <c:v>2016</c:v>
                </c:pt>
                <c:pt idx="91">
                  <c:v>2016</c:v>
                </c:pt>
                <c:pt idx="92">
                  <c:v>2016</c:v>
                </c:pt>
                <c:pt idx="93">
                  <c:v>2016</c:v>
                </c:pt>
                <c:pt idx="94">
                  <c:v>2016</c:v>
                </c:pt>
                <c:pt idx="95">
                  <c:v>2017</c:v>
                </c:pt>
                <c:pt idx="96">
                  <c:v>2017</c:v>
                </c:pt>
                <c:pt idx="97">
                  <c:v>2017</c:v>
                </c:pt>
                <c:pt idx="98">
                  <c:v>2017</c:v>
                </c:pt>
                <c:pt idx="99">
                  <c:v>2017</c:v>
                </c:pt>
                <c:pt idx="100">
                  <c:v>2017</c:v>
                </c:pt>
                <c:pt idx="101">
                  <c:v>2017</c:v>
                </c:pt>
                <c:pt idx="102">
                  <c:v>2017</c:v>
                </c:pt>
                <c:pt idx="103">
                  <c:v>2017</c:v>
                </c:pt>
                <c:pt idx="104">
                  <c:v>2017</c:v>
                </c:pt>
                <c:pt idx="105">
                  <c:v>2017</c:v>
                </c:pt>
                <c:pt idx="106">
                  <c:v>2017</c:v>
                </c:pt>
                <c:pt idx="107">
                  <c:v>2018</c:v>
                </c:pt>
                <c:pt idx="108">
                  <c:v>2018</c:v>
                </c:pt>
                <c:pt idx="109">
                  <c:v>2018</c:v>
                </c:pt>
                <c:pt idx="110">
                  <c:v>2018</c:v>
                </c:pt>
                <c:pt idx="111">
                  <c:v>2018</c:v>
                </c:pt>
                <c:pt idx="112">
                  <c:v>2018</c:v>
                </c:pt>
                <c:pt idx="113">
                  <c:v>2018</c:v>
                </c:pt>
                <c:pt idx="114">
                  <c:v>2018</c:v>
                </c:pt>
                <c:pt idx="115">
                  <c:v>2018</c:v>
                </c:pt>
                <c:pt idx="116">
                  <c:v>2018</c:v>
                </c:pt>
                <c:pt idx="117">
                  <c:v>2018</c:v>
                </c:pt>
                <c:pt idx="118">
                  <c:v>2018</c:v>
                </c:pt>
                <c:pt idx="119">
                  <c:v>2019</c:v>
                </c:pt>
                <c:pt idx="120">
                  <c:v>2019</c:v>
                </c:pt>
                <c:pt idx="121">
                  <c:v>2019</c:v>
                </c:pt>
                <c:pt idx="122">
                  <c:v>2019</c:v>
                </c:pt>
                <c:pt idx="123">
                  <c:v>2019</c:v>
                </c:pt>
                <c:pt idx="124">
                  <c:v>2019</c:v>
                </c:pt>
                <c:pt idx="125">
                  <c:v>2019</c:v>
                </c:pt>
                <c:pt idx="126">
                  <c:v>2019</c:v>
                </c:pt>
                <c:pt idx="127">
                  <c:v>2019</c:v>
                </c:pt>
                <c:pt idx="128">
                  <c:v>2019</c:v>
                </c:pt>
                <c:pt idx="129">
                  <c:v>2019</c:v>
                </c:pt>
                <c:pt idx="130">
                  <c:v>2019</c:v>
                </c:pt>
                <c:pt idx="131">
                  <c:v>2020</c:v>
                </c:pt>
                <c:pt idx="132">
                  <c:v>2020</c:v>
                </c:pt>
                <c:pt idx="133">
                  <c:v>2020</c:v>
                </c:pt>
                <c:pt idx="134">
                  <c:v>2020</c:v>
                </c:pt>
                <c:pt idx="135">
                  <c:v>2020</c:v>
                </c:pt>
                <c:pt idx="136">
                  <c:v>2020</c:v>
                </c:pt>
                <c:pt idx="137">
                  <c:v>2020</c:v>
                </c:pt>
                <c:pt idx="138">
                  <c:v>2020</c:v>
                </c:pt>
                <c:pt idx="139">
                  <c:v>2020</c:v>
                </c:pt>
                <c:pt idx="140">
                  <c:v>2020</c:v>
                </c:pt>
                <c:pt idx="141">
                  <c:v>2020</c:v>
                </c:pt>
                <c:pt idx="142">
                  <c:v>2020</c:v>
                </c:pt>
                <c:pt idx="143">
                  <c:v>2021</c:v>
                </c:pt>
                <c:pt idx="144">
                  <c:v>2021</c:v>
                </c:pt>
                <c:pt idx="145">
                  <c:v>2021</c:v>
                </c:pt>
                <c:pt idx="146">
                  <c:v>2021</c:v>
                </c:pt>
                <c:pt idx="147">
                  <c:v>2021</c:v>
                </c:pt>
                <c:pt idx="148">
                  <c:v>2021</c:v>
                </c:pt>
                <c:pt idx="149">
                  <c:v>2021</c:v>
                </c:pt>
                <c:pt idx="150">
                  <c:v>2021</c:v>
                </c:pt>
                <c:pt idx="151">
                  <c:v>2021</c:v>
                </c:pt>
                <c:pt idx="152">
                  <c:v>2021</c:v>
                </c:pt>
                <c:pt idx="153">
                  <c:v>2021</c:v>
                </c:pt>
                <c:pt idx="154">
                  <c:v>2021</c:v>
                </c:pt>
                <c:pt idx="155">
                  <c:v>2022</c:v>
                </c:pt>
                <c:pt idx="156">
                  <c:v>2022</c:v>
                </c:pt>
                <c:pt idx="157">
                  <c:v>2022</c:v>
                </c:pt>
                <c:pt idx="158">
                  <c:v>2022</c:v>
                </c:pt>
                <c:pt idx="159">
                  <c:v>2022</c:v>
                </c:pt>
                <c:pt idx="160">
                  <c:v>2022</c:v>
                </c:pt>
                <c:pt idx="161">
                  <c:v>2022</c:v>
                </c:pt>
                <c:pt idx="162">
                  <c:v>2022</c:v>
                </c:pt>
                <c:pt idx="163">
                  <c:v>2022</c:v>
                </c:pt>
                <c:pt idx="164">
                  <c:v>2022</c:v>
                </c:pt>
                <c:pt idx="165">
                  <c:v>2022</c:v>
                </c:pt>
                <c:pt idx="166">
                  <c:v>2022</c:v>
                </c:pt>
                <c:pt idx="167">
                  <c:v>2023</c:v>
                </c:pt>
                <c:pt idx="168">
                  <c:v>2023</c:v>
                </c:pt>
                <c:pt idx="169">
                  <c:v>2023</c:v>
                </c:pt>
                <c:pt idx="170">
                  <c:v>2023</c:v>
                </c:pt>
                <c:pt idx="171">
                  <c:v>2023</c:v>
                </c:pt>
                <c:pt idx="172">
                  <c:v>2023</c:v>
                </c:pt>
                <c:pt idx="173">
                  <c:v>2023</c:v>
                </c:pt>
                <c:pt idx="174">
                  <c:v>2023</c:v>
                </c:pt>
                <c:pt idx="175">
                  <c:v>2023</c:v>
                </c:pt>
                <c:pt idx="176">
                  <c:v>2023</c:v>
                </c:pt>
                <c:pt idx="177">
                  <c:v>2023</c:v>
                </c:pt>
                <c:pt idx="178">
                  <c:v>2023</c:v>
                </c:pt>
              </c:numCache>
            </c:numRef>
          </c:xVal>
          <c:yVal>
            <c:numRef>
              <c:f>ГРАФИКИ!$K$4:$K$182</c:f>
              <c:numCache>
                <c:formatCode>#,##0.00</c:formatCode>
                <c:ptCount val="179"/>
                <c:pt idx="0">
                  <c:v>14.35</c:v>
                </c:pt>
                <c:pt idx="1">
                  <c:v>14.5</c:v>
                </c:pt>
                <c:pt idx="2">
                  <c:v>14.67</c:v>
                </c:pt>
                <c:pt idx="3">
                  <c:v>14.71</c:v>
                </c:pt>
                <c:pt idx="4">
                  <c:v>14.84</c:v>
                </c:pt>
                <c:pt idx="5">
                  <c:v>14.86</c:v>
                </c:pt>
                <c:pt idx="6">
                  <c:v>14.88</c:v>
                </c:pt>
                <c:pt idx="7">
                  <c:v>14.85</c:v>
                </c:pt>
                <c:pt idx="8">
                  <c:v>14.8</c:v>
                </c:pt>
                <c:pt idx="9">
                  <c:v>14.76</c:v>
                </c:pt>
                <c:pt idx="10">
                  <c:v>14.72</c:v>
                </c:pt>
                <c:pt idx="11">
                  <c:v>14.59</c:v>
                </c:pt>
                <c:pt idx="12">
                  <c:v>14.17</c:v>
                </c:pt>
                <c:pt idx="13">
                  <c:v>14.01</c:v>
                </c:pt>
                <c:pt idx="14">
                  <c:v>13.85</c:v>
                </c:pt>
                <c:pt idx="15">
                  <c:v>13.8</c:v>
                </c:pt>
                <c:pt idx="16">
                  <c:v>13.75</c:v>
                </c:pt>
                <c:pt idx="17">
                  <c:v>13.71</c:v>
                </c:pt>
                <c:pt idx="18">
                  <c:v>13.67</c:v>
                </c:pt>
                <c:pt idx="19">
                  <c:v>13.65</c:v>
                </c:pt>
                <c:pt idx="20">
                  <c:v>13.63</c:v>
                </c:pt>
                <c:pt idx="21">
                  <c:v>13.51</c:v>
                </c:pt>
                <c:pt idx="22">
                  <c:v>13.44</c:v>
                </c:pt>
                <c:pt idx="23">
                  <c:v>13.29</c:v>
                </c:pt>
                <c:pt idx="24">
                  <c:v>12.96</c:v>
                </c:pt>
                <c:pt idx="25">
                  <c:v>12.74</c:v>
                </c:pt>
                <c:pt idx="26">
                  <c:v>12.64</c:v>
                </c:pt>
                <c:pt idx="27">
                  <c:v>12.47</c:v>
                </c:pt>
                <c:pt idx="28">
                  <c:v>12.4</c:v>
                </c:pt>
                <c:pt idx="29">
                  <c:v>12.35</c:v>
                </c:pt>
                <c:pt idx="30">
                  <c:v>12.29</c:v>
                </c:pt>
                <c:pt idx="31">
                  <c:v>12.22</c:v>
                </c:pt>
                <c:pt idx="32">
                  <c:v>12.15</c:v>
                </c:pt>
                <c:pt idx="33">
                  <c:v>12.08</c:v>
                </c:pt>
                <c:pt idx="34">
                  <c:v>12.03</c:v>
                </c:pt>
                <c:pt idx="35">
                  <c:v>11.98</c:v>
                </c:pt>
                <c:pt idx="36">
                  <c:v>11.92</c:v>
                </c:pt>
                <c:pt idx="37">
                  <c:v>11.98</c:v>
                </c:pt>
                <c:pt idx="38">
                  <c:v>12.05</c:v>
                </c:pt>
                <c:pt idx="39">
                  <c:v>12.09</c:v>
                </c:pt>
                <c:pt idx="40">
                  <c:v>12.12</c:v>
                </c:pt>
                <c:pt idx="41">
                  <c:v>12.14</c:v>
                </c:pt>
                <c:pt idx="42">
                  <c:v>12.16</c:v>
                </c:pt>
                <c:pt idx="43">
                  <c:v>12.19</c:v>
                </c:pt>
                <c:pt idx="44">
                  <c:v>12.21</c:v>
                </c:pt>
                <c:pt idx="45">
                  <c:v>12.25</c:v>
                </c:pt>
                <c:pt idx="46">
                  <c:v>12.29</c:v>
                </c:pt>
                <c:pt idx="47">
                  <c:v>12.32</c:v>
                </c:pt>
                <c:pt idx="48">
                  <c:v>12.73</c:v>
                </c:pt>
                <c:pt idx="49">
                  <c:v>12.82</c:v>
                </c:pt>
                <c:pt idx="50">
                  <c:v>12.87</c:v>
                </c:pt>
                <c:pt idx="51">
                  <c:v>12.81</c:v>
                </c:pt>
                <c:pt idx="52">
                  <c:v>12.8</c:v>
                </c:pt>
                <c:pt idx="53">
                  <c:v>12.76</c:v>
                </c:pt>
                <c:pt idx="54">
                  <c:v>12.71</c:v>
                </c:pt>
                <c:pt idx="55">
                  <c:v>12.67</c:v>
                </c:pt>
                <c:pt idx="56">
                  <c:v>12.64</c:v>
                </c:pt>
                <c:pt idx="57">
                  <c:v>12.6</c:v>
                </c:pt>
                <c:pt idx="58">
                  <c:v>12.56</c:v>
                </c:pt>
                <c:pt idx="59">
                  <c:v>12.51</c:v>
                </c:pt>
                <c:pt idx="60">
                  <c:v>12.3</c:v>
                </c:pt>
                <c:pt idx="61">
                  <c:v>12.3</c:v>
                </c:pt>
                <c:pt idx="62">
                  <c:v>12.18</c:v>
                </c:pt>
                <c:pt idx="63">
                  <c:v>12.22</c:v>
                </c:pt>
                <c:pt idx="64">
                  <c:v>12.22</c:v>
                </c:pt>
                <c:pt idx="65">
                  <c:v>12.22</c:v>
                </c:pt>
                <c:pt idx="66">
                  <c:v>12.23</c:v>
                </c:pt>
                <c:pt idx="67">
                  <c:v>12.24</c:v>
                </c:pt>
                <c:pt idx="68">
                  <c:v>12.27</c:v>
                </c:pt>
                <c:pt idx="69">
                  <c:v>12.34</c:v>
                </c:pt>
                <c:pt idx="70">
                  <c:v>12.37</c:v>
                </c:pt>
                <c:pt idx="71">
                  <c:v>12.47</c:v>
                </c:pt>
                <c:pt idx="72">
                  <c:v>14.16</c:v>
                </c:pt>
                <c:pt idx="73">
                  <c:v>14.46</c:v>
                </c:pt>
                <c:pt idx="74">
                  <c:v>14.54</c:v>
                </c:pt>
                <c:pt idx="75">
                  <c:v>14.41</c:v>
                </c:pt>
                <c:pt idx="76">
                  <c:v>14.23</c:v>
                </c:pt>
                <c:pt idx="77">
                  <c:v>14.05</c:v>
                </c:pt>
                <c:pt idx="78">
                  <c:v>13.95</c:v>
                </c:pt>
                <c:pt idx="79">
                  <c:v>13.79</c:v>
                </c:pt>
                <c:pt idx="80">
                  <c:v>13.7</c:v>
                </c:pt>
                <c:pt idx="81">
                  <c:v>13.59</c:v>
                </c:pt>
                <c:pt idx="82">
                  <c:v>13.44</c:v>
                </c:pt>
                <c:pt idx="83">
                  <c:v>13.36</c:v>
                </c:pt>
                <c:pt idx="84">
                  <c:v>12.51</c:v>
                </c:pt>
                <c:pt idx="85">
                  <c:v>12.24</c:v>
                </c:pt>
                <c:pt idx="86">
                  <c:v>12.48</c:v>
                </c:pt>
                <c:pt idx="87">
                  <c:v>12.6</c:v>
                </c:pt>
                <c:pt idx="88">
                  <c:v>12.7</c:v>
                </c:pt>
                <c:pt idx="89">
                  <c:v>12.74</c:v>
                </c:pt>
                <c:pt idx="90">
                  <c:v>12.75</c:v>
                </c:pt>
                <c:pt idx="91">
                  <c:v>12.74</c:v>
                </c:pt>
                <c:pt idx="92">
                  <c:v>12.71</c:v>
                </c:pt>
                <c:pt idx="93">
                  <c:v>12.68</c:v>
                </c:pt>
                <c:pt idx="94">
                  <c:v>12.62</c:v>
                </c:pt>
                <c:pt idx="95">
                  <c:v>12.49</c:v>
                </c:pt>
                <c:pt idx="96">
                  <c:v>11.84</c:v>
                </c:pt>
                <c:pt idx="97">
                  <c:v>11.9</c:v>
                </c:pt>
                <c:pt idx="98">
                  <c:v>11.81</c:v>
                </c:pt>
                <c:pt idx="99">
                  <c:v>11.69</c:v>
                </c:pt>
                <c:pt idx="100">
                  <c:v>11.61</c:v>
                </c:pt>
                <c:pt idx="101">
                  <c:v>11.5</c:v>
                </c:pt>
                <c:pt idx="102">
                  <c:v>11.41</c:v>
                </c:pt>
                <c:pt idx="103">
                  <c:v>11.28</c:v>
                </c:pt>
                <c:pt idx="104">
                  <c:v>11.1</c:v>
                </c:pt>
                <c:pt idx="105">
                  <c:v>10.94</c:v>
                </c:pt>
                <c:pt idx="106">
                  <c:v>10.78</c:v>
                </c:pt>
                <c:pt idx="107">
                  <c:v>10.64</c:v>
                </c:pt>
                <c:pt idx="108">
                  <c:v>9.85</c:v>
                </c:pt>
                <c:pt idx="109">
                  <c:v>9.8000000000000007</c:v>
                </c:pt>
                <c:pt idx="110">
                  <c:v>9.74</c:v>
                </c:pt>
                <c:pt idx="111">
                  <c:v>9.69</c:v>
                </c:pt>
                <c:pt idx="112">
                  <c:v>9.66</c:v>
                </c:pt>
                <c:pt idx="113">
                  <c:v>9.6300000000000008</c:v>
                </c:pt>
                <c:pt idx="114">
                  <c:v>9.6199999999999992</c:v>
                </c:pt>
                <c:pt idx="115">
                  <c:v>9.59</c:v>
                </c:pt>
                <c:pt idx="116">
                  <c:v>9.57</c:v>
                </c:pt>
                <c:pt idx="117">
                  <c:v>9.5500000000000007</c:v>
                </c:pt>
                <c:pt idx="118">
                  <c:v>9.5399999999999991</c:v>
                </c:pt>
                <c:pt idx="119">
                  <c:v>9.56</c:v>
                </c:pt>
                <c:pt idx="120">
                  <c:v>9.89</c:v>
                </c:pt>
                <c:pt idx="121">
                  <c:v>10.041232200381501</c:v>
                </c:pt>
                <c:pt idx="122">
                  <c:v>10.1789149612837</c:v>
                </c:pt>
                <c:pt idx="123">
                  <c:v>10.2859873759684</c:v>
                </c:pt>
                <c:pt idx="124">
                  <c:v>10.331957596990399</c:v>
                </c:pt>
                <c:pt idx="125">
                  <c:v>10.326385645079499</c:v>
                </c:pt>
                <c:pt idx="126">
                  <c:v>10.311475768752601</c:v>
                </c:pt>
                <c:pt idx="127">
                  <c:v>10.2546199802598</c:v>
                </c:pt>
                <c:pt idx="128">
                  <c:v>10.1825783703665</c:v>
                </c:pt>
                <c:pt idx="129">
                  <c:v>10.087088793971599</c:v>
                </c:pt>
                <c:pt idx="130">
                  <c:v>9.9902794634507206</c:v>
                </c:pt>
                <c:pt idx="131">
                  <c:v>9.8723788597368003</c:v>
                </c:pt>
                <c:pt idx="132">
                  <c:v>8.8461050481398793</c:v>
                </c:pt>
                <c:pt idx="133">
                  <c:v>8.7806310039885602</c:v>
                </c:pt>
                <c:pt idx="134">
                  <c:v>8.7408829550789306</c:v>
                </c:pt>
                <c:pt idx="135">
                  <c:v>8.6726665023301397</c:v>
                </c:pt>
                <c:pt idx="136">
                  <c:v>8.4831671374026403</c:v>
                </c:pt>
                <c:pt idx="137">
                  <c:v>8.3210416613731706</c:v>
                </c:pt>
                <c:pt idx="138">
                  <c:v>8.1340721930653395</c:v>
                </c:pt>
                <c:pt idx="139">
                  <c:v>7.9781386489278301</c:v>
                </c:pt>
                <c:pt idx="140">
                  <c:v>7.8611255994079396</c:v>
                </c:pt>
                <c:pt idx="141">
                  <c:v>7.7719116628776499</c:v>
                </c:pt>
                <c:pt idx="142">
                  <c:v>7.7218226498245697</c:v>
                </c:pt>
                <c:pt idx="143">
                  <c:v>7.6746878268035301</c:v>
                </c:pt>
                <c:pt idx="144">
                  <c:v>7.2299141258069604</c:v>
                </c:pt>
                <c:pt idx="145">
                  <c:v>7.2513492912085402</c:v>
                </c:pt>
                <c:pt idx="146">
                  <c:v>7.24443078895301</c:v>
                </c:pt>
                <c:pt idx="147">
                  <c:v>7.2620010562644604</c:v>
                </c:pt>
                <c:pt idx="148">
                  <c:v>7.2695876776653199</c:v>
                </c:pt>
                <c:pt idx="149">
                  <c:v>7.2278074649192297</c:v>
                </c:pt>
                <c:pt idx="150">
                  <c:v>7.2910729506059297</c:v>
                </c:pt>
                <c:pt idx="151">
                  <c:v>7.3526498285739299</c:v>
                </c:pt>
                <c:pt idx="152">
                  <c:v>7.3986477182112003</c:v>
                </c:pt>
                <c:pt idx="153">
                  <c:v>7.4337074560463297</c:v>
                </c:pt>
                <c:pt idx="154">
                  <c:v>7.4506539075763101</c:v>
                </c:pt>
                <c:pt idx="155">
                  <c:v>7.4929849477907604</c:v>
                </c:pt>
                <c:pt idx="156">
                  <c:v>7.8710020331191002</c:v>
                </c:pt>
                <c:pt idx="157">
                  <c:v>8.0097213077866396</c:v>
                </c:pt>
                <c:pt idx="158">
                  <c:v>8.0245677008932894</c:v>
                </c:pt>
                <c:pt idx="159">
                  <c:v>7.9836573182267196</c:v>
                </c:pt>
                <c:pt idx="160">
                  <c:v>7.8240061910112102</c:v>
                </c:pt>
                <c:pt idx="161">
                  <c:v>7.6231946144807701</c:v>
                </c:pt>
                <c:pt idx="162">
                  <c:v>7.4730127154458303</c:v>
                </c:pt>
                <c:pt idx="163">
                  <c:v>7.3322996986712399</c:v>
                </c:pt>
                <c:pt idx="164">
                  <c:v>7.2284518766563401</c:v>
                </c:pt>
                <c:pt idx="165">
                  <c:v>7.2474614662842498</c:v>
                </c:pt>
                <c:pt idx="166">
                  <c:v>7.2317589554553203</c:v>
                </c:pt>
                <c:pt idx="167">
                  <c:v>7.1434414050691002</c:v>
                </c:pt>
                <c:pt idx="168">
                  <c:v>7.8616709086823704</c:v>
                </c:pt>
                <c:pt idx="169">
                  <c:v>7.9768157043627603</c:v>
                </c:pt>
                <c:pt idx="170">
                  <c:v>8.0681979233267604</c:v>
                </c:pt>
                <c:pt idx="171">
                  <c:v>8.2057718181151102</c:v>
                </c:pt>
                <c:pt idx="172">
                  <c:v>8.2536786290411399</c:v>
                </c:pt>
                <c:pt idx="173">
                  <c:v>8.2937805105220992</c:v>
                </c:pt>
                <c:pt idx="174">
                  <c:v>8.2860723823704596</c:v>
                </c:pt>
                <c:pt idx="175">
                  <c:v>8.2401051969259296</c:v>
                </c:pt>
                <c:pt idx="176">
                  <c:v>8.1827152695892806</c:v>
                </c:pt>
                <c:pt idx="177">
                  <c:v>8.2032766589560797</c:v>
                </c:pt>
                <c:pt idx="178">
                  <c:v>8.2010392879351794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25-4D70-B0D6-8B128E12F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341872"/>
        <c:axId val="937360592"/>
      </c:scatterChart>
      <c:valAx>
        <c:axId val="93734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7360592"/>
        <c:crosses val="autoZero"/>
        <c:crossBetween val="midCat"/>
      </c:valAx>
      <c:valAx>
        <c:axId val="93736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734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0452125024121328E-2"/>
          <c:y val="0.14802147209004934"/>
          <c:w val="0.92289735873592049"/>
          <c:h val="0.76907531193896261"/>
        </c:manualLayout>
      </c:layout>
      <c:scatterChart>
        <c:scatterStyle val="lineMarker"/>
        <c:varyColors val="0"/>
        <c:ser>
          <c:idx val="0"/>
          <c:order val="0"/>
          <c:tx>
            <c:strRef>
              <c:f>ГЕТЕРОСКЕДАСТИЧНОСТЬ!$B$2</c:f>
              <c:strCache>
                <c:ptCount val="1"/>
                <c:pt idx="0">
                  <c:v>Предсказанное У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ГЕТЕРОСКЕДАСТИЧНОСТЬ!$A$3:$A$181</c:f>
              <c:numCache>
                <c:formatCode>General</c:formatCode>
                <c:ptCount val="179"/>
                <c:pt idx="0">
                  <c:v>0.25366884507217691</c:v>
                </c:pt>
                <c:pt idx="1">
                  <c:v>0.46120340003601079</c:v>
                </c:pt>
                <c:pt idx="2">
                  <c:v>0.71350183534102207</c:v>
                </c:pt>
                <c:pt idx="3">
                  <c:v>0.91751734296237331</c:v>
                </c:pt>
                <c:pt idx="4">
                  <c:v>1.1133275263779048</c:v>
                </c:pt>
                <c:pt idx="5">
                  <c:v>1.1970397452952177</c:v>
                </c:pt>
                <c:pt idx="6">
                  <c:v>1.306512271224463</c:v>
                </c:pt>
                <c:pt idx="7">
                  <c:v>1.3744641191026261</c:v>
                </c:pt>
                <c:pt idx="8">
                  <c:v>1.6045776516121215</c:v>
                </c:pt>
                <c:pt idx="9">
                  <c:v>1.7230247997022285</c:v>
                </c:pt>
                <c:pt idx="10">
                  <c:v>1.8018588262334951</c:v>
                </c:pt>
                <c:pt idx="11">
                  <c:v>1.6879529157744333</c:v>
                </c:pt>
                <c:pt idx="12">
                  <c:v>1.1303791622470118</c:v>
                </c:pt>
                <c:pt idx="13">
                  <c:v>1.0918621601696881</c:v>
                </c:pt>
                <c:pt idx="14">
                  <c:v>1.0339051058928703</c:v>
                </c:pt>
                <c:pt idx="15">
                  <c:v>1.0201262365273429</c:v>
                </c:pt>
                <c:pt idx="16">
                  <c:v>1.0866949358915363</c:v>
                </c:pt>
                <c:pt idx="17">
                  <c:v>1.0786835699529451</c:v>
                </c:pt>
                <c:pt idx="18">
                  <c:v>1.088460267036476</c:v>
                </c:pt>
                <c:pt idx="19">
                  <c:v>1.0719547340291502</c:v>
                </c:pt>
                <c:pt idx="20">
                  <c:v>1.0754379672915544</c:v>
                </c:pt>
                <c:pt idx="21">
                  <c:v>0.98708388053258567</c:v>
                </c:pt>
                <c:pt idx="22">
                  <c:v>0.94784105254776918</c:v>
                </c:pt>
                <c:pt idx="23">
                  <c:v>0.85494662526063792</c:v>
                </c:pt>
                <c:pt idx="24">
                  <c:v>-5.198006932689303E-2</c:v>
                </c:pt>
                <c:pt idx="25">
                  <c:v>-0.14407324676111166</c:v>
                </c:pt>
                <c:pt idx="26">
                  <c:v>-0.16027652313252361</c:v>
                </c:pt>
                <c:pt idx="27">
                  <c:v>-0.37457012347570995</c:v>
                </c:pt>
                <c:pt idx="28">
                  <c:v>-0.44809706143389505</c:v>
                </c:pt>
                <c:pt idx="29">
                  <c:v>-0.51164363029574211</c:v>
                </c:pt>
                <c:pt idx="30">
                  <c:v>-0.62348593850262901</c:v>
                </c:pt>
                <c:pt idx="31">
                  <c:v>-0.72112142757878672</c:v>
                </c:pt>
                <c:pt idx="32">
                  <c:v>-0.84639922540464418</c:v>
                </c:pt>
                <c:pt idx="33">
                  <c:v>-0.93154791856664865</c:v>
                </c:pt>
                <c:pt idx="34">
                  <c:v>-0.91383169778103657</c:v>
                </c:pt>
                <c:pt idx="35">
                  <c:v>-0.95802934745241153</c:v>
                </c:pt>
                <c:pt idx="36">
                  <c:v>-1.7222906442946933</c:v>
                </c:pt>
                <c:pt idx="37">
                  <c:v>-1.5247494117005402</c:v>
                </c:pt>
                <c:pt idx="38">
                  <c:v>-1.3391509323908046</c:v>
                </c:pt>
                <c:pt idx="39">
                  <c:v>-1.1883891457496869</c:v>
                </c:pt>
                <c:pt idx="40">
                  <c:v>-1.0919504152761057</c:v>
                </c:pt>
                <c:pt idx="41">
                  <c:v>-1.0090723523656138</c:v>
                </c:pt>
                <c:pt idx="42">
                  <c:v>-0.93250698248920649</c:v>
                </c:pt>
                <c:pt idx="43">
                  <c:v>-0.89231652643080572</c:v>
                </c:pt>
                <c:pt idx="44">
                  <c:v>-0.82470336375553721</c:v>
                </c:pt>
                <c:pt idx="45">
                  <c:v>-0.72920573291183644</c:v>
                </c:pt>
                <c:pt idx="46">
                  <c:v>-0.60846627140507437</c:v>
                </c:pt>
                <c:pt idx="47">
                  <c:v>-0.47591413553411854</c:v>
                </c:pt>
                <c:pt idx="48">
                  <c:v>-0.54912299130946529</c:v>
                </c:pt>
                <c:pt idx="49">
                  <c:v>-0.46552693226185227</c:v>
                </c:pt>
                <c:pt idx="50">
                  <c:v>-0.38125357023124984</c:v>
                </c:pt>
                <c:pt idx="51">
                  <c:v>-0.39769952347028514</c:v>
                </c:pt>
                <c:pt idx="52">
                  <c:v>-0.40219874073950379</c:v>
                </c:pt>
                <c:pt idx="53">
                  <c:v>-0.40507840955030971</c:v>
                </c:pt>
                <c:pt idx="54">
                  <c:v>-0.40079312588322935</c:v>
                </c:pt>
                <c:pt idx="55">
                  <c:v>0.35148056183881415</c:v>
                </c:pt>
                <c:pt idx="56">
                  <c:v>0.37268918258194184</c:v>
                </c:pt>
                <c:pt idx="57">
                  <c:v>0.40280054677378097</c:v>
                </c:pt>
                <c:pt idx="58">
                  <c:v>0.38209779461752191</c:v>
                </c:pt>
                <c:pt idx="59">
                  <c:v>0.42843622163915818</c:v>
                </c:pt>
                <c:pt idx="60">
                  <c:v>-0.50788761373941149</c:v>
                </c:pt>
                <c:pt idx="61">
                  <c:v>-0.56690360926632088</c:v>
                </c:pt>
                <c:pt idx="62">
                  <c:v>-0.63966593123915416</c:v>
                </c:pt>
                <c:pt idx="63">
                  <c:v>-0.90695151093755833</c:v>
                </c:pt>
                <c:pt idx="64">
                  <c:v>-0.76266181278248091</c:v>
                </c:pt>
                <c:pt idx="65">
                  <c:v>-0.84434011982191315</c:v>
                </c:pt>
                <c:pt idx="66">
                  <c:v>-0.64172685551455189</c:v>
                </c:pt>
                <c:pt idx="67">
                  <c:v>-0.55959564846545895</c:v>
                </c:pt>
                <c:pt idx="68">
                  <c:v>-0.4362320622113014</c:v>
                </c:pt>
                <c:pt idx="69">
                  <c:v>-0.66811870212445257</c:v>
                </c:pt>
                <c:pt idx="70">
                  <c:v>-1.2031053686284441</c:v>
                </c:pt>
                <c:pt idx="71">
                  <c:v>-0.99116204361363636</c:v>
                </c:pt>
                <c:pt idx="72">
                  <c:v>0.31257992867830708</c:v>
                </c:pt>
                <c:pt idx="73">
                  <c:v>0.87373136623987335</c:v>
                </c:pt>
                <c:pt idx="74">
                  <c:v>0.91840671309769206</c:v>
                </c:pt>
                <c:pt idx="75">
                  <c:v>1.1874697959021674</c:v>
                </c:pt>
                <c:pt idx="76">
                  <c:v>1.3067909637833672</c:v>
                </c:pt>
                <c:pt idx="77">
                  <c:v>1.1966036838606939</c:v>
                </c:pt>
                <c:pt idx="78">
                  <c:v>1.2875860021687657</c:v>
                </c:pt>
                <c:pt idx="79">
                  <c:v>1.1977366569996555</c:v>
                </c:pt>
                <c:pt idx="80">
                  <c:v>1.1846498202617148</c:v>
                </c:pt>
                <c:pt idx="81">
                  <c:v>1.146842126484227</c:v>
                </c:pt>
                <c:pt idx="82">
                  <c:v>1.0831471389481759</c:v>
                </c:pt>
                <c:pt idx="83">
                  <c:v>1.1346924915017915</c:v>
                </c:pt>
                <c:pt idx="84">
                  <c:v>-9.6858642890504498E-2</c:v>
                </c:pt>
                <c:pt idx="85">
                  <c:v>-0.24035617667627029</c:v>
                </c:pt>
                <c:pt idx="86">
                  <c:v>5.1018975654418597E-2</c:v>
                </c:pt>
                <c:pt idx="87">
                  <c:v>0.24916182389084263</c:v>
                </c:pt>
                <c:pt idx="88">
                  <c:v>0.56369690035688791</c:v>
                </c:pt>
                <c:pt idx="89">
                  <c:v>0.66038994142128793</c:v>
                </c:pt>
                <c:pt idx="90">
                  <c:v>0.72508589415335933</c:v>
                </c:pt>
                <c:pt idx="91">
                  <c:v>0.90929799476308126</c:v>
                </c:pt>
                <c:pt idx="92">
                  <c:v>0.94559948191504617</c:v>
                </c:pt>
                <c:pt idx="93">
                  <c:v>0.98012827268214053</c:v>
                </c:pt>
                <c:pt idx="94">
                  <c:v>0.99820764341057533</c:v>
                </c:pt>
                <c:pt idx="95">
                  <c:v>0.96299226375597691</c:v>
                </c:pt>
                <c:pt idx="96">
                  <c:v>-0.21490139568389921</c:v>
                </c:pt>
                <c:pt idx="97">
                  <c:v>-8.4448108890468276E-2</c:v>
                </c:pt>
                <c:pt idx="98">
                  <c:v>-0.10293574206989042</c:v>
                </c:pt>
                <c:pt idx="99">
                  <c:v>-8.8374135189166481E-3</c:v>
                </c:pt>
                <c:pt idx="100">
                  <c:v>5.837064473863407E-2</c:v>
                </c:pt>
                <c:pt idx="101">
                  <c:v>3.1922685741033519E-2</c:v>
                </c:pt>
                <c:pt idx="102">
                  <c:v>1.2491459970831897E-2</c:v>
                </c:pt>
                <c:pt idx="103">
                  <c:v>0.10286413690740481</c:v>
                </c:pt>
                <c:pt idx="104">
                  <c:v>7.7952708347867272E-2</c:v>
                </c:pt>
                <c:pt idx="105">
                  <c:v>1.6202622329279492E-2</c:v>
                </c:pt>
                <c:pt idx="106">
                  <c:v>0.10400794571269323</c:v>
                </c:pt>
                <c:pt idx="107">
                  <c:v>9.8598866454796763E-2</c:v>
                </c:pt>
                <c:pt idx="108">
                  <c:v>-1.2792873355213903</c:v>
                </c:pt>
                <c:pt idx="109">
                  <c:v>-1.200433221130691</c:v>
                </c:pt>
                <c:pt idx="110">
                  <c:v>-1.1572308937608806</c:v>
                </c:pt>
                <c:pt idx="111">
                  <c:v>-1.0815831238373885</c:v>
                </c:pt>
                <c:pt idx="112">
                  <c:v>-1.0046057099324734</c:v>
                </c:pt>
                <c:pt idx="113">
                  <c:v>-0.91711365600711936</c:v>
                </c:pt>
                <c:pt idx="114">
                  <c:v>-0.74514989670723786</c:v>
                </c:pt>
                <c:pt idx="115">
                  <c:v>-0.72587514946950904</c:v>
                </c:pt>
                <c:pt idx="116">
                  <c:v>-0.63149581029363588</c:v>
                </c:pt>
                <c:pt idx="117">
                  <c:v>-0.51261888844591397</c:v>
                </c:pt>
                <c:pt idx="118">
                  <c:v>-0.45352139077493092</c:v>
                </c:pt>
                <c:pt idx="119">
                  <c:v>-0.27716318980922061</c:v>
                </c:pt>
                <c:pt idx="120">
                  <c:v>-0.63240176547679638</c:v>
                </c:pt>
                <c:pt idx="121">
                  <c:v>-0.29533253675917237</c:v>
                </c:pt>
                <c:pt idx="122">
                  <c:v>-1.9842741557971166E-2</c:v>
                </c:pt>
                <c:pt idx="123">
                  <c:v>0.22655727085049548</c:v>
                </c:pt>
                <c:pt idx="124">
                  <c:v>0.43483609669137735</c:v>
                </c:pt>
                <c:pt idx="125">
                  <c:v>0.60063901535770547</c:v>
                </c:pt>
                <c:pt idx="126">
                  <c:v>0.68841132442432595</c:v>
                </c:pt>
                <c:pt idx="127">
                  <c:v>0.80869363990293408</c:v>
                </c:pt>
                <c:pt idx="128">
                  <c:v>0.97886366058138563</c:v>
                </c:pt>
                <c:pt idx="129">
                  <c:v>1.0034325171256597</c:v>
                </c:pt>
                <c:pt idx="130">
                  <c:v>1.0861574983471112</c:v>
                </c:pt>
                <c:pt idx="131">
                  <c:v>1.102849162207681</c:v>
                </c:pt>
                <c:pt idx="132">
                  <c:v>-0.77085324021958002</c:v>
                </c:pt>
                <c:pt idx="133">
                  <c:v>-0.70626386466103952</c:v>
                </c:pt>
                <c:pt idx="134">
                  <c:v>-0.50212109795764448</c:v>
                </c:pt>
                <c:pt idx="135">
                  <c:v>-0.49772660933391855</c:v>
                </c:pt>
                <c:pt idx="136">
                  <c:v>-0.36468731870870208</c:v>
                </c:pt>
                <c:pt idx="137">
                  <c:v>-0.36509511811191153</c:v>
                </c:pt>
                <c:pt idx="138">
                  <c:v>-0.40982574034577013</c:v>
                </c:pt>
                <c:pt idx="139">
                  <c:v>-0.41648450423475403</c:v>
                </c:pt>
                <c:pt idx="140">
                  <c:v>-0.34693401874821994</c:v>
                </c:pt>
                <c:pt idx="141">
                  <c:v>-0.22984644013008815</c:v>
                </c:pt>
                <c:pt idx="142">
                  <c:v>-9.770153635109402E-2</c:v>
                </c:pt>
                <c:pt idx="143">
                  <c:v>6.5177080133599574E-2</c:v>
                </c:pt>
                <c:pt idx="144">
                  <c:v>-1.4355227009199716</c:v>
                </c:pt>
                <c:pt idx="145">
                  <c:v>-1.3112658762404665</c:v>
                </c:pt>
                <c:pt idx="146">
                  <c:v>-1.2183793767309696</c:v>
                </c:pt>
                <c:pt idx="147">
                  <c:v>-0.94837120424725452</c:v>
                </c:pt>
                <c:pt idx="148">
                  <c:v>-0.89529793697667959</c:v>
                </c:pt>
                <c:pt idx="149">
                  <c:v>-0.98256625676962717</c:v>
                </c:pt>
                <c:pt idx="150">
                  <c:v>-0.75514358841204654</c:v>
                </c:pt>
                <c:pt idx="151">
                  <c:v>-0.59861218153681683</c:v>
                </c:pt>
                <c:pt idx="152">
                  <c:v>-0.58497646866015351</c:v>
                </c:pt>
                <c:pt idx="153">
                  <c:v>-0.36447128608195722</c:v>
                </c:pt>
                <c:pt idx="154">
                  <c:v>-0.43178113595663081</c:v>
                </c:pt>
                <c:pt idx="155">
                  <c:v>-0.1573744276676301</c:v>
                </c:pt>
                <c:pt idx="156">
                  <c:v>-3.6563264921070706</c:v>
                </c:pt>
                <c:pt idx="157">
                  <c:v>-3.3496715089991138</c:v>
                </c:pt>
                <c:pt idx="158">
                  <c:v>-2.3330111831009042</c:v>
                </c:pt>
                <c:pt idx="159">
                  <c:v>-1.5171633582588937</c:v>
                </c:pt>
                <c:pt idx="160">
                  <c:v>-0.38487193590689106</c:v>
                </c:pt>
                <c:pt idx="161">
                  <c:v>-8.9462382757766967E-2</c:v>
                </c:pt>
                <c:pt idx="162">
                  <c:v>-0.10405892819438556</c:v>
                </c:pt>
                <c:pt idx="163">
                  <c:v>7.0235501146495238E-2</c:v>
                </c:pt>
                <c:pt idx="164">
                  <c:v>0.16476810242099926</c:v>
                </c:pt>
                <c:pt idx="165">
                  <c:v>0.33633610385947232</c:v>
                </c:pt>
                <c:pt idx="166">
                  <c:v>0.48286974600567945</c:v>
                </c:pt>
                <c:pt idx="167">
                  <c:v>0.63851671132109988</c:v>
                </c:pt>
                <c:pt idx="168">
                  <c:v>0.70907649513466264</c:v>
                </c:pt>
                <c:pt idx="169">
                  <c:v>0.98315369525401675</c:v>
                </c:pt>
                <c:pt idx="170">
                  <c:v>1.223878642711159</c:v>
                </c:pt>
                <c:pt idx="171">
                  <c:v>1.4806281322934707</c:v>
                </c:pt>
                <c:pt idx="172">
                  <c:v>1.6810548954723039</c:v>
                </c:pt>
                <c:pt idx="173">
                  <c:v>1.6030831179282599</c:v>
                </c:pt>
                <c:pt idx="174">
                  <c:v>0.8013826101961028</c:v>
                </c:pt>
                <c:pt idx="175">
                  <c:v>0.70703263218491852</c:v>
                </c:pt>
                <c:pt idx="176">
                  <c:v>0.36613043149524582</c:v>
                </c:pt>
                <c:pt idx="177">
                  <c:v>0.58294556325234037</c:v>
                </c:pt>
                <c:pt idx="178">
                  <c:v>0.49719132335352345</c:v>
                </c:pt>
              </c:numCache>
            </c:numRef>
          </c:xVal>
          <c:yVal>
            <c:numRef>
              <c:f>ГЕТЕРОСКЕДАСТИЧНОСТЬ!$B$3:$B$181</c:f>
              <c:numCache>
                <c:formatCode>General</c:formatCode>
                <c:ptCount val="179"/>
                <c:pt idx="0">
                  <c:v>14.096331154927823</c:v>
                </c:pt>
                <c:pt idx="1">
                  <c:v>14.038796599963989</c:v>
                </c:pt>
                <c:pt idx="2">
                  <c:v>13.956498164658978</c:v>
                </c:pt>
                <c:pt idx="3">
                  <c:v>13.792482657037628</c:v>
                </c:pt>
                <c:pt idx="4">
                  <c:v>13.726672473622095</c:v>
                </c:pt>
                <c:pt idx="5">
                  <c:v>13.662960254704782</c:v>
                </c:pt>
                <c:pt idx="6">
                  <c:v>13.573487728775538</c:v>
                </c:pt>
                <c:pt idx="7">
                  <c:v>13.475535880897374</c:v>
                </c:pt>
                <c:pt idx="8">
                  <c:v>13.195422348387879</c:v>
                </c:pt>
                <c:pt idx="9">
                  <c:v>13.036975200297771</c:v>
                </c:pt>
                <c:pt idx="10">
                  <c:v>12.918141173766506</c:v>
                </c:pt>
                <c:pt idx="11">
                  <c:v>12.902047084225567</c:v>
                </c:pt>
                <c:pt idx="12">
                  <c:v>13.039620837752988</c:v>
                </c:pt>
                <c:pt idx="13">
                  <c:v>12.918137839830312</c:v>
                </c:pt>
                <c:pt idx="14">
                  <c:v>12.816094894107129</c:v>
                </c:pt>
                <c:pt idx="15">
                  <c:v>12.779873763472658</c:v>
                </c:pt>
                <c:pt idx="16">
                  <c:v>12.663305064108464</c:v>
                </c:pt>
                <c:pt idx="17">
                  <c:v>12.631316430047056</c:v>
                </c:pt>
                <c:pt idx="18">
                  <c:v>12.581539732963524</c:v>
                </c:pt>
                <c:pt idx="19">
                  <c:v>12.57804526597085</c:v>
                </c:pt>
                <c:pt idx="20">
                  <c:v>12.554562032708446</c:v>
                </c:pt>
                <c:pt idx="21">
                  <c:v>12.522916119467414</c:v>
                </c:pt>
                <c:pt idx="22">
                  <c:v>12.49215894745223</c:v>
                </c:pt>
                <c:pt idx="23">
                  <c:v>12.435053374739361</c:v>
                </c:pt>
                <c:pt idx="24">
                  <c:v>13.011980069326894</c:v>
                </c:pt>
                <c:pt idx="25">
                  <c:v>12.884073246761112</c:v>
                </c:pt>
                <c:pt idx="26">
                  <c:v>12.800276523132524</c:v>
                </c:pt>
                <c:pt idx="27">
                  <c:v>12.844570123475711</c:v>
                </c:pt>
                <c:pt idx="28">
                  <c:v>12.848097061433895</c:v>
                </c:pt>
                <c:pt idx="29">
                  <c:v>12.861643630295742</c:v>
                </c:pt>
                <c:pt idx="30">
                  <c:v>12.913485938502628</c:v>
                </c:pt>
                <c:pt idx="31">
                  <c:v>12.941121427578787</c:v>
                </c:pt>
                <c:pt idx="32">
                  <c:v>12.996399225404645</c:v>
                </c:pt>
                <c:pt idx="33">
                  <c:v>13.011547918566649</c:v>
                </c:pt>
                <c:pt idx="34">
                  <c:v>12.943831697781036</c:v>
                </c:pt>
                <c:pt idx="35">
                  <c:v>12.938029347452412</c:v>
                </c:pt>
                <c:pt idx="36">
                  <c:v>13.642290644294693</c:v>
                </c:pt>
                <c:pt idx="37">
                  <c:v>13.504749411700541</c:v>
                </c:pt>
                <c:pt idx="38">
                  <c:v>13.389150932390805</c:v>
                </c:pt>
                <c:pt idx="39">
                  <c:v>13.278389145749687</c:v>
                </c:pt>
                <c:pt idx="40">
                  <c:v>13.211950415276105</c:v>
                </c:pt>
                <c:pt idx="41">
                  <c:v>13.149072352365614</c:v>
                </c:pt>
                <c:pt idx="42">
                  <c:v>13.092506982489207</c:v>
                </c:pt>
                <c:pt idx="43">
                  <c:v>13.082316526430805</c:v>
                </c:pt>
                <c:pt idx="44">
                  <c:v>13.034703363755538</c:v>
                </c:pt>
                <c:pt idx="45">
                  <c:v>12.979205732911836</c:v>
                </c:pt>
                <c:pt idx="46">
                  <c:v>12.898466271405074</c:v>
                </c:pt>
                <c:pt idx="47">
                  <c:v>12.795914135534119</c:v>
                </c:pt>
                <c:pt idx="48">
                  <c:v>13.279122991309466</c:v>
                </c:pt>
                <c:pt idx="49">
                  <c:v>13.285526932261853</c:v>
                </c:pt>
                <c:pt idx="50">
                  <c:v>13.251253570231249</c:v>
                </c:pt>
                <c:pt idx="51">
                  <c:v>13.207699523470286</c:v>
                </c:pt>
                <c:pt idx="52">
                  <c:v>13.202198740739505</c:v>
                </c:pt>
                <c:pt idx="53">
                  <c:v>13.16507840955031</c:v>
                </c:pt>
                <c:pt idx="54">
                  <c:v>13.11079312588323</c:v>
                </c:pt>
                <c:pt idx="55">
                  <c:v>12.318519438161186</c:v>
                </c:pt>
                <c:pt idx="56">
                  <c:v>12.267310817418059</c:v>
                </c:pt>
                <c:pt idx="57">
                  <c:v>12.197199453226219</c:v>
                </c:pt>
                <c:pt idx="58">
                  <c:v>12.177902205382479</c:v>
                </c:pt>
                <c:pt idx="59">
                  <c:v>12.081563778360842</c:v>
                </c:pt>
                <c:pt idx="60">
                  <c:v>12.807887613739412</c:v>
                </c:pt>
                <c:pt idx="61">
                  <c:v>12.866903609266322</c:v>
                </c:pt>
                <c:pt idx="62">
                  <c:v>12.819665931239154</c:v>
                </c:pt>
                <c:pt idx="63">
                  <c:v>13.126951510937559</c:v>
                </c:pt>
                <c:pt idx="64">
                  <c:v>12.982661812782482</c:v>
                </c:pt>
                <c:pt idx="65">
                  <c:v>13.064340119821914</c:v>
                </c:pt>
                <c:pt idx="66">
                  <c:v>12.871726855514552</c:v>
                </c:pt>
                <c:pt idx="67">
                  <c:v>12.799595648465459</c:v>
                </c:pt>
                <c:pt idx="68">
                  <c:v>12.706232062211301</c:v>
                </c:pt>
                <c:pt idx="69">
                  <c:v>13.008118702124452</c:v>
                </c:pt>
                <c:pt idx="70">
                  <c:v>13.573105368628443</c:v>
                </c:pt>
                <c:pt idx="71">
                  <c:v>13.461162043613637</c:v>
                </c:pt>
                <c:pt idx="72">
                  <c:v>13.847420071321693</c:v>
                </c:pt>
                <c:pt idx="73">
                  <c:v>13.586268633760127</c:v>
                </c:pt>
                <c:pt idx="74">
                  <c:v>13.621593286902307</c:v>
                </c:pt>
                <c:pt idx="75">
                  <c:v>13.222530204097833</c:v>
                </c:pt>
                <c:pt idx="76">
                  <c:v>12.923209036216633</c:v>
                </c:pt>
                <c:pt idx="77">
                  <c:v>12.853396316139307</c:v>
                </c:pt>
                <c:pt idx="78">
                  <c:v>12.662413997831234</c:v>
                </c:pt>
                <c:pt idx="79">
                  <c:v>12.592263343000344</c:v>
                </c:pt>
                <c:pt idx="80">
                  <c:v>12.515350179738284</c:v>
                </c:pt>
                <c:pt idx="81">
                  <c:v>12.443157873515773</c:v>
                </c:pt>
                <c:pt idx="82">
                  <c:v>12.356852861051824</c:v>
                </c:pt>
                <c:pt idx="83">
                  <c:v>12.225307508498208</c:v>
                </c:pt>
                <c:pt idx="84">
                  <c:v>12.606858642890504</c:v>
                </c:pt>
                <c:pt idx="85">
                  <c:v>12.480356176676271</c:v>
                </c:pt>
                <c:pt idx="86">
                  <c:v>12.428981024345582</c:v>
                </c:pt>
                <c:pt idx="87">
                  <c:v>12.350838176109157</c:v>
                </c:pt>
                <c:pt idx="88">
                  <c:v>12.136303099643111</c:v>
                </c:pt>
                <c:pt idx="89">
                  <c:v>12.079610058578712</c:v>
                </c:pt>
                <c:pt idx="90">
                  <c:v>12.024914105846641</c:v>
                </c:pt>
                <c:pt idx="91">
                  <c:v>11.830702005236919</c:v>
                </c:pt>
                <c:pt idx="92">
                  <c:v>11.764400518084955</c:v>
                </c:pt>
                <c:pt idx="93">
                  <c:v>11.699871727317859</c:v>
                </c:pt>
                <c:pt idx="94">
                  <c:v>11.621792356589424</c:v>
                </c:pt>
                <c:pt idx="95">
                  <c:v>11.527007736244023</c:v>
                </c:pt>
                <c:pt idx="96">
                  <c:v>12.054901395683899</c:v>
                </c:pt>
                <c:pt idx="97">
                  <c:v>11.984448108890469</c:v>
                </c:pt>
                <c:pt idx="98">
                  <c:v>11.912935742069891</c:v>
                </c:pt>
                <c:pt idx="99">
                  <c:v>11.698837413518916</c:v>
                </c:pt>
                <c:pt idx="100">
                  <c:v>11.551629355261365</c:v>
                </c:pt>
                <c:pt idx="101">
                  <c:v>11.468077314258966</c:v>
                </c:pt>
                <c:pt idx="102">
                  <c:v>11.397508540029168</c:v>
                </c:pt>
                <c:pt idx="103">
                  <c:v>11.177135863092595</c:v>
                </c:pt>
                <c:pt idx="104">
                  <c:v>11.022047291652132</c:v>
                </c:pt>
                <c:pt idx="105">
                  <c:v>10.92379737767072</c:v>
                </c:pt>
                <c:pt idx="106">
                  <c:v>10.675992054287306</c:v>
                </c:pt>
                <c:pt idx="107">
                  <c:v>10.541401133545204</c:v>
                </c:pt>
                <c:pt idx="108">
                  <c:v>11.12928733552139</c:v>
                </c:pt>
                <c:pt idx="109">
                  <c:v>11.000433221130692</c:v>
                </c:pt>
                <c:pt idx="110">
                  <c:v>10.897230893760881</c:v>
                </c:pt>
                <c:pt idx="111">
                  <c:v>10.771583123837388</c:v>
                </c:pt>
                <c:pt idx="112">
                  <c:v>10.664605709932474</c:v>
                </c:pt>
                <c:pt idx="113">
                  <c:v>10.54711365600712</c:v>
                </c:pt>
                <c:pt idx="114">
                  <c:v>10.365149896707237</c:v>
                </c:pt>
                <c:pt idx="115">
                  <c:v>10.315875149469509</c:v>
                </c:pt>
                <c:pt idx="116">
                  <c:v>10.201495810293636</c:v>
                </c:pt>
                <c:pt idx="117">
                  <c:v>10.062618888445915</c:v>
                </c:pt>
                <c:pt idx="118">
                  <c:v>9.9935213907749301</c:v>
                </c:pt>
                <c:pt idx="119">
                  <c:v>9.8371631898092211</c:v>
                </c:pt>
                <c:pt idx="120">
                  <c:v>10.522401765476797</c:v>
                </c:pt>
                <c:pt idx="121">
                  <c:v>10.336564737140673</c:v>
                </c:pt>
                <c:pt idx="122">
                  <c:v>10.198757702841672</c:v>
                </c:pt>
                <c:pt idx="123">
                  <c:v>10.059430105117904</c:v>
                </c:pt>
                <c:pt idx="124">
                  <c:v>9.897121500299022</c:v>
                </c:pt>
                <c:pt idx="125">
                  <c:v>9.7257466297217938</c:v>
                </c:pt>
                <c:pt idx="126">
                  <c:v>9.6230644443282749</c:v>
                </c:pt>
                <c:pt idx="127">
                  <c:v>9.4459263403568663</c:v>
                </c:pt>
                <c:pt idx="128">
                  <c:v>9.203714709785114</c:v>
                </c:pt>
                <c:pt idx="129">
                  <c:v>9.0836562768459395</c:v>
                </c:pt>
                <c:pt idx="130">
                  <c:v>8.9041219651036094</c:v>
                </c:pt>
                <c:pt idx="131">
                  <c:v>8.7695296975291193</c:v>
                </c:pt>
                <c:pt idx="132">
                  <c:v>9.6169582883594593</c:v>
                </c:pt>
                <c:pt idx="133">
                  <c:v>9.4868948686495997</c:v>
                </c:pt>
                <c:pt idx="134">
                  <c:v>9.2430040530365751</c:v>
                </c:pt>
                <c:pt idx="135">
                  <c:v>9.1703931116640582</c:v>
                </c:pt>
                <c:pt idx="136">
                  <c:v>8.8478544561113424</c:v>
                </c:pt>
                <c:pt idx="137">
                  <c:v>8.6861367794850821</c:v>
                </c:pt>
                <c:pt idx="138">
                  <c:v>8.5438979334111096</c:v>
                </c:pt>
                <c:pt idx="139">
                  <c:v>8.3946231531625841</c:v>
                </c:pt>
                <c:pt idx="140">
                  <c:v>8.2080596181561596</c:v>
                </c:pt>
                <c:pt idx="141">
                  <c:v>8.001758103007738</c:v>
                </c:pt>
                <c:pt idx="142">
                  <c:v>7.8195241861756637</c:v>
                </c:pt>
                <c:pt idx="143">
                  <c:v>7.6095107466699305</c:v>
                </c:pt>
                <c:pt idx="144">
                  <c:v>8.6654368267269319</c:v>
                </c:pt>
                <c:pt idx="145">
                  <c:v>8.5626151674490067</c:v>
                </c:pt>
                <c:pt idx="146">
                  <c:v>8.4628101656839796</c:v>
                </c:pt>
                <c:pt idx="147">
                  <c:v>8.2103722605117149</c:v>
                </c:pt>
                <c:pt idx="148">
                  <c:v>8.1648856146419995</c:v>
                </c:pt>
                <c:pt idx="149">
                  <c:v>8.2103737216888568</c:v>
                </c:pt>
                <c:pt idx="150">
                  <c:v>8.0462165390179763</c:v>
                </c:pt>
                <c:pt idx="151">
                  <c:v>7.9512620101107467</c:v>
                </c:pt>
                <c:pt idx="152">
                  <c:v>7.9836241868713538</c:v>
                </c:pt>
                <c:pt idx="153">
                  <c:v>7.7981787421282869</c:v>
                </c:pt>
                <c:pt idx="154">
                  <c:v>7.8824350435329409</c:v>
                </c:pt>
                <c:pt idx="155">
                  <c:v>7.6503593754583905</c:v>
                </c:pt>
                <c:pt idx="156">
                  <c:v>11.527328525226171</c:v>
                </c:pt>
                <c:pt idx="157">
                  <c:v>11.359392816785753</c:v>
                </c:pt>
                <c:pt idx="158">
                  <c:v>10.357578883994194</c:v>
                </c:pt>
                <c:pt idx="159">
                  <c:v>9.5008206764856133</c:v>
                </c:pt>
                <c:pt idx="160">
                  <c:v>8.2088781269181013</c:v>
                </c:pt>
                <c:pt idx="161">
                  <c:v>7.712656997238537</c:v>
                </c:pt>
                <c:pt idx="162">
                  <c:v>7.5770716436402159</c:v>
                </c:pt>
                <c:pt idx="163">
                  <c:v>7.2620641975247446</c:v>
                </c:pt>
                <c:pt idx="164">
                  <c:v>7.0636837742353409</c:v>
                </c:pt>
                <c:pt idx="165">
                  <c:v>6.9111253624247775</c:v>
                </c:pt>
                <c:pt idx="166">
                  <c:v>6.7488892094496409</c:v>
                </c:pt>
                <c:pt idx="167">
                  <c:v>6.5049246937480003</c:v>
                </c:pt>
                <c:pt idx="168">
                  <c:v>7.1525944135477078</c:v>
                </c:pt>
                <c:pt idx="169">
                  <c:v>6.9936620091087436</c:v>
                </c:pt>
                <c:pt idx="170">
                  <c:v>6.8443192806156015</c:v>
                </c:pt>
                <c:pt idx="171">
                  <c:v>6.7251436858216396</c:v>
                </c:pt>
                <c:pt idx="172">
                  <c:v>6.572623733568836</c:v>
                </c:pt>
                <c:pt idx="173">
                  <c:v>6.6906973925938393</c:v>
                </c:pt>
                <c:pt idx="174">
                  <c:v>7.4846897721743568</c:v>
                </c:pt>
                <c:pt idx="175">
                  <c:v>7.5330725647410111</c:v>
                </c:pt>
                <c:pt idx="176">
                  <c:v>7.8165848380940348</c:v>
                </c:pt>
                <c:pt idx="177">
                  <c:v>7.6203310957037393</c:v>
                </c:pt>
                <c:pt idx="178">
                  <c:v>7.703847964581656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86-466E-A896-F58B758CA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360592"/>
        <c:axId val="937358672"/>
      </c:scatterChart>
      <c:valAx>
        <c:axId val="93736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7358672"/>
        <c:crosses val="autoZero"/>
        <c:crossBetween val="midCat"/>
      </c:valAx>
      <c:valAx>
        <c:axId val="93735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736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18495</xdr:colOff>
      <xdr:row>73</xdr:row>
      <xdr:rowOff>34030</xdr:rowOff>
    </xdr:from>
    <xdr:to>
      <xdr:col>14</xdr:col>
      <xdr:colOff>344009</xdr:colOff>
      <xdr:row>88</xdr:row>
      <xdr:rowOff>2958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D85DBF9-A4AB-3659-96B9-13E39B673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0</xdr:rowOff>
    </xdr:from>
    <xdr:to>
      <xdr:col>7</xdr:col>
      <xdr:colOff>388621</xdr:colOff>
      <xdr:row>12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2E5C73E-E26B-4CB1-AB30-E7719F43F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7</xdr:col>
      <xdr:colOff>594360</xdr:colOff>
      <xdr:row>30</xdr:row>
      <xdr:rowOff>91440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50F5077-B93A-49E2-B0D1-81B0396DA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121920</xdr:colOff>
      <xdr:row>32</xdr:row>
      <xdr:rowOff>175260</xdr:rowOff>
    </xdr:from>
    <xdr:to>
      <xdr:col>8</xdr:col>
      <xdr:colOff>445028</xdr:colOff>
      <xdr:row>49</xdr:row>
      <xdr:rowOff>61465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96F3020-61A2-4150-B2B8-5D52BA862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160020</xdr:colOff>
      <xdr:row>50</xdr:row>
      <xdr:rowOff>68581</xdr:rowOff>
    </xdr:from>
    <xdr:to>
      <xdr:col>8</xdr:col>
      <xdr:colOff>483128</xdr:colOff>
      <xdr:row>65</xdr:row>
      <xdr:rowOff>15241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AEB7DA5-5B18-4311-AF44-024A86430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67</xdr:row>
      <xdr:rowOff>0</xdr:rowOff>
    </xdr:from>
    <xdr:to>
      <xdr:col>9</xdr:col>
      <xdr:colOff>120570</xdr:colOff>
      <xdr:row>81</xdr:row>
      <xdr:rowOff>83820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4033D8D-E9A9-492A-B0A8-925CEADB0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396240</xdr:colOff>
      <xdr:row>1</xdr:row>
      <xdr:rowOff>346710</xdr:rowOff>
    </xdr:from>
    <xdr:to>
      <xdr:col>21</xdr:col>
      <xdr:colOff>91440</xdr:colOff>
      <xdr:row>12</xdr:row>
      <xdr:rowOff>125730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14E382FE-58C2-396D-2DAE-0FE9712AB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496230</xdr:colOff>
      <xdr:row>162</xdr:row>
      <xdr:rowOff>89303</xdr:rowOff>
    </xdr:from>
    <xdr:to>
      <xdr:col>10</xdr:col>
      <xdr:colOff>191429</xdr:colOff>
      <xdr:row>177</xdr:row>
      <xdr:rowOff>89303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0210D0-F424-D50F-8D72-20F357A47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99784</xdr:colOff>
      <xdr:row>11</xdr:row>
      <xdr:rowOff>27215</xdr:rowOff>
    </xdr:from>
    <xdr:to>
      <xdr:col>25</xdr:col>
      <xdr:colOff>282945</xdr:colOff>
      <xdr:row>18</xdr:row>
      <xdr:rowOff>157563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547BBAE-6A1C-49E0-8FDA-7CAD132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2141" y="4218215"/>
          <a:ext cx="5045447" cy="14003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3%20&#1082;&#1091;&#1088;&#1089;/5%20&#1089;&#1077;&#1084;&#1077;&#1089;&#1090;&#1088;/&#1044;&#1047;%201%20&#1101;&#1082;&#1086;&#1085;&#1086;&#1084;&#1077;&#1090;&#1088;&#1080;&#1082;&#1072;.xlsx" TargetMode="External"/><Relationship Id="rId2" Type="http://schemas.openxmlformats.org/officeDocument/2006/relationships/externalLinkPath" Target="file:///C:\Users\79281\Desktop\&#1044;&#1047;%201%20&#1101;&#1082;&#1086;&#1085;&#1086;&#1084;&#1077;&#1090;&#1088;&#1080;&#1082;&#1072;.xlsx" TargetMode="External"/><Relationship Id="rId1" Type="http://schemas.openxmlformats.org/officeDocument/2006/relationships/externalLinkPath" Target="/Users/79281/Desktop/3%20&#1082;&#1091;&#1088;&#1089;/5%20&#1089;&#1077;&#1084;&#1077;&#1089;&#1090;&#1088;/&#1044;&#1047;%201%20&#1101;&#1082;&#1086;&#1085;&#1086;&#1084;&#1077;&#1090;&#1088;&#1080;&#1082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Лист21"/>
      <sheetName val="Лист22"/>
      <sheetName val="Лист24"/>
      <sheetName val="Лист25"/>
      <sheetName val="Лист26"/>
      <sheetName val="Данные +поле (2)"/>
      <sheetName val="Лист14"/>
      <sheetName val="Лист15"/>
      <sheetName val="Лист16"/>
      <sheetName val="Лист18"/>
      <sheetName val="Лист19"/>
      <sheetName val="Регрессия с 2014"/>
      <sheetName val="Данные +поле"/>
      <sheetName val="Матрица коэффициентов"/>
      <sheetName val="Мультиколлинеарность"/>
      <sheetName val="Регрессия"/>
      <sheetName val="Автокорреляция"/>
      <sheetName val="Лист12"/>
      <sheetName val="гетероскедастичность"/>
      <sheetName val="Тест Чоу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1004951.4</v>
          </cell>
          <cell r="D6">
            <v>7262.8</v>
          </cell>
          <cell r="E6">
            <v>191.1</v>
          </cell>
          <cell r="F6">
            <v>13</v>
          </cell>
          <cell r="G6">
            <v>14.35</v>
          </cell>
        </row>
        <row r="7">
          <cell r="C7">
            <v>998317.4</v>
          </cell>
          <cell r="D7">
            <v>8203.1</v>
          </cell>
          <cell r="E7">
            <v>192.3</v>
          </cell>
          <cell r="F7">
            <v>13</v>
          </cell>
          <cell r="G7">
            <v>14.5</v>
          </cell>
        </row>
        <row r="8">
          <cell r="C8">
            <v>978253.9</v>
          </cell>
          <cell r="D8">
            <v>9364.4</v>
          </cell>
          <cell r="E8">
            <v>190.8</v>
          </cell>
          <cell r="F8">
            <v>12.5</v>
          </cell>
          <cell r="G8">
            <v>14.67</v>
          </cell>
        </row>
        <row r="9">
          <cell r="C9">
            <v>971464</v>
          </cell>
          <cell r="D9">
            <v>10768.9</v>
          </cell>
          <cell r="E9">
            <v>191.2</v>
          </cell>
          <cell r="F9">
            <v>12</v>
          </cell>
          <cell r="G9">
            <v>14.71</v>
          </cell>
        </row>
        <row r="10">
          <cell r="C10">
            <v>966368.7</v>
          </cell>
          <cell r="D10">
            <v>12102.2</v>
          </cell>
          <cell r="E10">
            <v>189.3</v>
          </cell>
          <cell r="F10">
            <v>11.5</v>
          </cell>
          <cell r="G10">
            <v>14.84</v>
          </cell>
        </row>
        <row r="11">
          <cell r="C11">
            <v>961002</v>
          </cell>
          <cell r="D11">
            <v>13363.8</v>
          </cell>
          <cell r="E11">
            <v>187.3</v>
          </cell>
          <cell r="F11">
            <v>11</v>
          </cell>
          <cell r="G11">
            <v>14.86</v>
          </cell>
        </row>
        <row r="12">
          <cell r="C12">
            <v>959846.3</v>
          </cell>
          <cell r="D12">
            <v>14490</v>
          </cell>
          <cell r="E12">
            <v>187.5</v>
          </cell>
          <cell r="F12">
            <v>10.75</v>
          </cell>
          <cell r="G12">
            <v>14.88</v>
          </cell>
        </row>
        <row r="13">
          <cell r="C13">
            <v>958525.1</v>
          </cell>
          <cell r="D13">
            <v>15669.5</v>
          </cell>
          <cell r="E13">
            <v>187.9</v>
          </cell>
          <cell r="F13">
            <v>10.5</v>
          </cell>
          <cell r="G13">
            <v>14.85</v>
          </cell>
        </row>
        <row r="14">
          <cell r="C14">
            <v>956324.2</v>
          </cell>
          <cell r="D14">
            <v>17218.2</v>
          </cell>
          <cell r="E14">
            <v>187.7</v>
          </cell>
          <cell r="F14">
            <v>9.5</v>
          </cell>
          <cell r="G14">
            <v>14.8</v>
          </cell>
        </row>
        <row r="15">
          <cell r="C15">
            <v>957140.7</v>
          </cell>
          <cell r="D15">
            <v>18416.400000000001</v>
          </cell>
          <cell r="E15">
            <v>187.8</v>
          </cell>
          <cell r="F15">
            <v>9</v>
          </cell>
          <cell r="G15">
            <v>14.76</v>
          </cell>
        </row>
        <row r="16">
          <cell r="C16">
            <v>958752.5</v>
          </cell>
          <cell r="D16">
            <v>19390.400000000001</v>
          </cell>
          <cell r="E16">
            <v>188.6</v>
          </cell>
          <cell r="F16">
            <v>8.75</v>
          </cell>
          <cell r="G16">
            <v>14.72</v>
          </cell>
        </row>
        <row r="17">
          <cell r="C17">
            <v>966786.1</v>
          </cell>
          <cell r="D17">
            <v>20660.3</v>
          </cell>
          <cell r="E17">
            <v>188.4</v>
          </cell>
          <cell r="F17">
            <v>8.75</v>
          </cell>
          <cell r="G17">
            <v>14.59</v>
          </cell>
        </row>
        <row r="18">
          <cell r="C18">
            <v>961161</v>
          </cell>
          <cell r="D18">
            <v>21336</v>
          </cell>
          <cell r="E18">
            <v>186.8</v>
          </cell>
          <cell r="F18">
            <v>8.5</v>
          </cell>
          <cell r="G18">
            <v>14.17</v>
          </cell>
        </row>
        <row r="19">
          <cell r="C19">
            <v>962495</v>
          </cell>
          <cell r="D19">
            <v>22247</v>
          </cell>
          <cell r="E19">
            <v>187.7</v>
          </cell>
          <cell r="F19">
            <v>8.25</v>
          </cell>
          <cell r="G19">
            <v>14.01</v>
          </cell>
        </row>
        <row r="20">
          <cell r="C20">
            <v>968289</v>
          </cell>
          <cell r="D20">
            <v>23193</v>
          </cell>
          <cell r="E20">
            <v>188</v>
          </cell>
          <cell r="F20">
            <v>8</v>
          </cell>
          <cell r="G20">
            <v>13.85</v>
          </cell>
        </row>
        <row r="21">
          <cell r="C21">
            <v>976742</v>
          </cell>
          <cell r="D21">
            <v>24139</v>
          </cell>
          <cell r="E21">
            <v>188.3</v>
          </cell>
          <cell r="F21">
            <v>8</v>
          </cell>
          <cell r="G21">
            <v>13.8</v>
          </cell>
        </row>
        <row r="22">
          <cell r="C22">
            <v>983664</v>
          </cell>
          <cell r="D22">
            <v>25071</v>
          </cell>
          <cell r="E22">
            <v>188.9</v>
          </cell>
          <cell r="F22">
            <v>7.75</v>
          </cell>
          <cell r="G22">
            <v>13.75</v>
          </cell>
        </row>
        <row r="23">
          <cell r="C23">
            <v>990625</v>
          </cell>
          <cell r="D23">
            <v>24996</v>
          </cell>
          <cell r="E23">
            <v>189</v>
          </cell>
          <cell r="F23">
            <v>7.75</v>
          </cell>
          <cell r="G23">
            <v>13.71</v>
          </cell>
        </row>
        <row r="24">
          <cell r="C24">
            <v>1005186</v>
          </cell>
          <cell r="D24">
            <v>26647</v>
          </cell>
          <cell r="E24">
            <v>189.5</v>
          </cell>
          <cell r="F24">
            <v>7.75</v>
          </cell>
          <cell r="G24">
            <v>13.67</v>
          </cell>
        </row>
        <row r="25">
          <cell r="C25">
            <v>1017760</v>
          </cell>
          <cell r="D25">
            <v>27270</v>
          </cell>
          <cell r="E25">
            <v>188.9</v>
          </cell>
          <cell r="F25">
            <v>7.75</v>
          </cell>
          <cell r="G25">
            <v>13.65</v>
          </cell>
        </row>
        <row r="26">
          <cell r="C26">
            <v>1033770</v>
          </cell>
          <cell r="D26">
            <v>28029</v>
          </cell>
          <cell r="E26">
            <v>188.7</v>
          </cell>
          <cell r="F26">
            <v>7.75</v>
          </cell>
          <cell r="G26">
            <v>13.63</v>
          </cell>
        </row>
        <row r="27">
          <cell r="C27">
            <v>1050901</v>
          </cell>
          <cell r="D27">
            <v>28373</v>
          </cell>
          <cell r="E27">
            <v>188.7</v>
          </cell>
          <cell r="F27">
            <v>7.75</v>
          </cell>
          <cell r="G27">
            <v>13.51</v>
          </cell>
        </row>
        <row r="28">
          <cell r="C28">
            <v>1070316</v>
          </cell>
          <cell r="D28">
            <v>29214</v>
          </cell>
          <cell r="E28">
            <v>188.6</v>
          </cell>
          <cell r="F28">
            <v>7.75</v>
          </cell>
          <cell r="G28">
            <v>13.44</v>
          </cell>
        </row>
        <row r="29">
          <cell r="C29">
            <v>1102324</v>
          </cell>
          <cell r="D29">
            <v>26726</v>
          </cell>
          <cell r="E29">
            <v>188.7</v>
          </cell>
          <cell r="F29">
            <v>7.75</v>
          </cell>
          <cell r="G29">
            <v>13.29</v>
          </cell>
        </row>
        <row r="30">
          <cell r="C30">
            <v>1102760</v>
          </cell>
          <cell r="D30">
            <v>27559</v>
          </cell>
          <cell r="E30">
            <v>184</v>
          </cell>
          <cell r="F30">
            <v>8</v>
          </cell>
          <cell r="G30">
            <v>12.96</v>
          </cell>
        </row>
        <row r="31">
          <cell r="C31">
            <v>1114576</v>
          </cell>
          <cell r="D31">
            <v>27539</v>
          </cell>
          <cell r="E31">
            <v>186.4</v>
          </cell>
          <cell r="F31">
            <v>8</v>
          </cell>
          <cell r="G31">
            <v>12.74</v>
          </cell>
        </row>
        <row r="32">
          <cell r="C32">
            <v>1134453</v>
          </cell>
          <cell r="D32">
            <v>27863</v>
          </cell>
          <cell r="E32">
            <v>187.6</v>
          </cell>
          <cell r="F32">
            <v>8</v>
          </cell>
          <cell r="G32">
            <v>12.64</v>
          </cell>
        </row>
        <row r="33">
          <cell r="C33">
            <v>1160253</v>
          </cell>
          <cell r="D33">
            <v>27967</v>
          </cell>
          <cell r="E33">
            <v>187.3</v>
          </cell>
          <cell r="F33">
            <v>8.25</v>
          </cell>
          <cell r="G33">
            <v>12.47</v>
          </cell>
        </row>
        <row r="34">
          <cell r="C34">
            <v>1189241</v>
          </cell>
          <cell r="D34">
            <v>28647</v>
          </cell>
          <cell r="E34">
            <v>186.3</v>
          </cell>
          <cell r="F34">
            <v>8.25</v>
          </cell>
          <cell r="G34">
            <v>12.4</v>
          </cell>
        </row>
        <row r="35">
          <cell r="C35">
            <v>1225010</v>
          </cell>
          <cell r="D35">
            <v>28965</v>
          </cell>
          <cell r="E35">
            <v>185</v>
          </cell>
          <cell r="F35">
            <v>8.25</v>
          </cell>
          <cell r="G35">
            <v>12.35</v>
          </cell>
        </row>
        <row r="36">
          <cell r="C36">
            <v>1255772</v>
          </cell>
          <cell r="D36">
            <v>29161</v>
          </cell>
          <cell r="E36">
            <v>182.8</v>
          </cell>
          <cell r="F36">
            <v>8.25</v>
          </cell>
          <cell r="G36">
            <v>12.29</v>
          </cell>
        </row>
        <row r="37">
          <cell r="C37">
            <v>1290781</v>
          </cell>
          <cell r="D37">
            <v>29158</v>
          </cell>
          <cell r="E37">
            <v>181.1</v>
          </cell>
          <cell r="F37">
            <v>8.25</v>
          </cell>
          <cell r="G37">
            <v>12.22</v>
          </cell>
        </row>
        <row r="38">
          <cell r="C38">
            <v>1321632</v>
          </cell>
          <cell r="D38">
            <v>29208</v>
          </cell>
          <cell r="E38">
            <v>178.7</v>
          </cell>
          <cell r="F38">
            <v>8.25</v>
          </cell>
          <cell r="G38">
            <v>12.15</v>
          </cell>
        </row>
        <row r="39">
          <cell r="C39">
            <v>1356057</v>
          </cell>
          <cell r="D39">
            <v>29515</v>
          </cell>
          <cell r="E39">
            <v>177.2</v>
          </cell>
          <cell r="F39">
            <v>8.25</v>
          </cell>
          <cell r="G39">
            <v>12.08</v>
          </cell>
        </row>
        <row r="40">
          <cell r="C40">
            <v>1398578</v>
          </cell>
          <cell r="D40">
            <v>29786</v>
          </cell>
          <cell r="E40">
            <v>176</v>
          </cell>
          <cell r="F40">
            <v>8</v>
          </cell>
          <cell r="G40">
            <v>12.03</v>
          </cell>
        </row>
        <row r="41">
          <cell r="C41">
            <v>1448522</v>
          </cell>
          <cell r="D41">
            <v>29313</v>
          </cell>
          <cell r="E41">
            <v>174.6</v>
          </cell>
          <cell r="F41">
            <v>8</v>
          </cell>
          <cell r="G41">
            <v>11.98</v>
          </cell>
        </row>
        <row r="42">
          <cell r="C42">
            <v>1456199</v>
          </cell>
          <cell r="D42">
            <v>29461</v>
          </cell>
          <cell r="E42">
            <v>168.9</v>
          </cell>
          <cell r="F42">
            <v>8</v>
          </cell>
          <cell r="G42">
            <v>11.92</v>
          </cell>
        </row>
        <row r="43">
          <cell r="C43">
            <v>1488459</v>
          </cell>
          <cell r="D43">
            <v>29847</v>
          </cell>
          <cell r="E43">
            <v>171.2</v>
          </cell>
          <cell r="F43">
            <v>8</v>
          </cell>
          <cell r="G43">
            <v>11.98</v>
          </cell>
        </row>
        <row r="44">
          <cell r="C44">
            <v>1529396</v>
          </cell>
          <cell r="D44">
            <v>28993</v>
          </cell>
          <cell r="E44">
            <v>172.8</v>
          </cell>
          <cell r="F44">
            <v>8</v>
          </cell>
          <cell r="G44">
            <v>12.05</v>
          </cell>
        </row>
        <row r="45">
          <cell r="C45">
            <v>1578338</v>
          </cell>
          <cell r="D45">
            <v>29212</v>
          </cell>
          <cell r="E45">
            <v>174.2</v>
          </cell>
          <cell r="F45">
            <v>8</v>
          </cell>
          <cell r="G45">
            <v>12.09</v>
          </cell>
        </row>
        <row r="46">
          <cell r="C46">
            <v>1619098</v>
          </cell>
          <cell r="D46">
            <v>29116</v>
          </cell>
          <cell r="E46">
            <v>174.6</v>
          </cell>
          <cell r="F46">
            <v>8</v>
          </cell>
          <cell r="G46">
            <v>12.12</v>
          </cell>
        </row>
        <row r="47">
          <cell r="C47">
            <v>1662618</v>
          </cell>
          <cell r="D47">
            <v>29071</v>
          </cell>
          <cell r="E47">
            <v>174.9</v>
          </cell>
          <cell r="F47">
            <v>8</v>
          </cell>
          <cell r="G47">
            <v>12.14</v>
          </cell>
        </row>
        <row r="48">
          <cell r="C48">
            <v>1702749</v>
          </cell>
          <cell r="D48">
            <v>29077</v>
          </cell>
          <cell r="E48">
            <v>175</v>
          </cell>
          <cell r="F48">
            <v>8</v>
          </cell>
          <cell r="G48">
            <v>12.16</v>
          </cell>
        </row>
        <row r="49">
          <cell r="C49">
            <v>1758902</v>
          </cell>
          <cell r="D49">
            <v>28999</v>
          </cell>
          <cell r="E49">
            <v>175.5</v>
          </cell>
          <cell r="F49">
            <v>8.25</v>
          </cell>
          <cell r="G49">
            <v>12.19</v>
          </cell>
        </row>
        <row r="50">
          <cell r="C50">
            <v>1807153</v>
          </cell>
          <cell r="D50">
            <v>28782</v>
          </cell>
          <cell r="E50">
            <v>175.4</v>
          </cell>
          <cell r="F50">
            <v>8.25</v>
          </cell>
          <cell r="G50">
            <v>12.21</v>
          </cell>
        </row>
        <row r="51">
          <cell r="C51">
            <v>1867604</v>
          </cell>
          <cell r="D51">
            <v>28689</v>
          </cell>
          <cell r="E51">
            <v>175.3</v>
          </cell>
          <cell r="F51">
            <v>8.25</v>
          </cell>
          <cell r="G51">
            <v>12.25</v>
          </cell>
        </row>
        <row r="52">
          <cell r="C52">
            <v>1926842</v>
          </cell>
          <cell r="D52">
            <v>28497</v>
          </cell>
          <cell r="E52">
            <v>175.8</v>
          </cell>
          <cell r="F52">
            <v>8.25</v>
          </cell>
          <cell r="G52">
            <v>12.29</v>
          </cell>
        </row>
        <row r="53">
          <cell r="C53">
            <v>1992388</v>
          </cell>
          <cell r="D53">
            <v>31213</v>
          </cell>
          <cell r="E53">
            <v>176.6</v>
          </cell>
          <cell r="F53">
            <v>8.25</v>
          </cell>
          <cell r="G53">
            <v>12.32</v>
          </cell>
        </row>
        <row r="54">
          <cell r="C54">
            <v>2000178</v>
          </cell>
          <cell r="D54">
            <v>31649</v>
          </cell>
          <cell r="E54">
            <v>179</v>
          </cell>
          <cell r="F54">
            <v>8.25</v>
          </cell>
          <cell r="G54">
            <v>12.73</v>
          </cell>
        </row>
        <row r="55">
          <cell r="C55">
            <v>2042749</v>
          </cell>
          <cell r="D55">
            <v>31576</v>
          </cell>
          <cell r="E55">
            <v>177.8</v>
          </cell>
          <cell r="F55">
            <v>8.25</v>
          </cell>
          <cell r="G55">
            <v>12.82</v>
          </cell>
        </row>
        <row r="56">
          <cell r="C56">
            <v>2083220</v>
          </cell>
          <cell r="D56">
            <v>31248</v>
          </cell>
          <cell r="E56">
            <v>177.4</v>
          </cell>
          <cell r="F56">
            <v>8.25</v>
          </cell>
          <cell r="G56">
            <v>12.87</v>
          </cell>
        </row>
        <row r="57">
          <cell r="C57">
            <v>2147924</v>
          </cell>
          <cell r="D57">
            <v>31415</v>
          </cell>
          <cell r="E57">
            <v>177</v>
          </cell>
          <cell r="F57">
            <v>8.25</v>
          </cell>
          <cell r="G57">
            <v>12.81</v>
          </cell>
        </row>
        <row r="58">
          <cell r="C58">
            <v>2201187</v>
          </cell>
          <cell r="D58">
            <v>31179</v>
          </cell>
          <cell r="E58">
            <v>175.9</v>
          </cell>
          <cell r="F58">
            <v>8.25</v>
          </cell>
          <cell r="G58">
            <v>12.8</v>
          </cell>
        </row>
        <row r="59">
          <cell r="C59">
            <v>2258703</v>
          </cell>
          <cell r="D59">
            <v>29994</v>
          </cell>
          <cell r="E59">
            <v>175.4</v>
          </cell>
          <cell r="F59">
            <v>8.25</v>
          </cell>
          <cell r="G59">
            <v>12.76</v>
          </cell>
        </row>
        <row r="60">
          <cell r="C60">
            <v>2326601</v>
          </cell>
          <cell r="D60">
            <v>30487</v>
          </cell>
          <cell r="E60">
            <v>175.1</v>
          </cell>
          <cell r="F60">
            <v>8.25</v>
          </cell>
          <cell r="G60">
            <v>12.71</v>
          </cell>
        </row>
        <row r="61">
          <cell r="C61">
            <v>2384020</v>
          </cell>
          <cell r="D61">
            <v>30362</v>
          </cell>
          <cell r="E61">
            <v>174.4</v>
          </cell>
          <cell r="F61">
            <v>5.5</v>
          </cell>
          <cell r="G61">
            <v>12.67</v>
          </cell>
        </row>
        <row r="62">
          <cell r="C62">
            <v>2390674</v>
          </cell>
          <cell r="D62">
            <v>29123</v>
          </cell>
          <cell r="E62">
            <v>174.1</v>
          </cell>
          <cell r="F62">
            <v>5.5</v>
          </cell>
          <cell r="G62">
            <v>12.64</v>
          </cell>
        </row>
        <row r="63">
          <cell r="C63">
            <v>2476266</v>
          </cell>
          <cell r="D63">
            <v>29002</v>
          </cell>
          <cell r="E63">
            <v>174</v>
          </cell>
          <cell r="F63">
            <v>5.5</v>
          </cell>
          <cell r="G63">
            <v>12.6</v>
          </cell>
        </row>
        <row r="64">
          <cell r="C64">
            <v>2553718</v>
          </cell>
          <cell r="D64">
            <v>28575</v>
          </cell>
          <cell r="E64">
            <v>172.8</v>
          </cell>
          <cell r="F64">
            <v>5.5</v>
          </cell>
          <cell r="G64">
            <v>12.56</v>
          </cell>
        </row>
        <row r="65">
          <cell r="C65">
            <v>2647421</v>
          </cell>
          <cell r="D65">
            <v>27783</v>
          </cell>
          <cell r="E65">
            <v>172.9</v>
          </cell>
          <cell r="F65">
            <v>5.5</v>
          </cell>
          <cell r="G65">
            <v>12.51</v>
          </cell>
        </row>
        <row r="66">
          <cell r="C66">
            <v>2673992</v>
          </cell>
          <cell r="D66">
            <v>28057</v>
          </cell>
          <cell r="E66">
            <v>172</v>
          </cell>
          <cell r="F66">
            <v>5.5</v>
          </cell>
          <cell r="G66">
            <v>12.3</v>
          </cell>
        </row>
        <row r="67">
          <cell r="C67">
            <v>2738205</v>
          </cell>
          <cell r="D67">
            <v>28410</v>
          </cell>
          <cell r="E67">
            <v>178.9</v>
          </cell>
          <cell r="F67">
            <v>7</v>
          </cell>
          <cell r="G67">
            <v>12.3</v>
          </cell>
        </row>
        <row r="68">
          <cell r="C68">
            <v>2808289</v>
          </cell>
          <cell r="D68">
            <v>28296</v>
          </cell>
          <cell r="E68">
            <v>181.6</v>
          </cell>
          <cell r="F68">
            <v>7.5</v>
          </cell>
          <cell r="G68">
            <v>12.18</v>
          </cell>
        </row>
        <row r="69">
          <cell r="C69">
            <v>2907478</v>
          </cell>
          <cell r="D69">
            <v>28611</v>
          </cell>
          <cell r="E69">
            <v>172.4</v>
          </cell>
          <cell r="F69">
            <v>7.5</v>
          </cell>
          <cell r="G69">
            <v>12.22</v>
          </cell>
        </row>
        <row r="70">
          <cell r="C70">
            <v>2983358</v>
          </cell>
          <cell r="D70">
            <v>28932</v>
          </cell>
          <cell r="E70">
            <v>174.2</v>
          </cell>
          <cell r="F70">
            <v>7.5</v>
          </cell>
          <cell r="G70">
            <v>12.22</v>
          </cell>
        </row>
        <row r="71">
          <cell r="C71">
            <v>3049741</v>
          </cell>
          <cell r="D71">
            <v>28983</v>
          </cell>
          <cell r="E71">
            <v>173.9</v>
          </cell>
          <cell r="F71">
            <v>8</v>
          </cell>
          <cell r="G71">
            <v>12.22</v>
          </cell>
        </row>
        <row r="72">
          <cell r="C72">
            <v>3143500</v>
          </cell>
          <cell r="D72">
            <v>29587</v>
          </cell>
          <cell r="E72">
            <v>176.6</v>
          </cell>
          <cell r="F72">
            <v>8</v>
          </cell>
          <cell r="G72">
            <v>12.23</v>
          </cell>
        </row>
        <row r="73">
          <cell r="C73">
            <v>3213547</v>
          </cell>
          <cell r="D73">
            <v>29800</v>
          </cell>
          <cell r="E73">
            <v>176.6</v>
          </cell>
          <cell r="F73">
            <v>8</v>
          </cell>
          <cell r="G73">
            <v>12.24</v>
          </cell>
        </row>
        <row r="74">
          <cell r="C74">
            <v>3288628</v>
          </cell>
          <cell r="D74">
            <v>29654</v>
          </cell>
          <cell r="E74">
            <v>177.1</v>
          </cell>
          <cell r="F74">
            <v>8</v>
          </cell>
          <cell r="G74">
            <v>12.27</v>
          </cell>
        </row>
        <row r="75">
          <cell r="C75">
            <v>3360775</v>
          </cell>
          <cell r="D75">
            <v>29946</v>
          </cell>
          <cell r="E75">
            <v>177.8</v>
          </cell>
          <cell r="F75">
            <v>9.5</v>
          </cell>
          <cell r="G75">
            <v>12.34</v>
          </cell>
        </row>
        <row r="76">
          <cell r="C76">
            <v>3443067</v>
          </cell>
          <cell r="D76">
            <v>30464</v>
          </cell>
          <cell r="E76">
            <v>178.1</v>
          </cell>
          <cell r="F76">
            <v>17</v>
          </cell>
          <cell r="G76">
            <v>12.37</v>
          </cell>
        </row>
        <row r="77">
          <cell r="C77">
            <v>3517094</v>
          </cell>
          <cell r="D77">
            <v>32131</v>
          </cell>
          <cell r="E77">
            <v>178.1</v>
          </cell>
          <cell r="F77">
            <v>17</v>
          </cell>
          <cell r="G77">
            <v>12.47</v>
          </cell>
        </row>
        <row r="78">
          <cell r="C78">
            <v>3520747</v>
          </cell>
          <cell r="D78">
            <v>32840</v>
          </cell>
          <cell r="E78">
            <v>175.9</v>
          </cell>
          <cell r="F78">
            <v>15</v>
          </cell>
          <cell r="G78">
            <v>14.16</v>
          </cell>
        </row>
        <row r="79">
          <cell r="C79">
            <v>3546831</v>
          </cell>
          <cell r="D79">
            <v>33401</v>
          </cell>
          <cell r="E79">
            <v>174.6</v>
          </cell>
          <cell r="F79">
            <v>14</v>
          </cell>
          <cell r="G79">
            <v>14.46</v>
          </cell>
        </row>
        <row r="80">
          <cell r="C80">
            <v>3547477</v>
          </cell>
          <cell r="D80">
            <v>34635</v>
          </cell>
          <cell r="E80">
            <v>172.9</v>
          </cell>
          <cell r="F80">
            <v>14</v>
          </cell>
          <cell r="G80">
            <v>14.54</v>
          </cell>
        </row>
        <row r="81">
          <cell r="C81">
            <v>3570523</v>
          </cell>
          <cell r="D81">
            <v>35794</v>
          </cell>
          <cell r="E81">
            <v>171.6</v>
          </cell>
          <cell r="F81">
            <v>12.5</v>
          </cell>
          <cell r="G81">
            <v>14.41</v>
          </cell>
        </row>
        <row r="82">
          <cell r="C82">
            <v>3594711</v>
          </cell>
          <cell r="D82">
            <v>36733</v>
          </cell>
          <cell r="E82">
            <v>171.3</v>
          </cell>
          <cell r="F82">
            <v>11.5</v>
          </cell>
          <cell r="G82">
            <v>14.23</v>
          </cell>
        </row>
        <row r="83">
          <cell r="C83">
            <v>3612817</v>
          </cell>
          <cell r="D83">
            <v>37602</v>
          </cell>
          <cell r="E83">
            <v>171.9</v>
          </cell>
          <cell r="F83">
            <v>11.5</v>
          </cell>
          <cell r="G83">
            <v>14.05</v>
          </cell>
        </row>
        <row r="84">
          <cell r="C84">
            <v>3645485</v>
          </cell>
          <cell r="D84">
            <v>38506</v>
          </cell>
          <cell r="E84">
            <v>172</v>
          </cell>
          <cell r="F84">
            <v>11</v>
          </cell>
          <cell r="G84">
            <v>13.95</v>
          </cell>
        </row>
        <row r="85">
          <cell r="C85">
            <v>3686484</v>
          </cell>
          <cell r="D85">
            <v>39958</v>
          </cell>
          <cell r="E85">
            <v>172.5</v>
          </cell>
          <cell r="F85">
            <v>11</v>
          </cell>
          <cell r="G85">
            <v>13.79</v>
          </cell>
        </row>
        <row r="86">
          <cell r="C86">
            <v>3732393</v>
          </cell>
          <cell r="D86">
            <v>40840</v>
          </cell>
          <cell r="E86">
            <v>173</v>
          </cell>
          <cell r="F86">
            <v>11</v>
          </cell>
          <cell r="G86">
            <v>13.7</v>
          </cell>
        </row>
        <row r="87">
          <cell r="C87">
            <v>3782381</v>
          </cell>
          <cell r="D87">
            <v>41743</v>
          </cell>
          <cell r="E87">
            <v>173.4</v>
          </cell>
          <cell r="F87">
            <v>11</v>
          </cell>
          <cell r="G87">
            <v>13.59</v>
          </cell>
        </row>
        <row r="88">
          <cell r="C88">
            <v>3831417</v>
          </cell>
          <cell r="D88">
            <v>43280</v>
          </cell>
          <cell r="E88">
            <v>174.1</v>
          </cell>
          <cell r="F88">
            <v>11</v>
          </cell>
          <cell r="G88">
            <v>13.44</v>
          </cell>
        </row>
        <row r="89">
          <cell r="C89">
            <v>3912845</v>
          </cell>
          <cell r="D89">
            <v>44226</v>
          </cell>
          <cell r="E89">
            <v>175.2</v>
          </cell>
          <cell r="F89">
            <v>11</v>
          </cell>
          <cell r="G89">
            <v>13.36</v>
          </cell>
        </row>
        <row r="90">
          <cell r="C90">
            <v>3922380</v>
          </cell>
          <cell r="D90">
            <v>45617</v>
          </cell>
          <cell r="E90">
            <v>179.4</v>
          </cell>
          <cell r="F90">
            <v>11</v>
          </cell>
          <cell r="G90">
            <v>12.51</v>
          </cell>
        </row>
        <row r="91">
          <cell r="C91">
            <v>3993926</v>
          </cell>
          <cell r="D91">
            <v>46740</v>
          </cell>
          <cell r="E91">
            <v>180.8</v>
          </cell>
          <cell r="F91">
            <v>11</v>
          </cell>
          <cell r="G91">
            <v>12.24</v>
          </cell>
        </row>
        <row r="92">
          <cell r="C92">
            <v>4036169</v>
          </cell>
          <cell r="D92">
            <v>47912</v>
          </cell>
          <cell r="E92">
            <v>180.6</v>
          </cell>
          <cell r="F92">
            <v>11</v>
          </cell>
          <cell r="G92">
            <v>12.48</v>
          </cell>
        </row>
        <row r="93">
          <cell r="C93">
            <v>4076528</v>
          </cell>
          <cell r="D93">
            <v>48698</v>
          </cell>
          <cell r="E93">
            <v>181</v>
          </cell>
          <cell r="F93">
            <v>11</v>
          </cell>
          <cell r="G93">
            <v>12.6</v>
          </cell>
        </row>
        <row r="94">
          <cell r="C94">
            <v>4108092</v>
          </cell>
          <cell r="D94">
            <v>50234</v>
          </cell>
          <cell r="E94">
            <v>181.6</v>
          </cell>
          <cell r="F94">
            <v>10.5</v>
          </cell>
          <cell r="G94">
            <v>12.7</v>
          </cell>
        </row>
        <row r="95">
          <cell r="C95">
            <v>4140825</v>
          </cell>
          <cell r="D95">
            <v>50699</v>
          </cell>
          <cell r="E95">
            <v>181.6</v>
          </cell>
          <cell r="F95">
            <v>10.5</v>
          </cell>
          <cell r="G95">
            <v>12.74</v>
          </cell>
        </row>
        <row r="96">
          <cell r="C96">
            <v>4181431</v>
          </cell>
          <cell r="D96">
            <v>51613</v>
          </cell>
          <cell r="E96">
            <v>181.6</v>
          </cell>
          <cell r="F96">
            <v>10.5</v>
          </cell>
          <cell r="G96">
            <v>12.75</v>
          </cell>
        </row>
        <row r="97">
          <cell r="C97">
            <v>4232381</v>
          </cell>
          <cell r="D97">
            <v>52514</v>
          </cell>
          <cell r="E97">
            <v>181.5</v>
          </cell>
          <cell r="F97">
            <v>10</v>
          </cell>
          <cell r="G97">
            <v>12.74</v>
          </cell>
        </row>
        <row r="98">
          <cell r="C98">
            <v>4280157</v>
          </cell>
          <cell r="D98">
            <v>52264</v>
          </cell>
          <cell r="E98">
            <v>181.6</v>
          </cell>
          <cell r="F98">
            <v>10</v>
          </cell>
          <cell r="G98">
            <v>12.71</v>
          </cell>
        </row>
        <row r="99">
          <cell r="C99">
            <v>4329929</v>
          </cell>
          <cell r="D99">
            <v>52719</v>
          </cell>
          <cell r="E99">
            <v>181.7</v>
          </cell>
          <cell r="F99">
            <v>10</v>
          </cell>
          <cell r="G99">
            <v>12.68</v>
          </cell>
        </row>
        <row r="100">
          <cell r="C100">
            <v>4389148</v>
          </cell>
          <cell r="D100">
            <v>53248</v>
          </cell>
          <cell r="E100">
            <v>182</v>
          </cell>
          <cell r="F100">
            <v>10</v>
          </cell>
          <cell r="G100">
            <v>12.62</v>
          </cell>
        </row>
        <row r="101">
          <cell r="C101">
            <v>4464519</v>
          </cell>
          <cell r="D101">
            <v>52837</v>
          </cell>
          <cell r="E101">
            <v>182.2</v>
          </cell>
          <cell r="F101">
            <v>10</v>
          </cell>
          <cell r="G101">
            <v>12.49</v>
          </cell>
        </row>
        <row r="102">
          <cell r="C102">
            <v>4451478</v>
          </cell>
          <cell r="D102">
            <v>53690</v>
          </cell>
          <cell r="E102">
            <v>185.9</v>
          </cell>
          <cell r="F102">
            <v>10</v>
          </cell>
          <cell r="G102">
            <v>11.84</v>
          </cell>
        </row>
        <row r="103">
          <cell r="C103">
            <v>4474505</v>
          </cell>
          <cell r="D103">
            <v>54391</v>
          </cell>
          <cell r="E103">
            <v>184.8</v>
          </cell>
          <cell r="F103">
            <v>9.75</v>
          </cell>
          <cell r="G103">
            <v>11.9</v>
          </cell>
        </row>
        <row r="104">
          <cell r="C104">
            <v>4526411</v>
          </cell>
          <cell r="D104">
            <v>55581</v>
          </cell>
          <cell r="E104">
            <v>184.9</v>
          </cell>
          <cell r="F104">
            <v>9.75</v>
          </cell>
          <cell r="G104">
            <v>11.81</v>
          </cell>
        </row>
        <row r="105">
          <cell r="C105">
            <v>4589781</v>
          </cell>
          <cell r="D105">
            <v>56305</v>
          </cell>
          <cell r="E105">
            <v>185.1</v>
          </cell>
          <cell r="F105">
            <v>9.25</v>
          </cell>
          <cell r="G105">
            <v>11.69</v>
          </cell>
        </row>
        <row r="106">
          <cell r="C106">
            <v>4591635</v>
          </cell>
          <cell r="D106">
            <v>57485</v>
          </cell>
          <cell r="E106">
            <v>185.4</v>
          </cell>
          <cell r="F106">
            <v>9</v>
          </cell>
          <cell r="G106">
            <v>11.61</v>
          </cell>
        </row>
        <row r="107">
          <cell r="C107">
            <v>4652411</v>
          </cell>
          <cell r="D107">
            <v>57226</v>
          </cell>
          <cell r="E107">
            <v>185.7</v>
          </cell>
          <cell r="F107">
            <v>9</v>
          </cell>
          <cell r="G107">
            <v>11.5</v>
          </cell>
        </row>
        <row r="108">
          <cell r="C108">
            <v>4713446</v>
          </cell>
          <cell r="D108">
            <v>58480</v>
          </cell>
          <cell r="E108">
            <v>185.7</v>
          </cell>
          <cell r="F108">
            <v>9</v>
          </cell>
          <cell r="G108">
            <v>11.41</v>
          </cell>
        </row>
        <row r="109">
          <cell r="C109">
            <v>4792371</v>
          </cell>
          <cell r="D109">
            <v>58842</v>
          </cell>
          <cell r="E109">
            <v>185.8</v>
          </cell>
          <cell r="F109">
            <v>8.5</v>
          </cell>
          <cell r="G109">
            <v>11.28</v>
          </cell>
        </row>
        <row r="110">
          <cell r="C110">
            <v>4882482</v>
          </cell>
          <cell r="D110">
            <v>59530</v>
          </cell>
          <cell r="E110">
            <v>185.9</v>
          </cell>
          <cell r="F110">
            <v>8.25</v>
          </cell>
          <cell r="G110">
            <v>11.1</v>
          </cell>
        </row>
        <row r="111">
          <cell r="C111">
            <v>4935580</v>
          </cell>
          <cell r="D111">
            <v>60612</v>
          </cell>
          <cell r="E111">
            <v>186</v>
          </cell>
          <cell r="F111">
            <v>8.25</v>
          </cell>
          <cell r="G111">
            <v>10.94</v>
          </cell>
        </row>
        <row r="112">
          <cell r="C112">
            <v>5049032</v>
          </cell>
          <cell r="D112">
            <v>61289</v>
          </cell>
          <cell r="E112">
            <v>186.2</v>
          </cell>
          <cell r="F112">
            <v>7.75</v>
          </cell>
          <cell r="G112">
            <v>10.78</v>
          </cell>
        </row>
        <row r="113">
          <cell r="C113">
            <v>5176062</v>
          </cell>
          <cell r="D113">
            <v>59654</v>
          </cell>
          <cell r="E113">
            <v>186.4</v>
          </cell>
          <cell r="F113">
            <v>7.75</v>
          </cell>
          <cell r="G113">
            <v>10.64</v>
          </cell>
        </row>
        <row r="114">
          <cell r="C114">
            <v>5214178</v>
          </cell>
          <cell r="D114">
            <v>60222</v>
          </cell>
          <cell r="E114">
            <v>190.8</v>
          </cell>
          <cell r="F114">
            <v>7.5</v>
          </cell>
          <cell r="G114">
            <v>9.85</v>
          </cell>
        </row>
        <row r="115">
          <cell r="C115">
            <v>5301002</v>
          </cell>
          <cell r="D115">
            <v>60783</v>
          </cell>
          <cell r="E115">
            <v>190.2</v>
          </cell>
          <cell r="F115">
            <v>7.25</v>
          </cell>
          <cell r="G115">
            <v>9.8000000000000007</v>
          </cell>
        </row>
        <row r="116">
          <cell r="C116">
            <v>5408938</v>
          </cell>
          <cell r="D116">
            <v>60491</v>
          </cell>
          <cell r="E116">
            <v>190.3</v>
          </cell>
          <cell r="F116">
            <v>7.25</v>
          </cell>
          <cell r="G116">
            <v>9.74</v>
          </cell>
        </row>
        <row r="117">
          <cell r="C117">
            <v>5527172</v>
          </cell>
          <cell r="D117">
            <v>61069</v>
          </cell>
          <cell r="E117">
            <v>190.8</v>
          </cell>
          <cell r="F117">
            <v>7.25</v>
          </cell>
          <cell r="G117">
            <v>9.69</v>
          </cell>
        </row>
        <row r="118">
          <cell r="C118">
            <v>5628078</v>
          </cell>
          <cell r="D118">
            <v>61882</v>
          </cell>
          <cell r="E118">
            <v>191</v>
          </cell>
          <cell r="F118">
            <v>7.25</v>
          </cell>
          <cell r="G118">
            <v>9.66</v>
          </cell>
        </row>
        <row r="119">
          <cell r="C119">
            <v>5744447</v>
          </cell>
          <cell r="D119">
            <v>61838</v>
          </cell>
          <cell r="E119">
            <v>191.4</v>
          </cell>
          <cell r="F119">
            <v>7.25</v>
          </cell>
          <cell r="G119">
            <v>9.6300000000000008</v>
          </cell>
        </row>
        <row r="120">
          <cell r="C120">
            <v>5852754</v>
          </cell>
          <cell r="D120">
            <v>63135</v>
          </cell>
          <cell r="E120">
            <v>193.3</v>
          </cell>
          <cell r="F120">
            <v>7.25</v>
          </cell>
          <cell r="G120">
            <v>9.6199999999999992</v>
          </cell>
        </row>
        <row r="121">
          <cell r="C121">
            <v>5978286</v>
          </cell>
          <cell r="D121">
            <v>63698</v>
          </cell>
          <cell r="E121">
            <v>193.6</v>
          </cell>
          <cell r="F121">
            <v>7.5</v>
          </cell>
          <cell r="G121">
            <v>9.59</v>
          </cell>
        </row>
        <row r="122">
          <cell r="C122">
            <v>6108197</v>
          </cell>
          <cell r="D122">
            <v>64079</v>
          </cell>
          <cell r="E122">
            <v>193.9</v>
          </cell>
          <cell r="F122">
            <v>7.5</v>
          </cell>
          <cell r="G122">
            <v>9.57</v>
          </cell>
        </row>
        <row r="123">
          <cell r="C123">
            <v>6192574</v>
          </cell>
          <cell r="D123">
            <v>64616</v>
          </cell>
          <cell r="E123">
            <v>194.4</v>
          </cell>
          <cell r="F123">
            <v>7.5</v>
          </cell>
          <cell r="G123">
            <v>9.5500000000000007</v>
          </cell>
        </row>
        <row r="124">
          <cell r="C124">
            <v>6346175</v>
          </cell>
          <cell r="D124">
            <v>64442</v>
          </cell>
          <cell r="E124">
            <v>194.9</v>
          </cell>
          <cell r="F124">
            <v>7.75</v>
          </cell>
          <cell r="G124">
            <v>9.5399999999999991</v>
          </cell>
        </row>
        <row r="125">
          <cell r="C125">
            <v>6399125</v>
          </cell>
          <cell r="D125">
            <v>64650</v>
          </cell>
          <cell r="E125">
            <v>195.5</v>
          </cell>
          <cell r="F125">
            <v>7.75</v>
          </cell>
          <cell r="G125">
            <v>9.56</v>
          </cell>
        </row>
        <row r="126">
          <cell r="C126">
            <v>6634400</v>
          </cell>
          <cell r="D126">
            <v>67117</v>
          </cell>
          <cell r="E126">
            <v>206.7</v>
          </cell>
          <cell r="F126">
            <v>7.75</v>
          </cell>
          <cell r="G126">
            <v>9.89</v>
          </cell>
        </row>
        <row r="127">
          <cell r="C127">
            <v>6747958</v>
          </cell>
          <cell r="D127">
            <v>66707</v>
          </cell>
          <cell r="E127">
            <v>209</v>
          </cell>
          <cell r="F127">
            <v>7.75</v>
          </cell>
          <cell r="G127">
            <v>10.041232200381501</v>
          </cell>
        </row>
        <row r="128">
          <cell r="C128">
            <v>6851944</v>
          </cell>
          <cell r="D128">
            <v>66568</v>
          </cell>
          <cell r="E128">
            <v>210.2</v>
          </cell>
          <cell r="F128">
            <v>7.75</v>
          </cell>
          <cell r="G128">
            <v>10.1789149612837</v>
          </cell>
        </row>
        <row r="129">
          <cell r="C129">
            <v>6966595</v>
          </cell>
          <cell r="D129">
            <v>66762</v>
          </cell>
          <cell r="E129">
            <v>211.3</v>
          </cell>
          <cell r="F129">
            <v>7.75</v>
          </cell>
          <cell r="G129">
            <v>10.2859873759684</v>
          </cell>
        </row>
        <row r="130">
          <cell r="C130">
            <v>7040227</v>
          </cell>
          <cell r="D130">
            <v>67524</v>
          </cell>
          <cell r="E130">
            <v>211.8</v>
          </cell>
          <cell r="F130">
            <v>7.5</v>
          </cell>
          <cell r="G130">
            <v>10.331957596990399</v>
          </cell>
        </row>
        <row r="131">
          <cell r="C131">
            <v>7117413</v>
          </cell>
          <cell r="D131">
            <v>67391</v>
          </cell>
          <cell r="E131">
            <v>212.3</v>
          </cell>
          <cell r="F131">
            <v>7.25</v>
          </cell>
          <cell r="G131">
            <v>10.326385645079499</v>
          </cell>
        </row>
        <row r="132">
          <cell r="C132">
            <v>7131892</v>
          </cell>
          <cell r="D132">
            <v>68157</v>
          </cell>
          <cell r="E132">
            <v>212.7</v>
          </cell>
          <cell r="F132">
            <v>7.25</v>
          </cell>
          <cell r="G132">
            <v>10.311475768752601</v>
          </cell>
        </row>
        <row r="133">
          <cell r="C133">
            <v>7241983</v>
          </cell>
          <cell r="D133">
            <v>67984</v>
          </cell>
          <cell r="E133">
            <v>213.1</v>
          </cell>
          <cell r="F133">
            <v>7</v>
          </cell>
          <cell r="G133">
            <v>10.2546199802598</v>
          </cell>
        </row>
        <row r="134">
          <cell r="C134">
            <v>7354700</v>
          </cell>
          <cell r="D134">
            <v>67860</v>
          </cell>
          <cell r="E134">
            <v>213.4</v>
          </cell>
          <cell r="F134">
            <v>6.5</v>
          </cell>
          <cell r="G134">
            <v>10.1825783703665</v>
          </cell>
        </row>
        <row r="135">
          <cell r="C135">
            <v>7384738</v>
          </cell>
          <cell r="D135">
            <v>67704</v>
          </cell>
          <cell r="E135">
            <v>213.8</v>
          </cell>
          <cell r="F135">
            <v>6.5</v>
          </cell>
          <cell r="G135">
            <v>10.087088793971599</v>
          </cell>
        </row>
        <row r="136">
          <cell r="C136">
            <v>7523413</v>
          </cell>
          <cell r="D136">
            <v>67871</v>
          </cell>
          <cell r="E136">
            <v>214</v>
          </cell>
          <cell r="F136">
            <v>6.25</v>
          </cell>
          <cell r="G136">
            <v>9.9902794634507206</v>
          </cell>
        </row>
        <row r="137">
          <cell r="C137">
            <v>7635233</v>
          </cell>
          <cell r="D137">
            <v>67174</v>
          </cell>
          <cell r="E137">
            <v>214.1</v>
          </cell>
          <cell r="F137">
            <v>6.25</v>
          </cell>
          <cell r="G137">
            <v>9.8723788597368003</v>
          </cell>
        </row>
        <row r="138">
          <cell r="C138">
            <v>7691709</v>
          </cell>
          <cell r="D138">
            <v>68435</v>
          </cell>
          <cell r="E138">
            <v>216.7</v>
          </cell>
          <cell r="F138">
            <v>6</v>
          </cell>
          <cell r="G138">
            <v>8.8461050481398793</v>
          </cell>
        </row>
        <row r="139">
          <cell r="C139">
            <v>7818153</v>
          </cell>
          <cell r="D139">
            <v>68439</v>
          </cell>
          <cell r="E139">
            <v>217.5</v>
          </cell>
          <cell r="F139">
            <v>6</v>
          </cell>
          <cell r="G139">
            <v>8.7806310039885602</v>
          </cell>
        </row>
        <row r="140">
          <cell r="C140">
            <v>7943382</v>
          </cell>
          <cell r="D140">
            <v>68021</v>
          </cell>
          <cell r="E140">
            <v>217.4</v>
          </cell>
          <cell r="F140">
            <v>5.5</v>
          </cell>
          <cell r="G140">
            <v>8.7408829550789306</v>
          </cell>
        </row>
        <row r="141">
          <cell r="C141">
            <v>8008025</v>
          </cell>
          <cell r="D141">
            <v>68343</v>
          </cell>
          <cell r="E141">
            <v>217.2</v>
          </cell>
          <cell r="F141">
            <v>5.5</v>
          </cell>
          <cell r="G141">
            <v>8.6726665023301397</v>
          </cell>
        </row>
        <row r="142">
          <cell r="C142">
            <v>8079780</v>
          </cell>
          <cell r="D142">
            <v>69697</v>
          </cell>
          <cell r="E142">
            <v>216.5</v>
          </cell>
          <cell r="F142">
            <v>4.5</v>
          </cell>
          <cell r="G142">
            <v>8.4831671374026403</v>
          </cell>
        </row>
        <row r="143">
          <cell r="C143">
            <v>8194510</v>
          </cell>
          <cell r="D143">
            <v>69751</v>
          </cell>
          <cell r="E143">
            <v>216.2</v>
          </cell>
          <cell r="F143">
            <v>4.25</v>
          </cell>
          <cell r="G143">
            <v>8.3210416613731706</v>
          </cell>
        </row>
        <row r="144">
          <cell r="C144">
            <v>8374341</v>
          </cell>
          <cell r="D144">
            <v>70229</v>
          </cell>
          <cell r="E144">
            <v>216.5</v>
          </cell>
          <cell r="F144">
            <v>4.25</v>
          </cell>
          <cell r="G144">
            <v>8.1340721930653395</v>
          </cell>
        </row>
        <row r="145">
          <cell r="C145">
            <v>8577360</v>
          </cell>
          <cell r="D145">
            <v>73422</v>
          </cell>
          <cell r="E145">
            <v>216.8</v>
          </cell>
          <cell r="F145">
            <v>4.25</v>
          </cell>
          <cell r="G145">
            <v>7.9781386489278301</v>
          </cell>
        </row>
        <row r="146">
          <cell r="C146">
            <v>8841775</v>
          </cell>
          <cell r="D146">
            <v>74187</v>
          </cell>
          <cell r="E146">
            <v>217.3</v>
          </cell>
          <cell r="F146">
            <v>4.25</v>
          </cell>
          <cell r="G146">
            <v>7.8611255994079396</v>
          </cell>
        </row>
        <row r="147">
          <cell r="C147">
            <v>9124657</v>
          </cell>
          <cell r="D147">
            <v>75062</v>
          </cell>
          <cell r="E147">
            <v>218</v>
          </cell>
          <cell r="F147">
            <v>4.25</v>
          </cell>
          <cell r="G147">
            <v>7.7719116628776499</v>
          </cell>
        </row>
        <row r="148">
          <cell r="C148">
            <v>9152675</v>
          </cell>
          <cell r="D148">
            <v>75987</v>
          </cell>
          <cell r="E148">
            <v>218.6</v>
          </cell>
          <cell r="F148">
            <v>4.25</v>
          </cell>
          <cell r="G148">
            <v>7.7218226498245697</v>
          </cell>
        </row>
        <row r="149">
          <cell r="C149">
            <v>9292031</v>
          </cell>
          <cell r="D149">
            <v>74894</v>
          </cell>
          <cell r="E149">
            <v>219.4</v>
          </cell>
          <cell r="F149">
            <v>4.25</v>
          </cell>
          <cell r="G149">
            <v>7.6746878268035301</v>
          </cell>
        </row>
        <row r="150">
          <cell r="C150">
            <v>9376452</v>
          </cell>
          <cell r="D150">
            <v>75492</v>
          </cell>
          <cell r="E150">
            <v>227.6</v>
          </cell>
          <cell r="F150">
            <v>4.25</v>
          </cell>
          <cell r="G150">
            <v>7.2299141258069604</v>
          </cell>
        </row>
        <row r="151">
          <cell r="C151">
            <v>9560962</v>
          </cell>
          <cell r="D151">
            <v>74706</v>
          </cell>
          <cell r="E151">
            <v>228.8</v>
          </cell>
          <cell r="F151">
            <v>4.5</v>
          </cell>
          <cell r="G151">
            <v>7.2513492912085402</v>
          </cell>
        </row>
        <row r="152">
          <cell r="C152">
            <v>9791979</v>
          </cell>
          <cell r="D152">
            <v>74043</v>
          </cell>
          <cell r="E152">
            <v>230.9</v>
          </cell>
          <cell r="F152">
            <v>5</v>
          </cell>
          <cell r="G152">
            <v>7.24443078895301</v>
          </cell>
        </row>
        <row r="153">
          <cell r="C153">
            <v>10071434</v>
          </cell>
          <cell r="D153">
            <v>72666</v>
          </cell>
          <cell r="E153">
            <v>233.1</v>
          </cell>
          <cell r="F153">
            <v>5</v>
          </cell>
          <cell r="G153">
            <v>7.2620010562644604</v>
          </cell>
        </row>
        <row r="154">
          <cell r="C154">
            <v>10283733</v>
          </cell>
          <cell r="D154">
            <v>72660</v>
          </cell>
          <cell r="E154">
            <v>234.5</v>
          </cell>
          <cell r="F154">
            <v>5.5</v>
          </cell>
          <cell r="G154">
            <v>7.2695876776653199</v>
          </cell>
        </row>
        <row r="155">
          <cell r="C155">
            <v>10576222</v>
          </cell>
          <cell r="D155">
            <v>70563</v>
          </cell>
          <cell r="E155">
            <v>236.4</v>
          </cell>
          <cell r="F155">
            <v>6.5</v>
          </cell>
          <cell r="G155">
            <v>7.2278074649192297</v>
          </cell>
        </row>
        <row r="156">
          <cell r="C156">
            <v>10782019</v>
          </cell>
          <cell r="D156">
            <v>69360</v>
          </cell>
          <cell r="E156">
            <v>237.3</v>
          </cell>
          <cell r="F156">
            <v>6.5</v>
          </cell>
          <cell r="G156">
            <v>7.2910729506059297</v>
          </cell>
        </row>
        <row r="157">
          <cell r="C157">
            <v>10968749</v>
          </cell>
          <cell r="D157">
            <v>68971</v>
          </cell>
          <cell r="E157">
            <v>238.2</v>
          </cell>
          <cell r="F157">
            <v>6.75</v>
          </cell>
          <cell r="G157">
            <v>7.3526498285739299</v>
          </cell>
        </row>
        <row r="158">
          <cell r="C158">
            <v>11208347</v>
          </cell>
          <cell r="D158">
            <v>67154</v>
          </cell>
          <cell r="E158">
            <v>239.2</v>
          </cell>
          <cell r="F158">
            <v>7.5</v>
          </cell>
          <cell r="G158">
            <v>7.3986477182112003</v>
          </cell>
        </row>
        <row r="159">
          <cell r="C159">
            <v>11433941</v>
          </cell>
          <cell r="D159">
            <v>65602</v>
          </cell>
          <cell r="E159">
            <v>240.4</v>
          </cell>
          <cell r="F159">
            <v>7.5</v>
          </cell>
          <cell r="G159">
            <v>7.4337074560463297</v>
          </cell>
        </row>
        <row r="160">
          <cell r="C160">
            <v>11455360</v>
          </cell>
          <cell r="D160">
            <v>64608</v>
          </cell>
          <cell r="E160">
            <v>241.8</v>
          </cell>
          <cell r="F160">
            <v>8.5</v>
          </cell>
          <cell r="G160">
            <v>7.4506539075763101</v>
          </cell>
        </row>
        <row r="161">
          <cell r="C161">
            <v>11765807</v>
          </cell>
          <cell r="D161">
            <v>61816</v>
          </cell>
          <cell r="E161">
            <v>243.5</v>
          </cell>
          <cell r="F161">
            <v>8.5</v>
          </cell>
          <cell r="G161">
            <v>7.4929849477907604</v>
          </cell>
        </row>
        <row r="162">
          <cell r="C162">
            <v>11903853</v>
          </cell>
          <cell r="D162">
            <v>61875</v>
          </cell>
          <cell r="E162">
            <v>262.2</v>
          </cell>
          <cell r="F162">
            <v>20</v>
          </cell>
          <cell r="G162">
            <v>7.8710020331191002</v>
          </cell>
        </row>
        <row r="163">
          <cell r="C163">
            <v>12175992</v>
          </cell>
          <cell r="D163">
            <v>61522</v>
          </cell>
          <cell r="E163">
            <v>263.5</v>
          </cell>
          <cell r="F163">
            <v>20</v>
          </cell>
          <cell r="G163">
            <v>8.0097213077866396</v>
          </cell>
        </row>
        <row r="164">
          <cell r="C164">
            <v>12447133</v>
          </cell>
          <cell r="D164">
            <v>59390</v>
          </cell>
          <cell r="E164">
            <v>264.5</v>
          </cell>
          <cell r="F164">
            <v>17</v>
          </cell>
          <cell r="G164">
            <v>8.0245677008932894</v>
          </cell>
        </row>
        <row r="165">
          <cell r="C165">
            <v>12436289</v>
          </cell>
          <cell r="D165">
            <v>58465</v>
          </cell>
          <cell r="E165">
            <v>264.3</v>
          </cell>
          <cell r="F165">
            <v>14</v>
          </cell>
          <cell r="G165">
            <v>7.9836573182267196</v>
          </cell>
        </row>
        <row r="166">
          <cell r="C166">
            <v>12424644</v>
          </cell>
          <cell r="D166">
            <v>58413</v>
          </cell>
          <cell r="E166">
            <v>264.89999999999998</v>
          </cell>
          <cell r="F166">
            <v>9.5</v>
          </cell>
          <cell r="G166">
            <v>7.8240061910112102</v>
          </cell>
        </row>
        <row r="167">
          <cell r="C167">
            <v>12514054</v>
          </cell>
          <cell r="D167">
            <v>57901</v>
          </cell>
          <cell r="E167">
            <v>265.60000000000002</v>
          </cell>
          <cell r="F167">
            <v>8</v>
          </cell>
          <cell r="G167">
            <v>7.6231946144807701</v>
          </cell>
        </row>
        <row r="168">
          <cell r="C168">
            <v>12686975</v>
          </cell>
          <cell r="D168">
            <v>57230</v>
          </cell>
          <cell r="E168">
            <v>267</v>
          </cell>
          <cell r="F168">
            <v>8</v>
          </cell>
          <cell r="G168">
            <v>7.4730127154458303</v>
          </cell>
        </row>
        <row r="169">
          <cell r="C169">
            <v>12798727</v>
          </cell>
          <cell r="D169">
            <v>58171</v>
          </cell>
          <cell r="E169">
            <v>268.8</v>
          </cell>
          <cell r="F169">
            <v>7.5</v>
          </cell>
          <cell r="G169">
            <v>7.3322996986712399</v>
          </cell>
        </row>
        <row r="170">
          <cell r="C170">
            <v>13098567</v>
          </cell>
          <cell r="D170">
            <v>58481</v>
          </cell>
          <cell r="E170">
            <v>270.8</v>
          </cell>
          <cell r="F170">
            <v>7.5</v>
          </cell>
          <cell r="G170">
            <v>7.2284518766563401</v>
          </cell>
        </row>
        <row r="171">
          <cell r="C171">
            <v>13326562</v>
          </cell>
          <cell r="D171">
            <v>58517</v>
          </cell>
          <cell r="E171">
            <v>271.89999999999998</v>
          </cell>
          <cell r="F171">
            <v>7.5</v>
          </cell>
          <cell r="G171">
            <v>7.2474614662842498</v>
          </cell>
        </row>
        <row r="172">
          <cell r="C172">
            <v>13533292</v>
          </cell>
          <cell r="D172">
            <v>58630</v>
          </cell>
          <cell r="E172">
            <v>273.2</v>
          </cell>
          <cell r="F172">
            <v>7.5</v>
          </cell>
          <cell r="G172">
            <v>7.2317589554553203</v>
          </cell>
        </row>
        <row r="173">
          <cell r="C173">
            <v>13848612</v>
          </cell>
          <cell r="D173">
            <v>57536</v>
          </cell>
          <cell r="E173">
            <v>275.5</v>
          </cell>
          <cell r="F173">
            <v>7.5</v>
          </cell>
          <cell r="G173">
            <v>7.1434414050691002</v>
          </cell>
        </row>
        <row r="174">
          <cell r="C174">
            <v>13930343</v>
          </cell>
          <cell r="D174">
            <v>58479</v>
          </cell>
          <cell r="E174">
            <v>284.8</v>
          </cell>
          <cell r="F174">
            <v>7.5</v>
          </cell>
          <cell r="G174">
            <v>7.8616709086823704</v>
          </cell>
        </row>
        <row r="175">
          <cell r="C175">
            <v>14147170</v>
          </cell>
          <cell r="D175">
            <v>59359</v>
          </cell>
          <cell r="E175">
            <v>286.3</v>
          </cell>
          <cell r="F175">
            <v>7.5</v>
          </cell>
          <cell r="G175">
            <v>7.9768157043627603</v>
          </cell>
        </row>
        <row r="176">
          <cell r="C176">
            <v>14447971</v>
          </cell>
          <cell r="D176">
            <v>58147</v>
          </cell>
          <cell r="E176">
            <v>286.8</v>
          </cell>
          <cell r="F176">
            <v>7.5</v>
          </cell>
          <cell r="G176">
            <v>8.0681979233267604</v>
          </cell>
        </row>
        <row r="177">
          <cell r="C177">
            <v>14755312</v>
          </cell>
          <cell r="D177">
            <v>58215</v>
          </cell>
          <cell r="E177">
            <v>286.60000000000002</v>
          </cell>
          <cell r="F177">
            <v>7.5</v>
          </cell>
          <cell r="G177">
            <v>8.2057718181151102</v>
          </cell>
        </row>
        <row r="178">
          <cell r="C178">
            <v>15087428</v>
          </cell>
          <cell r="D178">
            <v>58845</v>
          </cell>
          <cell r="E178">
            <v>287.10000000000002</v>
          </cell>
          <cell r="F178">
            <v>7.5</v>
          </cell>
          <cell r="G178">
            <v>8.2536786290411399</v>
          </cell>
        </row>
        <row r="179">
          <cell r="C179">
            <v>15451210</v>
          </cell>
          <cell r="D179">
            <v>58436</v>
          </cell>
          <cell r="E179">
            <v>287.5</v>
          </cell>
          <cell r="F179">
            <v>8.5</v>
          </cell>
          <cell r="G179">
            <v>8.2937805105220992</v>
          </cell>
        </row>
        <row r="180">
          <cell r="C180">
            <v>15655105</v>
          </cell>
          <cell r="D180">
            <v>58567</v>
          </cell>
          <cell r="E180">
            <v>288.10000000000002</v>
          </cell>
          <cell r="F180">
            <v>12</v>
          </cell>
          <cell r="G180">
            <v>8.2860723823704596</v>
          </cell>
        </row>
        <row r="181">
          <cell r="C181">
            <v>16237499</v>
          </cell>
          <cell r="D181">
            <v>59002</v>
          </cell>
          <cell r="E181">
            <v>289.2</v>
          </cell>
          <cell r="F181">
            <v>13</v>
          </cell>
          <cell r="G181">
            <v>8.2401051969259296</v>
          </cell>
        </row>
        <row r="182">
          <cell r="C182">
            <v>16906304</v>
          </cell>
          <cell r="D182">
            <v>59002</v>
          </cell>
          <cell r="E182">
            <v>290.8</v>
          </cell>
          <cell r="F182">
            <v>15</v>
          </cell>
          <cell r="G182">
            <v>8.1827152695892806</v>
          </cell>
        </row>
        <row r="183">
          <cell r="C183">
            <v>17399539</v>
          </cell>
          <cell r="D183">
            <v>60279</v>
          </cell>
          <cell r="E183">
            <v>291.5</v>
          </cell>
          <cell r="F183">
            <v>15</v>
          </cell>
          <cell r="G183">
            <v>8.2032766589560797</v>
          </cell>
        </row>
        <row r="184">
          <cell r="C184">
            <v>17728848</v>
          </cell>
          <cell r="D184">
            <v>61451</v>
          </cell>
          <cell r="E184">
            <v>292.3</v>
          </cell>
          <cell r="F184">
            <v>16</v>
          </cell>
          <cell r="G184">
            <v>8.2010392879351794</v>
          </cell>
        </row>
        <row r="185">
          <cell r="F185">
            <v>17</v>
          </cell>
          <cell r="G185">
            <v>7.91200268398799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6">
          <cell r="B6">
            <v>6198</v>
          </cell>
          <cell r="F6">
            <v>14.35</v>
          </cell>
        </row>
        <row r="7">
          <cell r="B7">
            <v>14330</v>
          </cell>
          <cell r="F7">
            <v>14.5</v>
          </cell>
        </row>
        <row r="8">
          <cell r="B8">
            <v>24486</v>
          </cell>
          <cell r="F8">
            <v>14.67</v>
          </cell>
        </row>
        <row r="9">
          <cell r="B9">
            <v>36232</v>
          </cell>
          <cell r="F9">
            <v>14.71</v>
          </cell>
        </row>
        <row r="10">
          <cell r="B10">
            <v>46914</v>
          </cell>
          <cell r="F10">
            <v>14.84</v>
          </cell>
        </row>
        <row r="11">
          <cell r="B11">
            <v>60163</v>
          </cell>
          <cell r="F11">
            <v>14.86</v>
          </cell>
        </row>
        <row r="12">
          <cell r="B12">
            <v>75018</v>
          </cell>
          <cell r="F12">
            <v>14.88</v>
          </cell>
        </row>
        <row r="13">
          <cell r="B13">
            <v>89893</v>
          </cell>
          <cell r="F13">
            <v>14.85</v>
          </cell>
        </row>
        <row r="14">
          <cell r="B14">
            <v>106642</v>
          </cell>
          <cell r="F14">
            <v>14.8</v>
          </cell>
        </row>
        <row r="15">
          <cell r="B15">
            <v>126962</v>
          </cell>
          <cell r="F15">
            <v>14.76</v>
          </cell>
        </row>
        <row r="16">
          <cell r="B16">
            <v>146598</v>
          </cell>
          <cell r="F16">
            <v>14.72</v>
          </cell>
        </row>
        <row r="17">
          <cell r="B17">
            <v>176146</v>
          </cell>
          <cell r="F17">
            <v>14.59</v>
          </cell>
        </row>
        <row r="18">
          <cell r="B18">
            <v>9452</v>
          </cell>
          <cell r="F18">
            <v>14.17</v>
          </cell>
        </row>
        <row r="19">
          <cell r="B19">
            <v>27184</v>
          </cell>
          <cell r="F19">
            <v>14.01</v>
          </cell>
        </row>
        <row r="20">
          <cell r="B20">
            <v>52073</v>
          </cell>
          <cell r="F20">
            <v>13.85</v>
          </cell>
        </row>
        <row r="21">
          <cell r="B21">
            <v>80382</v>
          </cell>
          <cell r="F21">
            <v>13.8</v>
          </cell>
        </row>
        <row r="22">
          <cell r="B22">
            <v>107475</v>
          </cell>
          <cell r="F22">
            <v>13.75</v>
          </cell>
        </row>
        <row r="23">
          <cell r="B23">
            <v>140874</v>
          </cell>
          <cell r="F23">
            <v>13.71</v>
          </cell>
        </row>
        <row r="24">
          <cell r="B24">
            <v>175311</v>
          </cell>
          <cell r="F24">
            <v>13.67</v>
          </cell>
        </row>
        <row r="25">
          <cell r="B25">
            <v>210064</v>
          </cell>
          <cell r="F25">
            <v>13.65</v>
          </cell>
        </row>
        <row r="26">
          <cell r="B26">
            <v>248503</v>
          </cell>
          <cell r="F26">
            <v>13.63</v>
          </cell>
        </row>
        <row r="27">
          <cell r="B27">
            <v>286581</v>
          </cell>
          <cell r="F27">
            <v>13.51</v>
          </cell>
        </row>
        <row r="28">
          <cell r="B28">
            <v>328681</v>
          </cell>
          <cell r="F28">
            <v>13.44</v>
          </cell>
        </row>
        <row r="29">
          <cell r="B29">
            <v>392302</v>
          </cell>
          <cell r="F29">
            <v>13.29</v>
          </cell>
        </row>
        <row r="30">
          <cell r="B30">
            <v>20029</v>
          </cell>
          <cell r="F30">
            <v>12.96</v>
          </cell>
        </row>
        <row r="31">
          <cell r="B31">
            <v>51740</v>
          </cell>
          <cell r="F31">
            <v>12.74</v>
          </cell>
        </row>
        <row r="32">
          <cell r="B32">
            <v>91472</v>
          </cell>
          <cell r="F32">
            <v>12.64</v>
          </cell>
        </row>
        <row r="33">
          <cell r="B33">
            <v>136070</v>
          </cell>
          <cell r="F33">
            <v>12.47</v>
          </cell>
        </row>
        <row r="34">
          <cell r="B34">
            <v>182740</v>
          </cell>
          <cell r="F34">
            <v>12.4</v>
          </cell>
        </row>
        <row r="35">
          <cell r="B35">
            <v>232628</v>
          </cell>
          <cell r="F35">
            <v>12.35</v>
          </cell>
        </row>
        <row r="36">
          <cell r="B36">
            <v>282259</v>
          </cell>
          <cell r="F36">
            <v>12.29</v>
          </cell>
        </row>
        <row r="37">
          <cell r="B37">
            <v>335560</v>
          </cell>
          <cell r="F37">
            <v>12.22</v>
          </cell>
        </row>
        <row r="38">
          <cell r="B38">
            <v>391240</v>
          </cell>
          <cell r="F38">
            <v>12.15</v>
          </cell>
        </row>
        <row r="39">
          <cell r="B39">
            <v>449383</v>
          </cell>
          <cell r="F39">
            <v>12.08</v>
          </cell>
        </row>
        <row r="40">
          <cell r="B40">
            <v>509339</v>
          </cell>
          <cell r="F40">
            <v>12.03</v>
          </cell>
        </row>
        <row r="41">
          <cell r="B41">
            <v>587600</v>
          </cell>
          <cell r="F41">
            <v>11.98</v>
          </cell>
        </row>
        <row r="42">
          <cell r="B42">
            <v>30405</v>
          </cell>
          <cell r="F42">
            <v>11.92</v>
          </cell>
        </row>
        <row r="43">
          <cell r="B43">
            <v>78800</v>
          </cell>
          <cell r="F43">
            <v>11.98</v>
          </cell>
        </row>
        <row r="44">
          <cell r="B44">
            <v>136432</v>
          </cell>
          <cell r="F44">
            <v>12.05</v>
          </cell>
        </row>
        <row r="45">
          <cell r="B45">
            <v>198427</v>
          </cell>
          <cell r="F45">
            <v>12.09</v>
          </cell>
        </row>
        <row r="46">
          <cell r="B46">
            <v>258004</v>
          </cell>
          <cell r="F46">
            <v>12.12</v>
          </cell>
        </row>
        <row r="47">
          <cell r="B47">
            <v>318388</v>
          </cell>
          <cell r="F47">
            <v>12.14</v>
          </cell>
        </row>
        <row r="48">
          <cell r="B48">
            <v>381359</v>
          </cell>
          <cell r="F48">
            <v>12.16</v>
          </cell>
        </row>
        <row r="49">
          <cell r="B49">
            <v>450784</v>
          </cell>
          <cell r="F49">
            <v>12.19</v>
          </cell>
        </row>
        <row r="50">
          <cell r="B50">
            <v>513166</v>
          </cell>
          <cell r="F50">
            <v>12.21</v>
          </cell>
        </row>
        <row r="51">
          <cell r="B51">
            <v>585035</v>
          </cell>
          <cell r="F51">
            <v>12.25</v>
          </cell>
        </row>
        <row r="52">
          <cell r="B52">
            <v>656728</v>
          </cell>
          <cell r="F52">
            <v>12.29</v>
          </cell>
        </row>
        <row r="53">
          <cell r="B53">
            <v>739393</v>
          </cell>
          <cell r="F53">
            <v>12.32</v>
          </cell>
        </row>
        <row r="54">
          <cell r="B54">
            <v>35778</v>
          </cell>
          <cell r="F54">
            <v>12.73</v>
          </cell>
        </row>
        <row r="55">
          <cell r="B55">
            <v>89169</v>
          </cell>
          <cell r="F55">
            <v>12.82</v>
          </cell>
        </row>
        <row r="56">
          <cell r="B56">
            <v>150774</v>
          </cell>
          <cell r="F56">
            <v>12.87</v>
          </cell>
        </row>
        <row r="57">
          <cell r="B57">
            <v>223546</v>
          </cell>
          <cell r="F57">
            <v>12.81</v>
          </cell>
        </row>
        <row r="58">
          <cell r="B58">
            <v>286170</v>
          </cell>
          <cell r="F58">
            <v>12.8</v>
          </cell>
        </row>
        <row r="59">
          <cell r="B59">
            <v>356292</v>
          </cell>
          <cell r="F59">
            <v>12.76</v>
          </cell>
        </row>
        <row r="60">
          <cell r="B60">
            <v>436885</v>
          </cell>
          <cell r="F60">
            <v>12.71</v>
          </cell>
        </row>
        <row r="61">
          <cell r="B61">
            <v>517007</v>
          </cell>
          <cell r="F61">
            <v>12.67</v>
          </cell>
        </row>
        <row r="62">
          <cell r="B62">
            <v>593898</v>
          </cell>
          <cell r="F62">
            <v>12.64</v>
          </cell>
        </row>
        <row r="63">
          <cell r="B63">
            <v>683351</v>
          </cell>
          <cell r="F63">
            <v>12.6</v>
          </cell>
        </row>
        <row r="64">
          <cell r="B64">
            <v>767667</v>
          </cell>
          <cell r="F64">
            <v>12.56</v>
          </cell>
        </row>
        <row r="65">
          <cell r="B65">
            <v>878495</v>
          </cell>
          <cell r="F65">
            <v>12.51</v>
          </cell>
        </row>
        <row r="66">
          <cell r="B66">
            <v>50367</v>
          </cell>
          <cell r="F66">
            <v>12.3</v>
          </cell>
        </row>
        <row r="67">
          <cell r="B67">
            <v>123772</v>
          </cell>
          <cell r="F67">
            <v>12.3</v>
          </cell>
        </row>
        <row r="68">
          <cell r="B68">
            <v>208384</v>
          </cell>
          <cell r="F68">
            <v>12.18</v>
          </cell>
        </row>
        <row r="69">
          <cell r="B69">
            <v>307049</v>
          </cell>
          <cell r="F69">
            <v>12.22</v>
          </cell>
        </row>
        <row r="70">
          <cell r="B70">
            <v>389021</v>
          </cell>
          <cell r="F70">
            <v>12.22</v>
          </cell>
        </row>
        <row r="71">
          <cell r="B71">
            <v>471256</v>
          </cell>
          <cell r="F71">
            <v>12.22</v>
          </cell>
        </row>
        <row r="72">
          <cell r="B72">
            <v>565551</v>
          </cell>
          <cell r="F72">
            <v>12.23</v>
          </cell>
        </row>
        <row r="73">
          <cell r="B73">
            <v>652343</v>
          </cell>
          <cell r="F73">
            <v>12.24</v>
          </cell>
        </row>
        <row r="74">
          <cell r="B74">
            <v>739226</v>
          </cell>
          <cell r="F74">
            <v>12.27</v>
          </cell>
        </row>
        <row r="75">
          <cell r="B75">
            <v>836062</v>
          </cell>
          <cell r="F75">
            <v>12.34</v>
          </cell>
        </row>
        <row r="76">
          <cell r="B76">
            <v>923945</v>
          </cell>
          <cell r="F76">
            <v>12.37</v>
          </cell>
        </row>
        <row r="77">
          <cell r="B77">
            <v>1058641</v>
          </cell>
          <cell r="F77">
            <v>12.47</v>
          </cell>
        </row>
        <row r="78">
          <cell r="B78">
            <v>44924</v>
          </cell>
          <cell r="F78">
            <v>14.16</v>
          </cell>
        </row>
        <row r="79">
          <cell r="B79">
            <v>94862</v>
          </cell>
          <cell r="F79">
            <v>14.46</v>
          </cell>
        </row>
        <row r="80">
          <cell r="B80">
            <v>138911</v>
          </cell>
          <cell r="F80">
            <v>14.54</v>
          </cell>
        </row>
        <row r="81">
          <cell r="B81">
            <v>189551</v>
          </cell>
          <cell r="F81">
            <v>14.41</v>
          </cell>
        </row>
        <row r="82">
          <cell r="B82">
            <v>234503</v>
          </cell>
          <cell r="F82">
            <v>14.23</v>
          </cell>
        </row>
        <row r="83">
          <cell r="B83">
            <v>287957</v>
          </cell>
          <cell r="F83">
            <v>14.05</v>
          </cell>
        </row>
        <row r="84">
          <cell r="B84">
            <v>347425</v>
          </cell>
          <cell r="F84">
            <v>13.95</v>
          </cell>
        </row>
        <row r="85">
          <cell r="B85">
            <v>406377</v>
          </cell>
          <cell r="F85">
            <v>13.79</v>
          </cell>
        </row>
        <row r="86">
          <cell r="B86">
            <v>473466</v>
          </cell>
          <cell r="F86">
            <v>13.7</v>
          </cell>
        </row>
        <row r="87">
          <cell r="B87">
            <v>539966</v>
          </cell>
          <cell r="F87">
            <v>13.59</v>
          </cell>
        </row>
        <row r="88">
          <cell r="B88">
            <v>608173</v>
          </cell>
          <cell r="F88">
            <v>13.44</v>
          </cell>
        </row>
        <row r="89">
          <cell r="B89">
            <v>710450</v>
          </cell>
          <cell r="F89">
            <v>13.36</v>
          </cell>
        </row>
        <row r="90">
          <cell r="B90">
            <v>37510</v>
          </cell>
          <cell r="F90">
            <v>12.51</v>
          </cell>
        </row>
        <row r="91">
          <cell r="B91">
            <v>118445</v>
          </cell>
          <cell r="F91">
            <v>12.24</v>
          </cell>
        </row>
        <row r="92">
          <cell r="B92">
            <v>190445</v>
          </cell>
          <cell r="F92">
            <v>12.48</v>
          </cell>
        </row>
        <row r="93">
          <cell r="B93">
            <v>264105</v>
          </cell>
          <cell r="F93">
            <v>12.6</v>
          </cell>
        </row>
        <row r="94">
          <cell r="B94">
            <v>326456</v>
          </cell>
          <cell r="F94">
            <v>12.7</v>
          </cell>
        </row>
        <row r="95">
          <cell r="B95">
            <v>394672</v>
          </cell>
          <cell r="F95">
            <v>12.74</v>
          </cell>
        </row>
        <row r="96">
          <cell r="B96">
            <v>460485</v>
          </cell>
          <cell r="F96">
            <v>12.75</v>
          </cell>
        </row>
        <row r="97">
          <cell r="B97">
            <v>534022</v>
          </cell>
          <cell r="F97">
            <v>12.74</v>
          </cell>
        </row>
        <row r="98">
          <cell r="B98">
            <v>608708</v>
          </cell>
          <cell r="F98">
            <v>12.71</v>
          </cell>
        </row>
        <row r="99">
          <cell r="B99">
            <v>681261</v>
          </cell>
          <cell r="F99">
            <v>12.68</v>
          </cell>
        </row>
        <row r="100">
          <cell r="B100">
            <v>759936</v>
          </cell>
          <cell r="F100">
            <v>12.62</v>
          </cell>
        </row>
        <row r="101">
          <cell r="B101">
            <v>863803</v>
          </cell>
          <cell r="F101">
            <v>12.49</v>
          </cell>
        </row>
        <row r="102">
          <cell r="B102">
            <v>40233</v>
          </cell>
          <cell r="F102">
            <v>11.84</v>
          </cell>
        </row>
        <row r="103">
          <cell r="B103">
            <v>98391</v>
          </cell>
          <cell r="F103">
            <v>11.9</v>
          </cell>
        </row>
        <row r="104">
          <cell r="B104">
            <v>179347</v>
          </cell>
          <cell r="F104">
            <v>11.81</v>
          </cell>
        </row>
        <row r="105">
          <cell r="B105">
            <v>261538</v>
          </cell>
          <cell r="F105">
            <v>11.69</v>
          </cell>
        </row>
        <row r="106">
          <cell r="B106">
            <v>340772</v>
          </cell>
          <cell r="F106">
            <v>11.61</v>
          </cell>
        </row>
        <row r="107">
          <cell r="B107">
            <v>426032</v>
          </cell>
          <cell r="F107">
            <v>11.5</v>
          </cell>
        </row>
        <row r="108">
          <cell r="B108">
            <v>510944</v>
          </cell>
          <cell r="F108">
            <v>11.41</v>
          </cell>
        </row>
        <row r="109">
          <cell r="B109">
            <v>605776</v>
          </cell>
          <cell r="F109">
            <v>11.28</v>
          </cell>
        </row>
        <row r="110">
          <cell r="B110">
            <v>704675</v>
          </cell>
          <cell r="F110">
            <v>11.1</v>
          </cell>
        </row>
        <row r="111">
          <cell r="B111">
            <v>817803</v>
          </cell>
          <cell r="F111">
            <v>10.94</v>
          </cell>
        </row>
        <row r="112">
          <cell r="B112">
            <v>940552</v>
          </cell>
          <cell r="F112">
            <v>10.78</v>
          </cell>
        </row>
        <row r="113">
          <cell r="B113">
            <v>1092316</v>
          </cell>
          <cell r="F113">
            <v>10.64</v>
          </cell>
        </row>
        <row r="114">
          <cell r="B114">
            <v>78300</v>
          </cell>
          <cell r="F114">
            <v>9.85</v>
          </cell>
        </row>
        <row r="115">
          <cell r="B115">
            <v>181272</v>
          </cell>
          <cell r="F115">
            <v>9.8000000000000007</v>
          </cell>
        </row>
        <row r="116">
          <cell r="B116">
            <v>300359</v>
          </cell>
          <cell r="F116">
            <v>9.74</v>
          </cell>
        </row>
        <row r="117">
          <cell r="B117">
            <v>426088</v>
          </cell>
          <cell r="F117">
            <v>9.69</v>
          </cell>
        </row>
        <row r="118">
          <cell r="B118">
            <v>544626</v>
          </cell>
          <cell r="F118">
            <v>9.66</v>
          </cell>
        </row>
        <row r="119">
          <cell r="B119">
            <v>665633</v>
          </cell>
          <cell r="F119">
            <v>9.6300000000000008</v>
          </cell>
        </row>
        <row r="120">
          <cell r="B120">
            <v>787845</v>
          </cell>
          <cell r="F120">
            <v>9.6199999999999992</v>
          </cell>
        </row>
        <row r="121">
          <cell r="B121">
            <v>914481</v>
          </cell>
          <cell r="F121">
            <v>9.59</v>
          </cell>
        </row>
        <row r="122">
          <cell r="B122">
            <v>1036834</v>
          </cell>
          <cell r="F122">
            <v>9.57</v>
          </cell>
        </row>
        <row r="123">
          <cell r="B123">
            <v>1178481</v>
          </cell>
          <cell r="F123">
            <v>9.5500000000000007</v>
          </cell>
        </row>
        <row r="124">
          <cell r="B124">
            <v>1318786</v>
          </cell>
          <cell r="F124">
            <v>9.5399999999999991</v>
          </cell>
        </row>
        <row r="125">
          <cell r="B125">
            <v>1476376</v>
          </cell>
          <cell r="F125">
            <v>9.56</v>
          </cell>
        </row>
        <row r="126">
          <cell r="B126">
            <v>81627</v>
          </cell>
          <cell r="F126">
            <v>9.89</v>
          </cell>
        </row>
        <row r="127">
          <cell r="B127">
            <v>188134</v>
          </cell>
          <cell r="F127">
            <v>10.041232200381501</v>
          </cell>
        </row>
        <row r="128">
          <cell r="B128">
            <v>292854</v>
          </cell>
          <cell r="F128">
            <v>10.1789149612837</v>
          </cell>
        </row>
        <row r="129">
          <cell r="B129">
            <v>404495</v>
          </cell>
          <cell r="F129">
            <v>10.2859873759684</v>
          </cell>
        </row>
        <row r="130">
          <cell r="B130">
            <v>491716</v>
          </cell>
          <cell r="F130">
            <v>10.331957596990399</v>
          </cell>
        </row>
        <row r="131">
          <cell r="B131">
            <v>589846</v>
          </cell>
          <cell r="F131">
            <v>10.326385645079499</v>
          </cell>
        </row>
        <row r="132">
          <cell r="B132">
            <v>693033</v>
          </cell>
          <cell r="F132">
            <v>10.311475768752601</v>
          </cell>
        </row>
        <row r="133">
          <cell r="B133">
            <v>803189</v>
          </cell>
          <cell r="F133">
            <v>10.2546199802598</v>
          </cell>
        </row>
        <row r="134">
          <cell r="B134">
            <v>914116</v>
          </cell>
          <cell r="F134">
            <v>10.1825783703665</v>
          </cell>
        </row>
        <row r="135">
          <cell r="B135">
            <v>1038211</v>
          </cell>
          <cell r="F135">
            <v>10.087088793971599</v>
          </cell>
        </row>
        <row r="136">
          <cell r="B136">
            <v>1161433</v>
          </cell>
          <cell r="F136">
            <v>9.9902794634507206</v>
          </cell>
        </row>
        <row r="137">
          <cell r="B137">
            <v>1318290</v>
          </cell>
          <cell r="F137">
            <v>9.8723788597368003</v>
          </cell>
        </row>
        <row r="138">
          <cell r="B138">
            <v>83624</v>
          </cell>
          <cell r="F138">
            <v>8.8461050481398793</v>
          </cell>
        </row>
        <row r="139">
          <cell r="B139">
            <v>199392</v>
          </cell>
          <cell r="F139">
            <v>8.7806310039885602</v>
          </cell>
        </row>
        <row r="140">
          <cell r="B140">
            <v>332705</v>
          </cell>
          <cell r="F140">
            <v>8.7408829550789306</v>
          </cell>
        </row>
        <row r="141">
          <cell r="B141">
            <v>430257</v>
          </cell>
          <cell r="F141">
            <v>8.6726665023301397</v>
          </cell>
        </row>
        <row r="142">
          <cell r="B142">
            <v>523511</v>
          </cell>
          <cell r="F142">
            <v>8.4831671374026403</v>
          </cell>
        </row>
        <row r="143">
          <cell r="B143">
            <v>650752</v>
          </cell>
          <cell r="F143">
            <v>8.3210416613731706</v>
          </cell>
        </row>
        <row r="144">
          <cell r="B144">
            <v>806627</v>
          </cell>
          <cell r="F144">
            <v>8.1340721930653395</v>
          </cell>
        </row>
        <row r="145">
          <cell r="B145">
            <v>970968</v>
          </cell>
          <cell r="F145">
            <v>7.9781386489278301</v>
          </cell>
        </row>
        <row r="146">
          <cell r="B146">
            <v>1169994</v>
          </cell>
          <cell r="F146">
            <v>7.8611255994079396</v>
          </cell>
        </row>
        <row r="147">
          <cell r="B147">
            <v>1382587</v>
          </cell>
          <cell r="F147">
            <v>7.7719116628776499</v>
          </cell>
        </row>
        <row r="148">
          <cell r="B148">
            <v>1571312</v>
          </cell>
          <cell r="F148">
            <v>7.7218226498245697</v>
          </cell>
        </row>
        <row r="149">
          <cell r="B149">
            <v>1783280</v>
          </cell>
          <cell r="F149">
            <v>7.6746878268035301</v>
          </cell>
        </row>
        <row r="150">
          <cell r="B150">
            <v>95242</v>
          </cell>
          <cell r="F150">
            <v>7.2299141258069604</v>
          </cell>
        </row>
        <row r="151">
          <cell r="B151">
            <v>240486</v>
          </cell>
          <cell r="F151">
            <v>7.2513492912085402</v>
          </cell>
        </row>
        <row r="152">
          <cell r="B152">
            <v>418898</v>
          </cell>
          <cell r="F152">
            <v>7.24443078895301</v>
          </cell>
        </row>
        <row r="153">
          <cell r="B153">
            <v>610634</v>
          </cell>
          <cell r="F153">
            <v>7.2620010562644604</v>
          </cell>
        </row>
        <row r="154">
          <cell r="B154">
            <v>759327</v>
          </cell>
          <cell r="F154">
            <v>7.2695876776653199</v>
          </cell>
        </row>
        <row r="155">
          <cell r="B155">
            <v>938338</v>
          </cell>
          <cell r="F155">
            <v>7.2278074649192297</v>
          </cell>
        </row>
        <row r="156">
          <cell r="B156">
            <v>1090038</v>
          </cell>
          <cell r="F156">
            <v>7.2910729506059297</v>
          </cell>
        </row>
        <row r="157">
          <cell r="B157">
            <v>1241090</v>
          </cell>
          <cell r="F157">
            <v>7.3526498285739299</v>
          </cell>
        </row>
        <row r="158">
          <cell r="B158">
            <v>1399097</v>
          </cell>
          <cell r="F158">
            <v>7.3986477182112003</v>
          </cell>
        </row>
        <row r="159">
          <cell r="B159">
            <v>1561138</v>
          </cell>
          <cell r="F159">
            <v>7.4337074560463297</v>
          </cell>
        </row>
        <row r="160">
          <cell r="B160">
            <v>1718958</v>
          </cell>
          <cell r="F160">
            <v>7.4506539075763101</v>
          </cell>
        </row>
        <row r="161">
          <cell r="B161">
            <v>1911650</v>
          </cell>
          <cell r="F161">
            <v>7.4929849477907604</v>
          </cell>
        </row>
        <row r="162">
          <cell r="B162">
            <v>95122</v>
          </cell>
          <cell r="F162">
            <v>7.8710020331191002</v>
          </cell>
        </row>
        <row r="163">
          <cell r="B163">
            <v>231003</v>
          </cell>
          <cell r="F163">
            <v>8.0097213077866396</v>
          </cell>
        </row>
        <row r="164">
          <cell r="B164">
            <v>394081</v>
          </cell>
          <cell r="F164">
            <v>8.0245677008932894</v>
          </cell>
        </row>
        <row r="165">
          <cell r="B165">
            <v>443717</v>
          </cell>
          <cell r="F165">
            <v>7.9836573182267196</v>
          </cell>
        </row>
        <row r="166">
          <cell r="B166">
            <v>480537</v>
          </cell>
          <cell r="F166">
            <v>7.8240061910112102</v>
          </cell>
        </row>
        <row r="167">
          <cell r="B167">
            <v>546255</v>
          </cell>
          <cell r="F167">
            <v>7.6231946144807701</v>
          </cell>
        </row>
        <row r="168">
          <cell r="B168">
            <v>638119</v>
          </cell>
          <cell r="F168">
            <v>7.4730127154458303</v>
          </cell>
        </row>
        <row r="169">
          <cell r="B169">
            <v>760267</v>
          </cell>
          <cell r="F169">
            <v>7.3322996986712399</v>
          </cell>
        </row>
        <row r="170">
          <cell r="B170">
            <v>897141</v>
          </cell>
          <cell r="F170">
            <v>7.2284518766563401</v>
          </cell>
        </row>
        <row r="171">
          <cell r="B171">
            <v>1024702</v>
          </cell>
          <cell r="F171">
            <v>7.2474614662842498</v>
          </cell>
        </row>
        <row r="172">
          <cell r="B172">
            <v>1153725</v>
          </cell>
          <cell r="F172">
            <v>7.2317589554553203</v>
          </cell>
        </row>
        <row r="173">
          <cell r="B173">
            <v>1330174</v>
          </cell>
          <cell r="F173">
            <v>7.1434414050691002</v>
          </cell>
        </row>
        <row r="174">
          <cell r="B174">
            <v>77366</v>
          </cell>
          <cell r="F174">
            <v>7.8616709086823704</v>
          </cell>
        </row>
        <row r="175">
          <cell r="B175">
            <v>192231</v>
          </cell>
          <cell r="F175">
            <v>7.9768157043627603</v>
          </cell>
        </row>
        <row r="176">
          <cell r="B176">
            <v>346471</v>
          </cell>
          <cell r="F176">
            <v>8.0681979233267604</v>
          </cell>
        </row>
        <row r="177">
          <cell r="B177">
            <v>500052</v>
          </cell>
          <cell r="F177">
            <v>8.2057718181151102</v>
          </cell>
        </row>
        <row r="178">
          <cell r="B178">
            <v>658115</v>
          </cell>
          <cell r="F178">
            <v>8.2536786290411399</v>
          </cell>
        </row>
        <row r="179">
          <cell r="B179">
            <v>826158</v>
          </cell>
          <cell r="F179">
            <v>8.2937805105220992</v>
          </cell>
        </row>
        <row r="180">
          <cell r="B180">
            <v>996920</v>
          </cell>
          <cell r="F180">
            <v>8.2860723823704596</v>
          </cell>
        </row>
        <row r="181">
          <cell r="B181">
            <v>1213179</v>
          </cell>
          <cell r="F181">
            <v>8.2401051969259296</v>
          </cell>
        </row>
        <row r="182">
          <cell r="B182">
            <v>1451542</v>
          </cell>
          <cell r="F182">
            <v>8.1827152695892806</v>
          </cell>
        </row>
        <row r="183">
          <cell r="B183">
            <v>1652045</v>
          </cell>
          <cell r="F183">
            <v>8.2032766589560797</v>
          </cell>
        </row>
        <row r="184">
          <cell r="B184">
            <v>1841303</v>
          </cell>
          <cell r="F184">
            <v>8.2010392879351794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zoomScale="52" workbookViewId="0">
      <selection activeCell="I1" sqref="I1:I181"/>
    </sheetView>
  </sheetViews>
  <sheetFormatPr defaultRowHeight="14.4" x14ac:dyDescent="0.3"/>
  <cols>
    <col min="2" max="3" width="15.88671875" customWidth="1"/>
    <col min="4" max="4" width="13.88671875" customWidth="1"/>
    <col min="5" max="5" width="14" customWidth="1"/>
    <col min="6" max="6" width="12.88671875" customWidth="1"/>
    <col min="7" max="7" width="17.33203125" customWidth="1"/>
  </cols>
  <sheetData>
    <row r="1" spans="1:9" ht="93.6" customHeight="1" x14ac:dyDescent="0.3">
      <c r="A1" s="27"/>
      <c r="B1" s="26" t="s">
        <v>0</v>
      </c>
      <c r="C1" s="26" t="s">
        <v>35</v>
      </c>
      <c r="D1" s="26" t="s">
        <v>30</v>
      </c>
      <c r="E1" s="26" t="s">
        <v>36</v>
      </c>
      <c r="F1" s="39" t="s">
        <v>33</v>
      </c>
      <c r="G1" s="39" t="s">
        <v>32</v>
      </c>
      <c r="H1" s="40" t="s">
        <v>31</v>
      </c>
      <c r="I1" s="41" t="s">
        <v>37</v>
      </c>
    </row>
    <row r="2" spans="1:9" ht="32.4" x14ac:dyDescent="0.5">
      <c r="A2" s="25"/>
      <c r="B2" s="34" t="s">
        <v>1</v>
      </c>
      <c r="C2" s="35" t="s">
        <v>2</v>
      </c>
      <c r="D2" s="34" t="s">
        <v>3</v>
      </c>
      <c r="E2" s="36" t="s">
        <v>4</v>
      </c>
      <c r="F2" s="37" t="s">
        <v>5</v>
      </c>
      <c r="G2" s="36" t="s">
        <v>6</v>
      </c>
      <c r="H2" s="29" t="s">
        <v>34</v>
      </c>
    </row>
    <row r="3" spans="1:9" x14ac:dyDescent="0.3">
      <c r="A3" s="1" t="s">
        <v>7</v>
      </c>
      <c r="B3" s="2">
        <v>6198</v>
      </c>
      <c r="C3" s="2">
        <v>1004951.4</v>
      </c>
      <c r="D3" s="2">
        <v>7262.8</v>
      </c>
      <c r="E3" s="3">
        <v>191.1</v>
      </c>
      <c r="F3" s="4">
        <v>13</v>
      </c>
      <c r="G3" s="5">
        <v>14.35</v>
      </c>
      <c r="I3" s="32">
        <v>2009</v>
      </c>
    </row>
    <row r="4" spans="1:9" x14ac:dyDescent="0.3">
      <c r="A4" s="6" t="s">
        <v>8</v>
      </c>
      <c r="B4" s="7">
        <v>14330</v>
      </c>
      <c r="C4" s="7">
        <v>998317.4</v>
      </c>
      <c r="D4" s="7">
        <v>8203.1</v>
      </c>
      <c r="E4" s="8">
        <v>192.3</v>
      </c>
      <c r="F4" s="4">
        <v>13</v>
      </c>
      <c r="G4" s="9">
        <v>14.5</v>
      </c>
      <c r="I4" s="33">
        <v>2009</v>
      </c>
    </row>
    <row r="5" spans="1:9" x14ac:dyDescent="0.3">
      <c r="A5" s="6" t="s">
        <v>9</v>
      </c>
      <c r="B5" s="7">
        <v>24486</v>
      </c>
      <c r="C5" s="7">
        <v>978253.9</v>
      </c>
      <c r="D5" s="7">
        <v>9364.4</v>
      </c>
      <c r="E5" s="8">
        <v>190.8</v>
      </c>
      <c r="F5" s="4">
        <v>12.5</v>
      </c>
      <c r="G5" s="9">
        <v>14.67</v>
      </c>
      <c r="I5" s="33">
        <v>2009</v>
      </c>
    </row>
    <row r="6" spans="1:9" x14ac:dyDescent="0.3">
      <c r="A6" s="6" t="s">
        <v>10</v>
      </c>
      <c r="B6" s="7">
        <v>36232</v>
      </c>
      <c r="C6" s="7">
        <v>971464</v>
      </c>
      <c r="D6" s="7">
        <v>10768.9</v>
      </c>
      <c r="E6" s="8">
        <v>191.2</v>
      </c>
      <c r="F6" s="4">
        <v>12</v>
      </c>
      <c r="G6" s="9">
        <v>14.71</v>
      </c>
      <c r="I6" s="33">
        <v>2009</v>
      </c>
    </row>
    <row r="7" spans="1:9" x14ac:dyDescent="0.3">
      <c r="A7" s="6" t="s">
        <v>11</v>
      </c>
      <c r="B7" s="7">
        <v>46914</v>
      </c>
      <c r="C7" s="7">
        <v>966368.7</v>
      </c>
      <c r="D7" s="7">
        <v>12102.2</v>
      </c>
      <c r="E7" s="8">
        <v>189.3</v>
      </c>
      <c r="F7" s="4">
        <v>11.5</v>
      </c>
      <c r="G7" s="9">
        <v>14.84</v>
      </c>
      <c r="I7" s="33">
        <v>2009</v>
      </c>
    </row>
    <row r="8" spans="1:9" x14ac:dyDescent="0.3">
      <c r="A8" s="6" t="s">
        <v>12</v>
      </c>
      <c r="B8" s="7">
        <v>60163</v>
      </c>
      <c r="C8" s="7">
        <v>961002</v>
      </c>
      <c r="D8" s="7">
        <v>13363.8</v>
      </c>
      <c r="E8" s="8">
        <v>187.3</v>
      </c>
      <c r="F8" s="4">
        <v>11</v>
      </c>
      <c r="G8" s="9">
        <v>14.86</v>
      </c>
      <c r="I8" s="33">
        <v>2009</v>
      </c>
    </row>
    <row r="9" spans="1:9" x14ac:dyDescent="0.3">
      <c r="A9" s="6" t="s">
        <v>13</v>
      </c>
      <c r="B9" s="7">
        <v>75018</v>
      </c>
      <c r="C9" s="7">
        <v>959846.3</v>
      </c>
      <c r="D9" s="7">
        <v>14490</v>
      </c>
      <c r="E9" s="8">
        <v>187.5</v>
      </c>
      <c r="F9" s="4">
        <v>10.75</v>
      </c>
      <c r="G9" s="9">
        <v>14.88</v>
      </c>
      <c r="I9" s="33">
        <v>2009</v>
      </c>
    </row>
    <row r="10" spans="1:9" x14ac:dyDescent="0.3">
      <c r="A10" s="6" t="s">
        <v>14</v>
      </c>
      <c r="B10" s="7">
        <v>89893</v>
      </c>
      <c r="C10" s="7">
        <v>958525.1</v>
      </c>
      <c r="D10" s="7">
        <v>15669.5</v>
      </c>
      <c r="E10" s="8">
        <v>187.9</v>
      </c>
      <c r="F10" s="4">
        <v>10.5</v>
      </c>
      <c r="G10" s="9">
        <v>14.85</v>
      </c>
      <c r="I10" s="33">
        <v>2009</v>
      </c>
    </row>
    <row r="11" spans="1:9" x14ac:dyDescent="0.3">
      <c r="A11" s="6" t="s">
        <v>15</v>
      </c>
      <c r="B11" s="7">
        <v>106642</v>
      </c>
      <c r="C11" s="7">
        <v>956324.2</v>
      </c>
      <c r="D11" s="7">
        <v>17218.2</v>
      </c>
      <c r="E11" s="8">
        <v>187.7</v>
      </c>
      <c r="F11" s="4">
        <v>9.5</v>
      </c>
      <c r="G11" s="9">
        <v>14.8</v>
      </c>
      <c r="I11" s="33">
        <v>2009</v>
      </c>
    </row>
    <row r="12" spans="1:9" x14ac:dyDescent="0.3">
      <c r="A12" s="6" t="s">
        <v>16</v>
      </c>
      <c r="B12" s="7">
        <v>126962</v>
      </c>
      <c r="C12" s="7">
        <v>957140.7</v>
      </c>
      <c r="D12" s="7">
        <v>18416.400000000001</v>
      </c>
      <c r="E12" s="8">
        <v>187.8</v>
      </c>
      <c r="F12" s="4">
        <v>9</v>
      </c>
      <c r="G12" s="9">
        <v>14.76</v>
      </c>
      <c r="I12" s="33">
        <v>2009</v>
      </c>
    </row>
    <row r="13" spans="1:9" x14ac:dyDescent="0.3">
      <c r="A13" s="6" t="s">
        <v>17</v>
      </c>
      <c r="B13" s="7">
        <v>146598</v>
      </c>
      <c r="C13" s="7">
        <v>958752.5</v>
      </c>
      <c r="D13" s="7">
        <v>19390.400000000001</v>
      </c>
      <c r="E13" s="8">
        <v>188.6</v>
      </c>
      <c r="F13" s="4">
        <v>8.75</v>
      </c>
      <c r="G13" s="9">
        <v>14.72</v>
      </c>
      <c r="I13" s="33">
        <v>2009</v>
      </c>
    </row>
    <row r="14" spans="1:9" x14ac:dyDescent="0.3">
      <c r="A14" s="6" t="s">
        <v>18</v>
      </c>
      <c r="B14" s="7">
        <v>176146</v>
      </c>
      <c r="C14" s="7">
        <v>966786.1</v>
      </c>
      <c r="D14" s="7">
        <v>20660.3</v>
      </c>
      <c r="E14" s="8">
        <v>188.4</v>
      </c>
      <c r="F14" s="4">
        <v>8.75</v>
      </c>
      <c r="G14" s="9">
        <v>14.59</v>
      </c>
      <c r="I14" s="24">
        <v>2010</v>
      </c>
    </row>
    <row r="15" spans="1:9" x14ac:dyDescent="0.3">
      <c r="A15" s="6" t="s">
        <v>7</v>
      </c>
      <c r="B15" s="7">
        <v>9452</v>
      </c>
      <c r="C15" s="7">
        <v>961161</v>
      </c>
      <c r="D15" s="7">
        <v>21336</v>
      </c>
      <c r="E15" s="8">
        <v>186.8</v>
      </c>
      <c r="F15" s="4">
        <v>8.5</v>
      </c>
      <c r="G15" s="9">
        <v>14.17</v>
      </c>
      <c r="I15" s="24">
        <v>2010</v>
      </c>
    </row>
    <row r="16" spans="1:9" x14ac:dyDescent="0.3">
      <c r="A16" s="6" t="s">
        <v>8</v>
      </c>
      <c r="B16" s="7">
        <v>27184</v>
      </c>
      <c r="C16" s="7">
        <v>962495</v>
      </c>
      <c r="D16" s="7">
        <v>22247</v>
      </c>
      <c r="E16" s="8">
        <v>187.7</v>
      </c>
      <c r="F16" s="4">
        <v>8.25</v>
      </c>
      <c r="G16" s="9">
        <v>14.01</v>
      </c>
      <c r="I16" s="24">
        <v>2010</v>
      </c>
    </row>
    <row r="17" spans="1:9" x14ac:dyDescent="0.3">
      <c r="A17" s="6" t="s">
        <v>9</v>
      </c>
      <c r="B17" s="7">
        <v>52073</v>
      </c>
      <c r="C17" s="7">
        <v>968289</v>
      </c>
      <c r="D17" s="7">
        <v>23193</v>
      </c>
      <c r="E17" s="8">
        <v>188</v>
      </c>
      <c r="F17" s="4">
        <v>8</v>
      </c>
      <c r="G17" s="9">
        <v>13.85</v>
      </c>
      <c r="I17" s="24">
        <v>2010</v>
      </c>
    </row>
    <row r="18" spans="1:9" x14ac:dyDescent="0.3">
      <c r="A18" s="6" t="s">
        <v>10</v>
      </c>
      <c r="B18" s="7">
        <v>80382</v>
      </c>
      <c r="C18" s="7">
        <v>976742</v>
      </c>
      <c r="D18" s="7">
        <v>24139</v>
      </c>
      <c r="E18" s="8">
        <v>188.3</v>
      </c>
      <c r="F18" s="4">
        <v>8</v>
      </c>
      <c r="G18" s="9">
        <v>13.8</v>
      </c>
      <c r="I18" s="24">
        <v>2010</v>
      </c>
    </row>
    <row r="19" spans="1:9" x14ac:dyDescent="0.3">
      <c r="A19" s="6" t="s">
        <v>11</v>
      </c>
      <c r="B19" s="7">
        <v>107475</v>
      </c>
      <c r="C19" s="7">
        <v>983664</v>
      </c>
      <c r="D19" s="7">
        <v>25071</v>
      </c>
      <c r="E19" s="8">
        <v>188.9</v>
      </c>
      <c r="F19" s="4">
        <v>7.75</v>
      </c>
      <c r="G19" s="9">
        <v>13.75</v>
      </c>
      <c r="I19" s="24">
        <v>2010</v>
      </c>
    </row>
    <row r="20" spans="1:9" x14ac:dyDescent="0.3">
      <c r="A20" s="6" t="s">
        <v>12</v>
      </c>
      <c r="B20" s="7">
        <v>140874</v>
      </c>
      <c r="C20" s="7">
        <v>990625</v>
      </c>
      <c r="D20" s="7">
        <v>24996</v>
      </c>
      <c r="E20" s="8">
        <v>189</v>
      </c>
      <c r="F20" s="4">
        <v>7.75</v>
      </c>
      <c r="G20" s="9">
        <v>13.71</v>
      </c>
      <c r="I20" s="24">
        <v>2010</v>
      </c>
    </row>
    <row r="21" spans="1:9" x14ac:dyDescent="0.3">
      <c r="A21" s="6" t="s">
        <v>13</v>
      </c>
      <c r="B21" s="7">
        <v>175311</v>
      </c>
      <c r="C21" s="7">
        <v>1005186</v>
      </c>
      <c r="D21" s="7">
        <v>26647</v>
      </c>
      <c r="E21" s="8">
        <v>189.5</v>
      </c>
      <c r="F21" s="4">
        <v>7.75</v>
      </c>
      <c r="G21" s="9">
        <v>13.67</v>
      </c>
      <c r="I21" s="24">
        <v>2010</v>
      </c>
    </row>
    <row r="22" spans="1:9" x14ac:dyDescent="0.3">
      <c r="A22" s="6" t="s">
        <v>14</v>
      </c>
      <c r="B22" s="7">
        <v>210064</v>
      </c>
      <c r="C22" s="7">
        <v>1017760</v>
      </c>
      <c r="D22" s="7">
        <v>27270</v>
      </c>
      <c r="E22" s="8">
        <v>188.9</v>
      </c>
      <c r="F22" s="4">
        <v>7.75</v>
      </c>
      <c r="G22" s="9">
        <v>13.65</v>
      </c>
      <c r="I22" s="24">
        <v>2010</v>
      </c>
    </row>
    <row r="23" spans="1:9" x14ac:dyDescent="0.3">
      <c r="A23" s="6" t="s">
        <v>15</v>
      </c>
      <c r="B23" s="7">
        <v>248503</v>
      </c>
      <c r="C23" s="7">
        <v>1033770</v>
      </c>
      <c r="D23" s="7">
        <v>28029</v>
      </c>
      <c r="E23" s="8">
        <v>188.7</v>
      </c>
      <c r="F23" s="4">
        <v>7.75</v>
      </c>
      <c r="G23" s="9">
        <v>13.63</v>
      </c>
      <c r="I23" s="24">
        <v>2010</v>
      </c>
    </row>
    <row r="24" spans="1:9" x14ac:dyDescent="0.3">
      <c r="A24" s="6" t="s">
        <v>16</v>
      </c>
      <c r="B24" s="7">
        <v>286581</v>
      </c>
      <c r="C24" s="7">
        <v>1050901</v>
      </c>
      <c r="D24" s="7">
        <v>28373</v>
      </c>
      <c r="E24" s="8">
        <v>188.7</v>
      </c>
      <c r="F24" s="4">
        <v>7.75</v>
      </c>
      <c r="G24" s="9">
        <v>13.51</v>
      </c>
      <c r="I24" s="24">
        <v>2010</v>
      </c>
    </row>
    <row r="25" spans="1:9" x14ac:dyDescent="0.3">
      <c r="A25" s="6" t="s">
        <v>17</v>
      </c>
      <c r="B25" s="7">
        <v>328681</v>
      </c>
      <c r="C25" s="7">
        <v>1070316</v>
      </c>
      <c r="D25" s="7">
        <v>29214</v>
      </c>
      <c r="E25" s="8">
        <v>188.6</v>
      </c>
      <c r="F25" s="4">
        <v>7.75</v>
      </c>
      <c r="G25" s="9">
        <v>13.44</v>
      </c>
      <c r="I25" s="24">
        <v>2010</v>
      </c>
    </row>
    <row r="26" spans="1:9" x14ac:dyDescent="0.3">
      <c r="A26" s="6" t="s">
        <v>18</v>
      </c>
      <c r="B26" s="7">
        <v>392302</v>
      </c>
      <c r="C26" s="7">
        <v>1102324</v>
      </c>
      <c r="D26" s="7">
        <v>26726</v>
      </c>
      <c r="E26" s="8">
        <v>188.7</v>
      </c>
      <c r="F26" s="4">
        <v>7.75</v>
      </c>
      <c r="G26" s="9">
        <v>13.29</v>
      </c>
      <c r="I26" s="24">
        <v>2011</v>
      </c>
    </row>
    <row r="27" spans="1:9" x14ac:dyDescent="0.3">
      <c r="A27" s="6" t="s">
        <v>7</v>
      </c>
      <c r="B27" s="7">
        <v>20029</v>
      </c>
      <c r="C27" s="7">
        <v>1102760</v>
      </c>
      <c r="D27" s="7">
        <v>27559</v>
      </c>
      <c r="E27" s="8">
        <v>184</v>
      </c>
      <c r="F27" s="4">
        <v>8</v>
      </c>
      <c r="G27" s="9">
        <v>12.96</v>
      </c>
      <c r="I27" s="24">
        <v>2011</v>
      </c>
    </row>
    <row r="28" spans="1:9" x14ac:dyDescent="0.3">
      <c r="A28" s="6" t="s">
        <v>8</v>
      </c>
      <c r="B28" s="7">
        <v>51740</v>
      </c>
      <c r="C28" s="7">
        <v>1114576</v>
      </c>
      <c r="D28" s="7">
        <v>27539</v>
      </c>
      <c r="E28" s="8">
        <v>186.4</v>
      </c>
      <c r="F28" s="4">
        <v>8</v>
      </c>
      <c r="G28" s="9">
        <v>12.74</v>
      </c>
      <c r="I28" s="24">
        <v>2011</v>
      </c>
    </row>
    <row r="29" spans="1:9" x14ac:dyDescent="0.3">
      <c r="A29" s="6" t="s">
        <v>9</v>
      </c>
      <c r="B29" s="7">
        <v>91472</v>
      </c>
      <c r="C29" s="7">
        <v>1134453</v>
      </c>
      <c r="D29" s="7">
        <v>27863</v>
      </c>
      <c r="E29" s="8">
        <v>187.6</v>
      </c>
      <c r="F29" s="4">
        <v>8</v>
      </c>
      <c r="G29" s="9">
        <v>12.64</v>
      </c>
      <c r="I29" s="24">
        <v>2011</v>
      </c>
    </row>
    <row r="30" spans="1:9" x14ac:dyDescent="0.3">
      <c r="A30" s="6" t="s">
        <v>10</v>
      </c>
      <c r="B30" s="7">
        <v>136070</v>
      </c>
      <c r="C30" s="7">
        <v>1160253</v>
      </c>
      <c r="D30" s="7">
        <v>27967</v>
      </c>
      <c r="E30" s="8">
        <v>187.3</v>
      </c>
      <c r="F30" s="4">
        <v>8.25</v>
      </c>
      <c r="G30" s="9">
        <v>12.47</v>
      </c>
      <c r="I30" s="24">
        <v>2011</v>
      </c>
    </row>
    <row r="31" spans="1:9" x14ac:dyDescent="0.3">
      <c r="A31" s="6" t="s">
        <v>11</v>
      </c>
      <c r="B31" s="7">
        <v>182740</v>
      </c>
      <c r="C31" s="7">
        <v>1189241</v>
      </c>
      <c r="D31" s="7">
        <v>28647</v>
      </c>
      <c r="E31" s="8">
        <v>186.3</v>
      </c>
      <c r="F31" s="4">
        <v>8.25</v>
      </c>
      <c r="G31" s="9">
        <v>12.4</v>
      </c>
      <c r="I31" s="24">
        <v>2011</v>
      </c>
    </row>
    <row r="32" spans="1:9" x14ac:dyDescent="0.3">
      <c r="A32" s="6" t="s">
        <v>12</v>
      </c>
      <c r="B32" s="7">
        <v>232628</v>
      </c>
      <c r="C32" s="7">
        <v>1225010</v>
      </c>
      <c r="D32" s="7">
        <v>28965</v>
      </c>
      <c r="E32" s="8">
        <v>185</v>
      </c>
      <c r="F32" s="4">
        <v>8.25</v>
      </c>
      <c r="G32" s="9">
        <v>12.35</v>
      </c>
      <c r="I32" s="24">
        <v>2011</v>
      </c>
    </row>
    <row r="33" spans="1:9" x14ac:dyDescent="0.3">
      <c r="A33" s="6" t="s">
        <v>13</v>
      </c>
      <c r="B33" s="7">
        <v>282259</v>
      </c>
      <c r="C33" s="7">
        <v>1255772</v>
      </c>
      <c r="D33" s="7">
        <v>29161</v>
      </c>
      <c r="E33" s="8">
        <v>182.8</v>
      </c>
      <c r="F33" s="4">
        <v>8.25</v>
      </c>
      <c r="G33" s="9">
        <v>12.29</v>
      </c>
      <c r="I33" s="24">
        <v>2011</v>
      </c>
    </row>
    <row r="34" spans="1:9" x14ac:dyDescent="0.3">
      <c r="A34" s="6" t="s">
        <v>14</v>
      </c>
      <c r="B34" s="7">
        <v>335560</v>
      </c>
      <c r="C34" s="7">
        <v>1290781</v>
      </c>
      <c r="D34" s="7">
        <v>29158</v>
      </c>
      <c r="E34" s="8">
        <v>181.1</v>
      </c>
      <c r="F34" s="4">
        <v>8.25</v>
      </c>
      <c r="G34" s="9">
        <v>12.22</v>
      </c>
      <c r="I34" s="24">
        <v>2011</v>
      </c>
    </row>
    <row r="35" spans="1:9" x14ac:dyDescent="0.3">
      <c r="A35" s="6" t="s">
        <v>15</v>
      </c>
      <c r="B35" s="7">
        <v>391240</v>
      </c>
      <c r="C35" s="7">
        <v>1321632</v>
      </c>
      <c r="D35" s="7">
        <v>29208</v>
      </c>
      <c r="E35" s="8">
        <v>178.7</v>
      </c>
      <c r="F35" s="4">
        <v>8.25</v>
      </c>
      <c r="G35" s="9">
        <v>12.15</v>
      </c>
      <c r="I35" s="24">
        <v>2011</v>
      </c>
    </row>
    <row r="36" spans="1:9" x14ac:dyDescent="0.3">
      <c r="A36" s="6" t="s">
        <v>16</v>
      </c>
      <c r="B36" s="7">
        <v>449383</v>
      </c>
      <c r="C36" s="7">
        <v>1356057</v>
      </c>
      <c r="D36" s="7">
        <v>29515</v>
      </c>
      <c r="E36" s="8">
        <v>177.2</v>
      </c>
      <c r="F36" s="4">
        <v>8.25</v>
      </c>
      <c r="G36" s="9">
        <v>12.08</v>
      </c>
      <c r="I36" s="24">
        <v>2011</v>
      </c>
    </row>
    <row r="37" spans="1:9" x14ac:dyDescent="0.3">
      <c r="A37" s="6" t="s">
        <v>17</v>
      </c>
      <c r="B37" s="7">
        <v>509339</v>
      </c>
      <c r="C37" s="7">
        <v>1398578</v>
      </c>
      <c r="D37" s="7">
        <v>29786</v>
      </c>
      <c r="E37" s="8">
        <v>176</v>
      </c>
      <c r="F37" s="4">
        <v>8</v>
      </c>
      <c r="G37" s="9">
        <v>12.03</v>
      </c>
      <c r="I37" s="24">
        <v>2011</v>
      </c>
    </row>
    <row r="38" spans="1:9" x14ac:dyDescent="0.3">
      <c r="A38" s="6" t="s">
        <v>18</v>
      </c>
      <c r="B38" s="7">
        <v>587600</v>
      </c>
      <c r="C38" s="7">
        <v>1448522</v>
      </c>
      <c r="D38" s="7">
        <v>29313</v>
      </c>
      <c r="E38" s="8">
        <v>174.6</v>
      </c>
      <c r="F38" s="4">
        <v>8</v>
      </c>
      <c r="G38" s="9">
        <v>11.98</v>
      </c>
      <c r="I38" s="24">
        <v>2012</v>
      </c>
    </row>
    <row r="39" spans="1:9" x14ac:dyDescent="0.3">
      <c r="A39" s="6" t="s">
        <v>7</v>
      </c>
      <c r="B39" s="7">
        <v>30405</v>
      </c>
      <c r="C39" s="7">
        <v>1456199</v>
      </c>
      <c r="D39" s="7">
        <v>29461</v>
      </c>
      <c r="E39" s="8">
        <v>168.9</v>
      </c>
      <c r="F39" s="4">
        <v>8</v>
      </c>
      <c r="G39" s="9">
        <v>11.92</v>
      </c>
      <c r="I39" s="24">
        <v>2012</v>
      </c>
    </row>
    <row r="40" spans="1:9" x14ac:dyDescent="0.3">
      <c r="A40" s="6" t="s">
        <v>8</v>
      </c>
      <c r="B40" s="7">
        <v>78800</v>
      </c>
      <c r="C40" s="7">
        <v>1488459</v>
      </c>
      <c r="D40" s="7">
        <v>29847</v>
      </c>
      <c r="E40" s="8">
        <v>171.2</v>
      </c>
      <c r="F40" s="4">
        <v>8</v>
      </c>
      <c r="G40" s="9">
        <v>11.98</v>
      </c>
      <c r="I40" s="24">
        <v>2012</v>
      </c>
    </row>
    <row r="41" spans="1:9" x14ac:dyDescent="0.3">
      <c r="A41" s="6" t="s">
        <v>9</v>
      </c>
      <c r="B41" s="7">
        <v>136432</v>
      </c>
      <c r="C41" s="7">
        <v>1529396</v>
      </c>
      <c r="D41" s="7">
        <v>28993</v>
      </c>
      <c r="E41" s="8">
        <v>172.8</v>
      </c>
      <c r="F41" s="4">
        <v>8</v>
      </c>
      <c r="G41" s="9">
        <v>12.05</v>
      </c>
      <c r="I41" s="24">
        <v>2012</v>
      </c>
    </row>
    <row r="42" spans="1:9" x14ac:dyDescent="0.3">
      <c r="A42" s="6" t="s">
        <v>10</v>
      </c>
      <c r="B42" s="7">
        <v>198427</v>
      </c>
      <c r="C42" s="7">
        <v>1578338</v>
      </c>
      <c r="D42" s="7">
        <v>29212</v>
      </c>
      <c r="E42" s="8">
        <v>174.2</v>
      </c>
      <c r="F42" s="4">
        <v>8</v>
      </c>
      <c r="G42" s="9">
        <v>12.09</v>
      </c>
      <c r="I42" s="24">
        <v>2012</v>
      </c>
    </row>
    <row r="43" spans="1:9" x14ac:dyDescent="0.3">
      <c r="A43" s="6" t="s">
        <v>11</v>
      </c>
      <c r="B43" s="7">
        <v>258004</v>
      </c>
      <c r="C43" s="7">
        <v>1619098</v>
      </c>
      <c r="D43" s="7">
        <v>29116</v>
      </c>
      <c r="E43" s="8">
        <v>174.6</v>
      </c>
      <c r="F43" s="4">
        <v>8</v>
      </c>
      <c r="G43" s="9">
        <v>12.12</v>
      </c>
      <c r="I43" s="24">
        <v>2012</v>
      </c>
    </row>
    <row r="44" spans="1:9" x14ac:dyDescent="0.3">
      <c r="A44" s="6" t="s">
        <v>12</v>
      </c>
      <c r="B44" s="7">
        <v>318388</v>
      </c>
      <c r="C44" s="7">
        <v>1662618</v>
      </c>
      <c r="D44" s="7">
        <v>29071</v>
      </c>
      <c r="E44" s="8">
        <v>174.9</v>
      </c>
      <c r="F44" s="4">
        <v>8</v>
      </c>
      <c r="G44" s="9">
        <v>12.14</v>
      </c>
      <c r="I44" s="24">
        <v>2012</v>
      </c>
    </row>
    <row r="45" spans="1:9" x14ac:dyDescent="0.3">
      <c r="A45" s="6" t="s">
        <v>13</v>
      </c>
      <c r="B45" s="7">
        <v>381359</v>
      </c>
      <c r="C45" s="7">
        <v>1702749</v>
      </c>
      <c r="D45" s="7">
        <v>29077</v>
      </c>
      <c r="E45" s="8">
        <v>175</v>
      </c>
      <c r="F45" s="4">
        <v>8</v>
      </c>
      <c r="G45" s="9">
        <v>12.16</v>
      </c>
      <c r="I45" s="24">
        <v>2012</v>
      </c>
    </row>
    <row r="46" spans="1:9" x14ac:dyDescent="0.3">
      <c r="A46" s="6" t="s">
        <v>14</v>
      </c>
      <c r="B46" s="7">
        <v>450784</v>
      </c>
      <c r="C46" s="7">
        <v>1758902</v>
      </c>
      <c r="D46" s="7">
        <v>28999</v>
      </c>
      <c r="E46" s="8">
        <v>175.5</v>
      </c>
      <c r="F46" s="4">
        <v>8.25</v>
      </c>
      <c r="G46" s="9">
        <v>12.19</v>
      </c>
      <c r="I46" s="24">
        <v>2012</v>
      </c>
    </row>
    <row r="47" spans="1:9" x14ac:dyDescent="0.3">
      <c r="A47" s="6" t="s">
        <v>15</v>
      </c>
      <c r="B47" s="7">
        <v>513166</v>
      </c>
      <c r="C47" s="7">
        <v>1807153</v>
      </c>
      <c r="D47" s="7">
        <v>28782</v>
      </c>
      <c r="E47" s="8">
        <v>175.4</v>
      </c>
      <c r="F47" s="4">
        <v>8.25</v>
      </c>
      <c r="G47" s="9">
        <v>12.21</v>
      </c>
      <c r="I47" s="24">
        <v>2012</v>
      </c>
    </row>
    <row r="48" spans="1:9" x14ac:dyDescent="0.3">
      <c r="A48" s="6" t="s">
        <v>16</v>
      </c>
      <c r="B48" s="7">
        <v>585035</v>
      </c>
      <c r="C48" s="7">
        <v>1867604</v>
      </c>
      <c r="D48" s="7">
        <v>28689</v>
      </c>
      <c r="E48" s="8">
        <v>175.3</v>
      </c>
      <c r="F48" s="4">
        <v>8.25</v>
      </c>
      <c r="G48" s="9">
        <v>12.25</v>
      </c>
      <c r="I48" s="24">
        <v>2012</v>
      </c>
    </row>
    <row r="49" spans="1:9" x14ac:dyDescent="0.3">
      <c r="A49" s="6" t="s">
        <v>17</v>
      </c>
      <c r="B49" s="7">
        <v>656728</v>
      </c>
      <c r="C49" s="7">
        <v>1926842</v>
      </c>
      <c r="D49" s="7">
        <v>28497</v>
      </c>
      <c r="E49" s="8">
        <v>175.8</v>
      </c>
      <c r="F49" s="4">
        <v>8.25</v>
      </c>
      <c r="G49" s="9">
        <v>12.29</v>
      </c>
      <c r="I49" s="24">
        <v>2012</v>
      </c>
    </row>
    <row r="50" spans="1:9" x14ac:dyDescent="0.3">
      <c r="A50" s="6" t="s">
        <v>18</v>
      </c>
      <c r="B50" s="7">
        <v>739393</v>
      </c>
      <c r="C50" s="7">
        <v>1992388</v>
      </c>
      <c r="D50" s="7">
        <v>31213</v>
      </c>
      <c r="E50" s="8">
        <v>176.6</v>
      </c>
      <c r="F50" s="4">
        <v>8.25</v>
      </c>
      <c r="G50" s="9">
        <v>12.32</v>
      </c>
      <c r="I50" s="24">
        <v>2013</v>
      </c>
    </row>
    <row r="51" spans="1:9" x14ac:dyDescent="0.3">
      <c r="A51" s="6" t="s">
        <v>7</v>
      </c>
      <c r="B51" s="7">
        <v>35778</v>
      </c>
      <c r="C51" s="7">
        <v>2000178</v>
      </c>
      <c r="D51" s="7">
        <v>31649</v>
      </c>
      <c r="E51" s="8">
        <v>179</v>
      </c>
      <c r="F51" s="4">
        <v>8.25</v>
      </c>
      <c r="G51" s="9">
        <v>12.73</v>
      </c>
      <c r="I51" s="24">
        <v>2013</v>
      </c>
    </row>
    <row r="52" spans="1:9" x14ac:dyDescent="0.3">
      <c r="A52" s="6" t="s">
        <v>8</v>
      </c>
      <c r="B52" s="7">
        <v>89169</v>
      </c>
      <c r="C52" s="7">
        <v>2042749</v>
      </c>
      <c r="D52" s="7">
        <v>31576</v>
      </c>
      <c r="E52" s="8">
        <v>177.8</v>
      </c>
      <c r="F52" s="4">
        <v>8.25</v>
      </c>
      <c r="G52" s="9">
        <v>12.82</v>
      </c>
      <c r="I52" s="24">
        <v>2013</v>
      </c>
    </row>
    <row r="53" spans="1:9" x14ac:dyDescent="0.3">
      <c r="A53" s="6" t="s">
        <v>9</v>
      </c>
      <c r="B53" s="7">
        <v>150774</v>
      </c>
      <c r="C53" s="7">
        <v>2083220</v>
      </c>
      <c r="D53" s="7">
        <v>31248</v>
      </c>
      <c r="E53" s="8">
        <v>177.4</v>
      </c>
      <c r="F53" s="4">
        <v>8.25</v>
      </c>
      <c r="G53" s="9">
        <v>12.87</v>
      </c>
      <c r="I53" s="24">
        <v>2013</v>
      </c>
    </row>
    <row r="54" spans="1:9" x14ac:dyDescent="0.3">
      <c r="A54" s="6" t="s">
        <v>10</v>
      </c>
      <c r="B54" s="7">
        <v>223546</v>
      </c>
      <c r="C54" s="7">
        <v>2147924</v>
      </c>
      <c r="D54" s="7">
        <v>31415</v>
      </c>
      <c r="E54" s="8">
        <v>177</v>
      </c>
      <c r="F54" s="4">
        <v>8.25</v>
      </c>
      <c r="G54" s="9">
        <v>12.81</v>
      </c>
      <c r="I54" s="24">
        <v>2013</v>
      </c>
    </row>
    <row r="55" spans="1:9" x14ac:dyDescent="0.3">
      <c r="A55" s="6" t="s">
        <v>11</v>
      </c>
      <c r="B55" s="7">
        <v>286170</v>
      </c>
      <c r="C55" s="7">
        <v>2201187</v>
      </c>
      <c r="D55" s="7">
        <v>31179</v>
      </c>
      <c r="E55" s="8">
        <v>175.9</v>
      </c>
      <c r="F55" s="4">
        <v>8.25</v>
      </c>
      <c r="G55" s="9">
        <v>12.8</v>
      </c>
      <c r="I55" s="24">
        <v>2013</v>
      </c>
    </row>
    <row r="56" spans="1:9" x14ac:dyDescent="0.3">
      <c r="A56" s="6" t="s">
        <v>12</v>
      </c>
      <c r="B56" s="7">
        <v>356292</v>
      </c>
      <c r="C56" s="7">
        <v>2258703</v>
      </c>
      <c r="D56" s="7">
        <v>29994</v>
      </c>
      <c r="E56" s="8">
        <v>175.4</v>
      </c>
      <c r="F56" s="4">
        <v>8.25</v>
      </c>
      <c r="G56" s="9">
        <v>12.76</v>
      </c>
      <c r="I56" s="24">
        <v>2013</v>
      </c>
    </row>
    <row r="57" spans="1:9" x14ac:dyDescent="0.3">
      <c r="A57" s="6" t="s">
        <v>13</v>
      </c>
      <c r="B57" s="7">
        <v>436885</v>
      </c>
      <c r="C57" s="7">
        <v>2326601</v>
      </c>
      <c r="D57" s="7">
        <v>30487</v>
      </c>
      <c r="E57" s="8">
        <v>175.1</v>
      </c>
      <c r="F57" s="4">
        <v>8.25</v>
      </c>
      <c r="G57" s="9">
        <v>12.71</v>
      </c>
      <c r="I57" s="24">
        <v>2013</v>
      </c>
    </row>
    <row r="58" spans="1:9" x14ac:dyDescent="0.3">
      <c r="A58" s="6" t="s">
        <v>14</v>
      </c>
      <c r="B58" s="7">
        <v>517007</v>
      </c>
      <c r="C58" s="7">
        <v>2384020</v>
      </c>
      <c r="D58" s="7">
        <v>30362</v>
      </c>
      <c r="E58" s="8">
        <v>174.4</v>
      </c>
      <c r="F58" s="4">
        <v>5.5</v>
      </c>
      <c r="G58" s="9">
        <v>12.67</v>
      </c>
      <c r="I58" s="24">
        <v>2013</v>
      </c>
    </row>
    <row r="59" spans="1:9" x14ac:dyDescent="0.3">
      <c r="A59" s="6" t="s">
        <v>15</v>
      </c>
      <c r="B59" s="7">
        <v>593898</v>
      </c>
      <c r="C59" s="7">
        <v>2390674</v>
      </c>
      <c r="D59" s="7">
        <v>29123</v>
      </c>
      <c r="E59" s="8">
        <v>174.1</v>
      </c>
      <c r="F59" s="4">
        <v>5.5</v>
      </c>
      <c r="G59" s="9">
        <v>12.64</v>
      </c>
      <c r="I59" s="24">
        <v>2013</v>
      </c>
    </row>
    <row r="60" spans="1:9" x14ac:dyDescent="0.3">
      <c r="A60" s="6" t="s">
        <v>16</v>
      </c>
      <c r="B60" s="7">
        <v>683351</v>
      </c>
      <c r="C60" s="7">
        <v>2476266</v>
      </c>
      <c r="D60" s="7">
        <v>29002</v>
      </c>
      <c r="E60" s="8">
        <v>174</v>
      </c>
      <c r="F60" s="4">
        <v>5.5</v>
      </c>
      <c r="G60" s="9">
        <v>12.6</v>
      </c>
      <c r="I60" s="24">
        <v>2013</v>
      </c>
    </row>
    <row r="61" spans="1:9" x14ac:dyDescent="0.3">
      <c r="A61" s="6" t="s">
        <v>17</v>
      </c>
      <c r="B61" s="7">
        <v>767667</v>
      </c>
      <c r="C61" s="7">
        <v>2553718</v>
      </c>
      <c r="D61" s="7">
        <v>28575</v>
      </c>
      <c r="E61" s="8">
        <v>172.8</v>
      </c>
      <c r="F61" s="4">
        <v>5.5</v>
      </c>
      <c r="G61" s="9">
        <v>12.56</v>
      </c>
      <c r="I61" s="24">
        <v>2013</v>
      </c>
    </row>
    <row r="62" spans="1:9" x14ac:dyDescent="0.3">
      <c r="A62" s="6" t="s">
        <v>18</v>
      </c>
      <c r="B62" s="7">
        <v>878495</v>
      </c>
      <c r="C62" s="7">
        <v>2647421</v>
      </c>
      <c r="D62" s="7">
        <v>27783</v>
      </c>
      <c r="E62" s="8">
        <v>172.9</v>
      </c>
      <c r="F62" s="4">
        <v>5.5</v>
      </c>
      <c r="G62" s="9">
        <v>12.51</v>
      </c>
      <c r="I62" s="24">
        <v>2014</v>
      </c>
    </row>
    <row r="63" spans="1:9" x14ac:dyDescent="0.3">
      <c r="A63" s="10" t="s">
        <v>19</v>
      </c>
      <c r="B63" s="11">
        <v>50367</v>
      </c>
      <c r="C63" s="11">
        <v>2673992</v>
      </c>
      <c r="D63" s="11">
        <v>28057</v>
      </c>
      <c r="E63" s="12">
        <v>172</v>
      </c>
      <c r="F63" s="4">
        <v>5.5</v>
      </c>
      <c r="G63" s="13">
        <v>12.3</v>
      </c>
      <c r="I63" s="24">
        <v>2014</v>
      </c>
    </row>
    <row r="64" spans="1:9" x14ac:dyDescent="0.3">
      <c r="A64" s="10" t="s">
        <v>20</v>
      </c>
      <c r="B64" s="11">
        <v>123772</v>
      </c>
      <c r="C64" s="11">
        <v>2738205</v>
      </c>
      <c r="D64" s="11">
        <v>28410</v>
      </c>
      <c r="E64" s="12">
        <v>178.9</v>
      </c>
      <c r="F64" s="4">
        <v>7</v>
      </c>
      <c r="G64" s="13">
        <v>12.3</v>
      </c>
      <c r="I64" s="24">
        <v>2014</v>
      </c>
    </row>
    <row r="65" spans="1:9" x14ac:dyDescent="0.3">
      <c r="A65" s="10" t="s">
        <v>21</v>
      </c>
      <c r="B65" s="11">
        <v>208384</v>
      </c>
      <c r="C65" s="11">
        <v>2808289</v>
      </c>
      <c r="D65" s="11">
        <v>28296</v>
      </c>
      <c r="E65" s="12">
        <v>181.6</v>
      </c>
      <c r="F65" s="4">
        <v>7.5</v>
      </c>
      <c r="G65" s="13">
        <v>12.18</v>
      </c>
      <c r="I65" s="24">
        <v>2014</v>
      </c>
    </row>
    <row r="66" spans="1:9" x14ac:dyDescent="0.3">
      <c r="A66" s="10" t="s">
        <v>22</v>
      </c>
      <c r="B66" s="11">
        <v>307049</v>
      </c>
      <c r="C66" s="11">
        <v>2907478</v>
      </c>
      <c r="D66" s="11">
        <v>28611</v>
      </c>
      <c r="E66" s="12">
        <v>172.4</v>
      </c>
      <c r="F66" s="4">
        <v>7.5</v>
      </c>
      <c r="G66" s="13">
        <v>12.22</v>
      </c>
      <c r="I66" s="24">
        <v>2014</v>
      </c>
    </row>
    <row r="67" spans="1:9" x14ac:dyDescent="0.3">
      <c r="A67" s="10" t="s">
        <v>23</v>
      </c>
      <c r="B67" s="11">
        <v>389021</v>
      </c>
      <c r="C67" s="11">
        <v>2983358</v>
      </c>
      <c r="D67" s="11">
        <v>28932</v>
      </c>
      <c r="E67" s="12">
        <v>174.2</v>
      </c>
      <c r="F67" s="4">
        <v>7.5</v>
      </c>
      <c r="G67" s="13">
        <v>12.22</v>
      </c>
      <c r="I67" s="24">
        <v>2014</v>
      </c>
    </row>
    <row r="68" spans="1:9" x14ac:dyDescent="0.3">
      <c r="A68" s="10" t="s">
        <v>24</v>
      </c>
      <c r="B68" s="11">
        <v>471256</v>
      </c>
      <c r="C68" s="11">
        <v>3049741</v>
      </c>
      <c r="D68" s="11">
        <v>28983</v>
      </c>
      <c r="E68" s="12">
        <v>173.9</v>
      </c>
      <c r="F68" s="4">
        <v>8</v>
      </c>
      <c r="G68" s="13">
        <v>12.22</v>
      </c>
      <c r="I68" s="24">
        <v>2014</v>
      </c>
    </row>
    <row r="69" spans="1:9" x14ac:dyDescent="0.3">
      <c r="A69" s="10" t="s">
        <v>25</v>
      </c>
      <c r="B69" s="11">
        <v>565551</v>
      </c>
      <c r="C69" s="11">
        <v>3143500</v>
      </c>
      <c r="D69" s="11">
        <v>29587</v>
      </c>
      <c r="E69" s="12">
        <v>176.6</v>
      </c>
      <c r="F69" s="4">
        <v>8</v>
      </c>
      <c r="G69" s="13">
        <v>12.23</v>
      </c>
      <c r="I69" s="24">
        <v>2014</v>
      </c>
    </row>
    <row r="70" spans="1:9" x14ac:dyDescent="0.3">
      <c r="A70" s="10" t="s">
        <v>26</v>
      </c>
      <c r="B70" s="11">
        <v>652343</v>
      </c>
      <c r="C70" s="11">
        <v>3213547</v>
      </c>
      <c r="D70" s="11">
        <v>29800</v>
      </c>
      <c r="E70" s="12">
        <v>176.6</v>
      </c>
      <c r="F70" s="4">
        <v>8</v>
      </c>
      <c r="G70" s="13">
        <v>12.24</v>
      </c>
      <c r="I70" s="24">
        <v>2014</v>
      </c>
    </row>
    <row r="71" spans="1:9" x14ac:dyDescent="0.3">
      <c r="A71" s="10" t="s">
        <v>27</v>
      </c>
      <c r="B71" s="11">
        <v>739226</v>
      </c>
      <c r="C71" s="11">
        <v>3288628</v>
      </c>
      <c r="D71" s="11">
        <v>29654</v>
      </c>
      <c r="E71" s="12">
        <v>177.1</v>
      </c>
      <c r="F71" s="4">
        <v>8</v>
      </c>
      <c r="G71" s="13">
        <v>12.27</v>
      </c>
      <c r="I71" s="24">
        <v>2014</v>
      </c>
    </row>
    <row r="72" spans="1:9" x14ac:dyDescent="0.3">
      <c r="A72" s="10" t="s">
        <v>28</v>
      </c>
      <c r="B72" s="11">
        <v>836062</v>
      </c>
      <c r="C72" s="11">
        <v>3360775</v>
      </c>
      <c r="D72" s="11">
        <v>29946</v>
      </c>
      <c r="E72" s="12">
        <v>177.8</v>
      </c>
      <c r="F72" s="4">
        <v>9.5</v>
      </c>
      <c r="G72" s="13">
        <v>12.34</v>
      </c>
      <c r="I72" s="24">
        <v>2014</v>
      </c>
    </row>
    <row r="73" spans="1:9" x14ac:dyDescent="0.3">
      <c r="A73" s="10" t="s">
        <v>29</v>
      </c>
      <c r="B73" s="11">
        <v>923945</v>
      </c>
      <c r="C73" s="11">
        <v>3443067</v>
      </c>
      <c r="D73" s="11">
        <v>30464</v>
      </c>
      <c r="E73" s="12">
        <v>178.1</v>
      </c>
      <c r="F73" s="4">
        <v>17</v>
      </c>
      <c r="G73" s="13">
        <v>12.37</v>
      </c>
      <c r="I73" s="24">
        <v>2014</v>
      </c>
    </row>
    <row r="74" spans="1:9" x14ac:dyDescent="0.3">
      <c r="A74" s="10" t="s">
        <v>18</v>
      </c>
      <c r="B74" s="11">
        <v>1058641</v>
      </c>
      <c r="C74" s="11">
        <v>3517094</v>
      </c>
      <c r="D74" s="11">
        <v>32131</v>
      </c>
      <c r="E74" s="12">
        <v>178.1</v>
      </c>
      <c r="F74" s="4">
        <v>17</v>
      </c>
      <c r="G74" s="13">
        <v>12.47</v>
      </c>
      <c r="I74" s="24">
        <v>2015</v>
      </c>
    </row>
    <row r="75" spans="1:9" x14ac:dyDescent="0.3">
      <c r="A75" s="10" t="s">
        <v>7</v>
      </c>
      <c r="B75" s="11">
        <v>44924</v>
      </c>
      <c r="C75" s="11">
        <v>3520747</v>
      </c>
      <c r="D75" s="11">
        <v>32840</v>
      </c>
      <c r="E75" s="12">
        <v>175.9</v>
      </c>
      <c r="F75" s="4">
        <v>15</v>
      </c>
      <c r="G75" s="13">
        <v>14.16</v>
      </c>
      <c r="I75" s="24">
        <v>2015</v>
      </c>
    </row>
    <row r="76" spans="1:9" x14ac:dyDescent="0.3">
      <c r="A76" s="10" t="s">
        <v>8</v>
      </c>
      <c r="B76" s="11">
        <v>94862</v>
      </c>
      <c r="C76" s="11">
        <v>3546831</v>
      </c>
      <c r="D76" s="11">
        <v>33401</v>
      </c>
      <c r="E76" s="12">
        <v>174.6</v>
      </c>
      <c r="F76" s="4">
        <v>14</v>
      </c>
      <c r="G76" s="13">
        <v>14.46</v>
      </c>
      <c r="I76" s="24">
        <v>2015</v>
      </c>
    </row>
    <row r="77" spans="1:9" x14ac:dyDescent="0.3">
      <c r="A77" s="10" t="s">
        <v>9</v>
      </c>
      <c r="B77" s="11">
        <v>138911</v>
      </c>
      <c r="C77" s="11">
        <v>3547477</v>
      </c>
      <c r="D77" s="11">
        <v>34635</v>
      </c>
      <c r="E77" s="12">
        <v>172.9</v>
      </c>
      <c r="F77" s="4">
        <v>14</v>
      </c>
      <c r="G77" s="13">
        <v>14.54</v>
      </c>
      <c r="I77" s="24">
        <v>2015</v>
      </c>
    </row>
    <row r="78" spans="1:9" x14ac:dyDescent="0.3">
      <c r="A78" s="10" t="s">
        <v>10</v>
      </c>
      <c r="B78" s="11">
        <v>189551</v>
      </c>
      <c r="C78" s="11">
        <v>3570523</v>
      </c>
      <c r="D78" s="11">
        <v>35794</v>
      </c>
      <c r="E78" s="12">
        <v>171.6</v>
      </c>
      <c r="F78" s="4">
        <v>12.5</v>
      </c>
      <c r="G78" s="13">
        <v>14.41</v>
      </c>
      <c r="I78" s="24">
        <v>2015</v>
      </c>
    </row>
    <row r="79" spans="1:9" x14ac:dyDescent="0.3">
      <c r="A79" s="10" t="s">
        <v>11</v>
      </c>
      <c r="B79" s="11">
        <v>234503</v>
      </c>
      <c r="C79" s="11">
        <v>3594711</v>
      </c>
      <c r="D79" s="11">
        <v>36733</v>
      </c>
      <c r="E79" s="12">
        <v>171.3</v>
      </c>
      <c r="F79" s="4">
        <v>11.5</v>
      </c>
      <c r="G79" s="13">
        <v>14.23</v>
      </c>
      <c r="I79" s="24">
        <v>2015</v>
      </c>
    </row>
    <row r="80" spans="1:9" x14ac:dyDescent="0.3">
      <c r="A80" s="10" t="s">
        <v>12</v>
      </c>
      <c r="B80" s="11">
        <v>287957</v>
      </c>
      <c r="C80" s="11">
        <v>3612817</v>
      </c>
      <c r="D80" s="11">
        <v>37602</v>
      </c>
      <c r="E80" s="12">
        <v>171.9</v>
      </c>
      <c r="F80" s="4">
        <v>11.5</v>
      </c>
      <c r="G80" s="13">
        <v>14.05</v>
      </c>
      <c r="I80" s="24">
        <v>2015</v>
      </c>
    </row>
    <row r="81" spans="1:9" x14ac:dyDescent="0.3">
      <c r="A81" s="10" t="s">
        <v>13</v>
      </c>
      <c r="B81" s="11">
        <v>347425</v>
      </c>
      <c r="C81" s="11">
        <v>3645485</v>
      </c>
      <c r="D81" s="11">
        <v>38506</v>
      </c>
      <c r="E81" s="12">
        <v>172</v>
      </c>
      <c r="F81" s="4">
        <v>11</v>
      </c>
      <c r="G81" s="13">
        <v>13.95</v>
      </c>
      <c r="I81" s="24">
        <v>2015</v>
      </c>
    </row>
    <row r="82" spans="1:9" x14ac:dyDescent="0.3">
      <c r="A82" s="10" t="s">
        <v>14</v>
      </c>
      <c r="B82" s="11">
        <v>406377</v>
      </c>
      <c r="C82" s="11">
        <v>3686484</v>
      </c>
      <c r="D82" s="11">
        <v>39958</v>
      </c>
      <c r="E82" s="12">
        <v>172.5</v>
      </c>
      <c r="F82" s="4">
        <v>11</v>
      </c>
      <c r="G82" s="13">
        <v>13.79</v>
      </c>
      <c r="I82" s="24">
        <v>2015</v>
      </c>
    </row>
    <row r="83" spans="1:9" x14ac:dyDescent="0.3">
      <c r="A83" s="10" t="s">
        <v>15</v>
      </c>
      <c r="B83" s="11">
        <v>473466</v>
      </c>
      <c r="C83" s="11">
        <v>3732393</v>
      </c>
      <c r="D83" s="11">
        <v>40840</v>
      </c>
      <c r="E83" s="12">
        <v>173</v>
      </c>
      <c r="F83" s="4">
        <v>11</v>
      </c>
      <c r="G83" s="13">
        <v>13.7</v>
      </c>
      <c r="I83" s="24">
        <v>2015</v>
      </c>
    </row>
    <row r="84" spans="1:9" x14ac:dyDescent="0.3">
      <c r="A84" s="10" t="s">
        <v>16</v>
      </c>
      <c r="B84" s="11">
        <v>539966</v>
      </c>
      <c r="C84" s="11">
        <v>3782381</v>
      </c>
      <c r="D84" s="11">
        <v>41743</v>
      </c>
      <c r="E84" s="12">
        <v>173.4</v>
      </c>
      <c r="F84" s="4">
        <v>11</v>
      </c>
      <c r="G84" s="13">
        <v>13.59</v>
      </c>
      <c r="I84" s="24">
        <v>2015</v>
      </c>
    </row>
    <row r="85" spans="1:9" x14ac:dyDescent="0.3">
      <c r="A85" s="10" t="s">
        <v>17</v>
      </c>
      <c r="B85" s="11">
        <v>608173</v>
      </c>
      <c r="C85" s="11">
        <v>3831417</v>
      </c>
      <c r="D85" s="11">
        <v>43280</v>
      </c>
      <c r="E85" s="12">
        <v>174.1</v>
      </c>
      <c r="F85" s="4">
        <v>11</v>
      </c>
      <c r="G85" s="13">
        <v>13.44</v>
      </c>
      <c r="I85" s="24">
        <v>2015</v>
      </c>
    </row>
    <row r="86" spans="1:9" x14ac:dyDescent="0.3">
      <c r="A86" s="10" t="s">
        <v>18</v>
      </c>
      <c r="B86" s="11">
        <v>710450</v>
      </c>
      <c r="C86" s="11">
        <v>3912845</v>
      </c>
      <c r="D86" s="11">
        <v>44226</v>
      </c>
      <c r="E86" s="12">
        <v>175.2</v>
      </c>
      <c r="F86" s="4">
        <v>11</v>
      </c>
      <c r="G86" s="13">
        <v>13.36</v>
      </c>
      <c r="I86" s="24">
        <v>2016</v>
      </c>
    </row>
    <row r="87" spans="1:9" x14ac:dyDescent="0.3">
      <c r="A87" s="10" t="s">
        <v>7</v>
      </c>
      <c r="B87" s="11">
        <v>37510</v>
      </c>
      <c r="C87" s="11">
        <v>3922380</v>
      </c>
      <c r="D87" s="11">
        <v>45617</v>
      </c>
      <c r="E87" s="12">
        <v>179.4</v>
      </c>
      <c r="F87" s="4">
        <v>11</v>
      </c>
      <c r="G87" s="13">
        <v>12.51</v>
      </c>
      <c r="I87" s="24">
        <v>2016</v>
      </c>
    </row>
    <row r="88" spans="1:9" x14ac:dyDescent="0.3">
      <c r="A88" s="10" t="s">
        <v>8</v>
      </c>
      <c r="B88" s="11">
        <v>118445</v>
      </c>
      <c r="C88" s="11">
        <v>3993926</v>
      </c>
      <c r="D88" s="11">
        <v>46740</v>
      </c>
      <c r="E88" s="12">
        <v>180.8</v>
      </c>
      <c r="F88" s="4">
        <v>11</v>
      </c>
      <c r="G88" s="13">
        <v>12.24</v>
      </c>
      <c r="I88" s="24">
        <v>2016</v>
      </c>
    </row>
    <row r="89" spans="1:9" x14ac:dyDescent="0.3">
      <c r="A89" s="10" t="s">
        <v>9</v>
      </c>
      <c r="B89" s="11">
        <v>190445</v>
      </c>
      <c r="C89" s="11">
        <v>4036169</v>
      </c>
      <c r="D89" s="11">
        <v>47912</v>
      </c>
      <c r="E89" s="12">
        <v>180.6</v>
      </c>
      <c r="F89" s="4">
        <v>11</v>
      </c>
      <c r="G89" s="13">
        <v>12.48</v>
      </c>
      <c r="I89" s="24">
        <v>2016</v>
      </c>
    </row>
    <row r="90" spans="1:9" x14ac:dyDescent="0.3">
      <c r="A90" s="10" t="s">
        <v>10</v>
      </c>
      <c r="B90" s="11">
        <v>264105</v>
      </c>
      <c r="C90" s="11">
        <v>4076528</v>
      </c>
      <c r="D90" s="11">
        <v>48698</v>
      </c>
      <c r="E90" s="12">
        <v>181</v>
      </c>
      <c r="F90" s="4">
        <v>11</v>
      </c>
      <c r="G90" s="13">
        <v>12.6</v>
      </c>
      <c r="I90" s="24">
        <v>2016</v>
      </c>
    </row>
    <row r="91" spans="1:9" x14ac:dyDescent="0.3">
      <c r="A91" s="10" t="s">
        <v>11</v>
      </c>
      <c r="B91" s="11">
        <v>326456</v>
      </c>
      <c r="C91" s="11">
        <v>4108092</v>
      </c>
      <c r="D91" s="11">
        <v>50234</v>
      </c>
      <c r="E91" s="12">
        <v>181.6</v>
      </c>
      <c r="F91" s="4">
        <v>10.5</v>
      </c>
      <c r="G91" s="13">
        <v>12.7</v>
      </c>
      <c r="I91" s="24">
        <v>2016</v>
      </c>
    </row>
    <row r="92" spans="1:9" x14ac:dyDescent="0.3">
      <c r="A92" s="10" t="s">
        <v>12</v>
      </c>
      <c r="B92" s="11">
        <v>394672</v>
      </c>
      <c r="C92" s="11">
        <v>4140825</v>
      </c>
      <c r="D92" s="11">
        <v>50699</v>
      </c>
      <c r="E92" s="12">
        <v>181.6</v>
      </c>
      <c r="F92" s="4">
        <v>10.5</v>
      </c>
      <c r="G92" s="13">
        <v>12.74</v>
      </c>
      <c r="I92" s="24">
        <v>2016</v>
      </c>
    </row>
    <row r="93" spans="1:9" x14ac:dyDescent="0.3">
      <c r="A93" s="10" t="s">
        <v>13</v>
      </c>
      <c r="B93" s="11">
        <v>460485</v>
      </c>
      <c r="C93" s="11">
        <v>4181431</v>
      </c>
      <c r="D93" s="11">
        <v>51613</v>
      </c>
      <c r="E93" s="12">
        <v>181.6</v>
      </c>
      <c r="F93" s="4">
        <v>10.5</v>
      </c>
      <c r="G93" s="13">
        <v>12.75</v>
      </c>
      <c r="I93" s="24">
        <v>2016</v>
      </c>
    </row>
    <row r="94" spans="1:9" x14ac:dyDescent="0.3">
      <c r="A94" s="10" t="s">
        <v>14</v>
      </c>
      <c r="B94" s="11">
        <v>534022</v>
      </c>
      <c r="C94" s="11">
        <v>4232381</v>
      </c>
      <c r="D94" s="11">
        <v>52514</v>
      </c>
      <c r="E94" s="12">
        <v>181.5</v>
      </c>
      <c r="F94" s="4">
        <v>10</v>
      </c>
      <c r="G94" s="13">
        <v>12.74</v>
      </c>
      <c r="I94" s="24">
        <v>2016</v>
      </c>
    </row>
    <row r="95" spans="1:9" x14ac:dyDescent="0.3">
      <c r="A95" s="10" t="s">
        <v>15</v>
      </c>
      <c r="B95" s="11">
        <v>608708</v>
      </c>
      <c r="C95" s="11">
        <v>4280157</v>
      </c>
      <c r="D95" s="11">
        <v>52264</v>
      </c>
      <c r="E95" s="12">
        <v>181.6</v>
      </c>
      <c r="F95" s="4">
        <v>10</v>
      </c>
      <c r="G95" s="13">
        <v>12.71</v>
      </c>
      <c r="I95" s="24">
        <v>2016</v>
      </c>
    </row>
    <row r="96" spans="1:9" x14ac:dyDescent="0.3">
      <c r="A96" s="10" t="s">
        <v>16</v>
      </c>
      <c r="B96" s="11">
        <v>681261</v>
      </c>
      <c r="C96" s="11">
        <v>4329929</v>
      </c>
      <c r="D96" s="11">
        <v>52719</v>
      </c>
      <c r="E96" s="12">
        <v>181.7</v>
      </c>
      <c r="F96" s="4">
        <v>10</v>
      </c>
      <c r="G96" s="13">
        <v>12.68</v>
      </c>
      <c r="I96" s="24">
        <v>2016</v>
      </c>
    </row>
    <row r="97" spans="1:9" x14ac:dyDescent="0.3">
      <c r="A97" s="10" t="s">
        <v>17</v>
      </c>
      <c r="B97" s="11">
        <v>759936</v>
      </c>
      <c r="C97" s="11">
        <v>4389148</v>
      </c>
      <c r="D97" s="11">
        <v>53248</v>
      </c>
      <c r="E97" s="12">
        <v>182</v>
      </c>
      <c r="F97" s="4">
        <v>10</v>
      </c>
      <c r="G97" s="13">
        <v>12.62</v>
      </c>
      <c r="I97" s="24">
        <v>2016</v>
      </c>
    </row>
    <row r="98" spans="1:9" x14ac:dyDescent="0.3">
      <c r="A98" s="10" t="s">
        <v>18</v>
      </c>
      <c r="B98" s="11">
        <v>863803</v>
      </c>
      <c r="C98" s="11">
        <v>4464519</v>
      </c>
      <c r="D98" s="11">
        <v>52837</v>
      </c>
      <c r="E98" s="12">
        <v>182.2</v>
      </c>
      <c r="F98" s="4">
        <v>10</v>
      </c>
      <c r="G98" s="13">
        <v>12.49</v>
      </c>
      <c r="I98" s="24">
        <v>2017</v>
      </c>
    </row>
    <row r="99" spans="1:9" x14ac:dyDescent="0.3">
      <c r="A99" s="10" t="s">
        <v>19</v>
      </c>
      <c r="B99" s="11">
        <v>40233</v>
      </c>
      <c r="C99" s="11">
        <v>4451478</v>
      </c>
      <c r="D99" s="11">
        <v>53690</v>
      </c>
      <c r="E99" s="12">
        <v>185.9</v>
      </c>
      <c r="F99" s="4">
        <v>10</v>
      </c>
      <c r="G99" s="13">
        <v>11.84</v>
      </c>
      <c r="I99" s="24">
        <v>2017</v>
      </c>
    </row>
    <row r="100" spans="1:9" x14ac:dyDescent="0.3">
      <c r="A100" s="10" t="s">
        <v>20</v>
      </c>
      <c r="B100" s="11">
        <v>98391</v>
      </c>
      <c r="C100" s="11">
        <v>4474505</v>
      </c>
      <c r="D100" s="11">
        <v>54391</v>
      </c>
      <c r="E100" s="12">
        <v>184.8</v>
      </c>
      <c r="F100" s="4">
        <v>9.75</v>
      </c>
      <c r="G100" s="13">
        <v>11.9</v>
      </c>
      <c r="I100" s="24">
        <v>2017</v>
      </c>
    </row>
    <row r="101" spans="1:9" x14ac:dyDescent="0.3">
      <c r="A101" s="10" t="s">
        <v>21</v>
      </c>
      <c r="B101" s="11">
        <v>179347</v>
      </c>
      <c r="C101" s="11">
        <v>4526411</v>
      </c>
      <c r="D101" s="11">
        <v>55581</v>
      </c>
      <c r="E101" s="12">
        <v>184.9</v>
      </c>
      <c r="F101" s="4">
        <v>9.75</v>
      </c>
      <c r="G101" s="13">
        <v>11.81</v>
      </c>
      <c r="I101" s="24">
        <v>2017</v>
      </c>
    </row>
    <row r="102" spans="1:9" x14ac:dyDescent="0.3">
      <c r="A102" s="10" t="s">
        <v>22</v>
      </c>
      <c r="B102" s="11">
        <v>261538</v>
      </c>
      <c r="C102" s="11">
        <v>4589781</v>
      </c>
      <c r="D102" s="11">
        <v>56305</v>
      </c>
      <c r="E102" s="12">
        <v>185.1</v>
      </c>
      <c r="F102" s="4">
        <v>9.25</v>
      </c>
      <c r="G102" s="13">
        <v>11.69</v>
      </c>
      <c r="I102" s="24">
        <v>2017</v>
      </c>
    </row>
    <row r="103" spans="1:9" x14ac:dyDescent="0.3">
      <c r="A103" s="10" t="s">
        <v>23</v>
      </c>
      <c r="B103" s="11">
        <v>340772</v>
      </c>
      <c r="C103" s="11">
        <v>4591635</v>
      </c>
      <c r="D103" s="11">
        <v>57485</v>
      </c>
      <c r="E103" s="12">
        <v>185.4</v>
      </c>
      <c r="F103" s="4">
        <v>9</v>
      </c>
      <c r="G103" s="13">
        <v>11.61</v>
      </c>
      <c r="I103" s="24">
        <v>2017</v>
      </c>
    </row>
    <row r="104" spans="1:9" x14ac:dyDescent="0.3">
      <c r="A104" s="10" t="s">
        <v>24</v>
      </c>
      <c r="B104" s="11">
        <v>426032</v>
      </c>
      <c r="C104" s="11">
        <v>4652411</v>
      </c>
      <c r="D104" s="11">
        <v>57226</v>
      </c>
      <c r="E104" s="12">
        <v>185.7</v>
      </c>
      <c r="F104" s="4">
        <v>9</v>
      </c>
      <c r="G104" s="13">
        <v>11.5</v>
      </c>
      <c r="I104" s="24">
        <v>2017</v>
      </c>
    </row>
    <row r="105" spans="1:9" x14ac:dyDescent="0.3">
      <c r="A105" s="10" t="s">
        <v>25</v>
      </c>
      <c r="B105" s="11">
        <v>510944</v>
      </c>
      <c r="C105" s="11">
        <v>4713446</v>
      </c>
      <c r="D105" s="11">
        <v>58480</v>
      </c>
      <c r="E105" s="12">
        <v>185.7</v>
      </c>
      <c r="F105" s="4">
        <v>9</v>
      </c>
      <c r="G105" s="13">
        <v>11.41</v>
      </c>
      <c r="I105" s="24">
        <v>2017</v>
      </c>
    </row>
    <row r="106" spans="1:9" x14ac:dyDescent="0.3">
      <c r="A106" s="10" t="s">
        <v>26</v>
      </c>
      <c r="B106" s="11">
        <v>605776</v>
      </c>
      <c r="C106" s="11">
        <v>4792371</v>
      </c>
      <c r="D106" s="11">
        <v>58842</v>
      </c>
      <c r="E106" s="12">
        <v>185.8</v>
      </c>
      <c r="F106" s="4">
        <v>8.5</v>
      </c>
      <c r="G106" s="13">
        <v>11.28</v>
      </c>
      <c r="I106" s="24">
        <v>2017</v>
      </c>
    </row>
    <row r="107" spans="1:9" x14ac:dyDescent="0.3">
      <c r="A107" s="10" t="s">
        <v>27</v>
      </c>
      <c r="B107" s="11">
        <v>704675</v>
      </c>
      <c r="C107" s="11">
        <v>4882482</v>
      </c>
      <c r="D107" s="11">
        <v>59530</v>
      </c>
      <c r="E107" s="12">
        <v>185.9</v>
      </c>
      <c r="F107" s="4">
        <v>8.25</v>
      </c>
      <c r="G107" s="13">
        <v>11.1</v>
      </c>
      <c r="I107" s="24">
        <v>2017</v>
      </c>
    </row>
    <row r="108" spans="1:9" x14ac:dyDescent="0.3">
      <c r="A108" s="10" t="s">
        <v>28</v>
      </c>
      <c r="B108" s="11">
        <v>817803</v>
      </c>
      <c r="C108" s="11">
        <v>4935580</v>
      </c>
      <c r="D108" s="11">
        <v>60612</v>
      </c>
      <c r="E108" s="12">
        <v>186</v>
      </c>
      <c r="F108" s="4">
        <v>8.25</v>
      </c>
      <c r="G108" s="13">
        <v>10.94</v>
      </c>
      <c r="I108" s="24">
        <v>2017</v>
      </c>
    </row>
    <row r="109" spans="1:9" x14ac:dyDescent="0.3">
      <c r="A109" s="10" t="s">
        <v>29</v>
      </c>
      <c r="B109" s="11">
        <v>940552</v>
      </c>
      <c r="C109" s="11">
        <v>5049032</v>
      </c>
      <c r="D109" s="11">
        <v>61289</v>
      </c>
      <c r="E109" s="12">
        <v>186.2</v>
      </c>
      <c r="F109" s="4">
        <v>7.75</v>
      </c>
      <c r="G109" s="13">
        <v>10.78</v>
      </c>
      <c r="I109" s="24">
        <v>2017</v>
      </c>
    </row>
    <row r="110" spans="1:9" x14ac:dyDescent="0.3">
      <c r="A110" s="10" t="s">
        <v>18</v>
      </c>
      <c r="B110" s="14">
        <v>1092316</v>
      </c>
      <c r="C110" s="14">
        <v>5176062</v>
      </c>
      <c r="D110" s="14">
        <v>59654</v>
      </c>
      <c r="E110" s="15">
        <v>186.4</v>
      </c>
      <c r="F110" s="4">
        <v>7.75</v>
      </c>
      <c r="G110" s="16">
        <v>10.64</v>
      </c>
      <c r="I110" s="24">
        <v>2018</v>
      </c>
    </row>
    <row r="111" spans="1:9" x14ac:dyDescent="0.3">
      <c r="A111" s="10" t="s">
        <v>7</v>
      </c>
      <c r="B111" s="17">
        <v>78300</v>
      </c>
      <c r="C111" s="17">
        <v>5214178</v>
      </c>
      <c r="D111" s="17">
        <v>60222</v>
      </c>
      <c r="E111" s="18">
        <v>190.8</v>
      </c>
      <c r="F111" s="4">
        <v>7.5</v>
      </c>
      <c r="G111" s="19">
        <v>9.85</v>
      </c>
      <c r="I111" s="24">
        <v>2018</v>
      </c>
    </row>
    <row r="112" spans="1:9" x14ac:dyDescent="0.3">
      <c r="A112" s="10" t="s">
        <v>8</v>
      </c>
      <c r="B112" s="17">
        <v>181272</v>
      </c>
      <c r="C112" s="17">
        <v>5301002</v>
      </c>
      <c r="D112" s="17">
        <v>60783</v>
      </c>
      <c r="E112" s="18">
        <v>190.2</v>
      </c>
      <c r="F112" s="4">
        <v>7.25</v>
      </c>
      <c r="G112" s="19">
        <v>9.8000000000000007</v>
      </c>
      <c r="I112" s="24">
        <v>2018</v>
      </c>
    </row>
    <row r="113" spans="1:9" x14ac:dyDescent="0.3">
      <c r="A113" s="10" t="s">
        <v>9</v>
      </c>
      <c r="B113" s="17">
        <v>300359</v>
      </c>
      <c r="C113" s="17">
        <v>5408938</v>
      </c>
      <c r="D113" s="17">
        <v>60491</v>
      </c>
      <c r="E113" s="18">
        <v>190.3</v>
      </c>
      <c r="F113" s="4">
        <v>7.25</v>
      </c>
      <c r="G113" s="19">
        <v>9.74</v>
      </c>
      <c r="I113" s="24">
        <v>2018</v>
      </c>
    </row>
    <row r="114" spans="1:9" x14ac:dyDescent="0.3">
      <c r="A114" s="10" t="s">
        <v>10</v>
      </c>
      <c r="B114" s="17">
        <v>426088</v>
      </c>
      <c r="C114" s="17">
        <v>5527172</v>
      </c>
      <c r="D114" s="17">
        <v>61069</v>
      </c>
      <c r="E114" s="18">
        <v>190.8</v>
      </c>
      <c r="F114" s="4">
        <v>7.25</v>
      </c>
      <c r="G114" s="19">
        <v>9.69</v>
      </c>
      <c r="I114" s="24">
        <v>2018</v>
      </c>
    </row>
    <row r="115" spans="1:9" x14ac:dyDescent="0.3">
      <c r="A115" s="10" t="s">
        <v>11</v>
      </c>
      <c r="B115" s="17">
        <v>544626</v>
      </c>
      <c r="C115" s="17">
        <v>5628078</v>
      </c>
      <c r="D115" s="17">
        <v>61882</v>
      </c>
      <c r="E115" s="18">
        <v>191</v>
      </c>
      <c r="F115" s="4">
        <v>7.25</v>
      </c>
      <c r="G115" s="19">
        <v>9.66</v>
      </c>
      <c r="I115" s="24">
        <v>2018</v>
      </c>
    </row>
    <row r="116" spans="1:9" x14ac:dyDescent="0.3">
      <c r="A116" s="10" t="s">
        <v>12</v>
      </c>
      <c r="B116" s="17">
        <v>665633</v>
      </c>
      <c r="C116" s="17">
        <v>5744447</v>
      </c>
      <c r="D116" s="17">
        <v>61838</v>
      </c>
      <c r="E116" s="18">
        <v>191.4</v>
      </c>
      <c r="F116" s="4">
        <v>7.25</v>
      </c>
      <c r="G116" s="19">
        <v>9.6300000000000008</v>
      </c>
      <c r="I116" s="24">
        <v>2018</v>
      </c>
    </row>
    <row r="117" spans="1:9" x14ac:dyDescent="0.3">
      <c r="A117" s="10" t="s">
        <v>13</v>
      </c>
      <c r="B117" s="17">
        <v>787845</v>
      </c>
      <c r="C117" s="17">
        <v>5852754</v>
      </c>
      <c r="D117" s="17">
        <v>63135</v>
      </c>
      <c r="E117" s="18">
        <v>193.3</v>
      </c>
      <c r="F117" s="4">
        <v>7.25</v>
      </c>
      <c r="G117" s="19">
        <v>9.6199999999999992</v>
      </c>
      <c r="I117" s="24">
        <v>2018</v>
      </c>
    </row>
    <row r="118" spans="1:9" x14ac:dyDescent="0.3">
      <c r="A118" s="10" t="s">
        <v>14</v>
      </c>
      <c r="B118" s="17">
        <v>914481</v>
      </c>
      <c r="C118" s="17">
        <v>5978286</v>
      </c>
      <c r="D118" s="17">
        <v>63698</v>
      </c>
      <c r="E118" s="18">
        <v>193.6</v>
      </c>
      <c r="F118" s="4">
        <v>7.5</v>
      </c>
      <c r="G118" s="19">
        <v>9.59</v>
      </c>
      <c r="I118" s="24">
        <v>2018</v>
      </c>
    </row>
    <row r="119" spans="1:9" x14ac:dyDescent="0.3">
      <c r="A119" s="10" t="s">
        <v>15</v>
      </c>
      <c r="B119" s="17">
        <v>1036834</v>
      </c>
      <c r="C119" s="17">
        <v>6108197</v>
      </c>
      <c r="D119" s="17">
        <v>64079</v>
      </c>
      <c r="E119" s="18">
        <v>193.9</v>
      </c>
      <c r="F119" s="4">
        <v>7.5</v>
      </c>
      <c r="G119" s="19">
        <v>9.57</v>
      </c>
      <c r="I119" s="24">
        <v>2018</v>
      </c>
    </row>
    <row r="120" spans="1:9" x14ac:dyDescent="0.3">
      <c r="A120" s="10" t="s">
        <v>16</v>
      </c>
      <c r="B120" s="17">
        <v>1178481</v>
      </c>
      <c r="C120" s="17">
        <v>6192574</v>
      </c>
      <c r="D120" s="17">
        <v>64616</v>
      </c>
      <c r="E120" s="18">
        <v>194.4</v>
      </c>
      <c r="F120" s="4">
        <v>7.5</v>
      </c>
      <c r="G120" s="19">
        <v>9.5500000000000007</v>
      </c>
      <c r="I120" s="24">
        <v>2018</v>
      </c>
    </row>
    <row r="121" spans="1:9" x14ac:dyDescent="0.3">
      <c r="A121" s="10" t="s">
        <v>17</v>
      </c>
      <c r="B121" s="17">
        <v>1318786</v>
      </c>
      <c r="C121" s="17">
        <v>6346175</v>
      </c>
      <c r="D121" s="17">
        <v>64442</v>
      </c>
      <c r="E121" s="18">
        <v>194.9</v>
      </c>
      <c r="F121" s="4">
        <v>7.75</v>
      </c>
      <c r="G121" s="19">
        <v>9.5399999999999991</v>
      </c>
      <c r="I121" s="24">
        <v>2018</v>
      </c>
    </row>
    <row r="122" spans="1:9" x14ac:dyDescent="0.3">
      <c r="A122" s="10" t="s">
        <v>18</v>
      </c>
      <c r="B122" s="14">
        <v>1476376</v>
      </c>
      <c r="C122" s="14">
        <v>6399125</v>
      </c>
      <c r="D122" s="14">
        <v>64650</v>
      </c>
      <c r="E122" s="15">
        <v>195.5</v>
      </c>
      <c r="F122" s="4">
        <v>7.75</v>
      </c>
      <c r="G122" s="16">
        <v>9.56</v>
      </c>
      <c r="I122" s="24">
        <v>2019</v>
      </c>
    </row>
    <row r="123" spans="1:9" x14ac:dyDescent="0.3">
      <c r="A123" s="10" t="s">
        <v>7</v>
      </c>
      <c r="B123" s="17">
        <v>81627</v>
      </c>
      <c r="C123" s="17">
        <v>6634400</v>
      </c>
      <c r="D123" s="17">
        <v>67117</v>
      </c>
      <c r="E123" s="18">
        <v>206.7</v>
      </c>
      <c r="F123" s="4">
        <v>7.75</v>
      </c>
      <c r="G123" s="19">
        <v>9.89</v>
      </c>
      <c r="I123" s="24">
        <v>2019</v>
      </c>
    </row>
    <row r="124" spans="1:9" x14ac:dyDescent="0.3">
      <c r="A124" s="10" t="s">
        <v>8</v>
      </c>
      <c r="B124" s="17">
        <v>188134</v>
      </c>
      <c r="C124" s="17">
        <v>6747958</v>
      </c>
      <c r="D124" s="17">
        <v>66707</v>
      </c>
      <c r="E124" s="18">
        <v>209</v>
      </c>
      <c r="F124" s="4">
        <v>7.75</v>
      </c>
      <c r="G124" s="19">
        <v>10.041232200381501</v>
      </c>
      <c r="I124" s="24">
        <v>2019</v>
      </c>
    </row>
    <row r="125" spans="1:9" x14ac:dyDescent="0.3">
      <c r="A125" s="10" t="s">
        <v>9</v>
      </c>
      <c r="B125" s="17">
        <v>292854</v>
      </c>
      <c r="C125" s="17">
        <v>6851944</v>
      </c>
      <c r="D125" s="17">
        <v>66568</v>
      </c>
      <c r="E125" s="18">
        <v>210.2</v>
      </c>
      <c r="F125" s="4">
        <v>7.75</v>
      </c>
      <c r="G125" s="19">
        <v>10.1789149612837</v>
      </c>
      <c r="I125" s="24">
        <v>2019</v>
      </c>
    </row>
    <row r="126" spans="1:9" x14ac:dyDescent="0.3">
      <c r="A126" s="10" t="s">
        <v>10</v>
      </c>
      <c r="B126" s="17">
        <v>404495</v>
      </c>
      <c r="C126" s="17">
        <v>6966595</v>
      </c>
      <c r="D126" s="17">
        <v>66762</v>
      </c>
      <c r="E126" s="18">
        <v>211.3</v>
      </c>
      <c r="F126" s="4">
        <v>7.75</v>
      </c>
      <c r="G126" s="19">
        <v>10.2859873759684</v>
      </c>
      <c r="I126" s="24">
        <v>2019</v>
      </c>
    </row>
    <row r="127" spans="1:9" x14ac:dyDescent="0.3">
      <c r="A127" s="10" t="s">
        <v>11</v>
      </c>
      <c r="B127" s="17">
        <v>491716</v>
      </c>
      <c r="C127" s="17">
        <v>7040227</v>
      </c>
      <c r="D127" s="17">
        <v>67524</v>
      </c>
      <c r="E127" s="18">
        <v>211.8</v>
      </c>
      <c r="F127" s="4">
        <v>7.5</v>
      </c>
      <c r="G127" s="19">
        <v>10.331957596990399</v>
      </c>
      <c r="I127" s="24">
        <v>2019</v>
      </c>
    </row>
    <row r="128" spans="1:9" x14ac:dyDescent="0.3">
      <c r="A128" s="10" t="s">
        <v>12</v>
      </c>
      <c r="B128" s="17">
        <v>589846</v>
      </c>
      <c r="C128" s="17">
        <v>7117413</v>
      </c>
      <c r="D128" s="17">
        <v>67391</v>
      </c>
      <c r="E128" s="18">
        <v>212.3</v>
      </c>
      <c r="F128" s="4">
        <v>7.25</v>
      </c>
      <c r="G128" s="19">
        <v>10.326385645079499</v>
      </c>
      <c r="I128" s="24">
        <v>2019</v>
      </c>
    </row>
    <row r="129" spans="1:9" x14ac:dyDescent="0.3">
      <c r="A129" s="10" t="s">
        <v>13</v>
      </c>
      <c r="B129" s="17">
        <v>693033</v>
      </c>
      <c r="C129" s="17">
        <v>7131892</v>
      </c>
      <c r="D129" s="17">
        <v>68157</v>
      </c>
      <c r="E129" s="18">
        <v>212.7</v>
      </c>
      <c r="F129" s="4">
        <v>7.25</v>
      </c>
      <c r="G129" s="19">
        <v>10.311475768752601</v>
      </c>
      <c r="I129" s="24">
        <v>2019</v>
      </c>
    </row>
    <row r="130" spans="1:9" x14ac:dyDescent="0.3">
      <c r="A130" s="10" t="s">
        <v>14</v>
      </c>
      <c r="B130" s="17">
        <v>803189</v>
      </c>
      <c r="C130" s="17">
        <v>7241983</v>
      </c>
      <c r="D130" s="17">
        <v>67984</v>
      </c>
      <c r="E130" s="18">
        <v>213.1</v>
      </c>
      <c r="F130" s="4">
        <v>7</v>
      </c>
      <c r="G130" s="19">
        <v>10.2546199802598</v>
      </c>
      <c r="I130" s="24">
        <v>2019</v>
      </c>
    </row>
    <row r="131" spans="1:9" x14ac:dyDescent="0.3">
      <c r="A131" s="10" t="s">
        <v>15</v>
      </c>
      <c r="B131" s="17">
        <v>914116</v>
      </c>
      <c r="C131" s="17">
        <v>7354700</v>
      </c>
      <c r="D131" s="17">
        <v>67860</v>
      </c>
      <c r="E131" s="18">
        <v>213.4</v>
      </c>
      <c r="F131" s="4">
        <v>6.5</v>
      </c>
      <c r="G131" s="19">
        <v>10.1825783703665</v>
      </c>
      <c r="I131" s="24">
        <v>2019</v>
      </c>
    </row>
    <row r="132" spans="1:9" x14ac:dyDescent="0.3">
      <c r="A132" s="10" t="s">
        <v>16</v>
      </c>
      <c r="B132" s="17">
        <v>1038211</v>
      </c>
      <c r="C132" s="17">
        <v>7384738</v>
      </c>
      <c r="D132" s="17">
        <v>67704</v>
      </c>
      <c r="E132" s="18">
        <v>213.8</v>
      </c>
      <c r="F132" s="4">
        <v>6.5</v>
      </c>
      <c r="G132" s="19">
        <v>10.087088793971599</v>
      </c>
      <c r="I132" s="24">
        <v>2019</v>
      </c>
    </row>
    <row r="133" spans="1:9" x14ac:dyDescent="0.3">
      <c r="A133" s="10" t="s">
        <v>17</v>
      </c>
      <c r="B133" s="17">
        <v>1161433</v>
      </c>
      <c r="C133" s="17">
        <v>7523413</v>
      </c>
      <c r="D133" s="17">
        <v>67871</v>
      </c>
      <c r="E133" s="18">
        <v>214</v>
      </c>
      <c r="F133" s="4">
        <v>6.25</v>
      </c>
      <c r="G133" s="19">
        <v>9.9902794634507206</v>
      </c>
      <c r="I133" s="24">
        <v>2019</v>
      </c>
    </row>
    <row r="134" spans="1:9" x14ac:dyDescent="0.3">
      <c r="A134" s="10" t="s">
        <v>18</v>
      </c>
      <c r="B134" s="14">
        <v>1318290</v>
      </c>
      <c r="C134" s="14">
        <v>7635233</v>
      </c>
      <c r="D134" s="14">
        <v>67174</v>
      </c>
      <c r="E134" s="12">
        <v>214.1</v>
      </c>
      <c r="F134" s="4">
        <v>6.25</v>
      </c>
      <c r="G134" s="16">
        <v>9.8723788597368003</v>
      </c>
      <c r="I134" s="24">
        <v>2020</v>
      </c>
    </row>
    <row r="135" spans="1:9" x14ac:dyDescent="0.3">
      <c r="A135" s="10" t="s">
        <v>7</v>
      </c>
      <c r="B135" s="17">
        <v>83624</v>
      </c>
      <c r="C135" s="17">
        <v>7691709</v>
      </c>
      <c r="D135" s="17">
        <v>68435</v>
      </c>
      <c r="E135" s="20">
        <v>216.7</v>
      </c>
      <c r="F135" s="4">
        <v>6</v>
      </c>
      <c r="G135" s="19">
        <v>8.8461050481398793</v>
      </c>
      <c r="I135" s="24">
        <v>2020</v>
      </c>
    </row>
    <row r="136" spans="1:9" x14ac:dyDescent="0.3">
      <c r="A136" s="10" t="s">
        <v>8</v>
      </c>
      <c r="B136" s="17">
        <v>199392</v>
      </c>
      <c r="C136" s="17">
        <v>7818153</v>
      </c>
      <c r="D136" s="17">
        <v>68439</v>
      </c>
      <c r="E136" s="20">
        <v>217.5</v>
      </c>
      <c r="F136" s="4">
        <v>6</v>
      </c>
      <c r="G136" s="19">
        <v>8.7806310039885602</v>
      </c>
      <c r="I136" s="24">
        <v>2020</v>
      </c>
    </row>
    <row r="137" spans="1:9" x14ac:dyDescent="0.3">
      <c r="A137" s="10" t="s">
        <v>9</v>
      </c>
      <c r="B137" s="17">
        <v>332705</v>
      </c>
      <c r="C137" s="17">
        <v>7943382</v>
      </c>
      <c r="D137" s="17">
        <v>68021</v>
      </c>
      <c r="E137" s="20">
        <v>217.4</v>
      </c>
      <c r="F137" s="4">
        <v>5.5</v>
      </c>
      <c r="G137" s="19">
        <v>8.7408829550789306</v>
      </c>
      <c r="I137" s="24">
        <v>2020</v>
      </c>
    </row>
    <row r="138" spans="1:9" x14ac:dyDescent="0.3">
      <c r="A138" s="10" t="s">
        <v>10</v>
      </c>
      <c r="B138" s="17">
        <v>430257</v>
      </c>
      <c r="C138" s="17">
        <v>8008025</v>
      </c>
      <c r="D138" s="17">
        <v>68343</v>
      </c>
      <c r="E138" s="20">
        <v>217.2</v>
      </c>
      <c r="F138" s="4">
        <v>5.5</v>
      </c>
      <c r="G138" s="19">
        <v>8.6726665023301397</v>
      </c>
      <c r="I138" s="24">
        <v>2020</v>
      </c>
    </row>
    <row r="139" spans="1:9" x14ac:dyDescent="0.3">
      <c r="A139" s="10" t="s">
        <v>11</v>
      </c>
      <c r="B139" s="17">
        <v>523511</v>
      </c>
      <c r="C139" s="17">
        <v>8079780</v>
      </c>
      <c r="D139" s="17">
        <v>69697</v>
      </c>
      <c r="E139" s="20">
        <v>216.5</v>
      </c>
      <c r="F139" s="4">
        <v>4.5</v>
      </c>
      <c r="G139" s="19">
        <v>8.4831671374026403</v>
      </c>
      <c r="I139" s="24">
        <v>2020</v>
      </c>
    </row>
    <row r="140" spans="1:9" x14ac:dyDescent="0.3">
      <c r="A140" s="10" t="s">
        <v>12</v>
      </c>
      <c r="B140" s="17">
        <v>650752</v>
      </c>
      <c r="C140" s="17">
        <v>8194510</v>
      </c>
      <c r="D140" s="17">
        <v>69751</v>
      </c>
      <c r="E140" s="20">
        <v>216.2</v>
      </c>
      <c r="F140" s="4">
        <v>4.25</v>
      </c>
      <c r="G140" s="19">
        <v>8.3210416613731706</v>
      </c>
      <c r="I140" s="24">
        <v>2020</v>
      </c>
    </row>
    <row r="141" spans="1:9" x14ac:dyDescent="0.3">
      <c r="A141" s="10" t="s">
        <v>13</v>
      </c>
      <c r="B141" s="17">
        <v>806627</v>
      </c>
      <c r="C141" s="17">
        <v>8374341</v>
      </c>
      <c r="D141" s="17">
        <v>70229</v>
      </c>
      <c r="E141" s="20">
        <v>216.5</v>
      </c>
      <c r="F141" s="4">
        <v>4.25</v>
      </c>
      <c r="G141" s="19">
        <v>8.1340721930653395</v>
      </c>
      <c r="I141" s="24">
        <v>2020</v>
      </c>
    </row>
    <row r="142" spans="1:9" x14ac:dyDescent="0.3">
      <c r="A142" s="10" t="s">
        <v>14</v>
      </c>
      <c r="B142" s="17">
        <v>970968</v>
      </c>
      <c r="C142" s="17">
        <v>8577360</v>
      </c>
      <c r="D142" s="17">
        <v>73422</v>
      </c>
      <c r="E142" s="20">
        <v>216.8</v>
      </c>
      <c r="F142" s="4">
        <v>4.25</v>
      </c>
      <c r="G142" s="19">
        <v>7.9781386489278301</v>
      </c>
      <c r="I142" s="24">
        <v>2020</v>
      </c>
    </row>
    <row r="143" spans="1:9" x14ac:dyDescent="0.3">
      <c r="A143" s="10" t="s">
        <v>15</v>
      </c>
      <c r="B143" s="17">
        <v>1169994</v>
      </c>
      <c r="C143" s="17">
        <v>8841775</v>
      </c>
      <c r="D143" s="17">
        <v>74187</v>
      </c>
      <c r="E143" s="20">
        <v>217.3</v>
      </c>
      <c r="F143" s="4">
        <v>4.25</v>
      </c>
      <c r="G143" s="19">
        <v>7.8611255994079396</v>
      </c>
      <c r="I143" s="24">
        <v>2020</v>
      </c>
    </row>
    <row r="144" spans="1:9" x14ac:dyDescent="0.3">
      <c r="A144" s="10" t="s">
        <v>16</v>
      </c>
      <c r="B144" s="17">
        <v>1382587</v>
      </c>
      <c r="C144" s="17">
        <v>9124657</v>
      </c>
      <c r="D144" s="17">
        <v>75062</v>
      </c>
      <c r="E144" s="20">
        <v>218</v>
      </c>
      <c r="F144" s="4">
        <v>4.25</v>
      </c>
      <c r="G144" s="19">
        <v>7.7719116628776499</v>
      </c>
      <c r="I144" s="24">
        <v>2020</v>
      </c>
    </row>
    <row r="145" spans="1:9" x14ac:dyDescent="0.3">
      <c r="A145" s="10" t="s">
        <v>17</v>
      </c>
      <c r="B145" s="17">
        <v>1571312</v>
      </c>
      <c r="C145" s="17">
        <v>9152675</v>
      </c>
      <c r="D145" s="17">
        <v>75987</v>
      </c>
      <c r="E145" s="20">
        <v>218.6</v>
      </c>
      <c r="F145" s="4">
        <v>4.25</v>
      </c>
      <c r="G145" s="19">
        <v>7.7218226498245697</v>
      </c>
      <c r="I145" s="24">
        <v>2020</v>
      </c>
    </row>
    <row r="146" spans="1:9" x14ac:dyDescent="0.3">
      <c r="A146" s="10" t="s">
        <v>18</v>
      </c>
      <c r="B146" s="14">
        <v>1783280</v>
      </c>
      <c r="C146" s="14">
        <v>9292031</v>
      </c>
      <c r="D146" s="14">
        <v>74894</v>
      </c>
      <c r="E146" s="12">
        <v>219.4</v>
      </c>
      <c r="F146" s="4">
        <v>4.25</v>
      </c>
      <c r="G146" s="13">
        <v>7.6746878268035301</v>
      </c>
      <c r="I146" s="24">
        <v>2021</v>
      </c>
    </row>
    <row r="147" spans="1:9" x14ac:dyDescent="0.3">
      <c r="A147" s="10" t="s">
        <v>7</v>
      </c>
      <c r="B147" s="17">
        <v>95242</v>
      </c>
      <c r="C147" s="17">
        <v>9376452</v>
      </c>
      <c r="D147" s="17">
        <v>75492</v>
      </c>
      <c r="E147" s="20">
        <v>227.6</v>
      </c>
      <c r="F147" s="4">
        <v>4.25</v>
      </c>
      <c r="G147" s="21">
        <v>7.2299141258069604</v>
      </c>
      <c r="I147" s="24">
        <v>2021</v>
      </c>
    </row>
    <row r="148" spans="1:9" x14ac:dyDescent="0.3">
      <c r="A148" s="10" t="s">
        <v>8</v>
      </c>
      <c r="B148" s="17">
        <v>240486</v>
      </c>
      <c r="C148" s="17">
        <v>9560962</v>
      </c>
      <c r="D148" s="17">
        <v>74706</v>
      </c>
      <c r="E148" s="20">
        <v>228.8</v>
      </c>
      <c r="F148" s="4">
        <v>4.5</v>
      </c>
      <c r="G148" s="21">
        <v>7.2513492912085402</v>
      </c>
      <c r="I148" s="24">
        <v>2021</v>
      </c>
    </row>
    <row r="149" spans="1:9" x14ac:dyDescent="0.3">
      <c r="A149" s="10" t="s">
        <v>9</v>
      </c>
      <c r="B149" s="17">
        <v>418898</v>
      </c>
      <c r="C149" s="17">
        <v>9791979</v>
      </c>
      <c r="D149" s="17">
        <v>74043</v>
      </c>
      <c r="E149" s="20">
        <v>230.9</v>
      </c>
      <c r="F149" s="4">
        <v>5</v>
      </c>
      <c r="G149" s="21">
        <v>7.24443078895301</v>
      </c>
      <c r="I149" s="24">
        <v>2021</v>
      </c>
    </row>
    <row r="150" spans="1:9" x14ac:dyDescent="0.3">
      <c r="A150" s="10" t="s">
        <v>10</v>
      </c>
      <c r="B150" s="17">
        <v>610634</v>
      </c>
      <c r="C150" s="17">
        <v>10071434</v>
      </c>
      <c r="D150" s="17">
        <v>72666</v>
      </c>
      <c r="E150" s="20">
        <v>233.1</v>
      </c>
      <c r="F150" s="4">
        <v>5</v>
      </c>
      <c r="G150" s="21">
        <v>7.2620010562644604</v>
      </c>
      <c r="I150" s="24">
        <v>2021</v>
      </c>
    </row>
    <row r="151" spans="1:9" x14ac:dyDescent="0.3">
      <c r="A151" s="10" t="s">
        <v>11</v>
      </c>
      <c r="B151" s="17">
        <v>759327</v>
      </c>
      <c r="C151" s="17">
        <v>10283733</v>
      </c>
      <c r="D151" s="17">
        <v>72660</v>
      </c>
      <c r="E151" s="20">
        <v>234.5</v>
      </c>
      <c r="F151" s="4">
        <v>5.5</v>
      </c>
      <c r="G151" s="21">
        <v>7.2695876776653199</v>
      </c>
      <c r="I151" s="24">
        <v>2021</v>
      </c>
    </row>
    <row r="152" spans="1:9" x14ac:dyDescent="0.3">
      <c r="A152" s="10" t="s">
        <v>12</v>
      </c>
      <c r="B152" s="17">
        <v>938338</v>
      </c>
      <c r="C152" s="17">
        <v>10576222</v>
      </c>
      <c r="D152" s="17">
        <v>70563</v>
      </c>
      <c r="E152" s="20">
        <v>236.4</v>
      </c>
      <c r="F152" s="4">
        <v>6.5</v>
      </c>
      <c r="G152" s="21">
        <v>7.2278074649192297</v>
      </c>
      <c r="I152" s="24">
        <v>2021</v>
      </c>
    </row>
    <row r="153" spans="1:9" x14ac:dyDescent="0.3">
      <c r="A153" s="10" t="s">
        <v>13</v>
      </c>
      <c r="B153" s="17">
        <v>1090038</v>
      </c>
      <c r="C153" s="17">
        <v>10782019</v>
      </c>
      <c r="D153" s="17">
        <v>69360</v>
      </c>
      <c r="E153" s="20">
        <v>237.3</v>
      </c>
      <c r="F153" s="4">
        <v>6.5</v>
      </c>
      <c r="G153" s="21">
        <v>7.2910729506059297</v>
      </c>
      <c r="I153" s="24">
        <v>2021</v>
      </c>
    </row>
    <row r="154" spans="1:9" x14ac:dyDescent="0.3">
      <c r="A154" s="10" t="s">
        <v>14</v>
      </c>
      <c r="B154" s="17">
        <v>1241090</v>
      </c>
      <c r="C154" s="17">
        <v>10968749</v>
      </c>
      <c r="D154" s="17">
        <v>68971</v>
      </c>
      <c r="E154" s="20">
        <v>238.2</v>
      </c>
      <c r="F154" s="4">
        <v>6.75</v>
      </c>
      <c r="G154" s="21">
        <v>7.3526498285739299</v>
      </c>
      <c r="I154" s="24">
        <v>2021</v>
      </c>
    </row>
    <row r="155" spans="1:9" x14ac:dyDescent="0.3">
      <c r="A155" s="10" t="s">
        <v>15</v>
      </c>
      <c r="B155" s="17">
        <v>1399097</v>
      </c>
      <c r="C155" s="17">
        <v>11208347</v>
      </c>
      <c r="D155" s="17">
        <v>67154</v>
      </c>
      <c r="E155" s="20">
        <v>239.2</v>
      </c>
      <c r="F155" s="4">
        <v>7.5</v>
      </c>
      <c r="G155" s="21">
        <v>7.3986477182112003</v>
      </c>
      <c r="I155" s="24">
        <v>2021</v>
      </c>
    </row>
    <row r="156" spans="1:9" x14ac:dyDescent="0.3">
      <c r="A156" s="10" t="s">
        <v>16</v>
      </c>
      <c r="B156" s="17">
        <v>1561138</v>
      </c>
      <c r="C156" s="17">
        <v>11433941</v>
      </c>
      <c r="D156" s="17">
        <v>65602</v>
      </c>
      <c r="E156" s="20">
        <v>240.4</v>
      </c>
      <c r="F156" s="4">
        <v>7.5</v>
      </c>
      <c r="G156" s="21">
        <v>7.4337074560463297</v>
      </c>
      <c r="I156" s="24">
        <v>2021</v>
      </c>
    </row>
    <row r="157" spans="1:9" x14ac:dyDescent="0.3">
      <c r="A157" s="10" t="s">
        <v>17</v>
      </c>
      <c r="B157" s="17">
        <v>1718958</v>
      </c>
      <c r="C157" s="17">
        <v>11455360</v>
      </c>
      <c r="D157" s="17">
        <v>64608</v>
      </c>
      <c r="E157" s="20">
        <v>241.8</v>
      </c>
      <c r="F157" s="4">
        <v>8.5</v>
      </c>
      <c r="G157" s="21">
        <v>7.4506539075763101</v>
      </c>
      <c r="I157" s="24">
        <v>2021</v>
      </c>
    </row>
    <row r="158" spans="1:9" x14ac:dyDescent="0.3">
      <c r="A158" s="10" t="s">
        <v>18</v>
      </c>
      <c r="B158" s="14">
        <v>1911650</v>
      </c>
      <c r="C158" s="14">
        <v>11765807</v>
      </c>
      <c r="D158" s="14">
        <v>61816</v>
      </c>
      <c r="E158" s="12">
        <v>243.5</v>
      </c>
      <c r="F158" s="4">
        <v>8.5</v>
      </c>
      <c r="G158" s="13">
        <v>7.4929849477907604</v>
      </c>
      <c r="I158" s="24">
        <v>2022</v>
      </c>
    </row>
    <row r="159" spans="1:9" x14ac:dyDescent="0.3">
      <c r="A159" s="10" t="s">
        <v>7</v>
      </c>
      <c r="B159" s="17">
        <v>95122</v>
      </c>
      <c r="C159" s="17">
        <v>11903853</v>
      </c>
      <c r="D159" s="17">
        <v>61875</v>
      </c>
      <c r="E159" s="20">
        <v>262.2</v>
      </c>
      <c r="F159" s="4">
        <v>20</v>
      </c>
      <c r="G159" s="21">
        <v>7.8710020331191002</v>
      </c>
      <c r="I159" s="24">
        <v>2022</v>
      </c>
    </row>
    <row r="160" spans="1:9" x14ac:dyDescent="0.3">
      <c r="A160" s="10" t="s">
        <v>8</v>
      </c>
      <c r="B160" s="17">
        <v>231003</v>
      </c>
      <c r="C160" s="17">
        <v>12175992</v>
      </c>
      <c r="D160" s="17">
        <v>61522</v>
      </c>
      <c r="E160" s="20">
        <v>263.5</v>
      </c>
      <c r="F160" s="4">
        <v>20</v>
      </c>
      <c r="G160" s="21">
        <v>8.0097213077866396</v>
      </c>
      <c r="I160" s="24">
        <v>2022</v>
      </c>
    </row>
    <row r="161" spans="1:9" x14ac:dyDescent="0.3">
      <c r="A161" s="10" t="s">
        <v>9</v>
      </c>
      <c r="B161" s="17">
        <v>394081</v>
      </c>
      <c r="C161" s="17">
        <v>12447133</v>
      </c>
      <c r="D161" s="17">
        <v>59390</v>
      </c>
      <c r="E161" s="20">
        <v>264.5</v>
      </c>
      <c r="F161" s="4">
        <v>17</v>
      </c>
      <c r="G161" s="21">
        <v>8.0245677008932894</v>
      </c>
      <c r="I161" s="24">
        <v>2022</v>
      </c>
    </row>
    <row r="162" spans="1:9" x14ac:dyDescent="0.3">
      <c r="A162" s="10" t="s">
        <v>10</v>
      </c>
      <c r="B162" s="17">
        <v>443717</v>
      </c>
      <c r="C162" s="17">
        <v>12436289</v>
      </c>
      <c r="D162" s="17">
        <v>58465</v>
      </c>
      <c r="E162" s="20">
        <v>264.3</v>
      </c>
      <c r="F162" s="4">
        <v>14</v>
      </c>
      <c r="G162" s="21">
        <v>7.9836573182267196</v>
      </c>
      <c r="I162" s="24">
        <v>2022</v>
      </c>
    </row>
    <row r="163" spans="1:9" x14ac:dyDescent="0.3">
      <c r="A163" s="10" t="s">
        <v>11</v>
      </c>
      <c r="B163" s="17">
        <v>480537</v>
      </c>
      <c r="C163" s="17">
        <v>12424644</v>
      </c>
      <c r="D163" s="17">
        <v>58413</v>
      </c>
      <c r="E163" s="20">
        <v>264.89999999999998</v>
      </c>
      <c r="F163" s="4">
        <v>9.5</v>
      </c>
      <c r="G163" s="21">
        <v>7.8240061910112102</v>
      </c>
      <c r="I163" s="24">
        <v>2022</v>
      </c>
    </row>
    <row r="164" spans="1:9" x14ac:dyDescent="0.3">
      <c r="A164" s="10" t="s">
        <v>12</v>
      </c>
      <c r="B164" s="17">
        <v>546255</v>
      </c>
      <c r="C164" s="17">
        <v>12514054</v>
      </c>
      <c r="D164" s="17">
        <v>57901</v>
      </c>
      <c r="E164" s="20">
        <v>265.60000000000002</v>
      </c>
      <c r="F164" s="4">
        <v>8</v>
      </c>
      <c r="G164" s="21">
        <v>7.6231946144807701</v>
      </c>
      <c r="I164" s="24">
        <v>2022</v>
      </c>
    </row>
    <row r="165" spans="1:9" x14ac:dyDescent="0.3">
      <c r="A165" s="10" t="s">
        <v>13</v>
      </c>
      <c r="B165" s="17">
        <v>638119</v>
      </c>
      <c r="C165" s="17">
        <v>12686975</v>
      </c>
      <c r="D165" s="17">
        <v>57230</v>
      </c>
      <c r="E165" s="20">
        <v>267</v>
      </c>
      <c r="F165" s="4">
        <v>8</v>
      </c>
      <c r="G165" s="21">
        <v>7.4730127154458303</v>
      </c>
      <c r="I165" s="24">
        <v>2022</v>
      </c>
    </row>
    <row r="166" spans="1:9" x14ac:dyDescent="0.3">
      <c r="A166" s="10" t="s">
        <v>14</v>
      </c>
      <c r="B166" s="17">
        <v>760267</v>
      </c>
      <c r="C166" s="17">
        <v>12798727</v>
      </c>
      <c r="D166" s="17">
        <v>58171</v>
      </c>
      <c r="E166" s="20">
        <v>268.8</v>
      </c>
      <c r="F166" s="4">
        <v>7.5</v>
      </c>
      <c r="G166" s="21">
        <v>7.3322996986712399</v>
      </c>
      <c r="I166" s="24">
        <v>2022</v>
      </c>
    </row>
    <row r="167" spans="1:9" x14ac:dyDescent="0.3">
      <c r="A167" s="10" t="s">
        <v>15</v>
      </c>
      <c r="B167" s="17">
        <v>897141</v>
      </c>
      <c r="C167" s="17">
        <v>13098567</v>
      </c>
      <c r="D167" s="17">
        <v>58481</v>
      </c>
      <c r="E167" s="20">
        <v>270.8</v>
      </c>
      <c r="F167" s="4">
        <v>7.5</v>
      </c>
      <c r="G167" s="21">
        <v>7.2284518766563401</v>
      </c>
      <c r="I167" s="24">
        <v>2022</v>
      </c>
    </row>
    <row r="168" spans="1:9" x14ac:dyDescent="0.3">
      <c r="A168" s="10" t="s">
        <v>16</v>
      </c>
      <c r="B168" s="17">
        <v>1024702</v>
      </c>
      <c r="C168" s="17">
        <v>13326562</v>
      </c>
      <c r="D168" s="17">
        <v>58517</v>
      </c>
      <c r="E168" s="20">
        <v>271.89999999999998</v>
      </c>
      <c r="F168" s="4">
        <v>7.5</v>
      </c>
      <c r="G168" s="21">
        <v>7.2474614662842498</v>
      </c>
      <c r="I168" s="24">
        <v>2022</v>
      </c>
    </row>
    <row r="169" spans="1:9" x14ac:dyDescent="0.3">
      <c r="A169" s="10" t="s">
        <v>17</v>
      </c>
      <c r="B169" s="17">
        <v>1153725</v>
      </c>
      <c r="C169" s="17">
        <v>13533292</v>
      </c>
      <c r="D169" s="17">
        <v>58630</v>
      </c>
      <c r="E169" s="20">
        <v>273.2</v>
      </c>
      <c r="F169" s="4">
        <v>7.5</v>
      </c>
      <c r="G169" s="21">
        <v>7.2317589554553203</v>
      </c>
      <c r="I169" s="24">
        <v>2022</v>
      </c>
    </row>
    <row r="170" spans="1:9" x14ac:dyDescent="0.3">
      <c r="A170" s="10" t="s">
        <v>18</v>
      </c>
      <c r="B170" s="14">
        <v>1330174</v>
      </c>
      <c r="C170" s="14">
        <v>13848612</v>
      </c>
      <c r="D170" s="14">
        <v>57536</v>
      </c>
      <c r="E170" s="12">
        <v>275.5</v>
      </c>
      <c r="F170" s="4">
        <v>7.5</v>
      </c>
      <c r="G170" s="13">
        <v>7.1434414050691002</v>
      </c>
      <c r="I170" s="24">
        <v>2023</v>
      </c>
    </row>
    <row r="171" spans="1:9" x14ac:dyDescent="0.3">
      <c r="A171" s="10" t="s">
        <v>7</v>
      </c>
      <c r="B171" s="17">
        <v>77366</v>
      </c>
      <c r="C171" s="17">
        <v>13930343</v>
      </c>
      <c r="D171" s="17">
        <v>58479</v>
      </c>
      <c r="E171" s="20">
        <v>284.8</v>
      </c>
      <c r="F171" s="4">
        <v>7.5</v>
      </c>
      <c r="G171" s="21">
        <v>7.8616709086823704</v>
      </c>
      <c r="I171" s="24">
        <v>2023</v>
      </c>
    </row>
    <row r="172" spans="1:9" x14ac:dyDescent="0.3">
      <c r="A172" s="10" t="s">
        <v>8</v>
      </c>
      <c r="B172" s="17">
        <v>192231</v>
      </c>
      <c r="C172" s="17">
        <v>14147170</v>
      </c>
      <c r="D172" s="17">
        <v>59359</v>
      </c>
      <c r="E172" s="20">
        <v>286.3</v>
      </c>
      <c r="F172" s="4">
        <v>7.5</v>
      </c>
      <c r="G172" s="21">
        <v>7.9768157043627603</v>
      </c>
      <c r="I172" s="24">
        <v>2023</v>
      </c>
    </row>
    <row r="173" spans="1:9" x14ac:dyDescent="0.3">
      <c r="A173" s="10" t="s">
        <v>9</v>
      </c>
      <c r="B173" s="17">
        <v>346471</v>
      </c>
      <c r="C173" s="17">
        <v>14447971</v>
      </c>
      <c r="D173" s="17">
        <v>58147</v>
      </c>
      <c r="E173" s="20">
        <v>286.8</v>
      </c>
      <c r="F173" s="4">
        <v>7.5</v>
      </c>
      <c r="G173" s="21">
        <v>8.0681979233267604</v>
      </c>
      <c r="I173" s="24">
        <v>2023</v>
      </c>
    </row>
    <row r="174" spans="1:9" x14ac:dyDescent="0.3">
      <c r="A174" s="10" t="s">
        <v>10</v>
      </c>
      <c r="B174" s="17">
        <v>500052</v>
      </c>
      <c r="C174" s="17">
        <v>14755312</v>
      </c>
      <c r="D174" s="17">
        <v>58215</v>
      </c>
      <c r="E174" s="20">
        <v>286.60000000000002</v>
      </c>
      <c r="F174" s="4">
        <v>7.5</v>
      </c>
      <c r="G174" s="21">
        <v>8.2057718181151102</v>
      </c>
      <c r="I174" s="24">
        <v>2023</v>
      </c>
    </row>
    <row r="175" spans="1:9" x14ac:dyDescent="0.3">
      <c r="A175" s="10" t="s">
        <v>11</v>
      </c>
      <c r="B175" s="17">
        <v>658115</v>
      </c>
      <c r="C175" s="17">
        <v>15087428</v>
      </c>
      <c r="D175" s="17">
        <v>58845</v>
      </c>
      <c r="E175" s="20">
        <v>287.10000000000002</v>
      </c>
      <c r="F175" s="4">
        <v>7.5</v>
      </c>
      <c r="G175" s="21">
        <v>8.2536786290411399</v>
      </c>
      <c r="I175" s="24">
        <v>2023</v>
      </c>
    </row>
    <row r="176" spans="1:9" x14ac:dyDescent="0.3">
      <c r="A176" s="10" t="s">
        <v>12</v>
      </c>
      <c r="B176" s="17">
        <v>826158</v>
      </c>
      <c r="C176" s="17">
        <v>15451210</v>
      </c>
      <c r="D176" s="17">
        <v>58436</v>
      </c>
      <c r="E176" s="20">
        <v>287.5</v>
      </c>
      <c r="F176" s="4">
        <v>8.5</v>
      </c>
      <c r="G176" s="21">
        <v>8.2937805105220992</v>
      </c>
      <c r="I176" s="24">
        <v>2023</v>
      </c>
    </row>
    <row r="177" spans="1:9" x14ac:dyDescent="0.3">
      <c r="A177" s="10" t="s">
        <v>13</v>
      </c>
      <c r="B177" s="17">
        <v>996920</v>
      </c>
      <c r="C177" s="17">
        <v>15655105</v>
      </c>
      <c r="D177" s="17">
        <v>58567</v>
      </c>
      <c r="E177" s="20">
        <v>288.10000000000002</v>
      </c>
      <c r="F177" s="4">
        <v>12</v>
      </c>
      <c r="G177" s="21">
        <v>8.2860723823704596</v>
      </c>
      <c r="I177" s="24">
        <v>2023</v>
      </c>
    </row>
    <row r="178" spans="1:9" x14ac:dyDescent="0.3">
      <c r="A178" s="10" t="s">
        <v>14</v>
      </c>
      <c r="B178" s="17">
        <v>1213179</v>
      </c>
      <c r="C178" s="17">
        <v>16237499</v>
      </c>
      <c r="D178" s="17">
        <v>59002</v>
      </c>
      <c r="E178" s="20">
        <v>289.2</v>
      </c>
      <c r="F178" s="4">
        <v>13</v>
      </c>
      <c r="G178" s="21">
        <v>8.2401051969259296</v>
      </c>
      <c r="I178" s="24">
        <v>2023</v>
      </c>
    </row>
    <row r="179" spans="1:9" x14ac:dyDescent="0.3">
      <c r="A179" s="10" t="s">
        <v>15</v>
      </c>
      <c r="B179" s="17">
        <v>1451542</v>
      </c>
      <c r="C179" s="17">
        <v>16906304</v>
      </c>
      <c r="D179" s="17">
        <v>59002</v>
      </c>
      <c r="E179" s="20">
        <v>290.8</v>
      </c>
      <c r="F179" s="4">
        <v>15</v>
      </c>
      <c r="G179" s="21">
        <v>8.1827152695892806</v>
      </c>
      <c r="I179" s="24">
        <v>2023</v>
      </c>
    </row>
    <row r="180" spans="1:9" x14ac:dyDescent="0.3">
      <c r="A180" s="10" t="s">
        <v>16</v>
      </c>
      <c r="B180" s="17">
        <v>1652045</v>
      </c>
      <c r="C180" s="17">
        <v>17399539</v>
      </c>
      <c r="D180" s="17">
        <v>60279</v>
      </c>
      <c r="E180" s="20">
        <v>291.5</v>
      </c>
      <c r="F180" s="4">
        <v>15</v>
      </c>
      <c r="G180" s="21">
        <v>8.2032766589560797</v>
      </c>
      <c r="I180" s="24">
        <v>2023</v>
      </c>
    </row>
    <row r="181" spans="1:9" x14ac:dyDescent="0.3">
      <c r="A181" s="10" t="s">
        <v>17</v>
      </c>
      <c r="B181" s="17">
        <v>1841303</v>
      </c>
      <c r="C181" s="17">
        <v>17728848</v>
      </c>
      <c r="D181" s="17">
        <v>61451</v>
      </c>
      <c r="E181" s="20">
        <v>292.3</v>
      </c>
      <c r="F181" s="22">
        <v>16</v>
      </c>
      <c r="G181" s="21">
        <v>8.2010392879351794</v>
      </c>
      <c r="I181" s="24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A164-0522-401A-ABC7-9969831A058B}">
  <dimension ref="A1:G7"/>
  <sheetViews>
    <sheetView workbookViewId="0">
      <selection activeCell="E27" sqref="E27"/>
    </sheetView>
  </sheetViews>
  <sheetFormatPr defaultRowHeight="14.4" x14ac:dyDescent="0.3"/>
  <sheetData>
    <row r="1" spans="1:7" x14ac:dyDescent="0.3">
      <c r="A1" s="31"/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</row>
    <row r="2" spans="1:7" x14ac:dyDescent="0.3">
      <c r="A2" t="s">
        <v>1</v>
      </c>
      <c r="B2">
        <v>1</v>
      </c>
    </row>
    <row r="3" spans="1:7" x14ac:dyDescent="0.3">
      <c r="A3" t="s">
        <v>2</v>
      </c>
      <c r="B3">
        <v>0.5763619194761882</v>
      </c>
      <c r="C3">
        <v>1</v>
      </c>
    </row>
    <row r="4" spans="1:7" x14ac:dyDescent="0.3">
      <c r="A4" t="s">
        <v>3</v>
      </c>
      <c r="B4">
        <v>0.54392692557458922</v>
      </c>
      <c r="C4">
        <v>0.76199797474302766</v>
      </c>
      <c r="D4">
        <v>1</v>
      </c>
    </row>
    <row r="5" spans="1:7" x14ac:dyDescent="0.3">
      <c r="A5" t="s">
        <v>4</v>
      </c>
      <c r="B5">
        <v>0.43206640945635449</v>
      </c>
      <c r="C5">
        <v>0.93824922635838837</v>
      </c>
      <c r="D5">
        <v>0.57429911650593535</v>
      </c>
      <c r="E5">
        <v>1</v>
      </c>
    </row>
    <row r="6" spans="1:7" x14ac:dyDescent="0.3">
      <c r="A6" t="s">
        <v>5</v>
      </c>
      <c r="B6">
        <v>-0.12762697080166749</v>
      </c>
      <c r="C6">
        <v>3.1538779745585097E-2</v>
      </c>
      <c r="D6">
        <v>-0.25665170627356626</v>
      </c>
      <c r="E6">
        <v>5.8034145170697472E-2</v>
      </c>
      <c r="F6">
        <v>1</v>
      </c>
    </row>
    <row r="7" spans="1:7" ht="15" thickBot="1" x14ac:dyDescent="0.35">
      <c r="A7" s="30" t="s">
        <v>6</v>
      </c>
      <c r="B7" s="30">
        <v>-0.58401599259858594</v>
      </c>
      <c r="C7" s="30">
        <v>-0.88376293160447039</v>
      </c>
      <c r="D7" s="30">
        <v>-0.85041296404191458</v>
      </c>
      <c r="E7" s="30">
        <v>-0.79886645003281564</v>
      </c>
      <c r="F7" s="30">
        <v>0.2770531385652017</v>
      </c>
      <c r="G7" s="3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1168-F048-4669-AB34-56D4F470DAF4}">
  <dimension ref="A1:I208"/>
  <sheetViews>
    <sheetView zoomScale="47" workbookViewId="0">
      <selection activeCell="B27" sqref="B27:B206"/>
    </sheetView>
  </sheetViews>
  <sheetFormatPr defaultRowHeight="14.4" x14ac:dyDescent="0.3"/>
  <sheetData>
    <row r="1" spans="1:9" x14ac:dyDescent="0.3">
      <c r="A1" t="s">
        <v>39</v>
      </c>
    </row>
    <row r="2" spans="1:9" ht="15" thickBot="1" x14ac:dyDescent="0.35"/>
    <row r="3" spans="1:9" x14ac:dyDescent="0.3">
      <c r="A3" s="53" t="s">
        <v>40</v>
      </c>
      <c r="B3" s="53"/>
    </row>
    <row r="4" spans="1:9" x14ac:dyDescent="0.3">
      <c r="A4" t="s">
        <v>41</v>
      </c>
      <c r="B4">
        <v>0.91954907816994969</v>
      </c>
    </row>
    <row r="5" spans="1:9" x14ac:dyDescent="0.3">
      <c r="A5" t="s">
        <v>42</v>
      </c>
      <c r="B5">
        <v>0.84557050716320414</v>
      </c>
    </row>
    <row r="6" spans="1:9" x14ac:dyDescent="0.3">
      <c r="A6" t="s">
        <v>43</v>
      </c>
      <c r="B6">
        <v>0.84202040387959953</v>
      </c>
    </row>
    <row r="7" spans="1:9" x14ac:dyDescent="0.3">
      <c r="A7" t="s">
        <v>44</v>
      </c>
      <c r="B7">
        <v>0.94358583602590707</v>
      </c>
    </row>
    <row r="8" spans="1:9" ht="15" thickBot="1" x14ac:dyDescent="0.35">
      <c r="A8" s="30" t="s">
        <v>45</v>
      </c>
      <c r="B8" s="30">
        <v>179</v>
      </c>
    </row>
    <row r="10" spans="1:9" ht="15" thickBot="1" x14ac:dyDescent="0.35">
      <c r="A10" t="s">
        <v>46</v>
      </c>
    </row>
    <row r="11" spans="1:9" x14ac:dyDescent="0.3">
      <c r="A11" s="31"/>
      <c r="B11" s="31" t="s">
        <v>51</v>
      </c>
      <c r="C11" s="31" t="s">
        <v>52</v>
      </c>
      <c r="D11" s="31" t="s">
        <v>53</v>
      </c>
      <c r="E11" s="31" t="s">
        <v>54</v>
      </c>
      <c r="F11" s="31" t="s">
        <v>55</v>
      </c>
    </row>
    <row r="12" spans="1:9" x14ac:dyDescent="0.3">
      <c r="A12" t="s">
        <v>47</v>
      </c>
      <c r="B12">
        <v>4</v>
      </c>
      <c r="C12">
        <v>848.26521104280823</v>
      </c>
      <c r="D12">
        <v>212.06630276070206</v>
      </c>
      <c r="E12">
        <v>238.18194559812267</v>
      </c>
      <c r="F12">
        <v>1.9591343607355213E-69</v>
      </c>
    </row>
    <row r="13" spans="1:9" x14ac:dyDescent="0.3">
      <c r="A13" t="s">
        <v>48</v>
      </c>
      <c r="B13">
        <v>174</v>
      </c>
      <c r="C13">
        <v>154.92163601107555</v>
      </c>
      <c r="D13">
        <v>0.89035422994871005</v>
      </c>
    </row>
    <row r="14" spans="1:9" ht="15" thickBot="1" x14ac:dyDescent="0.35">
      <c r="A14" s="30" t="s">
        <v>49</v>
      </c>
      <c r="B14" s="30">
        <v>178</v>
      </c>
      <c r="C14" s="30">
        <v>1003.1868470538838</v>
      </c>
      <c r="D14" s="30"/>
      <c r="E14" s="30"/>
      <c r="F14" s="30"/>
    </row>
    <row r="15" spans="1:9" ht="15" thickBot="1" x14ac:dyDescent="0.35"/>
    <row r="16" spans="1:9" x14ac:dyDescent="0.3">
      <c r="A16" s="31"/>
      <c r="B16" s="31" t="s">
        <v>56</v>
      </c>
      <c r="C16" s="31" t="s">
        <v>44</v>
      </c>
      <c r="D16" s="31" t="s">
        <v>57</v>
      </c>
      <c r="E16" s="31" t="s">
        <v>58</v>
      </c>
      <c r="F16" s="31" t="s">
        <v>59</v>
      </c>
      <c r="G16" s="31" t="s">
        <v>60</v>
      </c>
      <c r="H16" s="31" t="s">
        <v>61</v>
      </c>
      <c r="I16" s="31" t="s">
        <v>62</v>
      </c>
    </row>
    <row r="17" spans="1:9" x14ac:dyDescent="0.3">
      <c r="A17" t="s">
        <v>50</v>
      </c>
      <c r="B17">
        <v>18.61705847487643</v>
      </c>
      <c r="C17">
        <v>0.49491179135250191</v>
      </c>
      <c r="D17">
        <v>37.616922449957137</v>
      </c>
      <c r="E17">
        <v>1.7184862120582891E-85</v>
      </c>
      <c r="F17">
        <v>17.640255308849653</v>
      </c>
      <c r="G17">
        <v>19.593861640903206</v>
      </c>
      <c r="H17">
        <v>17.640255308849653</v>
      </c>
      <c r="I17">
        <v>19.593861640903206</v>
      </c>
    </row>
    <row r="18" spans="1:9" x14ac:dyDescent="0.3">
      <c r="A18" t="s">
        <v>1</v>
      </c>
      <c r="B18">
        <v>-8.3108128685933997E-7</v>
      </c>
      <c r="C18">
        <v>1.9160014081809804E-7</v>
      </c>
      <c r="D18">
        <v>-4.337581816541328</v>
      </c>
      <c r="E18">
        <v>2.4352894219480215E-5</v>
      </c>
      <c r="F18">
        <v>-1.2092408446480786E-6</v>
      </c>
      <c r="G18">
        <v>-4.5292172907060145E-7</v>
      </c>
      <c r="H18">
        <v>-1.2092408446480786E-6</v>
      </c>
      <c r="I18">
        <v>-4.5292172907060145E-7</v>
      </c>
    </row>
    <row r="19" spans="1:9" x14ac:dyDescent="0.3">
      <c r="A19" t="s">
        <v>4</v>
      </c>
      <c r="B19">
        <v>-4.2313501615910756E-2</v>
      </c>
      <c r="C19">
        <v>2.4947313069804437E-3</v>
      </c>
      <c r="D19">
        <v>-16.961145874713814</v>
      </c>
      <c r="E19">
        <v>1.0288470778850935E-38</v>
      </c>
      <c r="F19">
        <v>-4.7237331440989544E-2</v>
      </c>
      <c r="G19">
        <v>-3.7389671790831969E-2</v>
      </c>
      <c r="H19">
        <v>-4.7237331440989544E-2</v>
      </c>
      <c r="I19">
        <v>-3.7389671790831969E-2</v>
      </c>
    </row>
    <row r="20" spans="1:9" x14ac:dyDescent="0.3">
      <c r="A20" t="s">
        <v>5</v>
      </c>
      <c r="B20">
        <v>0.2746564523590686</v>
      </c>
      <c r="C20">
        <v>2.6061648488215784E-2</v>
      </c>
      <c r="D20">
        <v>10.538721389142331</v>
      </c>
      <c r="E20">
        <v>2.1362537379331095E-20</v>
      </c>
      <c r="F20">
        <v>0.22321879983194526</v>
      </c>
      <c r="G20">
        <v>0.32609410488619195</v>
      </c>
      <c r="H20">
        <v>0.22321879983194526</v>
      </c>
      <c r="I20">
        <v>0.32609410488619195</v>
      </c>
    </row>
    <row r="21" spans="1:9" ht="15" thickBot="1" x14ac:dyDescent="0.35">
      <c r="A21" s="30" t="s">
        <v>34</v>
      </c>
      <c r="B21" s="30">
        <v>-1.4092047589711951</v>
      </c>
      <c r="C21" s="30">
        <v>0.17573922851059401</v>
      </c>
      <c r="D21" s="30">
        <v>-8.0187262167606743</v>
      </c>
      <c r="E21" s="30">
        <v>1.5033306174081034E-13</v>
      </c>
      <c r="F21" s="30">
        <v>-1.7560597699118912</v>
      </c>
      <c r="G21" s="30">
        <v>-1.0623497480304991</v>
      </c>
      <c r="H21" s="30">
        <v>-1.7560597699118912</v>
      </c>
      <c r="I21" s="30">
        <v>-1.0623497480304991</v>
      </c>
    </row>
    <row r="25" spans="1:9" x14ac:dyDescent="0.3">
      <c r="A25" t="s">
        <v>63</v>
      </c>
    </row>
    <row r="26" spans="1:9" ht="15" thickBot="1" x14ac:dyDescent="0.35"/>
    <row r="27" spans="1:9" x14ac:dyDescent="0.3">
      <c r="A27" s="31" t="s">
        <v>64</v>
      </c>
      <c r="B27" s="31" t="s">
        <v>65</v>
      </c>
      <c r="C27" s="31" t="s">
        <v>66</v>
      </c>
      <c r="D27" s="57" t="s">
        <v>67</v>
      </c>
      <c r="E27" s="57" t="s">
        <v>68</v>
      </c>
    </row>
    <row r="28" spans="1:9" x14ac:dyDescent="0.3">
      <c r="A28">
        <v>1</v>
      </c>
      <c r="B28">
        <v>14.096331154927823</v>
      </c>
      <c r="C28">
        <v>0.25366884507217691</v>
      </c>
    </row>
    <row r="29" spans="1:9" x14ac:dyDescent="0.3">
      <c r="A29">
        <v>2</v>
      </c>
      <c r="B29">
        <v>14.038796599963989</v>
      </c>
      <c r="C29">
        <v>0.46120340003601079</v>
      </c>
      <c r="D29">
        <v>0.25366884507217691</v>
      </c>
      <c r="E29">
        <f>(C29-D29)^2</f>
        <v>4.3070591504036589E-2</v>
      </c>
    </row>
    <row r="30" spans="1:9" x14ac:dyDescent="0.3">
      <c r="A30">
        <v>3</v>
      </c>
      <c r="B30">
        <v>13.956498164658978</v>
      </c>
      <c r="C30">
        <v>0.71350183534102207</v>
      </c>
      <c r="D30">
        <v>0.46120340003601079</v>
      </c>
      <c r="E30">
        <f t="shared" ref="E30:E93" si="0">(C30-D30)^2</f>
        <v>6.3654500457356961E-2</v>
      </c>
    </row>
    <row r="31" spans="1:9" x14ac:dyDescent="0.3">
      <c r="A31">
        <v>4</v>
      </c>
      <c r="B31">
        <v>13.792482657037628</v>
      </c>
      <c r="C31">
        <v>0.91751734296237331</v>
      </c>
      <c r="D31">
        <v>0.71350183534102207</v>
      </c>
      <c r="E31">
        <f t="shared" si="0"/>
        <v>4.1622327349997622E-2</v>
      </c>
    </row>
    <row r="32" spans="1:9" x14ac:dyDescent="0.3">
      <c r="A32">
        <v>5</v>
      </c>
      <c r="B32">
        <v>13.726672473622095</v>
      </c>
      <c r="C32">
        <v>1.1133275263779048</v>
      </c>
      <c r="D32">
        <v>0.91751734296237331</v>
      </c>
      <c r="E32">
        <f t="shared" si="0"/>
        <v>3.8341627929224076E-2</v>
      </c>
    </row>
    <row r="33" spans="1:5" x14ac:dyDescent="0.3">
      <c r="A33">
        <v>6</v>
      </c>
      <c r="B33">
        <v>13.662960254704782</v>
      </c>
      <c r="C33">
        <v>1.1970397452952177</v>
      </c>
      <c r="D33">
        <v>1.1133275263779048</v>
      </c>
      <c r="E33">
        <f t="shared" si="0"/>
        <v>7.0077355960601285E-3</v>
      </c>
    </row>
    <row r="34" spans="1:5" x14ac:dyDescent="0.3">
      <c r="A34">
        <v>7</v>
      </c>
      <c r="B34">
        <v>13.573487728775538</v>
      </c>
      <c r="C34">
        <v>1.306512271224463</v>
      </c>
      <c r="D34">
        <v>1.1970397452952177</v>
      </c>
      <c r="E34">
        <f t="shared" si="0"/>
        <v>1.1984233933329281E-2</v>
      </c>
    </row>
    <row r="35" spans="1:5" x14ac:dyDescent="0.3">
      <c r="A35">
        <v>8</v>
      </c>
      <c r="B35">
        <v>13.475535880897374</v>
      </c>
      <c r="C35">
        <v>1.3744641191026261</v>
      </c>
      <c r="D35">
        <v>1.306512271224463</v>
      </c>
      <c r="E35">
        <f t="shared" si="0"/>
        <v>4.6174536300570201E-3</v>
      </c>
    </row>
    <row r="36" spans="1:5" x14ac:dyDescent="0.3">
      <c r="A36">
        <v>9</v>
      </c>
      <c r="B36">
        <v>13.195422348387879</v>
      </c>
      <c r="C36">
        <v>1.6045776516121215</v>
      </c>
      <c r="D36">
        <v>1.3744641191026261</v>
      </c>
      <c r="E36">
        <f t="shared" si="0"/>
        <v>5.2952237843998599E-2</v>
      </c>
    </row>
    <row r="37" spans="1:5" x14ac:dyDescent="0.3">
      <c r="A37">
        <v>10</v>
      </c>
      <c r="B37">
        <v>13.036975200297771</v>
      </c>
      <c r="C37">
        <v>1.7230247997022285</v>
      </c>
      <c r="D37">
        <v>1.6045776516121215</v>
      </c>
      <c r="E37">
        <f t="shared" si="0"/>
        <v>1.4029726890679746E-2</v>
      </c>
    </row>
    <row r="38" spans="1:5" x14ac:dyDescent="0.3">
      <c r="A38">
        <v>11</v>
      </c>
      <c r="B38">
        <v>12.918141173766506</v>
      </c>
      <c r="C38">
        <v>1.8018588262334951</v>
      </c>
      <c r="D38">
        <v>1.7230247997022285</v>
      </c>
      <c r="E38">
        <f t="shared" si="0"/>
        <v>6.2148037391324441E-3</v>
      </c>
    </row>
    <row r="39" spans="1:5" x14ac:dyDescent="0.3">
      <c r="A39">
        <v>12</v>
      </c>
      <c r="B39">
        <v>12.902047084225567</v>
      </c>
      <c r="C39">
        <v>1.6879529157744333</v>
      </c>
      <c r="D39">
        <v>1.8018588262334951</v>
      </c>
      <c r="E39">
        <f t="shared" si="0"/>
        <v>1.2974556437507815E-2</v>
      </c>
    </row>
    <row r="40" spans="1:5" x14ac:dyDescent="0.3">
      <c r="A40">
        <v>13</v>
      </c>
      <c r="B40">
        <v>13.039620837752988</v>
      </c>
      <c r="C40">
        <v>1.1303791622470118</v>
      </c>
      <c r="D40">
        <v>1.6879529157744333</v>
      </c>
      <c r="E40">
        <f t="shared" si="0"/>
        <v>0.31088849062265772</v>
      </c>
    </row>
    <row r="41" spans="1:5" x14ac:dyDescent="0.3">
      <c r="A41">
        <v>14</v>
      </c>
      <c r="B41">
        <v>12.918137839830312</v>
      </c>
      <c r="C41">
        <v>1.0918621601696881</v>
      </c>
      <c r="D41">
        <v>1.1303791622470118</v>
      </c>
      <c r="E41">
        <f t="shared" si="0"/>
        <v>1.4835594490245645E-3</v>
      </c>
    </row>
    <row r="42" spans="1:5" x14ac:dyDescent="0.3">
      <c r="A42">
        <v>15</v>
      </c>
      <c r="B42">
        <v>12.816094894107129</v>
      </c>
      <c r="C42">
        <v>1.0339051058928703</v>
      </c>
      <c r="D42">
        <v>1.0918621601696881</v>
      </c>
      <c r="E42">
        <f t="shared" si="0"/>
        <v>3.359020140445998E-3</v>
      </c>
    </row>
    <row r="43" spans="1:5" x14ac:dyDescent="0.3">
      <c r="A43">
        <v>16</v>
      </c>
      <c r="B43">
        <v>12.779873763472658</v>
      </c>
      <c r="C43">
        <v>1.0201262365273429</v>
      </c>
      <c r="D43">
        <v>1.0339051058928703</v>
      </c>
      <c r="E43">
        <f t="shared" si="0"/>
        <v>1.8985724099226982E-4</v>
      </c>
    </row>
    <row r="44" spans="1:5" x14ac:dyDescent="0.3">
      <c r="A44">
        <v>17</v>
      </c>
      <c r="B44">
        <v>12.663305064108464</v>
      </c>
      <c r="C44">
        <v>1.0866949358915363</v>
      </c>
      <c r="D44">
        <v>1.0201262365273429</v>
      </c>
      <c r="E44">
        <f t="shared" si="0"/>
        <v>4.4313917350403634E-3</v>
      </c>
    </row>
    <row r="45" spans="1:5" x14ac:dyDescent="0.3">
      <c r="A45">
        <v>18</v>
      </c>
      <c r="B45">
        <v>12.631316430047056</v>
      </c>
      <c r="C45">
        <v>1.0786835699529451</v>
      </c>
      <c r="D45">
        <v>1.0866949358915363</v>
      </c>
      <c r="E45">
        <f t="shared" si="0"/>
        <v>6.4181984202019214E-5</v>
      </c>
    </row>
    <row r="46" spans="1:5" x14ac:dyDescent="0.3">
      <c r="A46">
        <v>19</v>
      </c>
      <c r="B46">
        <v>12.581539732963524</v>
      </c>
      <c r="C46">
        <v>1.088460267036476</v>
      </c>
      <c r="D46">
        <v>1.0786835699529451</v>
      </c>
      <c r="E46">
        <f t="shared" si="0"/>
        <v>9.5583805863121713E-5</v>
      </c>
    </row>
    <row r="47" spans="1:5" x14ac:dyDescent="0.3">
      <c r="A47">
        <v>20</v>
      </c>
      <c r="B47">
        <v>12.57804526597085</v>
      </c>
      <c r="C47">
        <v>1.0719547340291502</v>
      </c>
      <c r="D47">
        <v>1.088460267036476</v>
      </c>
      <c r="E47">
        <f t="shared" si="0"/>
        <v>2.7243261985592226E-4</v>
      </c>
    </row>
    <row r="48" spans="1:5" x14ac:dyDescent="0.3">
      <c r="A48">
        <v>21</v>
      </c>
      <c r="B48">
        <v>12.554562032708446</v>
      </c>
      <c r="C48">
        <v>1.0754379672915544</v>
      </c>
      <c r="D48">
        <v>1.0719547340291502</v>
      </c>
      <c r="E48">
        <f t="shared" si="0"/>
        <v>1.2132913960318895E-5</v>
      </c>
    </row>
    <row r="49" spans="1:5" x14ac:dyDescent="0.3">
      <c r="A49">
        <v>22</v>
      </c>
      <c r="B49">
        <v>12.522916119467414</v>
      </c>
      <c r="C49">
        <v>0.98708388053258567</v>
      </c>
      <c r="D49">
        <v>1.0754379672915544</v>
      </c>
      <c r="E49">
        <f t="shared" si="0"/>
        <v>7.8064446470113716E-3</v>
      </c>
    </row>
    <row r="50" spans="1:5" x14ac:dyDescent="0.3">
      <c r="A50">
        <v>23</v>
      </c>
      <c r="B50">
        <v>12.49215894745223</v>
      </c>
      <c r="C50">
        <v>0.94784105254776918</v>
      </c>
      <c r="D50">
        <v>0.98708388053258567</v>
      </c>
      <c r="E50">
        <f t="shared" si="0"/>
        <v>1.539999548245896E-3</v>
      </c>
    </row>
    <row r="51" spans="1:5" x14ac:dyDescent="0.3">
      <c r="A51">
        <v>24</v>
      </c>
      <c r="B51">
        <v>12.435053374739361</v>
      </c>
      <c r="C51">
        <v>0.85494662526063792</v>
      </c>
      <c r="D51">
        <v>0.94784105254776918</v>
      </c>
      <c r="E51">
        <f t="shared" si="0"/>
        <v>8.6293746210041183E-3</v>
      </c>
    </row>
    <row r="52" spans="1:5" x14ac:dyDescent="0.3">
      <c r="A52">
        <v>25</v>
      </c>
      <c r="B52">
        <v>13.011980069326894</v>
      </c>
      <c r="C52">
        <v>-5.198006932689303E-2</v>
      </c>
      <c r="D52">
        <v>0.85494662526063792</v>
      </c>
      <c r="E52">
        <f t="shared" si="0"/>
        <v>0.82251602935546464</v>
      </c>
    </row>
    <row r="53" spans="1:5" x14ac:dyDescent="0.3">
      <c r="A53">
        <v>26</v>
      </c>
      <c r="B53">
        <v>12.884073246761112</v>
      </c>
      <c r="C53">
        <v>-0.14407324676111166</v>
      </c>
      <c r="D53">
        <v>-5.198006932689303E-2</v>
      </c>
      <c r="E53">
        <f t="shared" si="0"/>
        <v>8.4811533299304753E-3</v>
      </c>
    </row>
    <row r="54" spans="1:5" x14ac:dyDescent="0.3">
      <c r="A54">
        <v>27</v>
      </c>
      <c r="B54">
        <v>12.800276523132524</v>
      </c>
      <c r="C54">
        <v>-0.16027652313252361</v>
      </c>
      <c r="D54">
        <v>-0.14407324676111166</v>
      </c>
      <c r="E54">
        <f t="shared" si="0"/>
        <v>2.6254616516835664E-4</v>
      </c>
    </row>
    <row r="55" spans="1:5" x14ac:dyDescent="0.3">
      <c r="A55">
        <v>28</v>
      </c>
      <c r="B55">
        <v>12.844570123475711</v>
      </c>
      <c r="C55">
        <v>-0.37457012347570995</v>
      </c>
      <c r="D55">
        <v>-0.16027652313252361</v>
      </c>
      <c r="E55">
        <f t="shared" si="0"/>
        <v>4.5921747148045276E-2</v>
      </c>
    </row>
    <row r="56" spans="1:5" x14ac:dyDescent="0.3">
      <c r="A56">
        <v>29</v>
      </c>
      <c r="B56">
        <v>12.848097061433895</v>
      </c>
      <c r="C56">
        <v>-0.44809706143389505</v>
      </c>
      <c r="D56">
        <v>-0.37457012347570995</v>
      </c>
      <c r="E56">
        <f t="shared" si="0"/>
        <v>5.4062106055068008E-3</v>
      </c>
    </row>
    <row r="57" spans="1:5" x14ac:dyDescent="0.3">
      <c r="A57">
        <v>30</v>
      </c>
      <c r="B57">
        <v>12.861643630295742</v>
      </c>
      <c r="C57">
        <v>-0.51164363029574211</v>
      </c>
      <c r="D57">
        <v>-0.44809706143389505</v>
      </c>
      <c r="E57">
        <f t="shared" si="0"/>
        <v>4.0381664141134711E-3</v>
      </c>
    </row>
    <row r="58" spans="1:5" x14ac:dyDescent="0.3">
      <c r="A58">
        <v>31</v>
      </c>
      <c r="B58">
        <v>12.913485938502628</v>
      </c>
      <c r="C58">
        <v>-0.62348593850262901</v>
      </c>
      <c r="D58">
        <v>-0.51164363029574211</v>
      </c>
      <c r="E58">
        <f t="shared" si="0"/>
        <v>1.250870190504428E-2</v>
      </c>
    </row>
    <row r="59" spans="1:5" x14ac:dyDescent="0.3">
      <c r="A59">
        <v>32</v>
      </c>
      <c r="B59">
        <v>12.941121427578787</v>
      </c>
      <c r="C59">
        <v>-0.72112142757878672</v>
      </c>
      <c r="D59">
        <v>-0.62348593850262901</v>
      </c>
      <c r="E59">
        <f t="shared" si="0"/>
        <v>9.532688727140512E-3</v>
      </c>
    </row>
    <row r="60" spans="1:5" x14ac:dyDescent="0.3">
      <c r="A60">
        <v>33</v>
      </c>
      <c r="B60">
        <v>12.996399225404645</v>
      </c>
      <c r="C60">
        <v>-0.84639922540464418</v>
      </c>
      <c r="D60">
        <v>-0.72112142757878672</v>
      </c>
      <c r="E60">
        <f t="shared" si="0"/>
        <v>1.5694526628096415E-2</v>
      </c>
    </row>
    <row r="61" spans="1:5" x14ac:dyDescent="0.3">
      <c r="A61">
        <v>34</v>
      </c>
      <c r="B61">
        <v>13.011547918566649</v>
      </c>
      <c r="C61">
        <v>-0.93154791856664865</v>
      </c>
      <c r="D61">
        <v>-0.84639922540464418</v>
      </c>
      <c r="E61">
        <f t="shared" si="0"/>
        <v>7.2502999471971852E-3</v>
      </c>
    </row>
    <row r="62" spans="1:5" x14ac:dyDescent="0.3">
      <c r="A62">
        <v>35</v>
      </c>
      <c r="B62">
        <v>12.943831697781036</v>
      </c>
      <c r="C62">
        <v>-0.91383169778103657</v>
      </c>
      <c r="D62">
        <v>-0.93154791856664865</v>
      </c>
      <c r="E62">
        <f t="shared" si="0"/>
        <v>3.1386447892455351E-4</v>
      </c>
    </row>
    <row r="63" spans="1:5" x14ac:dyDescent="0.3">
      <c r="A63">
        <v>36</v>
      </c>
      <c r="B63">
        <v>12.938029347452412</v>
      </c>
      <c r="C63">
        <v>-0.95802934745241153</v>
      </c>
      <c r="D63">
        <v>-0.91383169778103657</v>
      </c>
      <c r="E63">
        <f t="shared" si="0"/>
        <v>1.9534322364735913E-3</v>
      </c>
    </row>
    <row r="64" spans="1:5" x14ac:dyDescent="0.3">
      <c r="A64">
        <v>37</v>
      </c>
      <c r="B64">
        <v>13.642290644294693</v>
      </c>
      <c r="C64">
        <v>-1.7222906442946933</v>
      </c>
      <c r="D64">
        <v>-0.95802934745241153</v>
      </c>
      <c r="E64">
        <f t="shared" si="0"/>
        <v>0.58409532985104629</v>
      </c>
    </row>
    <row r="65" spans="1:5" x14ac:dyDescent="0.3">
      <c r="A65">
        <v>38</v>
      </c>
      <c r="B65">
        <v>13.504749411700541</v>
      </c>
      <c r="C65">
        <v>-1.5247494117005402</v>
      </c>
      <c r="D65">
        <v>-1.7222906442946933</v>
      </c>
      <c r="E65">
        <f t="shared" si="0"/>
        <v>3.9022538574817259E-2</v>
      </c>
    </row>
    <row r="66" spans="1:5" x14ac:dyDescent="0.3">
      <c r="A66">
        <v>39</v>
      </c>
      <c r="B66">
        <v>13.389150932390805</v>
      </c>
      <c r="C66">
        <v>-1.3391509323908046</v>
      </c>
      <c r="D66">
        <v>-1.5247494117005402</v>
      </c>
      <c r="E66">
        <f t="shared" si="0"/>
        <v>3.4446795522086356E-2</v>
      </c>
    </row>
    <row r="67" spans="1:5" x14ac:dyDescent="0.3">
      <c r="A67">
        <v>40</v>
      </c>
      <c r="B67">
        <v>13.278389145749687</v>
      </c>
      <c r="C67">
        <v>-1.1883891457496869</v>
      </c>
      <c r="D67">
        <v>-1.3391509323908046</v>
      </c>
      <c r="E67">
        <f t="shared" si="0"/>
        <v>2.2729116311221903E-2</v>
      </c>
    </row>
    <row r="68" spans="1:5" x14ac:dyDescent="0.3">
      <c r="A68">
        <v>41</v>
      </c>
      <c r="B68">
        <v>13.211950415276105</v>
      </c>
      <c r="C68">
        <v>-1.0919504152761057</v>
      </c>
      <c r="D68">
        <v>-1.1883891457496869</v>
      </c>
      <c r="E68">
        <f t="shared" si="0"/>
        <v>9.3004287353560394E-3</v>
      </c>
    </row>
    <row r="69" spans="1:5" x14ac:dyDescent="0.3">
      <c r="A69">
        <v>42</v>
      </c>
      <c r="B69">
        <v>13.149072352365614</v>
      </c>
      <c r="C69">
        <v>-1.0090723523656138</v>
      </c>
      <c r="D69">
        <v>-1.0919504152761057</v>
      </c>
      <c r="E69">
        <f t="shared" si="0"/>
        <v>6.8687733117954591E-3</v>
      </c>
    </row>
    <row r="70" spans="1:5" x14ac:dyDescent="0.3">
      <c r="A70">
        <v>43</v>
      </c>
      <c r="B70">
        <v>13.092506982489207</v>
      </c>
      <c r="C70">
        <v>-0.93250698248920649</v>
      </c>
      <c r="D70">
        <v>-1.0090723523656138</v>
      </c>
      <c r="E70">
        <f t="shared" si="0"/>
        <v>5.8622558643110544E-3</v>
      </c>
    </row>
    <row r="71" spans="1:5" x14ac:dyDescent="0.3">
      <c r="A71">
        <v>44</v>
      </c>
      <c r="B71">
        <v>13.082316526430805</v>
      </c>
      <c r="C71">
        <v>-0.89231652643080572</v>
      </c>
      <c r="D71">
        <v>-0.93250698248920649</v>
      </c>
      <c r="E71">
        <f t="shared" si="0"/>
        <v>1.6152727581822432E-3</v>
      </c>
    </row>
    <row r="72" spans="1:5" x14ac:dyDescent="0.3">
      <c r="A72">
        <v>45</v>
      </c>
      <c r="B72">
        <v>13.034703363755538</v>
      </c>
      <c r="C72">
        <v>-0.82470336375553721</v>
      </c>
      <c r="D72">
        <v>-0.89231652643080572</v>
      </c>
      <c r="E72">
        <f t="shared" si="0"/>
        <v>4.5715397669523232E-3</v>
      </c>
    </row>
    <row r="73" spans="1:5" x14ac:dyDescent="0.3">
      <c r="A73">
        <v>46</v>
      </c>
      <c r="B73">
        <v>12.979205732911836</v>
      </c>
      <c r="C73">
        <v>-0.72920573291183644</v>
      </c>
      <c r="D73">
        <v>-0.82470336375553721</v>
      </c>
      <c r="E73">
        <f t="shared" si="0"/>
        <v>9.1197974967597503E-3</v>
      </c>
    </row>
    <row r="74" spans="1:5" x14ac:dyDescent="0.3">
      <c r="A74">
        <v>47</v>
      </c>
      <c r="B74">
        <v>12.898466271405074</v>
      </c>
      <c r="C74">
        <v>-0.60846627140507437</v>
      </c>
      <c r="D74">
        <v>-0.72920573291183644</v>
      </c>
      <c r="E74">
        <f t="shared" si="0"/>
        <v>1.4578017564942879E-2</v>
      </c>
    </row>
    <row r="75" spans="1:5" x14ac:dyDescent="0.3">
      <c r="A75">
        <v>48</v>
      </c>
      <c r="B75">
        <v>12.795914135534119</v>
      </c>
      <c r="C75">
        <v>-0.47591413553411854</v>
      </c>
      <c r="D75">
        <v>-0.60846627140507437</v>
      </c>
      <c r="E75">
        <f t="shared" si="0"/>
        <v>1.7570068723952333E-2</v>
      </c>
    </row>
    <row r="76" spans="1:5" x14ac:dyDescent="0.3">
      <c r="A76">
        <v>49</v>
      </c>
      <c r="B76">
        <v>13.279122991309466</v>
      </c>
      <c r="C76">
        <v>-0.54912299130946529</v>
      </c>
      <c r="D76">
        <v>-0.47591413553411854</v>
      </c>
      <c r="E76">
        <f t="shared" si="0"/>
        <v>5.3595365639355214E-3</v>
      </c>
    </row>
    <row r="77" spans="1:5" x14ac:dyDescent="0.3">
      <c r="A77">
        <v>50</v>
      </c>
      <c r="B77">
        <v>13.285526932261853</v>
      </c>
      <c r="C77">
        <v>-0.46552693226185227</v>
      </c>
      <c r="D77">
        <v>-0.54912299130946529</v>
      </c>
      <c r="E77">
        <f t="shared" si="0"/>
        <v>6.9883010882920036E-3</v>
      </c>
    </row>
    <row r="78" spans="1:5" x14ac:dyDescent="0.3">
      <c r="A78">
        <v>51</v>
      </c>
      <c r="B78">
        <v>13.251253570231249</v>
      </c>
      <c r="C78">
        <v>-0.38125357023124984</v>
      </c>
      <c r="D78">
        <v>-0.46552693226185227</v>
      </c>
      <c r="E78">
        <f t="shared" si="0"/>
        <v>7.1019995479409829E-3</v>
      </c>
    </row>
    <row r="79" spans="1:5" x14ac:dyDescent="0.3">
      <c r="A79">
        <v>52</v>
      </c>
      <c r="B79">
        <v>13.207699523470286</v>
      </c>
      <c r="C79">
        <v>-0.39769952347028514</v>
      </c>
      <c r="D79">
        <v>-0.38125357023124984</v>
      </c>
      <c r="E79">
        <f t="shared" si="0"/>
        <v>2.7046937794053582E-4</v>
      </c>
    </row>
    <row r="80" spans="1:5" x14ac:dyDescent="0.3">
      <c r="A80">
        <v>53</v>
      </c>
      <c r="B80">
        <v>13.202198740739505</v>
      </c>
      <c r="C80">
        <v>-0.40219874073950379</v>
      </c>
      <c r="D80">
        <v>-0.39769952347028514</v>
      </c>
      <c r="E80">
        <f t="shared" si="0"/>
        <v>2.0242956035635302E-5</v>
      </c>
    </row>
    <row r="81" spans="1:5" x14ac:dyDescent="0.3">
      <c r="A81">
        <v>54</v>
      </c>
      <c r="B81">
        <v>13.16507840955031</v>
      </c>
      <c r="C81">
        <v>-0.40507840955030971</v>
      </c>
      <c r="D81">
        <v>-0.40219874073950379</v>
      </c>
      <c r="E81">
        <f t="shared" si="0"/>
        <v>8.2924924599284062E-6</v>
      </c>
    </row>
    <row r="82" spans="1:5" x14ac:dyDescent="0.3">
      <c r="A82">
        <v>55</v>
      </c>
      <c r="B82">
        <v>13.11079312588323</v>
      </c>
      <c r="C82">
        <v>-0.40079312588322935</v>
      </c>
      <c r="D82">
        <v>-0.40507840955030971</v>
      </c>
      <c r="E82">
        <f t="shared" si="0"/>
        <v>1.8363656107345734E-5</v>
      </c>
    </row>
    <row r="83" spans="1:5" x14ac:dyDescent="0.3">
      <c r="A83">
        <v>56</v>
      </c>
      <c r="B83">
        <v>12.318519438161186</v>
      </c>
      <c r="C83">
        <v>0.35148056183881415</v>
      </c>
      <c r="D83">
        <v>-0.40079312588322935</v>
      </c>
      <c r="E83">
        <f t="shared" si="0"/>
        <v>0.56591570123892265</v>
      </c>
    </row>
    <row r="84" spans="1:5" x14ac:dyDescent="0.3">
      <c r="A84">
        <v>57</v>
      </c>
      <c r="B84">
        <v>12.267310817418059</v>
      </c>
      <c r="C84">
        <v>0.37268918258194184</v>
      </c>
      <c r="D84">
        <v>0.35148056183881415</v>
      </c>
      <c r="E84">
        <f t="shared" si="0"/>
        <v>4.4980559382582576E-4</v>
      </c>
    </row>
    <row r="85" spans="1:5" x14ac:dyDescent="0.3">
      <c r="A85">
        <v>58</v>
      </c>
      <c r="B85">
        <v>12.197199453226219</v>
      </c>
      <c r="C85">
        <v>0.40280054677378097</v>
      </c>
      <c r="D85">
        <v>0.37268918258194184</v>
      </c>
      <c r="E85">
        <f t="shared" si="0"/>
        <v>9.0669425349357172E-4</v>
      </c>
    </row>
    <row r="86" spans="1:5" x14ac:dyDescent="0.3">
      <c r="A86">
        <v>59</v>
      </c>
      <c r="B86">
        <v>12.177902205382479</v>
      </c>
      <c r="C86">
        <v>0.38209779461752191</v>
      </c>
      <c r="D86">
        <v>0.40280054677378097</v>
      </c>
      <c r="E86">
        <f t="shared" si="0"/>
        <v>4.2860394684348882E-4</v>
      </c>
    </row>
    <row r="87" spans="1:5" x14ac:dyDescent="0.3">
      <c r="A87">
        <v>60</v>
      </c>
      <c r="B87">
        <v>12.081563778360842</v>
      </c>
      <c r="C87">
        <v>0.42843622163915818</v>
      </c>
      <c r="D87">
        <v>0.38209779461752191</v>
      </c>
      <c r="E87">
        <f t="shared" si="0"/>
        <v>2.14724981883951E-3</v>
      </c>
    </row>
    <row r="88" spans="1:5" x14ac:dyDescent="0.3">
      <c r="A88">
        <v>61</v>
      </c>
      <c r="B88">
        <v>12.807887613739412</v>
      </c>
      <c r="C88">
        <v>-0.50788761373941149</v>
      </c>
      <c r="D88">
        <v>0.42843622163915818</v>
      </c>
      <c r="E88">
        <f t="shared" si="0"/>
        <v>0.87670232469803488</v>
      </c>
    </row>
    <row r="89" spans="1:5" x14ac:dyDescent="0.3">
      <c r="A89">
        <v>62</v>
      </c>
      <c r="B89">
        <v>12.866903609266322</v>
      </c>
      <c r="C89">
        <v>-0.56690360926632088</v>
      </c>
      <c r="D89">
        <v>-0.50788761373941149</v>
      </c>
      <c r="E89">
        <f t="shared" si="0"/>
        <v>3.4828877280321893E-3</v>
      </c>
    </row>
    <row r="90" spans="1:5" x14ac:dyDescent="0.3">
      <c r="A90">
        <v>63</v>
      </c>
      <c r="B90">
        <v>12.819665931239154</v>
      </c>
      <c r="C90">
        <v>-0.63966593123915416</v>
      </c>
      <c r="D90">
        <v>-0.56690360926632088</v>
      </c>
      <c r="E90">
        <f t="shared" si="0"/>
        <v>5.2943554988782561E-3</v>
      </c>
    </row>
    <row r="91" spans="1:5" x14ac:dyDescent="0.3">
      <c r="A91">
        <v>64</v>
      </c>
      <c r="B91">
        <v>13.126951510937559</v>
      </c>
      <c r="C91">
        <v>-0.90695151093755833</v>
      </c>
      <c r="D91">
        <v>-0.63966593123915416</v>
      </c>
      <c r="E91">
        <f t="shared" si="0"/>
        <v>7.1441581114711966E-2</v>
      </c>
    </row>
    <row r="92" spans="1:5" x14ac:dyDescent="0.3">
      <c r="A92">
        <v>65</v>
      </c>
      <c r="B92">
        <v>12.982661812782482</v>
      </c>
      <c r="C92">
        <v>-0.76266181278248091</v>
      </c>
      <c r="D92">
        <v>-0.90695151093755833</v>
      </c>
      <c r="E92">
        <f t="shared" si="0"/>
        <v>2.0819516993683351E-2</v>
      </c>
    </row>
    <row r="93" spans="1:5" x14ac:dyDescent="0.3">
      <c r="A93">
        <v>66</v>
      </c>
      <c r="B93">
        <v>13.064340119821914</v>
      </c>
      <c r="C93">
        <v>-0.84434011982191315</v>
      </c>
      <c r="D93">
        <v>-0.76266181278248091</v>
      </c>
      <c r="E93">
        <f t="shared" si="0"/>
        <v>6.6713458408277663E-3</v>
      </c>
    </row>
    <row r="94" spans="1:5" x14ac:dyDescent="0.3">
      <c r="A94">
        <v>67</v>
      </c>
      <c r="B94">
        <v>12.871726855514552</v>
      </c>
      <c r="C94">
        <v>-0.64172685551455189</v>
      </c>
      <c r="D94">
        <v>-0.84434011982191315</v>
      </c>
      <c r="E94">
        <f t="shared" ref="E94:E157" si="1">(C94-D94)^2</f>
        <v>4.1052134873284636E-2</v>
      </c>
    </row>
    <row r="95" spans="1:5" x14ac:dyDescent="0.3">
      <c r="A95">
        <v>68</v>
      </c>
      <c r="B95">
        <v>12.799595648465459</v>
      </c>
      <c r="C95">
        <v>-0.55959564846545895</v>
      </c>
      <c r="D95">
        <v>-0.64172685551455189</v>
      </c>
      <c r="E95">
        <f t="shared" si="1"/>
        <v>6.7455351713409731E-3</v>
      </c>
    </row>
    <row r="96" spans="1:5" x14ac:dyDescent="0.3">
      <c r="A96">
        <v>69</v>
      </c>
      <c r="B96">
        <v>12.706232062211301</v>
      </c>
      <c r="C96">
        <v>-0.4362320622113014</v>
      </c>
      <c r="D96">
        <v>-0.55959564846545895</v>
      </c>
      <c r="E96">
        <f t="shared" si="1"/>
        <v>1.5218574413486971E-2</v>
      </c>
    </row>
    <row r="97" spans="1:5" x14ac:dyDescent="0.3">
      <c r="A97">
        <v>70</v>
      </c>
      <c r="B97">
        <v>13.008118702124452</v>
      </c>
      <c r="C97">
        <v>-0.66811870212445257</v>
      </c>
      <c r="D97">
        <v>-0.4362320622113014</v>
      </c>
      <c r="E97">
        <f t="shared" si="1"/>
        <v>5.3771413770211433E-2</v>
      </c>
    </row>
    <row r="98" spans="1:5" x14ac:dyDescent="0.3">
      <c r="A98">
        <v>71</v>
      </c>
      <c r="B98">
        <v>13.573105368628443</v>
      </c>
      <c r="C98">
        <v>-1.2031053686284441</v>
      </c>
      <c r="D98">
        <v>-0.66811870212445257</v>
      </c>
      <c r="E98">
        <f t="shared" si="1"/>
        <v>0.28621073333705305</v>
      </c>
    </row>
    <row r="99" spans="1:5" x14ac:dyDescent="0.3">
      <c r="A99">
        <v>72</v>
      </c>
      <c r="B99">
        <v>13.461162043613637</v>
      </c>
      <c r="C99">
        <v>-0.99116204361363636</v>
      </c>
      <c r="D99">
        <v>-1.2031053686284441</v>
      </c>
      <c r="E99">
        <f t="shared" si="1"/>
        <v>4.4919973018332421E-2</v>
      </c>
    </row>
    <row r="100" spans="1:5" x14ac:dyDescent="0.3">
      <c r="A100">
        <v>73</v>
      </c>
      <c r="B100">
        <v>13.847420071321693</v>
      </c>
      <c r="C100">
        <v>0.31257992867830708</v>
      </c>
      <c r="D100">
        <v>-0.99116204361363636</v>
      </c>
      <c r="E100">
        <f t="shared" si="1"/>
        <v>1.6997431303156867</v>
      </c>
    </row>
    <row r="101" spans="1:5" x14ac:dyDescent="0.3">
      <c r="A101">
        <v>74</v>
      </c>
      <c r="B101">
        <v>13.586268633760127</v>
      </c>
      <c r="C101">
        <v>0.87373136623987335</v>
      </c>
      <c r="D101">
        <v>0.31257992867830708</v>
      </c>
      <c r="E101">
        <f t="shared" si="1"/>
        <v>0.3148909358774124</v>
      </c>
    </row>
    <row r="102" spans="1:5" x14ac:dyDescent="0.3">
      <c r="A102">
        <v>75</v>
      </c>
      <c r="B102">
        <v>13.621593286902307</v>
      </c>
      <c r="C102">
        <v>0.91840671309769206</v>
      </c>
      <c r="D102">
        <v>0.87373136623987335</v>
      </c>
      <c r="E102">
        <f t="shared" si="1"/>
        <v>1.9958866168664122E-3</v>
      </c>
    </row>
    <row r="103" spans="1:5" x14ac:dyDescent="0.3">
      <c r="A103">
        <v>76</v>
      </c>
      <c r="B103">
        <v>13.222530204097833</v>
      </c>
      <c r="C103">
        <v>1.1874697959021674</v>
      </c>
      <c r="D103">
        <v>0.91840671309769206</v>
      </c>
      <c r="E103">
        <f t="shared" si="1"/>
        <v>7.2394942528247949E-2</v>
      </c>
    </row>
    <row r="104" spans="1:5" x14ac:dyDescent="0.3">
      <c r="A104">
        <v>77</v>
      </c>
      <c r="B104">
        <v>12.923209036216633</v>
      </c>
      <c r="C104">
        <v>1.3067909637833672</v>
      </c>
      <c r="D104">
        <v>1.1874697959021674</v>
      </c>
      <c r="E104">
        <f t="shared" si="1"/>
        <v>1.4237541104533477E-2</v>
      </c>
    </row>
    <row r="105" spans="1:5" x14ac:dyDescent="0.3">
      <c r="A105">
        <v>78</v>
      </c>
      <c r="B105">
        <v>12.853396316139307</v>
      </c>
      <c r="C105">
        <v>1.1966036838606939</v>
      </c>
      <c r="D105">
        <v>1.3067909637833672</v>
      </c>
      <c r="E105">
        <f t="shared" si="1"/>
        <v>1.2141236656757561E-2</v>
      </c>
    </row>
    <row r="106" spans="1:5" x14ac:dyDescent="0.3">
      <c r="A106">
        <v>79</v>
      </c>
      <c r="B106">
        <v>12.662413997831234</v>
      </c>
      <c r="C106">
        <v>1.2875860021687657</v>
      </c>
      <c r="D106">
        <v>1.1966036838606939</v>
      </c>
      <c r="E106">
        <f t="shared" si="1"/>
        <v>8.2777822447112973E-3</v>
      </c>
    </row>
    <row r="107" spans="1:5" x14ac:dyDescent="0.3">
      <c r="A107">
        <v>80</v>
      </c>
      <c r="B107">
        <v>12.592263343000344</v>
      </c>
      <c r="C107">
        <v>1.1977366569996555</v>
      </c>
      <c r="D107">
        <v>1.2875860021687657</v>
      </c>
      <c r="E107">
        <f t="shared" si="1"/>
        <v>8.0729048273179161E-3</v>
      </c>
    </row>
    <row r="108" spans="1:5" x14ac:dyDescent="0.3">
      <c r="A108">
        <v>81</v>
      </c>
      <c r="B108">
        <v>12.515350179738284</v>
      </c>
      <c r="C108">
        <v>1.1846498202617148</v>
      </c>
      <c r="D108">
        <v>1.1977366569996555</v>
      </c>
      <c r="E108">
        <f t="shared" si="1"/>
        <v>1.712652958055129E-4</v>
      </c>
    </row>
    <row r="109" spans="1:5" x14ac:dyDescent="0.3">
      <c r="A109">
        <v>82</v>
      </c>
      <c r="B109">
        <v>12.443157873515773</v>
      </c>
      <c r="C109">
        <v>1.146842126484227</v>
      </c>
      <c r="D109">
        <v>1.1846498202617148</v>
      </c>
      <c r="E109">
        <f t="shared" si="1"/>
        <v>1.4294217087722919E-3</v>
      </c>
    </row>
    <row r="110" spans="1:5" x14ac:dyDescent="0.3">
      <c r="A110">
        <v>83</v>
      </c>
      <c r="B110">
        <v>12.356852861051824</v>
      </c>
      <c r="C110">
        <v>1.0831471389481759</v>
      </c>
      <c r="D110">
        <v>1.146842126484227</v>
      </c>
      <c r="E110">
        <f t="shared" si="1"/>
        <v>4.0570514372177012E-3</v>
      </c>
    </row>
    <row r="111" spans="1:5" x14ac:dyDescent="0.3">
      <c r="A111">
        <v>84</v>
      </c>
      <c r="B111">
        <v>12.225307508498208</v>
      </c>
      <c r="C111">
        <v>1.1346924915017915</v>
      </c>
      <c r="D111">
        <v>1.0831471389481759</v>
      </c>
      <c r="E111">
        <f t="shared" si="1"/>
        <v>2.6569233698765251E-3</v>
      </c>
    </row>
    <row r="112" spans="1:5" x14ac:dyDescent="0.3">
      <c r="A112">
        <v>85</v>
      </c>
      <c r="B112">
        <v>12.606858642890504</v>
      </c>
      <c r="C112">
        <v>-9.6858642890504498E-2</v>
      </c>
      <c r="D112">
        <v>1.1346924915017915</v>
      </c>
      <c r="E112">
        <f t="shared" si="1"/>
        <v>1.5167181966229513</v>
      </c>
    </row>
    <row r="113" spans="1:5" x14ac:dyDescent="0.3">
      <c r="A113">
        <v>86</v>
      </c>
      <c r="B113">
        <v>12.480356176676271</v>
      </c>
      <c r="C113">
        <v>-0.24035617667627029</v>
      </c>
      <c r="D113">
        <v>-9.6858642890504498E-2</v>
      </c>
      <c r="E113">
        <f t="shared" si="1"/>
        <v>2.0591542202596996E-2</v>
      </c>
    </row>
    <row r="114" spans="1:5" x14ac:dyDescent="0.3">
      <c r="A114">
        <v>87</v>
      </c>
      <c r="B114">
        <v>12.428981024345582</v>
      </c>
      <c r="C114">
        <v>5.1018975654418597E-2</v>
      </c>
      <c r="D114">
        <v>-0.24035617667627029</v>
      </c>
      <c r="E114">
        <f t="shared" si="1"/>
        <v>8.4899479395732155E-2</v>
      </c>
    </row>
    <row r="115" spans="1:5" x14ac:dyDescent="0.3">
      <c r="A115">
        <v>88</v>
      </c>
      <c r="B115">
        <v>12.350838176109157</v>
      </c>
      <c r="C115">
        <v>0.24916182389084263</v>
      </c>
      <c r="D115">
        <v>5.1018975654418597E-2</v>
      </c>
      <c r="E115">
        <f t="shared" si="1"/>
        <v>3.9260588307242564E-2</v>
      </c>
    </row>
    <row r="116" spans="1:5" x14ac:dyDescent="0.3">
      <c r="A116">
        <v>89</v>
      </c>
      <c r="B116">
        <v>12.136303099643111</v>
      </c>
      <c r="C116">
        <v>0.56369690035688791</v>
      </c>
      <c r="D116">
        <v>0.24916182389084263</v>
      </c>
      <c r="E116">
        <f t="shared" si="1"/>
        <v>9.893231432750095E-2</v>
      </c>
    </row>
    <row r="117" spans="1:5" x14ac:dyDescent="0.3">
      <c r="A117">
        <v>90</v>
      </c>
      <c r="B117">
        <v>12.079610058578712</v>
      </c>
      <c r="C117">
        <v>0.66038994142128793</v>
      </c>
      <c r="D117">
        <v>0.56369690035688791</v>
      </c>
      <c r="E117">
        <f t="shared" si="1"/>
        <v>9.3495441902817483E-3</v>
      </c>
    </row>
    <row r="118" spans="1:5" x14ac:dyDescent="0.3">
      <c r="A118">
        <v>91</v>
      </c>
      <c r="B118">
        <v>12.024914105846641</v>
      </c>
      <c r="C118">
        <v>0.72508589415335933</v>
      </c>
      <c r="D118">
        <v>0.66038994142128793</v>
      </c>
      <c r="E118">
        <f t="shared" si="1"/>
        <v>4.1855662999104176E-3</v>
      </c>
    </row>
    <row r="119" spans="1:5" x14ac:dyDescent="0.3">
      <c r="A119">
        <v>92</v>
      </c>
      <c r="B119">
        <v>11.830702005236919</v>
      </c>
      <c r="C119">
        <v>0.90929799476308126</v>
      </c>
      <c r="D119">
        <v>0.72508589415335933</v>
      </c>
      <c r="E119">
        <f t="shared" si="1"/>
        <v>3.3934098011046313E-2</v>
      </c>
    </row>
    <row r="120" spans="1:5" x14ac:dyDescent="0.3">
      <c r="A120">
        <v>93</v>
      </c>
      <c r="B120">
        <v>11.764400518084955</v>
      </c>
      <c r="C120">
        <v>0.94559948191504617</v>
      </c>
      <c r="D120">
        <v>0.90929799476308126</v>
      </c>
      <c r="E120">
        <f t="shared" si="1"/>
        <v>1.3177979694442732E-3</v>
      </c>
    </row>
    <row r="121" spans="1:5" x14ac:dyDescent="0.3">
      <c r="A121">
        <v>94</v>
      </c>
      <c r="B121">
        <v>11.699871727317859</v>
      </c>
      <c r="C121">
        <v>0.98012827268214053</v>
      </c>
      <c r="D121">
        <v>0.94559948191504617</v>
      </c>
      <c r="E121">
        <f t="shared" si="1"/>
        <v>1.192237391837781E-3</v>
      </c>
    </row>
    <row r="122" spans="1:5" x14ac:dyDescent="0.3">
      <c r="A122">
        <v>95</v>
      </c>
      <c r="B122">
        <v>11.621792356589424</v>
      </c>
      <c r="C122">
        <v>0.99820764341057533</v>
      </c>
      <c r="D122">
        <v>0.98012827268214053</v>
      </c>
      <c r="E122">
        <f t="shared" si="1"/>
        <v>3.268636459361849E-4</v>
      </c>
    </row>
    <row r="123" spans="1:5" x14ac:dyDescent="0.3">
      <c r="A123">
        <v>96</v>
      </c>
      <c r="B123">
        <v>11.527007736244023</v>
      </c>
      <c r="C123">
        <v>0.96299226375597691</v>
      </c>
      <c r="D123">
        <v>0.99820764341057533</v>
      </c>
      <c r="E123">
        <f t="shared" si="1"/>
        <v>1.2401229642175044E-3</v>
      </c>
    </row>
    <row r="124" spans="1:5" x14ac:dyDescent="0.3">
      <c r="A124">
        <v>97</v>
      </c>
      <c r="B124">
        <v>12.054901395683899</v>
      </c>
      <c r="C124">
        <v>-0.21490139568389921</v>
      </c>
      <c r="D124">
        <v>0.96299226375597691</v>
      </c>
      <c r="E124">
        <f t="shared" si="1"/>
        <v>1.3874334729486628</v>
      </c>
    </row>
    <row r="125" spans="1:5" x14ac:dyDescent="0.3">
      <c r="A125">
        <v>98</v>
      </c>
      <c r="B125">
        <v>11.984448108890469</v>
      </c>
      <c r="C125">
        <v>-8.4448108890468276E-2</v>
      </c>
      <c r="D125">
        <v>-0.21490139568389921</v>
      </c>
      <c r="E125">
        <f t="shared" si="1"/>
        <v>1.7018060035209143E-2</v>
      </c>
    </row>
    <row r="126" spans="1:5" x14ac:dyDescent="0.3">
      <c r="A126">
        <v>99</v>
      </c>
      <c r="B126">
        <v>11.912935742069891</v>
      </c>
      <c r="C126">
        <v>-0.10293574206989042</v>
      </c>
      <c r="D126">
        <v>-8.4448108890468276E-2</v>
      </c>
      <c r="E126">
        <f t="shared" si="1"/>
        <v>3.4179258057687065E-4</v>
      </c>
    </row>
    <row r="127" spans="1:5" x14ac:dyDescent="0.3">
      <c r="A127">
        <v>100</v>
      </c>
      <c r="B127">
        <v>11.698837413518916</v>
      </c>
      <c r="C127">
        <v>-8.8374135189166481E-3</v>
      </c>
      <c r="D127">
        <v>-0.10293574206989042</v>
      </c>
      <c r="E127">
        <f t="shared" si="1"/>
        <v>8.8544954360870072E-3</v>
      </c>
    </row>
    <row r="128" spans="1:5" x14ac:dyDescent="0.3">
      <c r="A128">
        <v>101</v>
      </c>
      <c r="B128">
        <v>11.551629355261365</v>
      </c>
      <c r="C128">
        <v>5.837064473863407E-2</v>
      </c>
      <c r="D128">
        <v>-8.8374135189166481E-3</v>
      </c>
      <c r="E128">
        <f t="shared" si="1"/>
        <v>4.5169230947503317E-3</v>
      </c>
    </row>
    <row r="129" spans="1:5" x14ac:dyDescent="0.3">
      <c r="A129">
        <v>102</v>
      </c>
      <c r="B129">
        <v>11.468077314258966</v>
      </c>
      <c r="C129">
        <v>3.1922685741033519E-2</v>
      </c>
      <c r="D129">
        <v>5.837064473863407E-2</v>
      </c>
      <c r="E129">
        <f t="shared" si="1"/>
        <v>6.9949453513875996E-4</v>
      </c>
    </row>
    <row r="130" spans="1:5" x14ac:dyDescent="0.3">
      <c r="A130">
        <v>103</v>
      </c>
      <c r="B130">
        <v>11.397508540029168</v>
      </c>
      <c r="C130">
        <v>1.2491459970831897E-2</v>
      </c>
      <c r="D130">
        <v>3.1922685741033519E-2</v>
      </c>
      <c r="E130">
        <f t="shared" si="1"/>
        <v>3.7757253493254759E-4</v>
      </c>
    </row>
    <row r="131" spans="1:5" x14ac:dyDescent="0.3">
      <c r="A131">
        <v>104</v>
      </c>
      <c r="B131">
        <v>11.177135863092595</v>
      </c>
      <c r="C131">
        <v>0.10286413690740481</v>
      </c>
      <c r="D131">
        <v>1.2491459970831897E-2</v>
      </c>
      <c r="E131">
        <f t="shared" si="1"/>
        <v>8.1672207366821781E-3</v>
      </c>
    </row>
    <row r="132" spans="1:5" x14ac:dyDescent="0.3">
      <c r="A132">
        <v>105</v>
      </c>
      <c r="B132">
        <v>11.022047291652132</v>
      </c>
      <c r="C132">
        <v>7.7952708347867272E-2</v>
      </c>
      <c r="D132">
        <v>0.10286413690740481</v>
      </c>
      <c r="E132">
        <f t="shared" si="1"/>
        <v>6.2057927287694262E-4</v>
      </c>
    </row>
    <row r="133" spans="1:5" x14ac:dyDescent="0.3">
      <c r="A133">
        <v>106</v>
      </c>
      <c r="B133">
        <v>10.92379737767072</v>
      </c>
      <c r="C133">
        <v>1.6202622329279492E-2</v>
      </c>
      <c r="D133">
        <v>7.7952708347867272E-2</v>
      </c>
      <c r="E133">
        <f t="shared" si="1"/>
        <v>3.8130731233029899E-3</v>
      </c>
    </row>
    <row r="134" spans="1:5" x14ac:dyDescent="0.3">
      <c r="A134">
        <v>107</v>
      </c>
      <c r="B134">
        <v>10.675992054287306</v>
      </c>
      <c r="C134">
        <v>0.10400794571269323</v>
      </c>
      <c r="D134">
        <v>1.6202622329279492E-2</v>
      </c>
      <c r="E134">
        <f t="shared" si="1"/>
        <v>7.7097748144658628E-3</v>
      </c>
    </row>
    <row r="135" spans="1:5" x14ac:dyDescent="0.3">
      <c r="A135">
        <v>108</v>
      </c>
      <c r="B135">
        <v>10.541401133545204</v>
      </c>
      <c r="C135">
        <v>9.8598866454796763E-2</v>
      </c>
      <c r="D135">
        <v>0.10400794571269323</v>
      </c>
      <c r="E135">
        <f t="shared" si="1"/>
        <v>2.9258138418205774E-5</v>
      </c>
    </row>
    <row r="136" spans="1:5" x14ac:dyDescent="0.3">
      <c r="A136">
        <v>109</v>
      </c>
      <c r="B136">
        <v>11.12928733552139</v>
      </c>
      <c r="C136">
        <v>-1.2792873355213903</v>
      </c>
      <c r="D136">
        <v>9.8598866454796763E-2</v>
      </c>
      <c r="E136">
        <f t="shared" si="1"/>
        <v>1.8985703855963618</v>
      </c>
    </row>
    <row r="137" spans="1:5" x14ac:dyDescent="0.3">
      <c r="A137">
        <v>110</v>
      </c>
      <c r="B137">
        <v>11.000433221130692</v>
      </c>
      <c r="C137">
        <v>-1.200433221130691</v>
      </c>
      <c r="D137">
        <v>-1.2792873355213903</v>
      </c>
      <c r="E137">
        <f t="shared" si="1"/>
        <v>6.2179713563414963E-3</v>
      </c>
    </row>
    <row r="138" spans="1:5" x14ac:dyDescent="0.3">
      <c r="A138">
        <v>111</v>
      </c>
      <c r="B138">
        <v>10.897230893760881</v>
      </c>
      <c r="C138">
        <v>-1.1572308937608806</v>
      </c>
      <c r="D138">
        <v>-1.200433221130691</v>
      </c>
      <c r="E138">
        <f t="shared" si="1"/>
        <v>1.866441090168263E-3</v>
      </c>
    </row>
    <row r="139" spans="1:5" x14ac:dyDescent="0.3">
      <c r="A139">
        <v>112</v>
      </c>
      <c r="B139">
        <v>10.771583123837388</v>
      </c>
      <c r="C139">
        <v>-1.0815831238373885</v>
      </c>
      <c r="D139">
        <v>-1.1572308937608806</v>
      </c>
      <c r="E139">
        <f t="shared" si="1"/>
        <v>5.7225850943975944E-3</v>
      </c>
    </row>
    <row r="140" spans="1:5" x14ac:dyDescent="0.3">
      <c r="A140">
        <v>113</v>
      </c>
      <c r="B140">
        <v>10.664605709932474</v>
      </c>
      <c r="C140">
        <v>-1.0046057099324734</v>
      </c>
      <c r="D140">
        <v>-1.0815831238373885</v>
      </c>
      <c r="E140">
        <f t="shared" si="1"/>
        <v>5.9255222514886137E-3</v>
      </c>
    </row>
    <row r="141" spans="1:5" x14ac:dyDescent="0.3">
      <c r="A141">
        <v>114</v>
      </c>
      <c r="B141">
        <v>10.54711365600712</v>
      </c>
      <c r="C141">
        <v>-0.91711365600711936</v>
      </c>
      <c r="D141">
        <v>-1.0046057099324734</v>
      </c>
      <c r="E141">
        <f t="shared" si="1"/>
        <v>7.6548595000770674E-3</v>
      </c>
    </row>
    <row r="142" spans="1:5" x14ac:dyDescent="0.3">
      <c r="A142">
        <v>115</v>
      </c>
      <c r="B142">
        <v>10.365149896707237</v>
      </c>
      <c r="C142">
        <v>-0.74514989670723786</v>
      </c>
      <c r="D142">
        <v>-0.91711365600711936</v>
      </c>
      <c r="E142">
        <f t="shared" si="1"/>
        <v>2.9571534512547581E-2</v>
      </c>
    </row>
    <row r="143" spans="1:5" x14ac:dyDescent="0.3">
      <c r="A143">
        <v>116</v>
      </c>
      <c r="B143">
        <v>10.315875149469509</v>
      </c>
      <c r="C143">
        <v>-0.72587514946950904</v>
      </c>
      <c r="D143">
        <v>-0.74514989670723786</v>
      </c>
      <c r="E143">
        <f t="shared" si="1"/>
        <v>3.7151588107833469E-4</v>
      </c>
    </row>
    <row r="144" spans="1:5" x14ac:dyDescent="0.3">
      <c r="A144">
        <v>117</v>
      </c>
      <c r="B144">
        <v>10.201495810293636</v>
      </c>
      <c r="C144">
        <v>-0.63149581029363588</v>
      </c>
      <c r="D144">
        <v>-0.72587514946950904</v>
      </c>
      <c r="E144">
        <f t="shared" si="1"/>
        <v>8.907459663274506E-3</v>
      </c>
    </row>
    <row r="145" spans="1:5" x14ac:dyDescent="0.3">
      <c r="A145">
        <v>118</v>
      </c>
      <c r="B145">
        <v>10.062618888445915</v>
      </c>
      <c r="C145">
        <v>-0.51261888844591397</v>
      </c>
      <c r="D145">
        <v>-0.63149581029363588</v>
      </c>
      <c r="E145">
        <f t="shared" si="1"/>
        <v>1.4131722547989384E-2</v>
      </c>
    </row>
    <row r="146" spans="1:5" x14ac:dyDescent="0.3">
      <c r="A146">
        <v>119</v>
      </c>
      <c r="B146">
        <v>9.9935213907749301</v>
      </c>
      <c r="C146">
        <v>-0.45352139077493092</v>
      </c>
      <c r="D146">
        <v>-0.51261888844591397</v>
      </c>
      <c r="E146">
        <f t="shared" si="1"/>
        <v>3.4925142309718466E-3</v>
      </c>
    </row>
    <row r="147" spans="1:5" x14ac:dyDescent="0.3">
      <c r="A147">
        <v>120</v>
      </c>
      <c r="B147">
        <v>9.8371631898092211</v>
      </c>
      <c r="C147">
        <v>-0.27716318980922061</v>
      </c>
      <c r="D147">
        <v>-0.45352139077493092</v>
      </c>
      <c r="E147">
        <f t="shared" si="1"/>
        <v>3.1102215047861866E-2</v>
      </c>
    </row>
    <row r="148" spans="1:5" x14ac:dyDescent="0.3">
      <c r="A148">
        <v>121</v>
      </c>
      <c r="B148">
        <v>10.522401765476797</v>
      </c>
      <c r="C148">
        <v>-0.63240176547679638</v>
      </c>
      <c r="D148">
        <v>-0.27716318980922061</v>
      </c>
      <c r="E148">
        <f t="shared" si="1"/>
        <v>0.12619444564232796</v>
      </c>
    </row>
    <row r="149" spans="1:5" x14ac:dyDescent="0.3">
      <c r="A149">
        <v>122</v>
      </c>
      <c r="B149">
        <v>10.336564737140673</v>
      </c>
      <c r="C149">
        <v>-0.29533253675917237</v>
      </c>
      <c r="D149">
        <v>-0.63240176547679638</v>
      </c>
      <c r="E149">
        <f t="shared" si="1"/>
        <v>0.11361566494829393</v>
      </c>
    </row>
    <row r="150" spans="1:5" x14ac:dyDescent="0.3">
      <c r="A150">
        <v>123</v>
      </c>
      <c r="B150">
        <v>10.198757702841672</v>
      </c>
      <c r="C150">
        <v>-1.9842741557971166E-2</v>
      </c>
      <c r="D150">
        <v>-0.29533253675917237</v>
      </c>
      <c r="E150">
        <f t="shared" si="1"/>
        <v>7.5894627259999778E-2</v>
      </c>
    </row>
    <row r="151" spans="1:5" x14ac:dyDescent="0.3">
      <c r="A151">
        <v>124</v>
      </c>
      <c r="B151">
        <v>10.059430105117904</v>
      </c>
      <c r="C151">
        <v>0.22655727085049548</v>
      </c>
      <c r="D151">
        <v>-1.9842741557971166E-2</v>
      </c>
      <c r="E151">
        <f t="shared" si="1"/>
        <v>6.0712966114892519E-2</v>
      </c>
    </row>
    <row r="152" spans="1:5" x14ac:dyDescent="0.3">
      <c r="A152">
        <v>125</v>
      </c>
      <c r="B152">
        <v>9.897121500299022</v>
      </c>
      <c r="C152">
        <v>0.43483609669137735</v>
      </c>
      <c r="D152">
        <v>0.22655727085049548</v>
      </c>
      <c r="E152">
        <f t="shared" si="1"/>
        <v>4.3380069293656398E-2</v>
      </c>
    </row>
    <row r="153" spans="1:5" x14ac:dyDescent="0.3">
      <c r="A153">
        <v>126</v>
      </c>
      <c r="B153">
        <v>9.7257466297217938</v>
      </c>
      <c r="C153">
        <v>0.60063901535770547</v>
      </c>
      <c r="D153">
        <v>0.43483609669137735</v>
      </c>
      <c r="E153">
        <f t="shared" si="1"/>
        <v>2.7490607838273021E-2</v>
      </c>
    </row>
    <row r="154" spans="1:5" x14ac:dyDescent="0.3">
      <c r="A154">
        <v>127</v>
      </c>
      <c r="B154">
        <v>9.6230644443282749</v>
      </c>
      <c r="C154">
        <v>0.68841132442432595</v>
      </c>
      <c r="D154">
        <v>0.60063901535770547</v>
      </c>
      <c r="E154">
        <f t="shared" si="1"/>
        <v>7.7039782388863476E-3</v>
      </c>
    </row>
    <row r="155" spans="1:5" x14ac:dyDescent="0.3">
      <c r="A155">
        <v>128</v>
      </c>
      <c r="B155">
        <v>9.4459263403568663</v>
      </c>
      <c r="C155">
        <v>0.80869363990293408</v>
      </c>
      <c r="D155">
        <v>0.68841132442432595</v>
      </c>
      <c r="E155">
        <f t="shared" si="1"/>
        <v>1.4467835416895412E-2</v>
      </c>
    </row>
    <row r="156" spans="1:5" x14ac:dyDescent="0.3">
      <c r="A156">
        <v>129</v>
      </c>
      <c r="B156">
        <v>9.203714709785114</v>
      </c>
      <c r="C156">
        <v>0.97886366058138563</v>
      </c>
      <c r="D156">
        <v>0.80869363990293408</v>
      </c>
      <c r="E156">
        <f t="shared" si="1"/>
        <v>2.8957835937704627E-2</v>
      </c>
    </row>
    <row r="157" spans="1:5" x14ac:dyDescent="0.3">
      <c r="A157">
        <v>130</v>
      </c>
      <c r="B157">
        <v>9.0836562768459395</v>
      </c>
      <c r="C157">
        <v>1.0034325171256597</v>
      </c>
      <c r="D157">
        <v>0.97886366058138563</v>
      </c>
      <c r="E157">
        <f t="shared" si="1"/>
        <v>6.0362871189312012E-4</v>
      </c>
    </row>
    <row r="158" spans="1:5" x14ac:dyDescent="0.3">
      <c r="A158">
        <v>131</v>
      </c>
      <c r="B158">
        <v>8.9041219651036094</v>
      </c>
      <c r="C158">
        <v>1.0861574983471112</v>
      </c>
      <c r="D158">
        <v>1.0034325171256597</v>
      </c>
      <c r="E158">
        <f t="shared" ref="E158:E206" si="2">(C158-D158)^2</f>
        <v>6.8434225180894941E-3</v>
      </c>
    </row>
    <row r="159" spans="1:5" x14ac:dyDescent="0.3">
      <c r="A159">
        <v>132</v>
      </c>
      <c r="B159">
        <v>8.7695296975291193</v>
      </c>
      <c r="C159">
        <v>1.102849162207681</v>
      </c>
      <c r="D159">
        <v>1.0861574983471112</v>
      </c>
      <c r="E159">
        <f t="shared" si="2"/>
        <v>2.7861164243425397E-4</v>
      </c>
    </row>
    <row r="160" spans="1:5" x14ac:dyDescent="0.3">
      <c r="A160">
        <v>133</v>
      </c>
      <c r="B160">
        <v>9.6169582883594593</v>
      </c>
      <c r="C160">
        <v>-0.77085324021958002</v>
      </c>
      <c r="D160">
        <v>1.102849162207681</v>
      </c>
      <c r="E160">
        <f t="shared" si="2"/>
        <v>3.5107606928616897</v>
      </c>
    </row>
    <row r="161" spans="1:5" x14ac:dyDescent="0.3">
      <c r="A161">
        <v>134</v>
      </c>
      <c r="B161">
        <v>9.4868948686495997</v>
      </c>
      <c r="C161">
        <v>-0.70626386466103952</v>
      </c>
      <c r="D161">
        <v>-0.77085324021958002</v>
      </c>
      <c r="E161">
        <f t="shared" si="2"/>
        <v>4.1717874350421886E-3</v>
      </c>
    </row>
    <row r="162" spans="1:5" x14ac:dyDescent="0.3">
      <c r="A162">
        <v>135</v>
      </c>
      <c r="B162">
        <v>9.2430040530365751</v>
      </c>
      <c r="C162">
        <v>-0.50212109795764448</v>
      </c>
      <c r="D162">
        <v>-0.70626386466103952</v>
      </c>
      <c r="E162">
        <f t="shared" si="2"/>
        <v>4.1674269197316774E-2</v>
      </c>
    </row>
    <row r="163" spans="1:5" x14ac:dyDescent="0.3">
      <c r="A163">
        <v>136</v>
      </c>
      <c r="B163">
        <v>9.1703931116640582</v>
      </c>
      <c r="C163">
        <v>-0.49772660933391855</v>
      </c>
      <c r="D163">
        <v>-0.50212109795764448</v>
      </c>
      <c r="E163">
        <f t="shared" si="2"/>
        <v>1.9311530264056655E-5</v>
      </c>
    </row>
    <row r="164" spans="1:5" x14ac:dyDescent="0.3">
      <c r="A164">
        <v>137</v>
      </c>
      <c r="B164">
        <v>8.8478544561113424</v>
      </c>
      <c r="C164">
        <v>-0.36468731870870208</v>
      </c>
      <c r="D164">
        <v>-0.49772660933391855</v>
      </c>
      <c r="E164">
        <f t="shared" si="2"/>
        <v>1.7699452850060811E-2</v>
      </c>
    </row>
    <row r="165" spans="1:5" x14ac:dyDescent="0.3">
      <c r="A165">
        <v>138</v>
      </c>
      <c r="B165">
        <v>8.6861367794850821</v>
      </c>
      <c r="C165">
        <v>-0.36509511811191153</v>
      </c>
      <c r="D165">
        <v>-0.36468731870870208</v>
      </c>
      <c r="E165">
        <f t="shared" si="2"/>
        <v>1.6630035325798544E-7</v>
      </c>
    </row>
    <row r="166" spans="1:5" x14ac:dyDescent="0.3">
      <c r="A166">
        <v>139</v>
      </c>
      <c r="B166">
        <v>8.5438979334111096</v>
      </c>
      <c r="C166">
        <v>-0.40982574034577013</v>
      </c>
      <c r="D166">
        <v>-0.36509511811191153</v>
      </c>
      <c r="E166">
        <f t="shared" si="2"/>
        <v>2.0008285654281649E-3</v>
      </c>
    </row>
    <row r="167" spans="1:5" x14ac:dyDescent="0.3">
      <c r="A167">
        <v>140</v>
      </c>
      <c r="B167">
        <v>8.3946231531625841</v>
      </c>
      <c r="C167">
        <v>-0.41648450423475403</v>
      </c>
      <c r="D167">
        <v>-0.40982574034577013</v>
      </c>
      <c r="E167">
        <f t="shared" si="2"/>
        <v>4.4339136529235973E-5</v>
      </c>
    </row>
    <row r="168" spans="1:5" x14ac:dyDescent="0.3">
      <c r="A168">
        <v>141</v>
      </c>
      <c r="B168">
        <v>8.2080596181561596</v>
      </c>
      <c r="C168">
        <v>-0.34693401874821994</v>
      </c>
      <c r="D168">
        <v>-0.41648450423475403</v>
      </c>
      <c r="E168">
        <f t="shared" si="2"/>
        <v>4.837270031412589E-3</v>
      </c>
    </row>
    <row r="169" spans="1:5" x14ac:dyDescent="0.3">
      <c r="A169">
        <v>142</v>
      </c>
      <c r="B169">
        <v>8.001758103007738</v>
      </c>
      <c r="C169">
        <v>-0.22984644013008815</v>
      </c>
      <c r="D169">
        <v>-0.34693401874821994</v>
      </c>
      <c r="E169">
        <f t="shared" si="2"/>
        <v>1.3709501066657194E-2</v>
      </c>
    </row>
    <row r="170" spans="1:5" x14ac:dyDescent="0.3">
      <c r="A170">
        <v>143</v>
      </c>
      <c r="B170">
        <v>7.8195241861756637</v>
      </c>
      <c r="C170">
        <v>-9.770153635109402E-2</v>
      </c>
      <c r="D170">
        <v>-0.22984644013008815</v>
      </c>
      <c r="E170">
        <f t="shared" si="2"/>
        <v>1.7462275594759616E-2</v>
      </c>
    </row>
    <row r="171" spans="1:5" x14ac:dyDescent="0.3">
      <c r="A171">
        <v>144</v>
      </c>
      <c r="B171">
        <v>7.6095107466699305</v>
      </c>
      <c r="C171">
        <v>6.5177080133599574E-2</v>
      </c>
      <c r="D171">
        <v>-9.770153635109402E-2</v>
      </c>
      <c r="E171">
        <f t="shared" si="2"/>
        <v>2.6529443707967899E-2</v>
      </c>
    </row>
    <row r="172" spans="1:5" x14ac:dyDescent="0.3">
      <c r="A172">
        <v>145</v>
      </c>
      <c r="B172">
        <v>8.6654368267269319</v>
      </c>
      <c r="C172">
        <v>-1.4355227009199716</v>
      </c>
      <c r="D172">
        <v>6.5177080133599574E-2</v>
      </c>
      <c r="E172">
        <f t="shared" si="2"/>
        <v>2.2520998328542365</v>
      </c>
    </row>
    <row r="173" spans="1:5" x14ac:dyDescent="0.3">
      <c r="A173">
        <v>146</v>
      </c>
      <c r="B173">
        <v>8.5626151674490067</v>
      </c>
      <c r="C173">
        <v>-1.3112658762404665</v>
      </c>
      <c r="D173">
        <v>-1.4355227009199716</v>
      </c>
      <c r="E173">
        <f t="shared" si="2"/>
        <v>1.5439758479433255E-2</v>
      </c>
    </row>
    <row r="174" spans="1:5" x14ac:dyDescent="0.3">
      <c r="A174">
        <v>147</v>
      </c>
      <c r="B174">
        <v>8.4628101656839796</v>
      </c>
      <c r="C174">
        <v>-1.2183793767309696</v>
      </c>
      <c r="D174">
        <v>-1.3112658762404665</v>
      </c>
      <c r="E174">
        <f t="shared" si="2"/>
        <v>8.6279017911277678E-3</v>
      </c>
    </row>
    <row r="175" spans="1:5" x14ac:dyDescent="0.3">
      <c r="A175">
        <v>148</v>
      </c>
      <c r="B175">
        <v>8.2103722605117149</v>
      </c>
      <c r="C175">
        <v>-0.94837120424725452</v>
      </c>
      <c r="D175">
        <v>-1.2183793767309696</v>
      </c>
      <c r="E175">
        <f t="shared" si="2"/>
        <v>7.290441320799565E-2</v>
      </c>
    </row>
    <row r="176" spans="1:5" x14ac:dyDescent="0.3">
      <c r="A176">
        <v>149</v>
      </c>
      <c r="B176">
        <v>8.1648856146419995</v>
      </c>
      <c r="C176">
        <v>-0.89529793697667959</v>
      </c>
      <c r="D176">
        <v>-0.94837120424725452</v>
      </c>
      <c r="E176">
        <f t="shared" si="2"/>
        <v>2.8167716987738804E-3</v>
      </c>
    </row>
    <row r="177" spans="1:5" x14ac:dyDescent="0.3">
      <c r="A177">
        <v>150</v>
      </c>
      <c r="B177">
        <v>8.2103737216888568</v>
      </c>
      <c r="C177">
        <v>-0.98256625676962717</v>
      </c>
      <c r="D177">
        <v>-0.89529793697667959</v>
      </c>
      <c r="E177">
        <f t="shared" si="2"/>
        <v>7.6157596394841659E-3</v>
      </c>
    </row>
    <row r="178" spans="1:5" x14ac:dyDescent="0.3">
      <c r="A178">
        <v>151</v>
      </c>
      <c r="B178">
        <v>8.0462165390179763</v>
      </c>
      <c r="C178">
        <v>-0.75514358841204654</v>
      </c>
      <c r="D178">
        <v>-0.98256625676962717</v>
      </c>
      <c r="E178">
        <f t="shared" si="2"/>
        <v>5.1721070082882105E-2</v>
      </c>
    </row>
    <row r="179" spans="1:5" x14ac:dyDescent="0.3">
      <c r="A179">
        <v>152</v>
      </c>
      <c r="B179">
        <v>7.9512620101107467</v>
      </c>
      <c r="C179">
        <v>-0.59861218153681683</v>
      </c>
      <c r="D179">
        <v>-0.75514358841204654</v>
      </c>
      <c r="E179">
        <f t="shared" si="2"/>
        <v>2.450208133833871E-2</v>
      </c>
    </row>
    <row r="180" spans="1:5" x14ac:dyDescent="0.3">
      <c r="A180">
        <v>153</v>
      </c>
      <c r="B180">
        <v>7.9836241868713538</v>
      </c>
      <c r="C180">
        <v>-0.58497646866015351</v>
      </c>
      <c r="D180">
        <v>-0.59861218153681683</v>
      </c>
      <c r="E180">
        <f t="shared" si="2"/>
        <v>1.8593266565480185E-4</v>
      </c>
    </row>
    <row r="181" spans="1:5" x14ac:dyDescent="0.3">
      <c r="A181">
        <v>154</v>
      </c>
      <c r="B181">
        <v>7.7981787421282869</v>
      </c>
      <c r="C181">
        <v>-0.36447128608195722</v>
      </c>
      <c r="D181">
        <v>-0.58497646866015351</v>
      </c>
      <c r="E181">
        <f t="shared" si="2"/>
        <v>4.862253554384368E-2</v>
      </c>
    </row>
    <row r="182" spans="1:5" x14ac:dyDescent="0.3">
      <c r="A182">
        <v>155</v>
      </c>
      <c r="B182">
        <v>7.8824350435329409</v>
      </c>
      <c r="C182">
        <v>-0.43178113595663081</v>
      </c>
      <c r="D182">
        <v>-0.36447128608195722</v>
      </c>
      <c r="E182">
        <f t="shared" si="2"/>
        <v>4.5306158901510961E-3</v>
      </c>
    </row>
    <row r="183" spans="1:5" x14ac:dyDescent="0.3">
      <c r="A183">
        <v>156</v>
      </c>
      <c r="B183">
        <v>7.6503593754583905</v>
      </c>
      <c r="C183">
        <v>-0.1573744276676301</v>
      </c>
      <c r="D183">
        <v>-0.43178113595663081</v>
      </c>
      <c r="E183">
        <f t="shared" si="2"/>
        <v>7.5299041554004728E-2</v>
      </c>
    </row>
    <row r="184" spans="1:5" x14ac:dyDescent="0.3">
      <c r="A184">
        <v>157</v>
      </c>
      <c r="B184">
        <v>11.527328525226171</v>
      </c>
      <c r="C184">
        <v>-3.6563264921070706</v>
      </c>
      <c r="D184">
        <v>-0.1573744276676301</v>
      </c>
      <c r="E184">
        <f t="shared" si="2"/>
        <v>12.242665549245023</v>
      </c>
    </row>
    <row r="185" spans="1:5" x14ac:dyDescent="0.3">
      <c r="A185">
        <v>158</v>
      </c>
      <c r="B185">
        <v>11.359392816785753</v>
      </c>
      <c r="C185">
        <v>-3.3496715089991138</v>
      </c>
      <c r="D185">
        <v>-3.6563264921070706</v>
      </c>
      <c r="E185">
        <f t="shared" si="2"/>
        <v>9.4037278664941271E-2</v>
      </c>
    </row>
    <row r="186" spans="1:5" x14ac:dyDescent="0.3">
      <c r="A186">
        <v>159</v>
      </c>
      <c r="B186">
        <v>10.357578883994194</v>
      </c>
      <c r="C186">
        <v>-2.3330111831009042</v>
      </c>
      <c r="D186">
        <v>-3.3496715089991138</v>
      </c>
      <c r="E186">
        <f t="shared" si="2"/>
        <v>1.0335982182554539</v>
      </c>
    </row>
    <row r="187" spans="1:5" x14ac:dyDescent="0.3">
      <c r="A187">
        <v>160</v>
      </c>
      <c r="B187">
        <v>9.5008206764856133</v>
      </c>
      <c r="C187">
        <v>-1.5171633582588937</v>
      </c>
      <c r="D187">
        <v>-2.3330111831009042</v>
      </c>
      <c r="E187">
        <f t="shared" si="2"/>
        <v>0.66560767329943982</v>
      </c>
    </row>
    <row r="188" spans="1:5" x14ac:dyDescent="0.3">
      <c r="A188">
        <v>161</v>
      </c>
      <c r="B188">
        <v>8.2088781269181013</v>
      </c>
      <c r="C188">
        <v>-0.38487193590689106</v>
      </c>
      <c r="D188">
        <v>-1.5171633582588937</v>
      </c>
      <c r="E188">
        <f t="shared" si="2"/>
        <v>1.2820838651319213</v>
      </c>
    </row>
    <row r="189" spans="1:5" x14ac:dyDescent="0.3">
      <c r="A189">
        <v>162</v>
      </c>
      <c r="B189">
        <v>7.712656997238537</v>
      </c>
      <c r="C189">
        <v>-8.9462382757766967E-2</v>
      </c>
      <c r="D189">
        <v>-0.38487193590689106</v>
      </c>
      <c r="E189">
        <f t="shared" si="2"/>
        <v>8.7266804091765168E-2</v>
      </c>
    </row>
    <row r="190" spans="1:5" x14ac:dyDescent="0.3">
      <c r="A190">
        <v>163</v>
      </c>
      <c r="B190">
        <v>7.5770716436402159</v>
      </c>
      <c r="C190">
        <v>-0.10405892819438556</v>
      </c>
      <c r="D190">
        <v>-8.9462382757766967E-2</v>
      </c>
      <c r="E190">
        <f t="shared" si="2"/>
        <v>2.1305913868327101E-4</v>
      </c>
    </row>
    <row r="191" spans="1:5" x14ac:dyDescent="0.3">
      <c r="A191">
        <v>164</v>
      </c>
      <c r="B191">
        <v>7.2620641975247446</v>
      </c>
      <c r="C191">
        <v>7.0235501146495238E-2</v>
      </c>
      <c r="D191">
        <v>-0.10405892819438556</v>
      </c>
      <c r="E191">
        <f t="shared" si="2"/>
        <v>3.037854809926329E-2</v>
      </c>
    </row>
    <row r="192" spans="1:5" x14ac:dyDescent="0.3">
      <c r="A192">
        <v>165</v>
      </c>
      <c r="B192">
        <v>7.0636837742353409</v>
      </c>
      <c r="C192">
        <v>0.16476810242099926</v>
      </c>
      <c r="D192">
        <v>7.0235501146495238E-2</v>
      </c>
      <c r="E192">
        <f t="shared" si="2"/>
        <v>8.9364127037243595E-3</v>
      </c>
    </row>
    <row r="193" spans="1:7" x14ac:dyDescent="0.3">
      <c r="A193">
        <v>166</v>
      </c>
      <c r="B193">
        <v>6.9111253624247775</v>
      </c>
      <c r="C193">
        <v>0.33633610385947232</v>
      </c>
      <c r="D193">
        <v>0.16476810242099926</v>
      </c>
      <c r="E193">
        <f t="shared" si="2"/>
        <v>2.9435579117591894E-2</v>
      </c>
    </row>
    <row r="194" spans="1:7" x14ac:dyDescent="0.3">
      <c r="A194">
        <v>167</v>
      </c>
      <c r="B194">
        <v>6.7488892094496409</v>
      </c>
      <c r="C194">
        <v>0.48286974600567945</v>
      </c>
      <c r="D194">
        <v>0.33633610385947232</v>
      </c>
      <c r="E194">
        <f t="shared" si="2"/>
        <v>2.1472108280632687E-2</v>
      </c>
    </row>
    <row r="195" spans="1:7" x14ac:dyDescent="0.3">
      <c r="A195">
        <v>168</v>
      </c>
      <c r="B195">
        <v>6.5049246937480003</v>
      </c>
      <c r="C195">
        <v>0.63851671132109988</v>
      </c>
      <c r="D195">
        <v>0.48286974600567945</v>
      </c>
      <c r="E195">
        <f t="shared" si="2"/>
        <v>2.4225977811899693E-2</v>
      </c>
    </row>
    <row r="196" spans="1:7" x14ac:dyDescent="0.3">
      <c r="A196">
        <v>169</v>
      </c>
      <c r="B196">
        <v>7.1525944135477078</v>
      </c>
      <c r="C196">
        <v>0.70907649513466264</v>
      </c>
      <c r="D196">
        <v>0.63851671132109988</v>
      </c>
      <c r="E196">
        <f t="shared" si="2"/>
        <v>4.9786830918167133E-3</v>
      </c>
    </row>
    <row r="197" spans="1:7" x14ac:dyDescent="0.3">
      <c r="A197">
        <v>170</v>
      </c>
      <c r="B197">
        <v>6.9936620091087436</v>
      </c>
      <c r="C197">
        <v>0.98315369525401675</v>
      </c>
      <c r="D197">
        <v>0.70907649513466264</v>
      </c>
      <c r="E197">
        <f t="shared" si="2"/>
        <v>7.5118311625264472E-2</v>
      </c>
    </row>
    <row r="198" spans="1:7" x14ac:dyDescent="0.3">
      <c r="A198">
        <v>171</v>
      </c>
      <c r="B198">
        <v>6.8443192806156015</v>
      </c>
      <c r="C198">
        <v>1.223878642711159</v>
      </c>
      <c r="D198">
        <v>0.98315369525401675</v>
      </c>
      <c r="E198">
        <f t="shared" si="2"/>
        <v>5.794850032824389E-2</v>
      </c>
    </row>
    <row r="199" spans="1:7" x14ac:dyDescent="0.3">
      <c r="A199">
        <v>172</v>
      </c>
      <c r="B199">
        <v>6.7251436858216396</v>
      </c>
      <c r="C199">
        <v>1.4806281322934707</v>
      </c>
      <c r="D199">
        <v>1.223878642711159</v>
      </c>
      <c r="E199">
        <f t="shared" si="2"/>
        <v>6.5920300400777579E-2</v>
      </c>
    </row>
    <row r="200" spans="1:7" x14ac:dyDescent="0.3">
      <c r="A200">
        <v>173</v>
      </c>
      <c r="B200">
        <v>6.572623733568836</v>
      </c>
      <c r="C200">
        <v>1.6810548954723039</v>
      </c>
      <c r="D200">
        <v>1.4806281322934707</v>
      </c>
      <c r="E200">
        <f t="shared" si="2"/>
        <v>4.0170887398344103E-2</v>
      </c>
    </row>
    <row r="201" spans="1:7" x14ac:dyDescent="0.3">
      <c r="A201">
        <v>174</v>
      </c>
      <c r="B201">
        <v>6.6906973925938393</v>
      </c>
      <c r="C201">
        <v>1.6030831179282599</v>
      </c>
      <c r="D201">
        <v>1.6810548954723039</v>
      </c>
      <c r="E201">
        <f t="shared" si="2"/>
        <v>6.0795980933778925E-3</v>
      </c>
    </row>
    <row r="202" spans="1:7" x14ac:dyDescent="0.3">
      <c r="A202">
        <v>175</v>
      </c>
      <c r="B202">
        <v>7.4846897721743568</v>
      </c>
      <c r="C202">
        <v>0.8013826101961028</v>
      </c>
      <c r="D202">
        <v>1.6030831179282599</v>
      </c>
      <c r="E202">
        <f t="shared" si="2"/>
        <v>0.64272370409799839</v>
      </c>
    </row>
    <row r="203" spans="1:7" x14ac:dyDescent="0.3">
      <c r="A203">
        <v>176</v>
      </c>
      <c r="B203">
        <v>7.5330725647410111</v>
      </c>
      <c r="C203">
        <v>0.70703263218491852</v>
      </c>
      <c r="D203">
        <v>0.8013826101961028</v>
      </c>
      <c r="E203">
        <f t="shared" si="2"/>
        <v>8.9019183507109568E-3</v>
      </c>
    </row>
    <row r="204" spans="1:7" x14ac:dyDescent="0.3">
      <c r="A204">
        <v>177</v>
      </c>
      <c r="B204">
        <v>7.8165848380940348</v>
      </c>
      <c r="C204">
        <v>0.36613043149524582</v>
      </c>
      <c r="D204">
        <v>0.70703263218491852</v>
      </c>
      <c r="E204">
        <f t="shared" si="2"/>
        <v>0.11621431043506188</v>
      </c>
    </row>
    <row r="205" spans="1:7" x14ac:dyDescent="0.3">
      <c r="A205">
        <v>178</v>
      </c>
      <c r="B205">
        <v>7.6203310957037393</v>
      </c>
      <c r="C205">
        <v>0.58294556325234037</v>
      </c>
      <c r="D205">
        <v>0.36613043149524582</v>
      </c>
      <c r="E205">
        <f t="shared" si="2"/>
        <v>4.7008801358846268E-2</v>
      </c>
    </row>
    <row r="206" spans="1:7" ht="15" thickBot="1" x14ac:dyDescent="0.35">
      <c r="A206" s="30">
        <v>179</v>
      </c>
      <c r="B206" s="30">
        <v>7.703847964581656</v>
      </c>
      <c r="C206" s="30">
        <v>0.49719132335352345</v>
      </c>
      <c r="D206">
        <v>0.58294556325234037</v>
      </c>
      <c r="E206">
        <f t="shared" si="2"/>
        <v>7.3537896606238433E-3</v>
      </c>
    </row>
    <row r="207" spans="1:7" ht="15" thickBot="1" x14ac:dyDescent="0.35">
      <c r="D207" s="30">
        <v>0.49719132335352345</v>
      </c>
    </row>
    <row r="208" spans="1:7" x14ac:dyDescent="0.3">
      <c r="C208">
        <f>SUMSQ(C28:C206)</f>
        <v>154.92163601107541</v>
      </c>
      <c r="E208">
        <f>SUM(E29:E206)</f>
        <v>35.047739645658453</v>
      </c>
      <c r="G208">
        <f>E208/C208</f>
        <v>0.22622882476630235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B42C-8A65-401F-9DF8-876269DAEBBF}">
  <dimension ref="K2:L182"/>
  <sheetViews>
    <sheetView zoomScale="54" workbookViewId="0">
      <selection activeCell="W5" sqref="W5"/>
    </sheetView>
  </sheetViews>
  <sheetFormatPr defaultRowHeight="14.4" x14ac:dyDescent="0.3"/>
  <sheetData>
    <row r="2" spans="11:12" ht="79.2" x14ac:dyDescent="0.3">
      <c r="K2" s="39" t="s">
        <v>32</v>
      </c>
      <c r="L2" s="41" t="s">
        <v>37</v>
      </c>
    </row>
    <row r="3" spans="11:12" ht="24.6" x14ac:dyDescent="0.3">
      <c r="K3" s="36" t="s">
        <v>6</v>
      </c>
    </row>
    <row r="4" spans="11:12" x14ac:dyDescent="0.3">
      <c r="K4" s="5">
        <v>14.35</v>
      </c>
      <c r="L4" s="32">
        <v>2009</v>
      </c>
    </row>
    <row r="5" spans="11:12" x14ac:dyDescent="0.3">
      <c r="K5" s="9">
        <v>14.5</v>
      </c>
      <c r="L5" s="33">
        <v>2009</v>
      </c>
    </row>
    <row r="6" spans="11:12" x14ac:dyDescent="0.3">
      <c r="K6" s="9">
        <v>14.67</v>
      </c>
      <c r="L6" s="33">
        <v>2009</v>
      </c>
    </row>
    <row r="7" spans="11:12" x14ac:dyDescent="0.3">
      <c r="K7" s="9">
        <v>14.71</v>
      </c>
      <c r="L7" s="33">
        <v>2009</v>
      </c>
    </row>
    <row r="8" spans="11:12" x14ac:dyDescent="0.3">
      <c r="K8" s="9">
        <v>14.84</v>
      </c>
      <c r="L8" s="33">
        <v>2009</v>
      </c>
    </row>
    <row r="9" spans="11:12" x14ac:dyDescent="0.3">
      <c r="K9" s="9">
        <v>14.86</v>
      </c>
      <c r="L9" s="33">
        <v>2009</v>
      </c>
    </row>
    <row r="10" spans="11:12" x14ac:dyDescent="0.3">
      <c r="K10" s="9">
        <v>14.88</v>
      </c>
      <c r="L10" s="33">
        <v>2009</v>
      </c>
    </row>
    <row r="11" spans="11:12" x14ac:dyDescent="0.3">
      <c r="K11" s="9">
        <v>14.85</v>
      </c>
      <c r="L11" s="33">
        <v>2009</v>
      </c>
    </row>
    <row r="12" spans="11:12" x14ac:dyDescent="0.3">
      <c r="K12" s="9">
        <v>14.8</v>
      </c>
      <c r="L12" s="33">
        <v>2009</v>
      </c>
    </row>
    <row r="13" spans="11:12" x14ac:dyDescent="0.3">
      <c r="K13" s="9">
        <v>14.76</v>
      </c>
      <c r="L13" s="33">
        <v>2009</v>
      </c>
    </row>
    <row r="14" spans="11:12" x14ac:dyDescent="0.3">
      <c r="K14" s="9">
        <v>14.72</v>
      </c>
      <c r="L14" s="33">
        <v>2009</v>
      </c>
    </row>
    <row r="15" spans="11:12" x14ac:dyDescent="0.3">
      <c r="K15" s="9">
        <v>14.59</v>
      </c>
      <c r="L15" s="24">
        <v>2010</v>
      </c>
    </row>
    <row r="16" spans="11:12" x14ac:dyDescent="0.3">
      <c r="K16" s="9">
        <v>14.17</v>
      </c>
      <c r="L16" s="24">
        <v>2010</v>
      </c>
    </row>
    <row r="17" spans="11:12" x14ac:dyDescent="0.3">
      <c r="K17" s="9">
        <v>14.01</v>
      </c>
      <c r="L17" s="24">
        <v>2010</v>
      </c>
    </row>
    <row r="18" spans="11:12" x14ac:dyDescent="0.3">
      <c r="K18" s="9">
        <v>13.85</v>
      </c>
      <c r="L18" s="24">
        <v>2010</v>
      </c>
    </row>
    <row r="19" spans="11:12" x14ac:dyDescent="0.3">
      <c r="K19" s="9">
        <v>13.8</v>
      </c>
      <c r="L19" s="24">
        <v>2010</v>
      </c>
    </row>
    <row r="20" spans="11:12" x14ac:dyDescent="0.3">
      <c r="K20" s="9">
        <v>13.75</v>
      </c>
      <c r="L20" s="24">
        <v>2010</v>
      </c>
    </row>
    <row r="21" spans="11:12" x14ac:dyDescent="0.3">
      <c r="K21" s="9">
        <v>13.71</v>
      </c>
      <c r="L21" s="24">
        <v>2010</v>
      </c>
    </row>
    <row r="22" spans="11:12" x14ac:dyDescent="0.3">
      <c r="K22" s="9">
        <v>13.67</v>
      </c>
      <c r="L22" s="24">
        <v>2010</v>
      </c>
    </row>
    <row r="23" spans="11:12" x14ac:dyDescent="0.3">
      <c r="K23" s="9">
        <v>13.65</v>
      </c>
      <c r="L23" s="24">
        <v>2010</v>
      </c>
    </row>
    <row r="24" spans="11:12" x14ac:dyDescent="0.3">
      <c r="K24" s="9">
        <v>13.63</v>
      </c>
      <c r="L24" s="24">
        <v>2010</v>
      </c>
    </row>
    <row r="25" spans="11:12" x14ac:dyDescent="0.3">
      <c r="K25" s="9">
        <v>13.51</v>
      </c>
      <c r="L25" s="24">
        <v>2010</v>
      </c>
    </row>
    <row r="26" spans="11:12" x14ac:dyDescent="0.3">
      <c r="K26" s="9">
        <v>13.44</v>
      </c>
      <c r="L26" s="24">
        <v>2010</v>
      </c>
    </row>
    <row r="27" spans="11:12" x14ac:dyDescent="0.3">
      <c r="K27" s="9">
        <v>13.29</v>
      </c>
      <c r="L27" s="24">
        <v>2011</v>
      </c>
    </row>
    <row r="28" spans="11:12" x14ac:dyDescent="0.3">
      <c r="K28" s="9">
        <v>12.96</v>
      </c>
      <c r="L28" s="24">
        <v>2011</v>
      </c>
    </row>
    <row r="29" spans="11:12" x14ac:dyDescent="0.3">
      <c r="K29" s="9">
        <v>12.74</v>
      </c>
      <c r="L29" s="24">
        <v>2011</v>
      </c>
    </row>
    <row r="30" spans="11:12" x14ac:dyDescent="0.3">
      <c r="K30" s="9">
        <v>12.64</v>
      </c>
      <c r="L30" s="24">
        <v>2011</v>
      </c>
    </row>
    <row r="31" spans="11:12" x14ac:dyDescent="0.3">
      <c r="K31" s="9">
        <v>12.47</v>
      </c>
      <c r="L31" s="24">
        <v>2011</v>
      </c>
    </row>
    <row r="32" spans="11:12" x14ac:dyDescent="0.3">
      <c r="K32" s="9">
        <v>12.4</v>
      </c>
      <c r="L32" s="24">
        <v>2011</v>
      </c>
    </row>
    <row r="33" spans="11:12" x14ac:dyDescent="0.3">
      <c r="K33" s="9">
        <v>12.35</v>
      </c>
      <c r="L33" s="24">
        <v>2011</v>
      </c>
    </row>
    <row r="34" spans="11:12" x14ac:dyDescent="0.3">
      <c r="K34" s="9">
        <v>12.29</v>
      </c>
      <c r="L34" s="24">
        <v>2011</v>
      </c>
    </row>
    <row r="35" spans="11:12" x14ac:dyDescent="0.3">
      <c r="K35" s="9">
        <v>12.22</v>
      </c>
      <c r="L35" s="24">
        <v>2011</v>
      </c>
    </row>
    <row r="36" spans="11:12" x14ac:dyDescent="0.3">
      <c r="K36" s="9">
        <v>12.15</v>
      </c>
      <c r="L36" s="24">
        <v>2011</v>
      </c>
    </row>
    <row r="37" spans="11:12" x14ac:dyDescent="0.3">
      <c r="K37" s="9">
        <v>12.08</v>
      </c>
      <c r="L37" s="24">
        <v>2011</v>
      </c>
    </row>
    <row r="38" spans="11:12" x14ac:dyDescent="0.3">
      <c r="K38" s="9">
        <v>12.03</v>
      </c>
      <c r="L38" s="24">
        <v>2011</v>
      </c>
    </row>
    <row r="39" spans="11:12" x14ac:dyDescent="0.3">
      <c r="K39" s="9">
        <v>11.98</v>
      </c>
      <c r="L39" s="24">
        <v>2012</v>
      </c>
    </row>
    <row r="40" spans="11:12" x14ac:dyDescent="0.3">
      <c r="K40" s="9">
        <v>11.92</v>
      </c>
      <c r="L40" s="24">
        <v>2012</v>
      </c>
    </row>
    <row r="41" spans="11:12" x14ac:dyDescent="0.3">
      <c r="K41" s="9">
        <v>11.98</v>
      </c>
      <c r="L41" s="24">
        <v>2012</v>
      </c>
    </row>
    <row r="42" spans="11:12" x14ac:dyDescent="0.3">
      <c r="K42" s="9">
        <v>12.05</v>
      </c>
      <c r="L42" s="24">
        <v>2012</v>
      </c>
    </row>
    <row r="43" spans="11:12" x14ac:dyDescent="0.3">
      <c r="K43" s="9">
        <v>12.09</v>
      </c>
      <c r="L43" s="24">
        <v>2012</v>
      </c>
    </row>
    <row r="44" spans="11:12" x14ac:dyDescent="0.3">
      <c r="K44" s="9">
        <v>12.12</v>
      </c>
      <c r="L44" s="24">
        <v>2012</v>
      </c>
    </row>
    <row r="45" spans="11:12" x14ac:dyDescent="0.3">
      <c r="K45" s="9">
        <v>12.14</v>
      </c>
      <c r="L45" s="24">
        <v>2012</v>
      </c>
    </row>
    <row r="46" spans="11:12" x14ac:dyDescent="0.3">
      <c r="K46" s="9">
        <v>12.16</v>
      </c>
      <c r="L46" s="24">
        <v>2012</v>
      </c>
    </row>
    <row r="47" spans="11:12" x14ac:dyDescent="0.3">
      <c r="K47" s="9">
        <v>12.19</v>
      </c>
      <c r="L47" s="24">
        <v>2012</v>
      </c>
    </row>
    <row r="48" spans="11:12" x14ac:dyDescent="0.3">
      <c r="K48" s="9">
        <v>12.21</v>
      </c>
      <c r="L48" s="24">
        <v>2012</v>
      </c>
    </row>
    <row r="49" spans="11:12" x14ac:dyDescent="0.3">
      <c r="K49" s="9">
        <v>12.25</v>
      </c>
      <c r="L49" s="24">
        <v>2012</v>
      </c>
    </row>
    <row r="50" spans="11:12" x14ac:dyDescent="0.3">
      <c r="K50" s="9">
        <v>12.29</v>
      </c>
      <c r="L50" s="24">
        <v>2012</v>
      </c>
    </row>
    <row r="51" spans="11:12" x14ac:dyDescent="0.3">
      <c r="K51" s="9">
        <v>12.32</v>
      </c>
      <c r="L51" s="24">
        <v>2013</v>
      </c>
    </row>
    <row r="52" spans="11:12" x14ac:dyDescent="0.3">
      <c r="K52" s="9">
        <v>12.73</v>
      </c>
      <c r="L52" s="24">
        <v>2013</v>
      </c>
    </row>
    <row r="53" spans="11:12" x14ac:dyDescent="0.3">
      <c r="K53" s="9">
        <v>12.82</v>
      </c>
      <c r="L53" s="24">
        <v>2013</v>
      </c>
    </row>
    <row r="54" spans="11:12" x14ac:dyDescent="0.3">
      <c r="K54" s="9">
        <v>12.87</v>
      </c>
      <c r="L54" s="24">
        <v>2013</v>
      </c>
    </row>
    <row r="55" spans="11:12" x14ac:dyDescent="0.3">
      <c r="K55" s="9">
        <v>12.81</v>
      </c>
      <c r="L55" s="24">
        <v>2013</v>
      </c>
    </row>
    <row r="56" spans="11:12" x14ac:dyDescent="0.3">
      <c r="K56" s="9">
        <v>12.8</v>
      </c>
      <c r="L56" s="24">
        <v>2013</v>
      </c>
    </row>
    <row r="57" spans="11:12" x14ac:dyDescent="0.3">
      <c r="K57" s="9">
        <v>12.76</v>
      </c>
      <c r="L57" s="24">
        <v>2013</v>
      </c>
    </row>
    <row r="58" spans="11:12" x14ac:dyDescent="0.3">
      <c r="K58" s="9">
        <v>12.71</v>
      </c>
      <c r="L58" s="24">
        <v>2013</v>
      </c>
    </row>
    <row r="59" spans="11:12" x14ac:dyDescent="0.3">
      <c r="K59" s="9">
        <v>12.67</v>
      </c>
      <c r="L59" s="24">
        <v>2013</v>
      </c>
    </row>
    <row r="60" spans="11:12" x14ac:dyDescent="0.3">
      <c r="K60" s="9">
        <v>12.64</v>
      </c>
      <c r="L60" s="24">
        <v>2013</v>
      </c>
    </row>
    <row r="61" spans="11:12" x14ac:dyDescent="0.3">
      <c r="K61" s="9">
        <v>12.6</v>
      </c>
      <c r="L61" s="24">
        <v>2013</v>
      </c>
    </row>
    <row r="62" spans="11:12" x14ac:dyDescent="0.3">
      <c r="K62" s="9">
        <v>12.56</v>
      </c>
      <c r="L62" s="24">
        <v>2013</v>
      </c>
    </row>
    <row r="63" spans="11:12" x14ac:dyDescent="0.3">
      <c r="K63" s="9">
        <v>12.51</v>
      </c>
      <c r="L63" s="24">
        <v>2014</v>
      </c>
    </row>
    <row r="64" spans="11:12" x14ac:dyDescent="0.3">
      <c r="K64" s="13">
        <v>12.3</v>
      </c>
      <c r="L64" s="24">
        <v>2014</v>
      </c>
    </row>
    <row r="65" spans="11:12" x14ac:dyDescent="0.3">
      <c r="K65" s="13">
        <v>12.3</v>
      </c>
      <c r="L65" s="24">
        <v>2014</v>
      </c>
    </row>
    <row r="66" spans="11:12" x14ac:dyDescent="0.3">
      <c r="K66" s="13">
        <v>12.18</v>
      </c>
      <c r="L66" s="24">
        <v>2014</v>
      </c>
    </row>
    <row r="67" spans="11:12" x14ac:dyDescent="0.3">
      <c r="K67" s="13">
        <v>12.22</v>
      </c>
      <c r="L67" s="24">
        <v>2014</v>
      </c>
    </row>
    <row r="68" spans="11:12" x14ac:dyDescent="0.3">
      <c r="K68" s="13">
        <v>12.22</v>
      </c>
      <c r="L68" s="24">
        <v>2014</v>
      </c>
    </row>
    <row r="69" spans="11:12" x14ac:dyDescent="0.3">
      <c r="K69" s="13">
        <v>12.22</v>
      </c>
      <c r="L69" s="24">
        <v>2014</v>
      </c>
    </row>
    <row r="70" spans="11:12" x14ac:dyDescent="0.3">
      <c r="K70" s="13">
        <v>12.23</v>
      </c>
      <c r="L70" s="24">
        <v>2014</v>
      </c>
    </row>
    <row r="71" spans="11:12" x14ac:dyDescent="0.3">
      <c r="K71" s="13">
        <v>12.24</v>
      </c>
      <c r="L71" s="24">
        <v>2014</v>
      </c>
    </row>
    <row r="72" spans="11:12" x14ac:dyDescent="0.3">
      <c r="K72" s="13">
        <v>12.27</v>
      </c>
      <c r="L72" s="24">
        <v>2014</v>
      </c>
    </row>
    <row r="73" spans="11:12" x14ac:dyDescent="0.3">
      <c r="K73" s="13">
        <v>12.34</v>
      </c>
      <c r="L73" s="24">
        <v>2014</v>
      </c>
    </row>
    <row r="74" spans="11:12" x14ac:dyDescent="0.3">
      <c r="K74" s="13">
        <v>12.37</v>
      </c>
      <c r="L74" s="24">
        <v>2014</v>
      </c>
    </row>
    <row r="75" spans="11:12" x14ac:dyDescent="0.3">
      <c r="K75" s="13">
        <v>12.47</v>
      </c>
      <c r="L75" s="24">
        <v>2015</v>
      </c>
    </row>
    <row r="76" spans="11:12" x14ac:dyDescent="0.3">
      <c r="K76" s="13">
        <v>14.16</v>
      </c>
      <c r="L76" s="24">
        <v>2015</v>
      </c>
    </row>
    <row r="77" spans="11:12" x14ac:dyDescent="0.3">
      <c r="K77" s="13">
        <v>14.46</v>
      </c>
      <c r="L77" s="24">
        <v>2015</v>
      </c>
    </row>
    <row r="78" spans="11:12" x14ac:dyDescent="0.3">
      <c r="K78" s="13">
        <v>14.54</v>
      </c>
      <c r="L78" s="24">
        <v>2015</v>
      </c>
    </row>
    <row r="79" spans="11:12" x14ac:dyDescent="0.3">
      <c r="K79" s="13">
        <v>14.41</v>
      </c>
      <c r="L79" s="24">
        <v>2015</v>
      </c>
    </row>
    <row r="80" spans="11:12" x14ac:dyDescent="0.3">
      <c r="K80" s="13">
        <v>14.23</v>
      </c>
      <c r="L80" s="24">
        <v>2015</v>
      </c>
    </row>
    <row r="81" spans="11:12" x14ac:dyDescent="0.3">
      <c r="K81" s="13">
        <v>14.05</v>
      </c>
      <c r="L81" s="24">
        <v>2015</v>
      </c>
    </row>
    <row r="82" spans="11:12" x14ac:dyDescent="0.3">
      <c r="K82" s="13">
        <v>13.95</v>
      </c>
      <c r="L82" s="24">
        <v>2015</v>
      </c>
    </row>
    <row r="83" spans="11:12" x14ac:dyDescent="0.3">
      <c r="K83" s="13">
        <v>13.79</v>
      </c>
      <c r="L83" s="24">
        <v>2015</v>
      </c>
    </row>
    <row r="84" spans="11:12" x14ac:dyDescent="0.3">
      <c r="K84" s="13">
        <v>13.7</v>
      </c>
      <c r="L84" s="24">
        <v>2015</v>
      </c>
    </row>
    <row r="85" spans="11:12" x14ac:dyDescent="0.3">
      <c r="K85" s="13">
        <v>13.59</v>
      </c>
      <c r="L85" s="24">
        <v>2015</v>
      </c>
    </row>
    <row r="86" spans="11:12" x14ac:dyDescent="0.3">
      <c r="K86" s="13">
        <v>13.44</v>
      </c>
      <c r="L86" s="24">
        <v>2015</v>
      </c>
    </row>
    <row r="87" spans="11:12" x14ac:dyDescent="0.3">
      <c r="K87" s="13">
        <v>13.36</v>
      </c>
      <c r="L87" s="24">
        <v>2016</v>
      </c>
    </row>
    <row r="88" spans="11:12" x14ac:dyDescent="0.3">
      <c r="K88" s="13">
        <v>12.51</v>
      </c>
      <c r="L88" s="24">
        <v>2016</v>
      </c>
    </row>
    <row r="89" spans="11:12" x14ac:dyDescent="0.3">
      <c r="K89" s="13">
        <v>12.24</v>
      </c>
      <c r="L89" s="24">
        <v>2016</v>
      </c>
    </row>
    <row r="90" spans="11:12" x14ac:dyDescent="0.3">
      <c r="K90" s="13">
        <v>12.48</v>
      </c>
      <c r="L90" s="24">
        <v>2016</v>
      </c>
    </row>
    <row r="91" spans="11:12" x14ac:dyDescent="0.3">
      <c r="K91" s="13">
        <v>12.6</v>
      </c>
      <c r="L91" s="24">
        <v>2016</v>
      </c>
    </row>
    <row r="92" spans="11:12" x14ac:dyDescent="0.3">
      <c r="K92" s="13">
        <v>12.7</v>
      </c>
      <c r="L92" s="24">
        <v>2016</v>
      </c>
    </row>
    <row r="93" spans="11:12" x14ac:dyDescent="0.3">
      <c r="K93" s="13">
        <v>12.74</v>
      </c>
      <c r="L93" s="24">
        <v>2016</v>
      </c>
    </row>
    <row r="94" spans="11:12" x14ac:dyDescent="0.3">
      <c r="K94" s="13">
        <v>12.75</v>
      </c>
      <c r="L94" s="24">
        <v>2016</v>
      </c>
    </row>
    <row r="95" spans="11:12" x14ac:dyDescent="0.3">
      <c r="K95" s="13">
        <v>12.74</v>
      </c>
      <c r="L95" s="24">
        <v>2016</v>
      </c>
    </row>
    <row r="96" spans="11:12" x14ac:dyDescent="0.3">
      <c r="K96" s="13">
        <v>12.71</v>
      </c>
      <c r="L96" s="24">
        <v>2016</v>
      </c>
    </row>
    <row r="97" spans="11:12" x14ac:dyDescent="0.3">
      <c r="K97" s="13">
        <v>12.68</v>
      </c>
      <c r="L97" s="24">
        <v>2016</v>
      </c>
    </row>
    <row r="98" spans="11:12" x14ac:dyDescent="0.3">
      <c r="K98" s="13">
        <v>12.62</v>
      </c>
      <c r="L98" s="24">
        <v>2016</v>
      </c>
    </row>
    <row r="99" spans="11:12" x14ac:dyDescent="0.3">
      <c r="K99" s="13">
        <v>12.49</v>
      </c>
      <c r="L99" s="24">
        <v>2017</v>
      </c>
    </row>
    <row r="100" spans="11:12" x14ac:dyDescent="0.3">
      <c r="K100" s="13">
        <v>11.84</v>
      </c>
      <c r="L100" s="24">
        <v>2017</v>
      </c>
    </row>
    <row r="101" spans="11:12" x14ac:dyDescent="0.3">
      <c r="K101" s="13">
        <v>11.9</v>
      </c>
      <c r="L101" s="24">
        <v>2017</v>
      </c>
    </row>
    <row r="102" spans="11:12" x14ac:dyDescent="0.3">
      <c r="K102" s="13">
        <v>11.81</v>
      </c>
      <c r="L102" s="24">
        <v>2017</v>
      </c>
    </row>
    <row r="103" spans="11:12" x14ac:dyDescent="0.3">
      <c r="K103" s="13">
        <v>11.69</v>
      </c>
      <c r="L103" s="24">
        <v>2017</v>
      </c>
    </row>
    <row r="104" spans="11:12" x14ac:dyDescent="0.3">
      <c r="K104" s="13">
        <v>11.61</v>
      </c>
      <c r="L104" s="24">
        <v>2017</v>
      </c>
    </row>
    <row r="105" spans="11:12" x14ac:dyDescent="0.3">
      <c r="K105" s="13">
        <v>11.5</v>
      </c>
      <c r="L105" s="24">
        <v>2017</v>
      </c>
    </row>
    <row r="106" spans="11:12" x14ac:dyDescent="0.3">
      <c r="K106" s="13">
        <v>11.41</v>
      </c>
      <c r="L106" s="24">
        <v>2017</v>
      </c>
    </row>
    <row r="107" spans="11:12" x14ac:dyDescent="0.3">
      <c r="K107" s="13">
        <v>11.28</v>
      </c>
      <c r="L107" s="24">
        <v>2017</v>
      </c>
    </row>
    <row r="108" spans="11:12" x14ac:dyDescent="0.3">
      <c r="K108" s="13">
        <v>11.1</v>
      </c>
      <c r="L108" s="24">
        <v>2017</v>
      </c>
    </row>
    <row r="109" spans="11:12" x14ac:dyDescent="0.3">
      <c r="K109" s="13">
        <v>10.94</v>
      </c>
      <c r="L109" s="24">
        <v>2017</v>
      </c>
    </row>
    <row r="110" spans="11:12" x14ac:dyDescent="0.3">
      <c r="K110" s="13">
        <v>10.78</v>
      </c>
      <c r="L110" s="24">
        <v>2017</v>
      </c>
    </row>
    <row r="111" spans="11:12" x14ac:dyDescent="0.3">
      <c r="K111" s="16">
        <v>10.64</v>
      </c>
      <c r="L111" s="24">
        <v>2018</v>
      </c>
    </row>
    <row r="112" spans="11:12" x14ac:dyDescent="0.3">
      <c r="K112" s="19">
        <v>9.85</v>
      </c>
      <c r="L112" s="24">
        <v>2018</v>
      </c>
    </row>
    <row r="113" spans="11:12" x14ac:dyDescent="0.3">
      <c r="K113" s="19">
        <v>9.8000000000000007</v>
      </c>
      <c r="L113" s="24">
        <v>2018</v>
      </c>
    </row>
    <row r="114" spans="11:12" x14ac:dyDescent="0.3">
      <c r="K114" s="19">
        <v>9.74</v>
      </c>
      <c r="L114" s="24">
        <v>2018</v>
      </c>
    </row>
    <row r="115" spans="11:12" x14ac:dyDescent="0.3">
      <c r="K115" s="19">
        <v>9.69</v>
      </c>
      <c r="L115" s="24">
        <v>2018</v>
      </c>
    </row>
    <row r="116" spans="11:12" x14ac:dyDescent="0.3">
      <c r="K116" s="19">
        <v>9.66</v>
      </c>
      <c r="L116" s="24">
        <v>2018</v>
      </c>
    </row>
    <row r="117" spans="11:12" x14ac:dyDescent="0.3">
      <c r="K117" s="19">
        <v>9.6300000000000008</v>
      </c>
      <c r="L117" s="24">
        <v>2018</v>
      </c>
    </row>
    <row r="118" spans="11:12" x14ac:dyDescent="0.3">
      <c r="K118" s="19">
        <v>9.6199999999999992</v>
      </c>
      <c r="L118" s="24">
        <v>2018</v>
      </c>
    </row>
    <row r="119" spans="11:12" x14ac:dyDescent="0.3">
      <c r="K119" s="19">
        <v>9.59</v>
      </c>
      <c r="L119" s="24">
        <v>2018</v>
      </c>
    </row>
    <row r="120" spans="11:12" x14ac:dyDescent="0.3">
      <c r="K120" s="19">
        <v>9.57</v>
      </c>
      <c r="L120" s="24">
        <v>2018</v>
      </c>
    </row>
    <row r="121" spans="11:12" x14ac:dyDescent="0.3">
      <c r="K121" s="19">
        <v>9.5500000000000007</v>
      </c>
      <c r="L121" s="24">
        <v>2018</v>
      </c>
    </row>
    <row r="122" spans="11:12" x14ac:dyDescent="0.3">
      <c r="K122" s="19">
        <v>9.5399999999999991</v>
      </c>
      <c r="L122" s="24">
        <v>2018</v>
      </c>
    </row>
    <row r="123" spans="11:12" x14ac:dyDescent="0.3">
      <c r="K123" s="16">
        <v>9.56</v>
      </c>
      <c r="L123" s="24">
        <v>2019</v>
      </c>
    </row>
    <row r="124" spans="11:12" x14ac:dyDescent="0.3">
      <c r="K124" s="19">
        <v>9.89</v>
      </c>
      <c r="L124" s="24">
        <v>2019</v>
      </c>
    </row>
    <row r="125" spans="11:12" x14ac:dyDescent="0.3">
      <c r="K125" s="19">
        <v>10.041232200381501</v>
      </c>
      <c r="L125" s="24">
        <v>2019</v>
      </c>
    </row>
    <row r="126" spans="11:12" x14ac:dyDescent="0.3">
      <c r="K126" s="19">
        <v>10.1789149612837</v>
      </c>
      <c r="L126" s="24">
        <v>2019</v>
      </c>
    </row>
    <row r="127" spans="11:12" x14ac:dyDescent="0.3">
      <c r="K127" s="19">
        <v>10.2859873759684</v>
      </c>
      <c r="L127" s="24">
        <v>2019</v>
      </c>
    </row>
    <row r="128" spans="11:12" x14ac:dyDescent="0.3">
      <c r="K128" s="19">
        <v>10.331957596990399</v>
      </c>
      <c r="L128" s="24">
        <v>2019</v>
      </c>
    </row>
    <row r="129" spans="11:12" x14ac:dyDescent="0.3">
      <c r="K129" s="19">
        <v>10.326385645079499</v>
      </c>
      <c r="L129" s="24">
        <v>2019</v>
      </c>
    </row>
    <row r="130" spans="11:12" x14ac:dyDescent="0.3">
      <c r="K130" s="19">
        <v>10.311475768752601</v>
      </c>
      <c r="L130" s="24">
        <v>2019</v>
      </c>
    </row>
    <row r="131" spans="11:12" x14ac:dyDescent="0.3">
      <c r="K131" s="19">
        <v>10.2546199802598</v>
      </c>
      <c r="L131" s="24">
        <v>2019</v>
      </c>
    </row>
    <row r="132" spans="11:12" x14ac:dyDescent="0.3">
      <c r="K132" s="19">
        <v>10.1825783703665</v>
      </c>
      <c r="L132" s="24">
        <v>2019</v>
      </c>
    </row>
    <row r="133" spans="11:12" x14ac:dyDescent="0.3">
      <c r="K133" s="19">
        <v>10.087088793971599</v>
      </c>
      <c r="L133" s="24">
        <v>2019</v>
      </c>
    </row>
    <row r="134" spans="11:12" x14ac:dyDescent="0.3">
      <c r="K134" s="19">
        <v>9.9902794634507206</v>
      </c>
      <c r="L134" s="24">
        <v>2019</v>
      </c>
    </row>
    <row r="135" spans="11:12" x14ac:dyDescent="0.3">
      <c r="K135" s="16">
        <v>9.8723788597368003</v>
      </c>
      <c r="L135" s="24">
        <v>2020</v>
      </c>
    </row>
    <row r="136" spans="11:12" x14ac:dyDescent="0.3">
      <c r="K136" s="19">
        <v>8.8461050481398793</v>
      </c>
      <c r="L136" s="24">
        <v>2020</v>
      </c>
    </row>
    <row r="137" spans="11:12" x14ac:dyDescent="0.3">
      <c r="K137" s="19">
        <v>8.7806310039885602</v>
      </c>
      <c r="L137" s="24">
        <v>2020</v>
      </c>
    </row>
    <row r="138" spans="11:12" x14ac:dyDescent="0.3">
      <c r="K138" s="19">
        <v>8.7408829550789306</v>
      </c>
      <c r="L138" s="24">
        <v>2020</v>
      </c>
    </row>
    <row r="139" spans="11:12" x14ac:dyDescent="0.3">
      <c r="K139" s="19">
        <v>8.6726665023301397</v>
      </c>
      <c r="L139" s="24">
        <v>2020</v>
      </c>
    </row>
    <row r="140" spans="11:12" x14ac:dyDescent="0.3">
      <c r="K140" s="19">
        <v>8.4831671374026403</v>
      </c>
      <c r="L140" s="24">
        <v>2020</v>
      </c>
    </row>
    <row r="141" spans="11:12" x14ac:dyDescent="0.3">
      <c r="K141" s="19">
        <v>8.3210416613731706</v>
      </c>
      <c r="L141" s="24">
        <v>2020</v>
      </c>
    </row>
    <row r="142" spans="11:12" x14ac:dyDescent="0.3">
      <c r="K142" s="19">
        <v>8.1340721930653395</v>
      </c>
      <c r="L142" s="24">
        <v>2020</v>
      </c>
    </row>
    <row r="143" spans="11:12" x14ac:dyDescent="0.3">
      <c r="K143" s="19">
        <v>7.9781386489278301</v>
      </c>
      <c r="L143" s="24">
        <v>2020</v>
      </c>
    </row>
    <row r="144" spans="11:12" x14ac:dyDescent="0.3">
      <c r="K144" s="19">
        <v>7.8611255994079396</v>
      </c>
      <c r="L144" s="24">
        <v>2020</v>
      </c>
    </row>
    <row r="145" spans="11:12" x14ac:dyDescent="0.3">
      <c r="K145" s="19">
        <v>7.7719116628776499</v>
      </c>
      <c r="L145" s="24">
        <v>2020</v>
      </c>
    </row>
    <row r="146" spans="11:12" x14ac:dyDescent="0.3">
      <c r="K146" s="19">
        <v>7.7218226498245697</v>
      </c>
      <c r="L146" s="24">
        <v>2020</v>
      </c>
    </row>
    <row r="147" spans="11:12" x14ac:dyDescent="0.3">
      <c r="K147" s="13">
        <v>7.6746878268035301</v>
      </c>
      <c r="L147" s="24">
        <v>2021</v>
      </c>
    </row>
    <row r="148" spans="11:12" x14ac:dyDescent="0.3">
      <c r="K148" s="21">
        <v>7.2299141258069604</v>
      </c>
      <c r="L148" s="24">
        <v>2021</v>
      </c>
    </row>
    <row r="149" spans="11:12" x14ac:dyDescent="0.3">
      <c r="K149" s="21">
        <v>7.2513492912085402</v>
      </c>
      <c r="L149" s="24">
        <v>2021</v>
      </c>
    </row>
    <row r="150" spans="11:12" x14ac:dyDescent="0.3">
      <c r="K150" s="21">
        <v>7.24443078895301</v>
      </c>
      <c r="L150" s="24">
        <v>2021</v>
      </c>
    </row>
    <row r="151" spans="11:12" x14ac:dyDescent="0.3">
      <c r="K151" s="21">
        <v>7.2620010562644604</v>
      </c>
      <c r="L151" s="24">
        <v>2021</v>
      </c>
    </row>
    <row r="152" spans="11:12" x14ac:dyDescent="0.3">
      <c r="K152" s="21">
        <v>7.2695876776653199</v>
      </c>
      <c r="L152" s="24">
        <v>2021</v>
      </c>
    </row>
    <row r="153" spans="11:12" x14ac:dyDescent="0.3">
      <c r="K153" s="21">
        <v>7.2278074649192297</v>
      </c>
      <c r="L153" s="24">
        <v>2021</v>
      </c>
    </row>
    <row r="154" spans="11:12" x14ac:dyDescent="0.3">
      <c r="K154" s="21">
        <v>7.2910729506059297</v>
      </c>
      <c r="L154" s="24">
        <v>2021</v>
      </c>
    </row>
    <row r="155" spans="11:12" x14ac:dyDescent="0.3">
      <c r="K155" s="21">
        <v>7.3526498285739299</v>
      </c>
      <c r="L155" s="24">
        <v>2021</v>
      </c>
    </row>
    <row r="156" spans="11:12" x14ac:dyDescent="0.3">
      <c r="K156" s="21">
        <v>7.3986477182112003</v>
      </c>
      <c r="L156" s="24">
        <v>2021</v>
      </c>
    </row>
    <row r="157" spans="11:12" x14ac:dyDescent="0.3">
      <c r="K157" s="21">
        <v>7.4337074560463297</v>
      </c>
      <c r="L157" s="24">
        <v>2021</v>
      </c>
    </row>
    <row r="158" spans="11:12" x14ac:dyDescent="0.3">
      <c r="K158" s="21">
        <v>7.4506539075763101</v>
      </c>
      <c r="L158" s="24">
        <v>2021</v>
      </c>
    </row>
    <row r="159" spans="11:12" x14ac:dyDescent="0.3">
      <c r="K159" s="13">
        <v>7.4929849477907604</v>
      </c>
      <c r="L159" s="24">
        <v>2022</v>
      </c>
    </row>
    <row r="160" spans="11:12" x14ac:dyDescent="0.3">
      <c r="K160" s="21">
        <v>7.8710020331191002</v>
      </c>
      <c r="L160" s="24">
        <v>2022</v>
      </c>
    </row>
    <row r="161" spans="11:12" x14ac:dyDescent="0.3">
      <c r="K161" s="21">
        <v>8.0097213077866396</v>
      </c>
      <c r="L161" s="24">
        <v>2022</v>
      </c>
    </row>
    <row r="162" spans="11:12" x14ac:dyDescent="0.3">
      <c r="K162" s="21">
        <v>8.0245677008932894</v>
      </c>
      <c r="L162" s="24">
        <v>2022</v>
      </c>
    </row>
    <row r="163" spans="11:12" x14ac:dyDescent="0.3">
      <c r="K163" s="21">
        <v>7.9836573182267196</v>
      </c>
      <c r="L163" s="24">
        <v>2022</v>
      </c>
    </row>
    <row r="164" spans="11:12" x14ac:dyDescent="0.3">
      <c r="K164" s="21">
        <v>7.8240061910112102</v>
      </c>
      <c r="L164" s="24">
        <v>2022</v>
      </c>
    </row>
    <row r="165" spans="11:12" x14ac:dyDescent="0.3">
      <c r="K165" s="21">
        <v>7.6231946144807701</v>
      </c>
      <c r="L165" s="24">
        <v>2022</v>
      </c>
    </row>
    <row r="166" spans="11:12" x14ac:dyDescent="0.3">
      <c r="K166" s="21">
        <v>7.4730127154458303</v>
      </c>
      <c r="L166" s="24">
        <v>2022</v>
      </c>
    </row>
    <row r="167" spans="11:12" x14ac:dyDescent="0.3">
      <c r="K167" s="21">
        <v>7.3322996986712399</v>
      </c>
      <c r="L167" s="24">
        <v>2022</v>
      </c>
    </row>
    <row r="168" spans="11:12" x14ac:dyDescent="0.3">
      <c r="K168" s="21">
        <v>7.2284518766563401</v>
      </c>
      <c r="L168" s="24">
        <v>2022</v>
      </c>
    </row>
    <row r="169" spans="11:12" x14ac:dyDescent="0.3">
      <c r="K169" s="21">
        <v>7.2474614662842498</v>
      </c>
      <c r="L169" s="24">
        <v>2022</v>
      </c>
    </row>
    <row r="170" spans="11:12" x14ac:dyDescent="0.3">
      <c r="K170" s="21">
        <v>7.2317589554553203</v>
      </c>
      <c r="L170" s="24">
        <v>2022</v>
      </c>
    </row>
    <row r="171" spans="11:12" x14ac:dyDescent="0.3">
      <c r="K171" s="13">
        <v>7.1434414050691002</v>
      </c>
      <c r="L171" s="24">
        <v>2023</v>
      </c>
    </row>
    <row r="172" spans="11:12" x14ac:dyDescent="0.3">
      <c r="K172" s="21">
        <v>7.8616709086823704</v>
      </c>
      <c r="L172" s="24">
        <v>2023</v>
      </c>
    </row>
    <row r="173" spans="11:12" x14ac:dyDescent="0.3">
      <c r="K173" s="21">
        <v>7.9768157043627603</v>
      </c>
      <c r="L173" s="24">
        <v>2023</v>
      </c>
    </row>
    <row r="174" spans="11:12" x14ac:dyDescent="0.3">
      <c r="K174" s="21">
        <v>8.0681979233267604</v>
      </c>
      <c r="L174" s="24">
        <v>2023</v>
      </c>
    </row>
    <row r="175" spans="11:12" x14ac:dyDescent="0.3">
      <c r="K175" s="21">
        <v>8.2057718181151102</v>
      </c>
      <c r="L175" s="24">
        <v>2023</v>
      </c>
    </row>
    <row r="176" spans="11:12" x14ac:dyDescent="0.3">
      <c r="K176" s="21">
        <v>8.2536786290411399</v>
      </c>
      <c r="L176" s="24">
        <v>2023</v>
      </c>
    </row>
    <row r="177" spans="11:12" x14ac:dyDescent="0.3">
      <c r="K177" s="21">
        <v>8.2937805105220992</v>
      </c>
      <c r="L177" s="24">
        <v>2023</v>
      </c>
    </row>
    <row r="178" spans="11:12" x14ac:dyDescent="0.3">
      <c r="K178" s="21">
        <v>8.2860723823704596</v>
      </c>
      <c r="L178" s="24">
        <v>2023</v>
      </c>
    </row>
    <row r="179" spans="11:12" x14ac:dyDescent="0.3">
      <c r="K179" s="21">
        <v>8.2401051969259296</v>
      </c>
      <c r="L179" s="24">
        <v>2023</v>
      </c>
    </row>
    <row r="180" spans="11:12" x14ac:dyDescent="0.3">
      <c r="K180" s="21">
        <v>8.1827152695892806</v>
      </c>
      <c r="L180" s="24">
        <v>2023</v>
      </c>
    </row>
    <row r="181" spans="11:12" x14ac:dyDescent="0.3">
      <c r="K181" s="21">
        <v>8.2032766589560797</v>
      </c>
      <c r="L181" s="24">
        <v>2023</v>
      </c>
    </row>
    <row r="182" spans="11:12" x14ac:dyDescent="0.3">
      <c r="K182" s="21">
        <v>8.2010392879351794</v>
      </c>
      <c r="L182" s="24">
        <v>2023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1877-3AFC-443F-97C1-265016F77F88}">
  <dimension ref="A1:B181"/>
  <sheetViews>
    <sheetView topLeftCell="J153" zoomScale="69" workbookViewId="0">
      <selection activeCell="S176" sqref="S176"/>
    </sheetView>
  </sheetViews>
  <sheetFormatPr defaultRowHeight="14.4" x14ac:dyDescent="0.3"/>
  <sheetData>
    <row r="1" spans="1:2" ht="15" thickBot="1" x14ac:dyDescent="0.35"/>
    <row r="2" spans="1:2" x14ac:dyDescent="0.3">
      <c r="A2" s="31" t="s">
        <v>66</v>
      </c>
      <c r="B2" s="31" t="s">
        <v>65</v>
      </c>
    </row>
    <row r="3" spans="1:2" x14ac:dyDescent="0.3">
      <c r="A3">
        <v>0.25366884507217691</v>
      </c>
      <c r="B3">
        <v>14.096331154927823</v>
      </c>
    </row>
    <row r="4" spans="1:2" x14ac:dyDescent="0.3">
      <c r="A4">
        <v>0.46120340003601079</v>
      </c>
      <c r="B4">
        <v>14.038796599963989</v>
      </c>
    </row>
    <row r="5" spans="1:2" x14ac:dyDescent="0.3">
      <c r="A5">
        <v>0.71350183534102207</v>
      </c>
      <c r="B5">
        <v>13.956498164658978</v>
      </c>
    </row>
    <row r="6" spans="1:2" x14ac:dyDescent="0.3">
      <c r="A6">
        <v>0.91751734296237331</v>
      </c>
      <c r="B6">
        <v>13.792482657037628</v>
      </c>
    </row>
    <row r="7" spans="1:2" x14ac:dyDescent="0.3">
      <c r="A7">
        <v>1.1133275263779048</v>
      </c>
      <c r="B7">
        <v>13.726672473622095</v>
      </c>
    </row>
    <row r="8" spans="1:2" x14ac:dyDescent="0.3">
      <c r="A8">
        <v>1.1970397452952177</v>
      </c>
      <c r="B8">
        <v>13.662960254704782</v>
      </c>
    </row>
    <row r="9" spans="1:2" x14ac:dyDescent="0.3">
      <c r="A9">
        <v>1.306512271224463</v>
      </c>
      <c r="B9">
        <v>13.573487728775538</v>
      </c>
    </row>
    <row r="10" spans="1:2" x14ac:dyDescent="0.3">
      <c r="A10">
        <v>1.3744641191026261</v>
      </c>
      <c r="B10">
        <v>13.475535880897374</v>
      </c>
    </row>
    <row r="11" spans="1:2" x14ac:dyDescent="0.3">
      <c r="A11">
        <v>1.6045776516121215</v>
      </c>
      <c r="B11">
        <v>13.195422348387879</v>
      </c>
    </row>
    <row r="12" spans="1:2" x14ac:dyDescent="0.3">
      <c r="A12">
        <v>1.7230247997022285</v>
      </c>
      <c r="B12">
        <v>13.036975200297771</v>
      </c>
    </row>
    <row r="13" spans="1:2" x14ac:dyDescent="0.3">
      <c r="A13">
        <v>1.8018588262334951</v>
      </c>
      <c r="B13">
        <v>12.918141173766506</v>
      </c>
    </row>
    <row r="14" spans="1:2" x14ac:dyDescent="0.3">
      <c r="A14">
        <v>1.6879529157744333</v>
      </c>
      <c r="B14">
        <v>12.902047084225567</v>
      </c>
    </row>
    <row r="15" spans="1:2" x14ac:dyDescent="0.3">
      <c r="A15">
        <v>1.1303791622470118</v>
      </c>
      <c r="B15">
        <v>13.039620837752988</v>
      </c>
    </row>
    <row r="16" spans="1:2" x14ac:dyDescent="0.3">
      <c r="A16">
        <v>1.0918621601696881</v>
      </c>
      <c r="B16">
        <v>12.918137839830312</v>
      </c>
    </row>
    <row r="17" spans="1:2" x14ac:dyDescent="0.3">
      <c r="A17">
        <v>1.0339051058928703</v>
      </c>
      <c r="B17">
        <v>12.816094894107129</v>
      </c>
    </row>
    <row r="18" spans="1:2" x14ac:dyDescent="0.3">
      <c r="A18">
        <v>1.0201262365273429</v>
      </c>
      <c r="B18">
        <v>12.779873763472658</v>
      </c>
    </row>
    <row r="19" spans="1:2" x14ac:dyDescent="0.3">
      <c r="A19">
        <v>1.0866949358915363</v>
      </c>
      <c r="B19">
        <v>12.663305064108464</v>
      </c>
    </row>
    <row r="20" spans="1:2" x14ac:dyDescent="0.3">
      <c r="A20">
        <v>1.0786835699529451</v>
      </c>
      <c r="B20">
        <v>12.631316430047056</v>
      </c>
    </row>
    <row r="21" spans="1:2" x14ac:dyDescent="0.3">
      <c r="A21">
        <v>1.088460267036476</v>
      </c>
      <c r="B21">
        <v>12.581539732963524</v>
      </c>
    </row>
    <row r="22" spans="1:2" x14ac:dyDescent="0.3">
      <c r="A22">
        <v>1.0719547340291502</v>
      </c>
      <c r="B22">
        <v>12.57804526597085</v>
      </c>
    </row>
    <row r="23" spans="1:2" x14ac:dyDescent="0.3">
      <c r="A23">
        <v>1.0754379672915544</v>
      </c>
      <c r="B23">
        <v>12.554562032708446</v>
      </c>
    </row>
    <row r="24" spans="1:2" x14ac:dyDescent="0.3">
      <c r="A24">
        <v>0.98708388053258567</v>
      </c>
      <c r="B24">
        <v>12.522916119467414</v>
      </c>
    </row>
    <row r="25" spans="1:2" x14ac:dyDescent="0.3">
      <c r="A25">
        <v>0.94784105254776918</v>
      </c>
      <c r="B25">
        <v>12.49215894745223</v>
      </c>
    </row>
    <row r="26" spans="1:2" x14ac:dyDescent="0.3">
      <c r="A26">
        <v>0.85494662526063792</v>
      </c>
      <c r="B26">
        <v>12.435053374739361</v>
      </c>
    </row>
    <row r="27" spans="1:2" x14ac:dyDescent="0.3">
      <c r="A27">
        <v>-5.198006932689303E-2</v>
      </c>
      <c r="B27">
        <v>13.011980069326894</v>
      </c>
    </row>
    <row r="28" spans="1:2" x14ac:dyDescent="0.3">
      <c r="A28">
        <v>-0.14407324676111166</v>
      </c>
      <c r="B28">
        <v>12.884073246761112</v>
      </c>
    </row>
    <row r="29" spans="1:2" x14ac:dyDescent="0.3">
      <c r="A29">
        <v>-0.16027652313252361</v>
      </c>
      <c r="B29">
        <v>12.800276523132524</v>
      </c>
    </row>
    <row r="30" spans="1:2" x14ac:dyDescent="0.3">
      <c r="A30">
        <v>-0.37457012347570995</v>
      </c>
      <c r="B30">
        <v>12.844570123475711</v>
      </c>
    </row>
    <row r="31" spans="1:2" x14ac:dyDescent="0.3">
      <c r="A31">
        <v>-0.44809706143389505</v>
      </c>
      <c r="B31">
        <v>12.848097061433895</v>
      </c>
    </row>
    <row r="32" spans="1:2" x14ac:dyDescent="0.3">
      <c r="A32">
        <v>-0.51164363029574211</v>
      </c>
      <c r="B32">
        <v>12.861643630295742</v>
      </c>
    </row>
    <row r="33" spans="1:2" x14ac:dyDescent="0.3">
      <c r="A33">
        <v>-0.62348593850262901</v>
      </c>
      <c r="B33">
        <v>12.913485938502628</v>
      </c>
    </row>
    <row r="34" spans="1:2" x14ac:dyDescent="0.3">
      <c r="A34">
        <v>-0.72112142757878672</v>
      </c>
      <c r="B34">
        <v>12.941121427578787</v>
      </c>
    </row>
    <row r="35" spans="1:2" x14ac:dyDescent="0.3">
      <c r="A35">
        <v>-0.84639922540464418</v>
      </c>
      <c r="B35">
        <v>12.996399225404645</v>
      </c>
    </row>
    <row r="36" spans="1:2" x14ac:dyDescent="0.3">
      <c r="A36">
        <v>-0.93154791856664865</v>
      </c>
      <c r="B36">
        <v>13.011547918566649</v>
      </c>
    </row>
    <row r="37" spans="1:2" x14ac:dyDescent="0.3">
      <c r="A37">
        <v>-0.91383169778103657</v>
      </c>
      <c r="B37">
        <v>12.943831697781036</v>
      </c>
    </row>
    <row r="38" spans="1:2" x14ac:dyDescent="0.3">
      <c r="A38">
        <v>-0.95802934745241153</v>
      </c>
      <c r="B38">
        <v>12.938029347452412</v>
      </c>
    </row>
    <row r="39" spans="1:2" x14ac:dyDescent="0.3">
      <c r="A39">
        <v>-1.7222906442946933</v>
      </c>
      <c r="B39">
        <v>13.642290644294693</v>
      </c>
    </row>
    <row r="40" spans="1:2" x14ac:dyDescent="0.3">
      <c r="A40">
        <v>-1.5247494117005402</v>
      </c>
      <c r="B40">
        <v>13.504749411700541</v>
      </c>
    </row>
    <row r="41" spans="1:2" x14ac:dyDescent="0.3">
      <c r="A41">
        <v>-1.3391509323908046</v>
      </c>
      <c r="B41">
        <v>13.389150932390805</v>
      </c>
    </row>
    <row r="42" spans="1:2" x14ac:dyDescent="0.3">
      <c r="A42">
        <v>-1.1883891457496869</v>
      </c>
      <c r="B42">
        <v>13.278389145749687</v>
      </c>
    </row>
    <row r="43" spans="1:2" x14ac:dyDescent="0.3">
      <c r="A43">
        <v>-1.0919504152761057</v>
      </c>
      <c r="B43">
        <v>13.211950415276105</v>
      </c>
    </row>
    <row r="44" spans="1:2" x14ac:dyDescent="0.3">
      <c r="A44">
        <v>-1.0090723523656138</v>
      </c>
      <c r="B44">
        <v>13.149072352365614</v>
      </c>
    </row>
    <row r="45" spans="1:2" x14ac:dyDescent="0.3">
      <c r="A45">
        <v>-0.93250698248920649</v>
      </c>
      <c r="B45">
        <v>13.092506982489207</v>
      </c>
    </row>
    <row r="46" spans="1:2" x14ac:dyDescent="0.3">
      <c r="A46">
        <v>-0.89231652643080572</v>
      </c>
      <c r="B46">
        <v>13.082316526430805</v>
      </c>
    </row>
    <row r="47" spans="1:2" x14ac:dyDescent="0.3">
      <c r="A47">
        <v>-0.82470336375553721</v>
      </c>
      <c r="B47">
        <v>13.034703363755538</v>
      </c>
    </row>
    <row r="48" spans="1:2" x14ac:dyDescent="0.3">
      <c r="A48">
        <v>-0.72920573291183644</v>
      </c>
      <c r="B48">
        <v>12.979205732911836</v>
      </c>
    </row>
    <row r="49" spans="1:2" x14ac:dyDescent="0.3">
      <c r="A49">
        <v>-0.60846627140507437</v>
      </c>
      <c r="B49">
        <v>12.898466271405074</v>
      </c>
    </row>
    <row r="50" spans="1:2" x14ac:dyDescent="0.3">
      <c r="A50">
        <v>-0.47591413553411854</v>
      </c>
      <c r="B50">
        <v>12.795914135534119</v>
      </c>
    </row>
    <row r="51" spans="1:2" x14ac:dyDescent="0.3">
      <c r="A51">
        <v>-0.54912299130946529</v>
      </c>
      <c r="B51">
        <v>13.279122991309466</v>
      </c>
    </row>
    <row r="52" spans="1:2" x14ac:dyDescent="0.3">
      <c r="A52">
        <v>-0.46552693226185227</v>
      </c>
      <c r="B52">
        <v>13.285526932261853</v>
      </c>
    </row>
    <row r="53" spans="1:2" x14ac:dyDescent="0.3">
      <c r="A53">
        <v>-0.38125357023124984</v>
      </c>
      <c r="B53">
        <v>13.251253570231249</v>
      </c>
    </row>
    <row r="54" spans="1:2" x14ac:dyDescent="0.3">
      <c r="A54">
        <v>-0.39769952347028514</v>
      </c>
      <c r="B54">
        <v>13.207699523470286</v>
      </c>
    </row>
    <row r="55" spans="1:2" x14ac:dyDescent="0.3">
      <c r="A55">
        <v>-0.40219874073950379</v>
      </c>
      <c r="B55">
        <v>13.202198740739505</v>
      </c>
    </row>
    <row r="56" spans="1:2" x14ac:dyDescent="0.3">
      <c r="A56">
        <v>-0.40507840955030971</v>
      </c>
      <c r="B56">
        <v>13.16507840955031</v>
      </c>
    </row>
    <row r="57" spans="1:2" x14ac:dyDescent="0.3">
      <c r="A57">
        <v>-0.40079312588322935</v>
      </c>
      <c r="B57">
        <v>13.11079312588323</v>
      </c>
    </row>
    <row r="58" spans="1:2" x14ac:dyDescent="0.3">
      <c r="A58">
        <v>0.35148056183881415</v>
      </c>
      <c r="B58">
        <v>12.318519438161186</v>
      </c>
    </row>
    <row r="59" spans="1:2" x14ac:dyDescent="0.3">
      <c r="A59">
        <v>0.37268918258194184</v>
      </c>
      <c r="B59">
        <v>12.267310817418059</v>
      </c>
    </row>
    <row r="60" spans="1:2" x14ac:dyDescent="0.3">
      <c r="A60">
        <v>0.40280054677378097</v>
      </c>
      <c r="B60">
        <v>12.197199453226219</v>
      </c>
    </row>
    <row r="61" spans="1:2" x14ac:dyDescent="0.3">
      <c r="A61">
        <v>0.38209779461752191</v>
      </c>
      <c r="B61">
        <v>12.177902205382479</v>
      </c>
    </row>
    <row r="62" spans="1:2" x14ac:dyDescent="0.3">
      <c r="A62">
        <v>0.42843622163915818</v>
      </c>
      <c r="B62">
        <v>12.081563778360842</v>
      </c>
    </row>
    <row r="63" spans="1:2" x14ac:dyDescent="0.3">
      <c r="A63">
        <v>-0.50788761373941149</v>
      </c>
      <c r="B63">
        <v>12.807887613739412</v>
      </c>
    </row>
    <row r="64" spans="1:2" x14ac:dyDescent="0.3">
      <c r="A64">
        <v>-0.56690360926632088</v>
      </c>
      <c r="B64">
        <v>12.866903609266322</v>
      </c>
    </row>
    <row r="65" spans="1:2" x14ac:dyDescent="0.3">
      <c r="A65">
        <v>-0.63966593123915416</v>
      </c>
      <c r="B65">
        <v>12.819665931239154</v>
      </c>
    </row>
    <row r="66" spans="1:2" x14ac:dyDescent="0.3">
      <c r="A66">
        <v>-0.90695151093755833</v>
      </c>
      <c r="B66">
        <v>13.126951510937559</v>
      </c>
    </row>
    <row r="67" spans="1:2" x14ac:dyDescent="0.3">
      <c r="A67">
        <v>-0.76266181278248091</v>
      </c>
      <c r="B67">
        <v>12.982661812782482</v>
      </c>
    </row>
    <row r="68" spans="1:2" x14ac:dyDescent="0.3">
      <c r="A68">
        <v>-0.84434011982191315</v>
      </c>
      <c r="B68">
        <v>13.064340119821914</v>
      </c>
    </row>
    <row r="69" spans="1:2" x14ac:dyDescent="0.3">
      <c r="A69">
        <v>-0.64172685551455189</v>
      </c>
      <c r="B69">
        <v>12.871726855514552</v>
      </c>
    </row>
    <row r="70" spans="1:2" x14ac:dyDescent="0.3">
      <c r="A70">
        <v>-0.55959564846545895</v>
      </c>
      <c r="B70">
        <v>12.799595648465459</v>
      </c>
    </row>
    <row r="71" spans="1:2" x14ac:dyDescent="0.3">
      <c r="A71">
        <v>-0.4362320622113014</v>
      </c>
      <c r="B71">
        <v>12.706232062211301</v>
      </c>
    </row>
    <row r="72" spans="1:2" x14ac:dyDescent="0.3">
      <c r="A72">
        <v>-0.66811870212445257</v>
      </c>
      <c r="B72">
        <v>13.008118702124452</v>
      </c>
    </row>
    <row r="73" spans="1:2" x14ac:dyDescent="0.3">
      <c r="A73">
        <v>-1.2031053686284441</v>
      </c>
      <c r="B73">
        <v>13.573105368628443</v>
      </c>
    </row>
    <row r="74" spans="1:2" x14ac:dyDescent="0.3">
      <c r="A74">
        <v>-0.99116204361363636</v>
      </c>
      <c r="B74">
        <v>13.461162043613637</v>
      </c>
    </row>
    <row r="75" spans="1:2" x14ac:dyDescent="0.3">
      <c r="A75">
        <v>0.31257992867830708</v>
      </c>
      <c r="B75">
        <v>13.847420071321693</v>
      </c>
    </row>
    <row r="76" spans="1:2" x14ac:dyDescent="0.3">
      <c r="A76">
        <v>0.87373136623987335</v>
      </c>
      <c r="B76">
        <v>13.586268633760127</v>
      </c>
    </row>
    <row r="77" spans="1:2" x14ac:dyDescent="0.3">
      <c r="A77">
        <v>0.91840671309769206</v>
      </c>
      <c r="B77">
        <v>13.621593286902307</v>
      </c>
    </row>
    <row r="78" spans="1:2" x14ac:dyDescent="0.3">
      <c r="A78">
        <v>1.1874697959021674</v>
      </c>
      <c r="B78">
        <v>13.222530204097833</v>
      </c>
    </row>
    <row r="79" spans="1:2" x14ac:dyDescent="0.3">
      <c r="A79">
        <v>1.3067909637833672</v>
      </c>
      <c r="B79">
        <v>12.923209036216633</v>
      </c>
    </row>
    <row r="80" spans="1:2" x14ac:dyDescent="0.3">
      <c r="A80">
        <v>1.1966036838606939</v>
      </c>
      <c r="B80">
        <v>12.853396316139307</v>
      </c>
    </row>
    <row r="81" spans="1:2" x14ac:dyDescent="0.3">
      <c r="A81">
        <v>1.2875860021687657</v>
      </c>
      <c r="B81">
        <v>12.662413997831234</v>
      </c>
    </row>
    <row r="82" spans="1:2" x14ac:dyDescent="0.3">
      <c r="A82">
        <v>1.1977366569996555</v>
      </c>
      <c r="B82">
        <v>12.592263343000344</v>
      </c>
    </row>
    <row r="83" spans="1:2" x14ac:dyDescent="0.3">
      <c r="A83">
        <v>1.1846498202617148</v>
      </c>
      <c r="B83">
        <v>12.515350179738284</v>
      </c>
    </row>
    <row r="84" spans="1:2" x14ac:dyDescent="0.3">
      <c r="A84">
        <v>1.146842126484227</v>
      </c>
      <c r="B84">
        <v>12.443157873515773</v>
      </c>
    </row>
    <row r="85" spans="1:2" x14ac:dyDescent="0.3">
      <c r="A85">
        <v>1.0831471389481759</v>
      </c>
      <c r="B85">
        <v>12.356852861051824</v>
      </c>
    </row>
    <row r="86" spans="1:2" x14ac:dyDescent="0.3">
      <c r="A86">
        <v>1.1346924915017915</v>
      </c>
      <c r="B86">
        <v>12.225307508498208</v>
      </c>
    </row>
    <row r="87" spans="1:2" x14ac:dyDescent="0.3">
      <c r="A87">
        <v>-9.6858642890504498E-2</v>
      </c>
      <c r="B87">
        <v>12.606858642890504</v>
      </c>
    </row>
    <row r="88" spans="1:2" x14ac:dyDescent="0.3">
      <c r="A88">
        <v>-0.24035617667627029</v>
      </c>
      <c r="B88">
        <v>12.480356176676271</v>
      </c>
    </row>
    <row r="89" spans="1:2" x14ac:dyDescent="0.3">
      <c r="A89">
        <v>5.1018975654418597E-2</v>
      </c>
      <c r="B89">
        <v>12.428981024345582</v>
      </c>
    </row>
    <row r="90" spans="1:2" x14ac:dyDescent="0.3">
      <c r="A90">
        <v>0.24916182389084263</v>
      </c>
      <c r="B90">
        <v>12.350838176109157</v>
      </c>
    </row>
    <row r="91" spans="1:2" x14ac:dyDescent="0.3">
      <c r="A91">
        <v>0.56369690035688791</v>
      </c>
      <c r="B91">
        <v>12.136303099643111</v>
      </c>
    </row>
    <row r="92" spans="1:2" x14ac:dyDescent="0.3">
      <c r="A92">
        <v>0.66038994142128793</v>
      </c>
      <c r="B92">
        <v>12.079610058578712</v>
      </c>
    </row>
    <row r="93" spans="1:2" x14ac:dyDescent="0.3">
      <c r="A93">
        <v>0.72508589415335933</v>
      </c>
      <c r="B93">
        <v>12.024914105846641</v>
      </c>
    </row>
    <row r="94" spans="1:2" x14ac:dyDescent="0.3">
      <c r="A94">
        <v>0.90929799476308126</v>
      </c>
      <c r="B94">
        <v>11.830702005236919</v>
      </c>
    </row>
    <row r="95" spans="1:2" x14ac:dyDescent="0.3">
      <c r="A95">
        <v>0.94559948191504617</v>
      </c>
      <c r="B95">
        <v>11.764400518084955</v>
      </c>
    </row>
    <row r="96" spans="1:2" x14ac:dyDescent="0.3">
      <c r="A96">
        <v>0.98012827268214053</v>
      </c>
      <c r="B96">
        <v>11.699871727317859</v>
      </c>
    </row>
    <row r="97" spans="1:2" x14ac:dyDescent="0.3">
      <c r="A97">
        <v>0.99820764341057533</v>
      </c>
      <c r="B97">
        <v>11.621792356589424</v>
      </c>
    </row>
    <row r="98" spans="1:2" x14ac:dyDescent="0.3">
      <c r="A98">
        <v>0.96299226375597691</v>
      </c>
      <c r="B98">
        <v>11.527007736244023</v>
      </c>
    </row>
    <row r="99" spans="1:2" x14ac:dyDescent="0.3">
      <c r="A99">
        <v>-0.21490139568389921</v>
      </c>
      <c r="B99">
        <v>12.054901395683899</v>
      </c>
    </row>
    <row r="100" spans="1:2" x14ac:dyDescent="0.3">
      <c r="A100">
        <v>-8.4448108890468276E-2</v>
      </c>
      <c r="B100">
        <v>11.984448108890469</v>
      </c>
    </row>
    <row r="101" spans="1:2" x14ac:dyDescent="0.3">
      <c r="A101">
        <v>-0.10293574206989042</v>
      </c>
      <c r="B101">
        <v>11.912935742069891</v>
      </c>
    </row>
    <row r="102" spans="1:2" x14ac:dyDescent="0.3">
      <c r="A102">
        <v>-8.8374135189166481E-3</v>
      </c>
      <c r="B102">
        <v>11.698837413518916</v>
      </c>
    </row>
    <row r="103" spans="1:2" x14ac:dyDescent="0.3">
      <c r="A103">
        <v>5.837064473863407E-2</v>
      </c>
      <c r="B103">
        <v>11.551629355261365</v>
      </c>
    </row>
    <row r="104" spans="1:2" x14ac:dyDescent="0.3">
      <c r="A104">
        <v>3.1922685741033519E-2</v>
      </c>
      <c r="B104">
        <v>11.468077314258966</v>
      </c>
    </row>
    <row r="105" spans="1:2" x14ac:dyDescent="0.3">
      <c r="A105">
        <v>1.2491459970831897E-2</v>
      </c>
      <c r="B105">
        <v>11.397508540029168</v>
      </c>
    </row>
    <row r="106" spans="1:2" x14ac:dyDescent="0.3">
      <c r="A106">
        <v>0.10286413690740481</v>
      </c>
      <c r="B106">
        <v>11.177135863092595</v>
      </c>
    </row>
    <row r="107" spans="1:2" x14ac:dyDescent="0.3">
      <c r="A107">
        <v>7.7952708347867272E-2</v>
      </c>
      <c r="B107">
        <v>11.022047291652132</v>
      </c>
    </row>
    <row r="108" spans="1:2" x14ac:dyDescent="0.3">
      <c r="A108">
        <v>1.6202622329279492E-2</v>
      </c>
      <c r="B108">
        <v>10.92379737767072</v>
      </c>
    </row>
    <row r="109" spans="1:2" x14ac:dyDescent="0.3">
      <c r="A109">
        <v>0.10400794571269323</v>
      </c>
      <c r="B109">
        <v>10.675992054287306</v>
      </c>
    </row>
    <row r="110" spans="1:2" x14ac:dyDescent="0.3">
      <c r="A110">
        <v>9.8598866454796763E-2</v>
      </c>
      <c r="B110">
        <v>10.541401133545204</v>
      </c>
    </row>
    <row r="111" spans="1:2" x14ac:dyDescent="0.3">
      <c r="A111">
        <v>-1.2792873355213903</v>
      </c>
      <c r="B111">
        <v>11.12928733552139</v>
      </c>
    </row>
    <row r="112" spans="1:2" x14ac:dyDescent="0.3">
      <c r="A112">
        <v>-1.200433221130691</v>
      </c>
      <c r="B112">
        <v>11.000433221130692</v>
      </c>
    </row>
    <row r="113" spans="1:2" x14ac:dyDescent="0.3">
      <c r="A113">
        <v>-1.1572308937608806</v>
      </c>
      <c r="B113">
        <v>10.897230893760881</v>
      </c>
    </row>
    <row r="114" spans="1:2" x14ac:dyDescent="0.3">
      <c r="A114">
        <v>-1.0815831238373885</v>
      </c>
      <c r="B114">
        <v>10.771583123837388</v>
      </c>
    </row>
    <row r="115" spans="1:2" x14ac:dyDescent="0.3">
      <c r="A115">
        <v>-1.0046057099324734</v>
      </c>
      <c r="B115">
        <v>10.664605709932474</v>
      </c>
    </row>
    <row r="116" spans="1:2" x14ac:dyDescent="0.3">
      <c r="A116">
        <v>-0.91711365600711936</v>
      </c>
      <c r="B116">
        <v>10.54711365600712</v>
      </c>
    </row>
    <row r="117" spans="1:2" x14ac:dyDescent="0.3">
      <c r="A117">
        <v>-0.74514989670723786</v>
      </c>
      <c r="B117">
        <v>10.365149896707237</v>
      </c>
    </row>
    <row r="118" spans="1:2" x14ac:dyDescent="0.3">
      <c r="A118">
        <v>-0.72587514946950904</v>
      </c>
      <c r="B118">
        <v>10.315875149469509</v>
      </c>
    </row>
    <row r="119" spans="1:2" x14ac:dyDescent="0.3">
      <c r="A119">
        <v>-0.63149581029363588</v>
      </c>
      <c r="B119">
        <v>10.201495810293636</v>
      </c>
    </row>
    <row r="120" spans="1:2" x14ac:dyDescent="0.3">
      <c r="A120">
        <v>-0.51261888844591397</v>
      </c>
      <c r="B120">
        <v>10.062618888445915</v>
      </c>
    </row>
    <row r="121" spans="1:2" x14ac:dyDescent="0.3">
      <c r="A121">
        <v>-0.45352139077493092</v>
      </c>
      <c r="B121">
        <v>9.9935213907749301</v>
      </c>
    </row>
    <row r="122" spans="1:2" x14ac:dyDescent="0.3">
      <c r="A122">
        <v>-0.27716318980922061</v>
      </c>
      <c r="B122">
        <v>9.8371631898092211</v>
      </c>
    </row>
    <row r="123" spans="1:2" x14ac:dyDescent="0.3">
      <c r="A123">
        <v>-0.63240176547679638</v>
      </c>
      <c r="B123">
        <v>10.522401765476797</v>
      </c>
    </row>
    <row r="124" spans="1:2" x14ac:dyDescent="0.3">
      <c r="A124">
        <v>-0.29533253675917237</v>
      </c>
      <c r="B124">
        <v>10.336564737140673</v>
      </c>
    </row>
    <row r="125" spans="1:2" x14ac:dyDescent="0.3">
      <c r="A125">
        <v>-1.9842741557971166E-2</v>
      </c>
      <c r="B125">
        <v>10.198757702841672</v>
      </c>
    </row>
    <row r="126" spans="1:2" x14ac:dyDescent="0.3">
      <c r="A126">
        <v>0.22655727085049548</v>
      </c>
      <c r="B126">
        <v>10.059430105117904</v>
      </c>
    </row>
    <row r="127" spans="1:2" x14ac:dyDescent="0.3">
      <c r="A127">
        <v>0.43483609669137735</v>
      </c>
      <c r="B127">
        <v>9.897121500299022</v>
      </c>
    </row>
    <row r="128" spans="1:2" x14ac:dyDescent="0.3">
      <c r="A128">
        <v>0.60063901535770547</v>
      </c>
      <c r="B128">
        <v>9.7257466297217938</v>
      </c>
    </row>
    <row r="129" spans="1:2" x14ac:dyDescent="0.3">
      <c r="A129">
        <v>0.68841132442432595</v>
      </c>
      <c r="B129">
        <v>9.6230644443282749</v>
      </c>
    </row>
    <row r="130" spans="1:2" x14ac:dyDescent="0.3">
      <c r="A130">
        <v>0.80869363990293408</v>
      </c>
      <c r="B130">
        <v>9.4459263403568663</v>
      </c>
    </row>
    <row r="131" spans="1:2" x14ac:dyDescent="0.3">
      <c r="A131">
        <v>0.97886366058138563</v>
      </c>
      <c r="B131">
        <v>9.203714709785114</v>
      </c>
    </row>
    <row r="132" spans="1:2" x14ac:dyDescent="0.3">
      <c r="A132">
        <v>1.0034325171256597</v>
      </c>
      <c r="B132">
        <v>9.0836562768459395</v>
      </c>
    </row>
    <row r="133" spans="1:2" x14ac:dyDescent="0.3">
      <c r="A133">
        <v>1.0861574983471112</v>
      </c>
      <c r="B133">
        <v>8.9041219651036094</v>
      </c>
    </row>
    <row r="134" spans="1:2" x14ac:dyDescent="0.3">
      <c r="A134">
        <v>1.102849162207681</v>
      </c>
      <c r="B134">
        <v>8.7695296975291193</v>
      </c>
    </row>
    <row r="135" spans="1:2" x14ac:dyDescent="0.3">
      <c r="A135">
        <v>-0.77085324021958002</v>
      </c>
      <c r="B135">
        <v>9.6169582883594593</v>
      </c>
    </row>
    <row r="136" spans="1:2" x14ac:dyDescent="0.3">
      <c r="A136">
        <v>-0.70626386466103952</v>
      </c>
      <c r="B136">
        <v>9.4868948686495997</v>
      </c>
    </row>
    <row r="137" spans="1:2" x14ac:dyDescent="0.3">
      <c r="A137">
        <v>-0.50212109795764448</v>
      </c>
      <c r="B137">
        <v>9.2430040530365751</v>
      </c>
    </row>
    <row r="138" spans="1:2" x14ac:dyDescent="0.3">
      <c r="A138">
        <v>-0.49772660933391855</v>
      </c>
      <c r="B138">
        <v>9.1703931116640582</v>
      </c>
    </row>
    <row r="139" spans="1:2" x14ac:dyDescent="0.3">
      <c r="A139">
        <v>-0.36468731870870208</v>
      </c>
      <c r="B139">
        <v>8.8478544561113424</v>
      </c>
    </row>
    <row r="140" spans="1:2" x14ac:dyDescent="0.3">
      <c r="A140">
        <v>-0.36509511811191153</v>
      </c>
      <c r="B140">
        <v>8.6861367794850821</v>
      </c>
    </row>
    <row r="141" spans="1:2" x14ac:dyDescent="0.3">
      <c r="A141">
        <v>-0.40982574034577013</v>
      </c>
      <c r="B141">
        <v>8.5438979334111096</v>
      </c>
    </row>
    <row r="142" spans="1:2" x14ac:dyDescent="0.3">
      <c r="A142">
        <v>-0.41648450423475403</v>
      </c>
      <c r="B142">
        <v>8.3946231531625841</v>
      </c>
    </row>
    <row r="143" spans="1:2" x14ac:dyDescent="0.3">
      <c r="A143">
        <v>-0.34693401874821994</v>
      </c>
      <c r="B143">
        <v>8.2080596181561596</v>
      </c>
    </row>
    <row r="144" spans="1:2" x14ac:dyDescent="0.3">
      <c r="A144">
        <v>-0.22984644013008815</v>
      </c>
      <c r="B144">
        <v>8.001758103007738</v>
      </c>
    </row>
    <row r="145" spans="1:2" x14ac:dyDescent="0.3">
      <c r="A145">
        <v>-9.770153635109402E-2</v>
      </c>
      <c r="B145">
        <v>7.8195241861756637</v>
      </c>
    </row>
    <row r="146" spans="1:2" x14ac:dyDescent="0.3">
      <c r="A146">
        <v>6.5177080133599574E-2</v>
      </c>
      <c r="B146">
        <v>7.6095107466699305</v>
      </c>
    </row>
    <row r="147" spans="1:2" x14ac:dyDescent="0.3">
      <c r="A147">
        <v>-1.4355227009199716</v>
      </c>
      <c r="B147">
        <v>8.6654368267269319</v>
      </c>
    </row>
    <row r="148" spans="1:2" x14ac:dyDescent="0.3">
      <c r="A148">
        <v>-1.3112658762404665</v>
      </c>
      <c r="B148">
        <v>8.5626151674490067</v>
      </c>
    </row>
    <row r="149" spans="1:2" x14ac:dyDescent="0.3">
      <c r="A149">
        <v>-1.2183793767309696</v>
      </c>
      <c r="B149">
        <v>8.4628101656839796</v>
      </c>
    </row>
    <row r="150" spans="1:2" x14ac:dyDescent="0.3">
      <c r="A150">
        <v>-0.94837120424725452</v>
      </c>
      <c r="B150">
        <v>8.2103722605117149</v>
      </c>
    </row>
    <row r="151" spans="1:2" x14ac:dyDescent="0.3">
      <c r="A151">
        <v>-0.89529793697667959</v>
      </c>
      <c r="B151">
        <v>8.1648856146419995</v>
      </c>
    </row>
    <row r="152" spans="1:2" x14ac:dyDescent="0.3">
      <c r="A152">
        <v>-0.98256625676962717</v>
      </c>
      <c r="B152">
        <v>8.2103737216888568</v>
      </c>
    </row>
    <row r="153" spans="1:2" x14ac:dyDescent="0.3">
      <c r="A153">
        <v>-0.75514358841204654</v>
      </c>
      <c r="B153">
        <v>8.0462165390179763</v>
      </c>
    </row>
    <row r="154" spans="1:2" x14ac:dyDescent="0.3">
      <c r="A154">
        <v>-0.59861218153681683</v>
      </c>
      <c r="B154">
        <v>7.9512620101107467</v>
      </c>
    </row>
    <row r="155" spans="1:2" x14ac:dyDescent="0.3">
      <c r="A155">
        <v>-0.58497646866015351</v>
      </c>
      <c r="B155">
        <v>7.9836241868713538</v>
      </c>
    </row>
    <row r="156" spans="1:2" x14ac:dyDescent="0.3">
      <c r="A156">
        <v>-0.36447128608195722</v>
      </c>
      <c r="B156">
        <v>7.7981787421282869</v>
      </c>
    </row>
    <row r="157" spans="1:2" x14ac:dyDescent="0.3">
      <c r="A157">
        <v>-0.43178113595663081</v>
      </c>
      <c r="B157">
        <v>7.8824350435329409</v>
      </c>
    </row>
    <row r="158" spans="1:2" x14ac:dyDescent="0.3">
      <c r="A158">
        <v>-0.1573744276676301</v>
      </c>
      <c r="B158">
        <v>7.6503593754583905</v>
      </c>
    </row>
    <row r="159" spans="1:2" x14ac:dyDescent="0.3">
      <c r="A159">
        <v>-3.6563264921070706</v>
      </c>
      <c r="B159">
        <v>11.527328525226171</v>
      </c>
    </row>
    <row r="160" spans="1:2" x14ac:dyDescent="0.3">
      <c r="A160">
        <v>-3.3496715089991138</v>
      </c>
      <c r="B160">
        <v>11.359392816785753</v>
      </c>
    </row>
    <row r="161" spans="1:2" x14ac:dyDescent="0.3">
      <c r="A161">
        <v>-2.3330111831009042</v>
      </c>
      <c r="B161">
        <v>10.357578883994194</v>
      </c>
    </row>
    <row r="162" spans="1:2" x14ac:dyDescent="0.3">
      <c r="A162">
        <v>-1.5171633582588937</v>
      </c>
      <c r="B162">
        <v>9.5008206764856133</v>
      </c>
    </row>
    <row r="163" spans="1:2" x14ac:dyDescent="0.3">
      <c r="A163">
        <v>-0.38487193590689106</v>
      </c>
      <c r="B163">
        <v>8.2088781269181013</v>
      </c>
    </row>
    <row r="164" spans="1:2" x14ac:dyDescent="0.3">
      <c r="A164">
        <v>-8.9462382757766967E-2</v>
      </c>
      <c r="B164">
        <v>7.712656997238537</v>
      </c>
    </row>
    <row r="165" spans="1:2" x14ac:dyDescent="0.3">
      <c r="A165">
        <v>-0.10405892819438556</v>
      </c>
      <c r="B165">
        <v>7.5770716436402159</v>
      </c>
    </row>
    <row r="166" spans="1:2" x14ac:dyDescent="0.3">
      <c r="A166">
        <v>7.0235501146495238E-2</v>
      </c>
      <c r="B166">
        <v>7.2620641975247446</v>
      </c>
    </row>
    <row r="167" spans="1:2" x14ac:dyDescent="0.3">
      <c r="A167">
        <v>0.16476810242099926</v>
      </c>
      <c r="B167">
        <v>7.0636837742353409</v>
      </c>
    </row>
    <row r="168" spans="1:2" x14ac:dyDescent="0.3">
      <c r="A168">
        <v>0.33633610385947232</v>
      </c>
      <c r="B168">
        <v>6.9111253624247775</v>
      </c>
    </row>
    <row r="169" spans="1:2" x14ac:dyDescent="0.3">
      <c r="A169">
        <v>0.48286974600567945</v>
      </c>
      <c r="B169">
        <v>6.7488892094496409</v>
      </c>
    </row>
    <row r="170" spans="1:2" x14ac:dyDescent="0.3">
      <c r="A170">
        <v>0.63851671132109988</v>
      </c>
      <c r="B170">
        <v>6.5049246937480003</v>
      </c>
    </row>
    <row r="171" spans="1:2" x14ac:dyDescent="0.3">
      <c r="A171">
        <v>0.70907649513466264</v>
      </c>
      <c r="B171">
        <v>7.1525944135477078</v>
      </c>
    </row>
    <row r="172" spans="1:2" x14ac:dyDescent="0.3">
      <c r="A172">
        <v>0.98315369525401675</v>
      </c>
      <c r="B172">
        <v>6.9936620091087436</v>
      </c>
    </row>
    <row r="173" spans="1:2" x14ac:dyDescent="0.3">
      <c r="A173">
        <v>1.223878642711159</v>
      </c>
      <c r="B173">
        <v>6.8443192806156015</v>
      </c>
    </row>
    <row r="174" spans="1:2" x14ac:dyDescent="0.3">
      <c r="A174">
        <v>1.4806281322934707</v>
      </c>
      <c r="B174">
        <v>6.7251436858216396</v>
      </c>
    </row>
    <row r="175" spans="1:2" x14ac:dyDescent="0.3">
      <c r="A175">
        <v>1.6810548954723039</v>
      </c>
      <c r="B175">
        <v>6.572623733568836</v>
      </c>
    </row>
    <row r="176" spans="1:2" x14ac:dyDescent="0.3">
      <c r="A176">
        <v>1.6030831179282599</v>
      </c>
      <c r="B176">
        <v>6.6906973925938393</v>
      </c>
    </row>
    <row r="177" spans="1:2" x14ac:dyDescent="0.3">
      <c r="A177">
        <v>0.8013826101961028</v>
      </c>
      <c r="B177">
        <v>7.4846897721743568</v>
      </c>
    </row>
    <row r="178" spans="1:2" x14ac:dyDescent="0.3">
      <c r="A178">
        <v>0.70703263218491852</v>
      </c>
      <c r="B178">
        <v>7.5330725647410111</v>
      </c>
    </row>
    <row r="179" spans="1:2" x14ac:dyDescent="0.3">
      <c r="A179">
        <v>0.36613043149524582</v>
      </c>
      <c r="B179">
        <v>7.8165848380940348</v>
      </c>
    </row>
    <row r="180" spans="1:2" x14ac:dyDescent="0.3">
      <c r="A180">
        <v>0.58294556325234037</v>
      </c>
      <c r="B180">
        <v>7.6203310957037393</v>
      </c>
    </row>
    <row r="181" spans="1:2" ht="15" thickBot="1" x14ac:dyDescent="0.35">
      <c r="A181" s="30">
        <v>0.49719132335352345</v>
      </c>
      <c r="B181" s="30">
        <v>7.703847964581656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C67D-CEB4-4750-9F52-88F768582411}">
  <dimension ref="A1:I21"/>
  <sheetViews>
    <sheetView workbookViewId="0">
      <selection activeCell="L25" sqref="L25"/>
    </sheetView>
  </sheetViews>
  <sheetFormatPr defaultRowHeight="14.4" x14ac:dyDescent="0.3"/>
  <sheetData>
    <row r="1" spans="1:9" x14ac:dyDescent="0.3">
      <c r="A1" t="s">
        <v>39</v>
      </c>
    </row>
    <row r="2" spans="1:9" ht="15" thickBot="1" x14ac:dyDescent="0.35"/>
    <row r="3" spans="1:9" x14ac:dyDescent="0.3">
      <c r="A3" s="53" t="s">
        <v>40</v>
      </c>
      <c r="B3" s="53"/>
    </row>
    <row r="4" spans="1:9" x14ac:dyDescent="0.3">
      <c r="A4" t="s">
        <v>41</v>
      </c>
      <c r="B4">
        <v>0.83767640348929628</v>
      </c>
    </row>
    <row r="5" spans="1:9" x14ac:dyDescent="0.3">
      <c r="A5" t="s">
        <v>42</v>
      </c>
      <c r="B5">
        <v>0.70170175696276238</v>
      </c>
    </row>
    <row r="6" spans="1:9" x14ac:dyDescent="0.3">
      <c r="A6" t="s">
        <v>43</v>
      </c>
      <c r="B6">
        <v>0.68334494200662466</v>
      </c>
    </row>
    <row r="7" spans="1:9" x14ac:dyDescent="0.3">
      <c r="A7" t="s">
        <v>44</v>
      </c>
      <c r="B7">
        <v>0.54074456326391684</v>
      </c>
    </row>
    <row r="8" spans="1:9" ht="15" thickBot="1" x14ac:dyDescent="0.35">
      <c r="A8" s="30" t="s">
        <v>45</v>
      </c>
      <c r="B8" s="30">
        <v>70</v>
      </c>
    </row>
    <row r="10" spans="1:9" ht="15" thickBot="1" x14ac:dyDescent="0.35">
      <c r="A10" t="s">
        <v>46</v>
      </c>
    </row>
    <row r="11" spans="1:9" x14ac:dyDescent="0.3">
      <c r="A11" s="31"/>
      <c r="B11" s="31" t="s">
        <v>51</v>
      </c>
      <c r="C11" s="31" t="s">
        <v>52</v>
      </c>
      <c r="D11" s="31" t="s">
        <v>53</v>
      </c>
      <c r="E11" s="31" t="s">
        <v>54</v>
      </c>
      <c r="F11" s="31" t="s">
        <v>55</v>
      </c>
    </row>
    <row r="12" spans="1:9" x14ac:dyDescent="0.3">
      <c r="A12" t="s">
        <v>47</v>
      </c>
      <c r="B12">
        <v>4</v>
      </c>
      <c r="C12">
        <v>44.709472767390679</v>
      </c>
      <c r="D12">
        <v>11.17736819184767</v>
      </c>
      <c r="E12">
        <v>38.225681232797129</v>
      </c>
      <c r="F12">
        <v>2.0082667080706329E-16</v>
      </c>
    </row>
    <row r="13" spans="1:9" x14ac:dyDescent="0.3">
      <c r="A13" t="s">
        <v>48</v>
      </c>
      <c r="B13">
        <v>65</v>
      </c>
      <c r="C13">
        <v>19.006304375466467</v>
      </c>
      <c r="D13">
        <v>0.29240468269948411</v>
      </c>
    </row>
    <row r="14" spans="1:9" ht="15" thickBot="1" x14ac:dyDescent="0.35">
      <c r="A14" s="30" t="s">
        <v>49</v>
      </c>
      <c r="B14" s="30">
        <v>69</v>
      </c>
      <c r="C14" s="30">
        <v>63.715777142857149</v>
      </c>
      <c r="D14" s="30"/>
      <c r="E14" s="30"/>
      <c r="F14" s="30"/>
    </row>
    <row r="15" spans="1:9" ht="15" thickBot="1" x14ac:dyDescent="0.35"/>
    <row r="16" spans="1:9" x14ac:dyDescent="0.3">
      <c r="A16" s="31"/>
      <c r="B16" s="31" t="s">
        <v>56</v>
      </c>
      <c r="C16" s="31" t="s">
        <v>44</v>
      </c>
      <c r="D16" s="31" t="s">
        <v>57</v>
      </c>
      <c r="E16" s="31" t="s">
        <v>58</v>
      </c>
      <c r="F16" s="31" t="s">
        <v>59</v>
      </c>
      <c r="G16" s="31" t="s">
        <v>60</v>
      </c>
      <c r="H16" s="31" t="s">
        <v>61</v>
      </c>
      <c r="I16" s="31" t="s">
        <v>62</v>
      </c>
    </row>
    <row r="17" spans="1:9" x14ac:dyDescent="0.3">
      <c r="A17" t="s">
        <v>50</v>
      </c>
      <c r="B17">
        <v>-4.9628357430770436</v>
      </c>
      <c r="C17">
        <v>2.2562202375966081</v>
      </c>
      <c r="D17">
        <v>-2.1996238046174081</v>
      </c>
      <c r="E17">
        <v>3.1395741268924138E-2</v>
      </c>
      <c r="F17">
        <v>-9.4688187092624467</v>
      </c>
      <c r="G17">
        <v>-0.45685277689164128</v>
      </c>
      <c r="H17">
        <v>-9.4688187092624467</v>
      </c>
      <c r="I17">
        <v>-0.45685277689164128</v>
      </c>
    </row>
    <row r="18" spans="1:9" x14ac:dyDescent="0.3">
      <c r="A18" t="s">
        <v>69</v>
      </c>
      <c r="B18">
        <v>-2.7542271486866078E-7</v>
      </c>
      <c r="C18">
        <v>3.4394196922368832E-7</v>
      </c>
      <c r="D18">
        <v>-0.80078251424307889</v>
      </c>
      <c r="E18">
        <v>0.42617494538071166</v>
      </c>
      <c r="F18">
        <v>-9.6232225989228509E-7</v>
      </c>
      <c r="G18">
        <v>4.1147683015496348E-7</v>
      </c>
      <c r="H18">
        <v>-9.6232225989228509E-7</v>
      </c>
      <c r="I18">
        <v>4.1147683015496348E-7</v>
      </c>
    </row>
    <row r="19" spans="1:9" x14ac:dyDescent="0.3">
      <c r="A19" t="s">
        <v>70</v>
      </c>
      <c r="B19">
        <v>9.3476643541049093E-2</v>
      </c>
      <c r="C19">
        <v>1.2965030911488019E-2</v>
      </c>
      <c r="D19">
        <v>7.2099051810375219</v>
      </c>
      <c r="E19">
        <v>7.3773921146658727E-10</v>
      </c>
      <c r="F19">
        <v>6.7583688824242219E-2</v>
      </c>
      <c r="G19">
        <v>0.11936959825785597</v>
      </c>
      <c r="H19">
        <v>6.7583688824242219E-2</v>
      </c>
      <c r="I19">
        <v>0.11936959825785597</v>
      </c>
    </row>
    <row r="20" spans="1:9" x14ac:dyDescent="0.3">
      <c r="A20" t="s">
        <v>71</v>
      </c>
      <c r="B20">
        <v>0.13414913730294337</v>
      </c>
      <c r="C20">
        <v>5.2334851325105798E-2</v>
      </c>
      <c r="D20">
        <v>2.5632849603336898</v>
      </c>
      <c r="E20">
        <v>1.2691710535401501E-2</v>
      </c>
      <c r="F20">
        <v>2.9629221791515017E-2</v>
      </c>
      <c r="G20">
        <v>0.23866905281437173</v>
      </c>
      <c r="H20">
        <v>2.9629221791515017E-2</v>
      </c>
      <c r="I20">
        <v>0.23866905281437173</v>
      </c>
    </row>
    <row r="21" spans="1:9" ht="15" thickBot="1" x14ac:dyDescent="0.35">
      <c r="A21" s="30" t="s">
        <v>72</v>
      </c>
      <c r="B21" s="30">
        <v>0</v>
      </c>
      <c r="C21" s="30">
        <v>0</v>
      </c>
      <c r="D21" s="30">
        <v>65535</v>
      </c>
      <c r="E21" s="30" t="e">
        <v>#NUM!</v>
      </c>
      <c r="F21" s="30">
        <v>0</v>
      </c>
      <c r="G21" s="30">
        <v>0</v>
      </c>
      <c r="H21" s="30">
        <v>0</v>
      </c>
      <c r="I21" s="3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C7DF-2613-4DB2-8885-45610542CDFD}">
  <dimension ref="A1:I21"/>
  <sheetViews>
    <sheetView workbookViewId="0">
      <selection activeCell="C13" sqref="C13"/>
    </sheetView>
  </sheetViews>
  <sheetFormatPr defaultRowHeight="14.4" x14ac:dyDescent="0.3"/>
  <sheetData>
    <row r="1" spans="1:9" x14ac:dyDescent="0.3">
      <c r="A1" t="s">
        <v>39</v>
      </c>
    </row>
    <row r="2" spans="1:9" ht="15" thickBot="1" x14ac:dyDescent="0.35"/>
    <row r="3" spans="1:9" x14ac:dyDescent="0.3">
      <c r="A3" s="53" t="s">
        <v>40</v>
      </c>
      <c r="B3" s="53"/>
    </row>
    <row r="4" spans="1:9" x14ac:dyDescent="0.3">
      <c r="A4" t="s">
        <v>41</v>
      </c>
      <c r="B4">
        <v>0.91046171863676062</v>
      </c>
    </row>
    <row r="5" spans="1:9" x14ac:dyDescent="0.3">
      <c r="A5" t="s">
        <v>42</v>
      </c>
      <c r="B5">
        <v>0.82894054110300386</v>
      </c>
    </row>
    <row r="6" spans="1:9" x14ac:dyDescent="0.3">
      <c r="A6" t="s">
        <v>43</v>
      </c>
      <c r="B6">
        <v>0.82236133114542709</v>
      </c>
    </row>
    <row r="7" spans="1:9" x14ac:dyDescent="0.3">
      <c r="A7" t="s">
        <v>44</v>
      </c>
      <c r="B7">
        <v>0.94682420610418583</v>
      </c>
    </row>
    <row r="8" spans="1:9" ht="15" thickBot="1" x14ac:dyDescent="0.35">
      <c r="A8" s="30" t="s">
        <v>45</v>
      </c>
      <c r="B8" s="30">
        <v>109</v>
      </c>
    </row>
    <row r="10" spans="1:9" ht="15" thickBot="1" x14ac:dyDescent="0.35">
      <c r="A10" t="s">
        <v>46</v>
      </c>
    </row>
    <row r="11" spans="1:9" x14ac:dyDescent="0.3">
      <c r="A11" s="31"/>
      <c r="B11" s="31" t="s">
        <v>51</v>
      </c>
      <c r="C11" s="31" t="s">
        <v>52</v>
      </c>
      <c r="D11" s="31" t="s">
        <v>53</v>
      </c>
      <c r="E11" s="31" t="s">
        <v>54</v>
      </c>
      <c r="F11" s="31" t="s">
        <v>55</v>
      </c>
    </row>
    <row r="12" spans="1:9" x14ac:dyDescent="0.3">
      <c r="A12" t="s">
        <v>47</v>
      </c>
      <c r="B12">
        <v>4</v>
      </c>
      <c r="C12">
        <v>451.80218863086975</v>
      </c>
      <c r="D12">
        <v>112.95054715771744</v>
      </c>
      <c r="E12">
        <v>125.99393338228646</v>
      </c>
      <c r="F12">
        <v>5.863214806991346E-39</v>
      </c>
    </row>
    <row r="13" spans="1:9" x14ac:dyDescent="0.3">
      <c r="A13" t="s">
        <v>48</v>
      </c>
      <c r="B13">
        <v>104</v>
      </c>
      <c r="C13">
        <v>93.233512035541452</v>
      </c>
      <c r="D13">
        <v>0.8964760772648217</v>
      </c>
    </row>
    <row r="14" spans="1:9" ht="15" thickBot="1" x14ac:dyDescent="0.35">
      <c r="A14" s="30" t="s">
        <v>49</v>
      </c>
      <c r="B14" s="30">
        <v>108</v>
      </c>
      <c r="C14" s="30">
        <v>545.03570066641123</v>
      </c>
      <c r="D14" s="30"/>
      <c r="E14" s="30"/>
      <c r="F14" s="30"/>
    </row>
    <row r="15" spans="1:9" ht="15" thickBot="1" x14ac:dyDescent="0.35"/>
    <row r="16" spans="1:9" x14ac:dyDescent="0.3">
      <c r="A16" s="31"/>
      <c r="B16" s="31" t="s">
        <v>56</v>
      </c>
      <c r="C16" s="31" t="s">
        <v>44</v>
      </c>
      <c r="D16" s="31" t="s">
        <v>57</v>
      </c>
      <c r="E16" s="31" t="s">
        <v>58</v>
      </c>
      <c r="F16" s="31" t="s">
        <v>59</v>
      </c>
      <c r="G16" s="31" t="s">
        <v>60</v>
      </c>
      <c r="H16" s="31" t="s">
        <v>61</v>
      </c>
      <c r="I16" s="31" t="s">
        <v>62</v>
      </c>
    </row>
    <row r="17" spans="1:9" x14ac:dyDescent="0.3">
      <c r="A17" t="s">
        <v>50</v>
      </c>
      <c r="B17">
        <v>17.878349469835467</v>
      </c>
      <c r="C17">
        <v>0.58858539323880676</v>
      </c>
      <c r="D17">
        <v>30.375115786438968</v>
      </c>
      <c r="E17">
        <v>1.6103909116737629E-53</v>
      </c>
      <c r="F17">
        <v>16.711162547502731</v>
      </c>
      <c r="G17">
        <v>19.045536392168202</v>
      </c>
      <c r="H17">
        <v>16.711162547502735</v>
      </c>
      <c r="I17">
        <v>19.045536392168199</v>
      </c>
    </row>
    <row r="18" spans="1:9" x14ac:dyDescent="0.3">
      <c r="A18" t="s">
        <v>69</v>
      </c>
      <c r="B18">
        <v>-5.5943081426004818E-7</v>
      </c>
      <c r="C18">
        <v>2.0944870008599204E-7</v>
      </c>
      <c r="D18">
        <v>-2.6709681847171463</v>
      </c>
      <c r="E18">
        <v>8.7796125520943381E-3</v>
      </c>
      <c r="F18">
        <v>-9.7477544640380628E-7</v>
      </c>
      <c r="G18">
        <v>-1.4408618211629009E-7</v>
      </c>
      <c r="H18">
        <v>-9.7477544640380501E-7</v>
      </c>
      <c r="I18">
        <v>-1.4408618211629131E-7</v>
      </c>
    </row>
    <row r="19" spans="1:9" x14ac:dyDescent="0.3">
      <c r="A19" t="s">
        <v>70</v>
      </c>
      <c r="B19">
        <v>-4.5632549512521839E-2</v>
      </c>
      <c r="C19">
        <v>2.5732833654674991E-3</v>
      </c>
      <c r="D19">
        <v>-17.73320036374291</v>
      </c>
      <c r="E19">
        <v>3.254324618381593E-33</v>
      </c>
      <c r="F19">
        <v>-5.0735466992520233E-2</v>
      </c>
      <c r="G19">
        <v>-4.0529632032523445E-2</v>
      </c>
      <c r="H19">
        <v>-5.0735466992520219E-2</v>
      </c>
      <c r="I19">
        <v>-4.0529632032523459E-2</v>
      </c>
    </row>
    <row r="20" spans="1:9" x14ac:dyDescent="0.3">
      <c r="A20" t="s">
        <v>71</v>
      </c>
      <c r="B20">
        <v>0.25907210241140938</v>
      </c>
      <c r="C20">
        <v>2.7620261152101328E-2</v>
      </c>
      <c r="D20">
        <v>9.3797846799757494</v>
      </c>
      <c r="E20">
        <v>1.6348474825273111E-15</v>
      </c>
      <c r="F20">
        <v>0.20430008805551172</v>
      </c>
      <c r="G20">
        <v>0.31384411676730706</v>
      </c>
      <c r="H20">
        <v>0.20430008805551189</v>
      </c>
      <c r="I20">
        <v>0.31384411676730689</v>
      </c>
    </row>
    <row r="21" spans="1:9" ht="15" thickBot="1" x14ac:dyDescent="0.35">
      <c r="A21" s="30" t="s">
        <v>72</v>
      </c>
      <c r="B21" s="30">
        <v>0</v>
      </c>
      <c r="C21" s="30">
        <v>0</v>
      </c>
      <c r="D21" s="30">
        <v>65535</v>
      </c>
      <c r="E21" s="30" t="e">
        <v>#NUM!</v>
      </c>
      <c r="F21" s="30">
        <v>0</v>
      </c>
      <c r="G21" s="30">
        <v>0</v>
      </c>
      <c r="H21" s="30">
        <v>0</v>
      </c>
      <c r="I21" s="3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4352-9689-459E-9220-257DABAB57FA}">
  <dimension ref="A2:V182"/>
  <sheetViews>
    <sheetView topLeftCell="A3" zoomScale="84" workbookViewId="0">
      <selection activeCell="S5" sqref="S5:T8"/>
    </sheetView>
  </sheetViews>
  <sheetFormatPr defaultRowHeight="14.4" x14ac:dyDescent="0.3"/>
  <sheetData>
    <row r="2" spans="1:22" ht="140.4" x14ac:dyDescent="0.3">
      <c r="A2" s="27"/>
      <c r="B2" s="23" t="s">
        <v>0</v>
      </c>
      <c r="C2" s="23" t="s">
        <v>36</v>
      </c>
      <c r="D2" s="23" t="s">
        <v>33</v>
      </c>
      <c r="E2" s="51" t="s">
        <v>38</v>
      </c>
      <c r="F2" s="23" t="s">
        <v>32</v>
      </c>
      <c r="G2" s="52" t="s">
        <v>37</v>
      </c>
      <c r="J2" s="27"/>
      <c r="K2" s="23" t="s">
        <v>0</v>
      </c>
      <c r="L2" s="23" t="s">
        <v>36</v>
      </c>
      <c r="M2" s="23" t="s">
        <v>33</v>
      </c>
      <c r="N2" s="51" t="s">
        <v>38</v>
      </c>
      <c r="O2" s="23" t="s">
        <v>32</v>
      </c>
      <c r="P2" s="52" t="s">
        <v>37</v>
      </c>
    </row>
    <row r="3" spans="1:22" ht="32.4" x14ac:dyDescent="0.3">
      <c r="A3" s="25"/>
      <c r="B3" s="47" t="s">
        <v>1</v>
      </c>
      <c r="C3" s="48" t="s">
        <v>4</v>
      </c>
      <c r="D3" s="46" t="s">
        <v>5</v>
      </c>
      <c r="E3" s="49" t="s">
        <v>34</v>
      </c>
      <c r="F3" s="48" t="s">
        <v>6</v>
      </c>
      <c r="G3" s="50" t="s">
        <v>37</v>
      </c>
      <c r="J3" s="79"/>
      <c r="K3" s="80" t="s">
        <v>1</v>
      </c>
      <c r="L3" s="81" t="s">
        <v>4</v>
      </c>
      <c r="M3" s="46" t="s">
        <v>5</v>
      </c>
      <c r="N3" s="49" t="s">
        <v>34</v>
      </c>
      <c r="O3" s="81" t="s">
        <v>6</v>
      </c>
      <c r="P3" s="50" t="s">
        <v>37</v>
      </c>
    </row>
    <row r="4" spans="1:22" x14ac:dyDescent="0.3">
      <c r="A4" s="1" t="s">
        <v>7</v>
      </c>
      <c r="B4" s="2">
        <v>6198</v>
      </c>
      <c r="C4" s="42">
        <v>191.1</v>
      </c>
      <c r="D4" s="43">
        <v>13</v>
      </c>
      <c r="E4" s="38">
        <v>0</v>
      </c>
      <c r="F4" s="44">
        <v>14.35</v>
      </c>
      <c r="G4" s="45">
        <v>2009</v>
      </c>
      <c r="J4" s="82" t="s">
        <v>29</v>
      </c>
      <c r="K4" s="78">
        <v>923945</v>
      </c>
      <c r="L4" s="78">
        <v>178.1</v>
      </c>
      <c r="M4" s="4">
        <v>17</v>
      </c>
      <c r="N4" s="38">
        <v>1</v>
      </c>
      <c r="O4" s="78">
        <v>12.37</v>
      </c>
      <c r="P4" s="24">
        <v>2014</v>
      </c>
    </row>
    <row r="5" spans="1:22" x14ac:dyDescent="0.3">
      <c r="A5" s="6" t="s">
        <v>8</v>
      </c>
      <c r="B5" s="7">
        <v>14330</v>
      </c>
      <c r="C5" s="8">
        <v>192.3</v>
      </c>
      <c r="D5" s="4">
        <v>13</v>
      </c>
      <c r="E5" s="38">
        <v>0</v>
      </c>
      <c r="F5" s="9">
        <v>14.5</v>
      </c>
      <c r="G5" s="33">
        <v>2009</v>
      </c>
      <c r="J5" s="82" t="s">
        <v>18</v>
      </c>
      <c r="K5" s="78">
        <v>1058641</v>
      </c>
      <c r="L5" s="78">
        <v>178.1</v>
      </c>
      <c r="M5" s="4">
        <v>17</v>
      </c>
      <c r="N5" s="38">
        <v>1</v>
      </c>
      <c r="O5" s="78">
        <v>12.47</v>
      </c>
      <c r="P5" s="24">
        <v>2015</v>
      </c>
      <c r="S5" s="88" t="s">
        <v>73</v>
      </c>
      <c r="T5" s="38">
        <v>154.92163601107555</v>
      </c>
    </row>
    <row r="6" spans="1:22" x14ac:dyDescent="0.3">
      <c r="A6" s="6" t="s">
        <v>9</v>
      </c>
      <c r="B6" s="7">
        <v>24486</v>
      </c>
      <c r="C6" s="8">
        <v>190.8</v>
      </c>
      <c r="D6" s="4">
        <v>12.5</v>
      </c>
      <c r="E6" s="38">
        <v>0</v>
      </c>
      <c r="F6" s="9">
        <v>14.67</v>
      </c>
      <c r="G6" s="33">
        <v>2009</v>
      </c>
      <c r="J6" s="82" t="s">
        <v>7</v>
      </c>
      <c r="K6" s="78">
        <v>44924</v>
      </c>
      <c r="L6" s="78">
        <v>175.9</v>
      </c>
      <c r="M6" s="4">
        <v>15</v>
      </c>
      <c r="N6" s="38">
        <v>1</v>
      </c>
      <c r="O6" s="78">
        <v>14.16</v>
      </c>
      <c r="P6" s="24">
        <v>2015</v>
      </c>
      <c r="S6" s="88" t="s">
        <v>74</v>
      </c>
      <c r="T6" s="38">
        <v>19.006304375466467</v>
      </c>
    </row>
    <row r="7" spans="1:22" x14ac:dyDescent="0.3">
      <c r="A7" s="6" t="s">
        <v>10</v>
      </c>
      <c r="B7" s="7">
        <v>36232</v>
      </c>
      <c r="C7" s="8">
        <v>191.2</v>
      </c>
      <c r="D7" s="4">
        <v>12</v>
      </c>
      <c r="E7" s="38">
        <v>0</v>
      </c>
      <c r="F7" s="9">
        <v>14.71</v>
      </c>
      <c r="G7" s="33">
        <v>2009</v>
      </c>
      <c r="J7" s="82" t="s">
        <v>8</v>
      </c>
      <c r="K7" s="78">
        <v>94862</v>
      </c>
      <c r="L7" s="78">
        <v>174.6</v>
      </c>
      <c r="M7" s="4">
        <v>14</v>
      </c>
      <c r="N7" s="38">
        <v>1</v>
      </c>
      <c r="O7" s="78">
        <v>14.46</v>
      </c>
      <c r="P7" s="24">
        <v>2015</v>
      </c>
      <c r="S7" s="88" t="s">
        <v>75</v>
      </c>
      <c r="T7" s="38">
        <v>93.233512035541452</v>
      </c>
    </row>
    <row r="8" spans="1:22" x14ac:dyDescent="0.3">
      <c r="A8" s="6" t="s">
        <v>11</v>
      </c>
      <c r="B8" s="7">
        <v>46914</v>
      </c>
      <c r="C8" s="8">
        <v>189.3</v>
      </c>
      <c r="D8" s="4">
        <v>11.5</v>
      </c>
      <c r="E8" s="38">
        <v>0</v>
      </c>
      <c r="F8" s="9">
        <v>14.84</v>
      </c>
      <c r="G8" s="33">
        <v>2009</v>
      </c>
      <c r="J8" s="82" t="s">
        <v>9</v>
      </c>
      <c r="K8" s="78">
        <v>138911</v>
      </c>
      <c r="L8" s="78">
        <v>172.9</v>
      </c>
      <c r="M8" s="4">
        <v>14</v>
      </c>
      <c r="N8" s="38">
        <v>1</v>
      </c>
      <c r="O8" s="78">
        <v>14.54</v>
      </c>
      <c r="P8" s="24">
        <v>2015</v>
      </c>
      <c r="S8" s="86" t="s">
        <v>54</v>
      </c>
      <c r="T8" s="38">
        <f>T9/T10</f>
        <v>12.853241822843879</v>
      </c>
      <c r="U8" s="87" t="s">
        <v>78</v>
      </c>
      <c r="V8" s="38">
        <f>_xlfn.F.INV.RT(0.05,5,169)</f>
        <v>2.2676179586956708</v>
      </c>
    </row>
    <row r="9" spans="1:22" ht="28.8" x14ac:dyDescent="0.3">
      <c r="A9" s="6" t="s">
        <v>12</v>
      </c>
      <c r="B9" s="7">
        <v>60163</v>
      </c>
      <c r="C9" s="8">
        <v>187.3</v>
      </c>
      <c r="D9" s="4">
        <v>11</v>
      </c>
      <c r="E9" s="38">
        <v>0</v>
      </c>
      <c r="F9" s="9">
        <v>14.86</v>
      </c>
      <c r="G9" s="33">
        <v>2009</v>
      </c>
      <c r="J9" s="82" t="s">
        <v>10</v>
      </c>
      <c r="K9" s="78">
        <v>189551</v>
      </c>
      <c r="L9" s="78">
        <v>171.6</v>
      </c>
      <c r="M9" s="4">
        <v>12.5</v>
      </c>
      <c r="N9" s="38">
        <v>1</v>
      </c>
      <c r="O9" s="78">
        <v>14.41</v>
      </c>
      <c r="P9" s="24">
        <v>2015</v>
      </c>
      <c r="S9" s="88" t="s">
        <v>76</v>
      </c>
      <c r="T9" s="38">
        <f>(T5-T6-T7)/5</f>
        <v>8.5363639200135246</v>
      </c>
    </row>
    <row r="10" spans="1:22" ht="28.8" x14ac:dyDescent="0.3">
      <c r="A10" s="6" t="s">
        <v>13</v>
      </c>
      <c r="B10" s="7">
        <v>75018</v>
      </c>
      <c r="C10" s="8">
        <v>187.5</v>
      </c>
      <c r="D10" s="4">
        <v>10.75</v>
      </c>
      <c r="E10" s="38">
        <v>0</v>
      </c>
      <c r="F10" s="9">
        <v>14.88</v>
      </c>
      <c r="G10" s="33">
        <v>2009</v>
      </c>
      <c r="J10" s="82" t="s">
        <v>11</v>
      </c>
      <c r="K10" s="78">
        <v>234503</v>
      </c>
      <c r="L10" s="78">
        <v>171.3</v>
      </c>
      <c r="M10" s="4">
        <v>11.5</v>
      </c>
      <c r="N10" s="38">
        <v>1</v>
      </c>
      <c r="O10" s="78">
        <v>14.23</v>
      </c>
      <c r="P10" s="24">
        <v>2015</v>
      </c>
      <c r="S10" s="88" t="s">
        <v>77</v>
      </c>
      <c r="T10" s="38">
        <f>(T6+T7)/(179-8-2)</f>
        <v>0.66414092550892256</v>
      </c>
    </row>
    <row r="11" spans="1:22" x14ac:dyDescent="0.3">
      <c r="A11" s="6" t="s">
        <v>14</v>
      </c>
      <c r="B11" s="7">
        <v>89893</v>
      </c>
      <c r="C11" s="8">
        <v>187.9</v>
      </c>
      <c r="D11" s="4">
        <v>10.5</v>
      </c>
      <c r="E11" s="38">
        <v>0</v>
      </c>
      <c r="F11" s="9">
        <v>14.85</v>
      </c>
      <c r="G11" s="33">
        <v>2009</v>
      </c>
      <c r="J11" s="82" t="s">
        <v>12</v>
      </c>
      <c r="K11" s="78">
        <v>287957</v>
      </c>
      <c r="L11" s="78">
        <v>171.9</v>
      </c>
      <c r="M11" s="4">
        <v>11.5</v>
      </c>
      <c r="N11" s="38">
        <v>1</v>
      </c>
      <c r="O11" s="78">
        <v>14.05</v>
      </c>
      <c r="P11" s="24">
        <v>2015</v>
      </c>
    </row>
    <row r="12" spans="1:22" x14ac:dyDescent="0.3">
      <c r="A12" s="6" t="s">
        <v>15</v>
      </c>
      <c r="B12" s="7">
        <v>106642</v>
      </c>
      <c r="C12" s="8">
        <v>187.7</v>
      </c>
      <c r="D12" s="4">
        <v>9.5</v>
      </c>
      <c r="E12" s="38">
        <v>0</v>
      </c>
      <c r="F12" s="9">
        <v>14.8</v>
      </c>
      <c r="G12" s="33">
        <v>2009</v>
      </c>
      <c r="J12" s="82" t="s">
        <v>13</v>
      </c>
      <c r="K12" s="78">
        <v>347425</v>
      </c>
      <c r="L12" s="78">
        <v>172</v>
      </c>
      <c r="M12" s="4">
        <v>11</v>
      </c>
      <c r="N12" s="38">
        <v>1</v>
      </c>
      <c r="O12" s="78">
        <v>13.95</v>
      </c>
      <c r="P12" s="24">
        <v>2015</v>
      </c>
    </row>
    <row r="13" spans="1:22" x14ac:dyDescent="0.3">
      <c r="A13" s="6" t="s">
        <v>16</v>
      </c>
      <c r="B13" s="7">
        <v>126962</v>
      </c>
      <c r="C13" s="8">
        <v>187.8</v>
      </c>
      <c r="D13" s="4">
        <v>9</v>
      </c>
      <c r="E13" s="38">
        <v>0</v>
      </c>
      <c r="F13" s="9">
        <v>14.76</v>
      </c>
      <c r="G13" s="33">
        <v>2009</v>
      </c>
      <c r="J13" s="82" t="s">
        <v>14</v>
      </c>
      <c r="K13" s="78">
        <v>406377</v>
      </c>
      <c r="L13" s="78">
        <v>172.5</v>
      </c>
      <c r="M13" s="4">
        <v>11</v>
      </c>
      <c r="N13" s="38">
        <v>1</v>
      </c>
      <c r="O13" s="78">
        <v>13.79</v>
      </c>
      <c r="P13" s="24">
        <v>2015</v>
      </c>
    </row>
    <row r="14" spans="1:22" x14ac:dyDescent="0.3">
      <c r="A14" s="6" t="s">
        <v>17</v>
      </c>
      <c r="B14" s="7">
        <v>146598</v>
      </c>
      <c r="C14" s="8">
        <v>188.6</v>
      </c>
      <c r="D14" s="4">
        <v>8.75</v>
      </c>
      <c r="E14" s="38">
        <v>0</v>
      </c>
      <c r="F14" s="9">
        <v>14.72</v>
      </c>
      <c r="G14" s="33">
        <v>2009</v>
      </c>
      <c r="J14" s="82" t="s">
        <v>15</v>
      </c>
      <c r="K14" s="78">
        <v>473466</v>
      </c>
      <c r="L14" s="78">
        <v>173</v>
      </c>
      <c r="M14" s="4">
        <v>11</v>
      </c>
      <c r="N14" s="38">
        <v>1</v>
      </c>
      <c r="O14" s="78">
        <v>13.7</v>
      </c>
      <c r="P14" s="24">
        <v>2015</v>
      </c>
    </row>
    <row r="15" spans="1:22" x14ac:dyDescent="0.3">
      <c r="A15" s="6" t="s">
        <v>18</v>
      </c>
      <c r="B15" s="7">
        <v>176146</v>
      </c>
      <c r="C15" s="8">
        <v>188.4</v>
      </c>
      <c r="D15" s="4">
        <v>8.75</v>
      </c>
      <c r="E15" s="38">
        <v>0</v>
      </c>
      <c r="F15" s="9">
        <v>14.59</v>
      </c>
      <c r="G15" s="24">
        <v>2010</v>
      </c>
      <c r="J15" s="82" t="s">
        <v>16</v>
      </c>
      <c r="K15" s="78">
        <v>539966</v>
      </c>
      <c r="L15" s="78">
        <v>173.4</v>
      </c>
      <c r="M15" s="4">
        <v>11</v>
      </c>
      <c r="N15" s="38">
        <v>1</v>
      </c>
      <c r="O15" s="78">
        <v>13.59</v>
      </c>
      <c r="P15" s="24">
        <v>2015</v>
      </c>
    </row>
    <row r="16" spans="1:22" x14ac:dyDescent="0.3">
      <c r="A16" s="6" t="s">
        <v>7</v>
      </c>
      <c r="B16" s="7">
        <v>9452</v>
      </c>
      <c r="C16" s="8">
        <v>186.8</v>
      </c>
      <c r="D16" s="4">
        <v>8.5</v>
      </c>
      <c r="E16" s="38">
        <v>0</v>
      </c>
      <c r="F16" s="9">
        <v>14.17</v>
      </c>
      <c r="G16" s="24">
        <v>2010</v>
      </c>
      <c r="J16" s="82" t="s">
        <v>17</v>
      </c>
      <c r="K16" s="78">
        <v>608173</v>
      </c>
      <c r="L16" s="78">
        <v>174.1</v>
      </c>
      <c r="M16" s="4">
        <v>11</v>
      </c>
      <c r="N16" s="38">
        <v>1</v>
      </c>
      <c r="O16" s="78">
        <v>13.44</v>
      </c>
      <c r="P16" s="24">
        <v>2015</v>
      </c>
    </row>
    <row r="17" spans="1:16" x14ac:dyDescent="0.3">
      <c r="A17" s="6" t="s">
        <v>8</v>
      </c>
      <c r="B17" s="7">
        <v>27184</v>
      </c>
      <c r="C17" s="8">
        <v>187.7</v>
      </c>
      <c r="D17" s="4">
        <v>8.25</v>
      </c>
      <c r="E17" s="38">
        <v>0</v>
      </c>
      <c r="F17" s="9">
        <v>14.01</v>
      </c>
      <c r="G17" s="24">
        <v>2010</v>
      </c>
      <c r="J17" s="82" t="s">
        <v>18</v>
      </c>
      <c r="K17" s="78">
        <v>710450</v>
      </c>
      <c r="L17" s="78">
        <v>175.2</v>
      </c>
      <c r="M17" s="4">
        <v>11</v>
      </c>
      <c r="N17" s="38">
        <v>1</v>
      </c>
      <c r="O17" s="78">
        <v>13.36</v>
      </c>
      <c r="P17" s="24">
        <v>2016</v>
      </c>
    </row>
    <row r="18" spans="1:16" x14ac:dyDescent="0.3">
      <c r="A18" s="6" t="s">
        <v>9</v>
      </c>
      <c r="B18" s="7">
        <v>52073</v>
      </c>
      <c r="C18" s="8">
        <v>188</v>
      </c>
      <c r="D18" s="4">
        <v>8</v>
      </c>
      <c r="E18" s="38">
        <v>0</v>
      </c>
      <c r="F18" s="9">
        <v>13.85</v>
      </c>
      <c r="G18" s="24">
        <v>2010</v>
      </c>
      <c r="J18" s="82" t="s">
        <v>7</v>
      </c>
      <c r="K18" s="78">
        <v>37510</v>
      </c>
      <c r="L18" s="78">
        <v>179.4</v>
      </c>
      <c r="M18" s="4">
        <v>11</v>
      </c>
      <c r="N18" s="38">
        <v>1</v>
      </c>
      <c r="O18" s="78">
        <v>12.51</v>
      </c>
      <c r="P18" s="24">
        <v>2016</v>
      </c>
    </row>
    <row r="19" spans="1:16" x14ac:dyDescent="0.3">
      <c r="A19" s="6" t="s">
        <v>10</v>
      </c>
      <c r="B19" s="7">
        <v>80382</v>
      </c>
      <c r="C19" s="8">
        <v>188.3</v>
      </c>
      <c r="D19" s="4">
        <v>8</v>
      </c>
      <c r="E19" s="38">
        <v>0</v>
      </c>
      <c r="F19" s="9">
        <v>13.8</v>
      </c>
      <c r="G19" s="24">
        <v>2010</v>
      </c>
      <c r="J19" s="82" t="s">
        <v>8</v>
      </c>
      <c r="K19" s="78">
        <v>118445</v>
      </c>
      <c r="L19" s="78">
        <v>180.8</v>
      </c>
      <c r="M19" s="4">
        <v>11</v>
      </c>
      <c r="N19" s="38">
        <v>1</v>
      </c>
      <c r="O19" s="78">
        <v>12.24</v>
      </c>
      <c r="P19" s="24">
        <v>2016</v>
      </c>
    </row>
    <row r="20" spans="1:16" x14ac:dyDescent="0.3">
      <c r="A20" s="6" t="s">
        <v>11</v>
      </c>
      <c r="B20" s="7">
        <v>107475</v>
      </c>
      <c r="C20" s="8">
        <v>188.9</v>
      </c>
      <c r="D20" s="4">
        <v>7.75</v>
      </c>
      <c r="E20" s="38">
        <v>0</v>
      </c>
      <c r="F20" s="9">
        <v>13.75</v>
      </c>
      <c r="G20" s="24">
        <v>2010</v>
      </c>
      <c r="J20" s="82" t="s">
        <v>9</v>
      </c>
      <c r="K20" s="78">
        <v>190445</v>
      </c>
      <c r="L20" s="78">
        <v>180.6</v>
      </c>
      <c r="M20" s="4">
        <v>11</v>
      </c>
      <c r="N20" s="38">
        <v>1</v>
      </c>
      <c r="O20" s="78">
        <v>12.48</v>
      </c>
      <c r="P20" s="24">
        <v>2016</v>
      </c>
    </row>
    <row r="21" spans="1:16" x14ac:dyDescent="0.3">
      <c r="A21" s="6" t="s">
        <v>12</v>
      </c>
      <c r="B21" s="7">
        <v>140874</v>
      </c>
      <c r="C21" s="8">
        <v>189</v>
      </c>
      <c r="D21" s="4">
        <v>7.75</v>
      </c>
      <c r="E21" s="38">
        <v>0</v>
      </c>
      <c r="F21" s="9">
        <v>13.71</v>
      </c>
      <c r="G21" s="24">
        <v>2010</v>
      </c>
      <c r="J21" s="82" t="s">
        <v>10</v>
      </c>
      <c r="K21" s="78">
        <v>264105</v>
      </c>
      <c r="L21" s="78">
        <v>181</v>
      </c>
      <c r="M21" s="4">
        <v>11</v>
      </c>
      <c r="N21" s="38">
        <v>1</v>
      </c>
      <c r="O21" s="78">
        <v>12.6</v>
      </c>
      <c r="P21" s="24">
        <v>2016</v>
      </c>
    </row>
    <row r="22" spans="1:16" x14ac:dyDescent="0.3">
      <c r="A22" s="6" t="s">
        <v>13</v>
      </c>
      <c r="B22" s="7">
        <v>175311</v>
      </c>
      <c r="C22" s="8">
        <v>189.5</v>
      </c>
      <c r="D22" s="4">
        <v>7.75</v>
      </c>
      <c r="E22" s="38">
        <v>0</v>
      </c>
      <c r="F22" s="9">
        <v>13.67</v>
      </c>
      <c r="G22" s="24">
        <v>2010</v>
      </c>
      <c r="J22" s="82" t="s">
        <v>11</v>
      </c>
      <c r="K22" s="78">
        <v>326456</v>
      </c>
      <c r="L22" s="78">
        <v>181.6</v>
      </c>
      <c r="M22" s="4">
        <v>10.5</v>
      </c>
      <c r="N22" s="38">
        <v>1</v>
      </c>
      <c r="O22" s="78">
        <v>12.7</v>
      </c>
      <c r="P22" s="24">
        <v>2016</v>
      </c>
    </row>
    <row r="23" spans="1:16" x14ac:dyDescent="0.3">
      <c r="A23" s="6" t="s">
        <v>14</v>
      </c>
      <c r="B23" s="7">
        <v>210064</v>
      </c>
      <c r="C23" s="8">
        <v>188.9</v>
      </c>
      <c r="D23" s="4">
        <v>7.75</v>
      </c>
      <c r="E23" s="38">
        <v>0</v>
      </c>
      <c r="F23" s="9">
        <v>13.65</v>
      </c>
      <c r="G23" s="24">
        <v>2010</v>
      </c>
      <c r="J23" s="82" t="s">
        <v>12</v>
      </c>
      <c r="K23" s="78">
        <v>394672</v>
      </c>
      <c r="L23" s="78">
        <v>181.6</v>
      </c>
      <c r="M23" s="4">
        <v>10.5</v>
      </c>
      <c r="N23" s="38">
        <v>1</v>
      </c>
      <c r="O23" s="78">
        <v>12.74</v>
      </c>
      <c r="P23" s="24">
        <v>2016</v>
      </c>
    </row>
    <row r="24" spans="1:16" x14ac:dyDescent="0.3">
      <c r="A24" s="6" t="s">
        <v>15</v>
      </c>
      <c r="B24" s="7">
        <v>248503</v>
      </c>
      <c r="C24" s="8">
        <v>188.7</v>
      </c>
      <c r="D24" s="4">
        <v>7.75</v>
      </c>
      <c r="E24" s="38">
        <v>0</v>
      </c>
      <c r="F24" s="9">
        <v>13.63</v>
      </c>
      <c r="G24" s="24">
        <v>2010</v>
      </c>
      <c r="J24" s="82" t="s">
        <v>13</v>
      </c>
      <c r="K24" s="78">
        <v>460485</v>
      </c>
      <c r="L24" s="78">
        <v>181.6</v>
      </c>
      <c r="M24" s="4">
        <v>10.5</v>
      </c>
      <c r="N24" s="38">
        <v>1</v>
      </c>
      <c r="O24" s="78">
        <v>12.75</v>
      </c>
      <c r="P24" s="24">
        <v>2016</v>
      </c>
    </row>
    <row r="25" spans="1:16" x14ac:dyDescent="0.3">
      <c r="A25" s="6" t="s">
        <v>16</v>
      </c>
      <c r="B25" s="7">
        <v>286581</v>
      </c>
      <c r="C25" s="8">
        <v>188.7</v>
      </c>
      <c r="D25" s="4">
        <v>7.75</v>
      </c>
      <c r="E25" s="38">
        <v>0</v>
      </c>
      <c r="F25" s="9">
        <v>13.51</v>
      </c>
      <c r="G25" s="24">
        <v>2010</v>
      </c>
      <c r="J25" s="82" t="s">
        <v>14</v>
      </c>
      <c r="K25" s="78">
        <v>534022</v>
      </c>
      <c r="L25" s="78">
        <v>181.5</v>
      </c>
      <c r="M25" s="4">
        <v>10</v>
      </c>
      <c r="N25" s="38">
        <v>1</v>
      </c>
      <c r="O25" s="78">
        <v>12.74</v>
      </c>
      <c r="P25" s="24">
        <v>2016</v>
      </c>
    </row>
    <row r="26" spans="1:16" x14ac:dyDescent="0.3">
      <c r="A26" s="6" t="s">
        <v>17</v>
      </c>
      <c r="B26" s="7">
        <v>328681</v>
      </c>
      <c r="C26" s="8">
        <v>188.6</v>
      </c>
      <c r="D26" s="4">
        <v>7.75</v>
      </c>
      <c r="E26" s="38">
        <v>0</v>
      </c>
      <c r="F26" s="9">
        <v>13.44</v>
      </c>
      <c r="G26" s="24">
        <v>2010</v>
      </c>
      <c r="J26" s="82" t="s">
        <v>15</v>
      </c>
      <c r="K26" s="78">
        <v>608708</v>
      </c>
      <c r="L26" s="78">
        <v>181.6</v>
      </c>
      <c r="M26" s="4">
        <v>10</v>
      </c>
      <c r="N26" s="38">
        <v>1</v>
      </c>
      <c r="O26" s="78">
        <v>12.71</v>
      </c>
      <c r="P26" s="24">
        <v>2016</v>
      </c>
    </row>
    <row r="27" spans="1:16" x14ac:dyDescent="0.3">
      <c r="A27" s="6" t="s">
        <v>18</v>
      </c>
      <c r="B27" s="7">
        <v>392302</v>
      </c>
      <c r="C27" s="8">
        <v>188.7</v>
      </c>
      <c r="D27" s="4">
        <v>7.75</v>
      </c>
      <c r="E27" s="38">
        <v>0</v>
      </c>
      <c r="F27" s="9">
        <v>13.29</v>
      </c>
      <c r="G27" s="24">
        <v>2011</v>
      </c>
      <c r="J27" s="82" t="s">
        <v>16</v>
      </c>
      <c r="K27" s="78">
        <v>681261</v>
      </c>
      <c r="L27" s="78">
        <v>181.7</v>
      </c>
      <c r="M27" s="4">
        <v>10</v>
      </c>
      <c r="N27" s="38">
        <v>1</v>
      </c>
      <c r="O27" s="78">
        <v>12.68</v>
      </c>
      <c r="P27" s="24">
        <v>2016</v>
      </c>
    </row>
    <row r="28" spans="1:16" x14ac:dyDescent="0.3">
      <c r="A28" s="6" t="s">
        <v>7</v>
      </c>
      <c r="B28" s="7">
        <v>20029</v>
      </c>
      <c r="C28" s="8">
        <v>184</v>
      </c>
      <c r="D28" s="4">
        <v>8</v>
      </c>
      <c r="E28" s="38">
        <v>0</v>
      </c>
      <c r="F28" s="9">
        <v>12.96</v>
      </c>
      <c r="G28" s="24">
        <v>2011</v>
      </c>
      <c r="J28" s="82" t="s">
        <v>17</v>
      </c>
      <c r="K28" s="78">
        <v>759936</v>
      </c>
      <c r="L28" s="78">
        <v>182</v>
      </c>
      <c r="M28" s="4">
        <v>10</v>
      </c>
      <c r="N28" s="38">
        <v>1</v>
      </c>
      <c r="O28" s="78">
        <v>12.62</v>
      </c>
      <c r="P28" s="24">
        <v>2016</v>
      </c>
    </row>
    <row r="29" spans="1:16" x14ac:dyDescent="0.3">
      <c r="A29" s="6" t="s">
        <v>8</v>
      </c>
      <c r="B29" s="7">
        <v>51740</v>
      </c>
      <c r="C29" s="8">
        <v>186.4</v>
      </c>
      <c r="D29" s="4">
        <v>8</v>
      </c>
      <c r="E29" s="38">
        <v>0</v>
      </c>
      <c r="F29" s="9">
        <v>12.74</v>
      </c>
      <c r="G29" s="24">
        <v>2011</v>
      </c>
      <c r="J29" s="82" t="s">
        <v>18</v>
      </c>
      <c r="K29" s="78">
        <v>863803</v>
      </c>
      <c r="L29" s="78">
        <v>182.2</v>
      </c>
      <c r="M29" s="4">
        <v>10</v>
      </c>
      <c r="N29" s="38">
        <v>1</v>
      </c>
      <c r="O29" s="78">
        <v>12.49</v>
      </c>
      <c r="P29" s="24">
        <v>2017</v>
      </c>
    </row>
    <row r="30" spans="1:16" x14ac:dyDescent="0.3">
      <c r="A30" s="6" t="s">
        <v>9</v>
      </c>
      <c r="B30" s="7">
        <v>91472</v>
      </c>
      <c r="C30" s="8">
        <v>187.6</v>
      </c>
      <c r="D30" s="4">
        <v>8</v>
      </c>
      <c r="E30" s="38">
        <v>0</v>
      </c>
      <c r="F30" s="9">
        <v>12.64</v>
      </c>
      <c r="G30" s="24">
        <v>2011</v>
      </c>
      <c r="J30" s="82" t="s">
        <v>19</v>
      </c>
      <c r="K30" s="78">
        <v>40233</v>
      </c>
      <c r="L30" s="78">
        <v>185.9</v>
      </c>
      <c r="M30" s="4">
        <v>10</v>
      </c>
      <c r="N30" s="38">
        <v>1</v>
      </c>
      <c r="O30" s="78">
        <v>11.84</v>
      </c>
      <c r="P30" s="24">
        <v>2017</v>
      </c>
    </row>
    <row r="31" spans="1:16" x14ac:dyDescent="0.3">
      <c r="A31" s="6" t="s">
        <v>10</v>
      </c>
      <c r="B31" s="7">
        <v>136070</v>
      </c>
      <c r="C31" s="8">
        <v>187.3</v>
      </c>
      <c r="D31" s="4">
        <v>8.25</v>
      </c>
      <c r="E31" s="38">
        <v>0</v>
      </c>
      <c r="F31" s="9">
        <v>12.47</v>
      </c>
      <c r="G31" s="24">
        <v>2011</v>
      </c>
      <c r="J31" s="82" t="s">
        <v>20</v>
      </c>
      <c r="K31" s="78">
        <v>98391</v>
      </c>
      <c r="L31" s="78">
        <v>184.8</v>
      </c>
      <c r="M31" s="4">
        <v>9.75</v>
      </c>
      <c r="N31" s="38">
        <v>1</v>
      </c>
      <c r="O31" s="78">
        <v>11.9</v>
      </c>
      <c r="P31" s="24">
        <v>2017</v>
      </c>
    </row>
    <row r="32" spans="1:16" x14ac:dyDescent="0.3">
      <c r="A32" s="6" t="s">
        <v>11</v>
      </c>
      <c r="B32" s="7">
        <v>182740</v>
      </c>
      <c r="C32" s="8">
        <v>186.3</v>
      </c>
      <c r="D32" s="4">
        <v>8.25</v>
      </c>
      <c r="E32" s="38">
        <v>0</v>
      </c>
      <c r="F32" s="9">
        <v>12.4</v>
      </c>
      <c r="G32" s="24">
        <v>2011</v>
      </c>
      <c r="J32" s="82" t="s">
        <v>21</v>
      </c>
      <c r="K32" s="78">
        <v>179347</v>
      </c>
      <c r="L32" s="78">
        <v>184.9</v>
      </c>
      <c r="M32" s="4">
        <v>9.75</v>
      </c>
      <c r="N32" s="38">
        <v>1</v>
      </c>
      <c r="O32" s="78">
        <v>11.81</v>
      </c>
      <c r="P32" s="24">
        <v>2017</v>
      </c>
    </row>
    <row r="33" spans="1:16" x14ac:dyDescent="0.3">
      <c r="A33" s="6" t="s">
        <v>12</v>
      </c>
      <c r="B33" s="7">
        <v>232628</v>
      </c>
      <c r="C33" s="8">
        <v>185</v>
      </c>
      <c r="D33" s="4">
        <v>8.25</v>
      </c>
      <c r="E33" s="38">
        <v>0</v>
      </c>
      <c r="F33" s="9">
        <v>12.35</v>
      </c>
      <c r="G33" s="24">
        <v>2011</v>
      </c>
      <c r="J33" s="82" t="s">
        <v>22</v>
      </c>
      <c r="K33" s="78">
        <v>261538</v>
      </c>
      <c r="L33" s="78">
        <v>185.1</v>
      </c>
      <c r="M33" s="4">
        <v>9.25</v>
      </c>
      <c r="N33" s="38">
        <v>1</v>
      </c>
      <c r="O33" s="78">
        <v>11.69</v>
      </c>
      <c r="P33" s="24">
        <v>2017</v>
      </c>
    </row>
    <row r="34" spans="1:16" x14ac:dyDescent="0.3">
      <c r="A34" s="6" t="s">
        <v>13</v>
      </c>
      <c r="B34" s="7">
        <v>282259</v>
      </c>
      <c r="C34" s="8">
        <v>182.8</v>
      </c>
      <c r="D34" s="4">
        <v>8.25</v>
      </c>
      <c r="E34" s="38">
        <v>0</v>
      </c>
      <c r="F34" s="9">
        <v>12.29</v>
      </c>
      <c r="G34" s="24">
        <v>2011</v>
      </c>
      <c r="J34" s="82" t="s">
        <v>23</v>
      </c>
      <c r="K34" s="78">
        <v>340772</v>
      </c>
      <c r="L34" s="78">
        <v>185.4</v>
      </c>
      <c r="M34" s="4">
        <v>9</v>
      </c>
      <c r="N34" s="38">
        <v>1</v>
      </c>
      <c r="O34" s="78">
        <v>11.61</v>
      </c>
      <c r="P34" s="24">
        <v>2017</v>
      </c>
    </row>
    <row r="35" spans="1:16" x14ac:dyDescent="0.3">
      <c r="A35" s="6" t="s">
        <v>14</v>
      </c>
      <c r="B35" s="7">
        <v>335560</v>
      </c>
      <c r="C35" s="8">
        <v>181.1</v>
      </c>
      <c r="D35" s="4">
        <v>8.25</v>
      </c>
      <c r="E35" s="38">
        <v>0</v>
      </c>
      <c r="F35" s="9">
        <v>12.22</v>
      </c>
      <c r="G35" s="24">
        <v>2011</v>
      </c>
      <c r="J35" s="82" t="s">
        <v>24</v>
      </c>
      <c r="K35" s="78">
        <v>426032</v>
      </c>
      <c r="L35" s="78">
        <v>185.7</v>
      </c>
      <c r="M35" s="4">
        <v>9</v>
      </c>
      <c r="N35" s="38">
        <v>1</v>
      </c>
      <c r="O35" s="78">
        <v>11.5</v>
      </c>
      <c r="P35" s="24">
        <v>2017</v>
      </c>
    </row>
    <row r="36" spans="1:16" x14ac:dyDescent="0.3">
      <c r="A36" s="6" t="s">
        <v>15</v>
      </c>
      <c r="B36" s="7">
        <v>391240</v>
      </c>
      <c r="C36" s="8">
        <v>178.7</v>
      </c>
      <c r="D36" s="4">
        <v>8.25</v>
      </c>
      <c r="E36" s="38">
        <v>0</v>
      </c>
      <c r="F36" s="9">
        <v>12.15</v>
      </c>
      <c r="G36" s="24">
        <v>2011</v>
      </c>
      <c r="J36" s="82" t="s">
        <v>25</v>
      </c>
      <c r="K36" s="78">
        <v>510944</v>
      </c>
      <c r="L36" s="78">
        <v>185.7</v>
      </c>
      <c r="M36" s="4">
        <v>9</v>
      </c>
      <c r="N36" s="38">
        <v>1</v>
      </c>
      <c r="O36" s="78">
        <v>11.41</v>
      </c>
      <c r="P36" s="24">
        <v>2017</v>
      </c>
    </row>
    <row r="37" spans="1:16" x14ac:dyDescent="0.3">
      <c r="A37" s="6" t="s">
        <v>16</v>
      </c>
      <c r="B37" s="7">
        <v>449383</v>
      </c>
      <c r="C37" s="8">
        <v>177.2</v>
      </c>
      <c r="D37" s="4">
        <v>8.25</v>
      </c>
      <c r="E37" s="38">
        <v>0</v>
      </c>
      <c r="F37" s="9">
        <v>12.08</v>
      </c>
      <c r="G37" s="24">
        <v>2011</v>
      </c>
      <c r="J37" s="82" t="s">
        <v>26</v>
      </c>
      <c r="K37" s="78">
        <v>605776</v>
      </c>
      <c r="L37" s="78">
        <v>185.8</v>
      </c>
      <c r="M37" s="4">
        <v>8.5</v>
      </c>
      <c r="N37" s="38">
        <v>1</v>
      </c>
      <c r="O37" s="78">
        <v>11.28</v>
      </c>
      <c r="P37" s="24">
        <v>2017</v>
      </c>
    </row>
    <row r="38" spans="1:16" x14ac:dyDescent="0.3">
      <c r="A38" s="6" t="s">
        <v>17</v>
      </c>
      <c r="B38" s="7">
        <v>509339</v>
      </c>
      <c r="C38" s="8">
        <v>176</v>
      </c>
      <c r="D38" s="4">
        <v>8</v>
      </c>
      <c r="E38" s="38">
        <v>0</v>
      </c>
      <c r="F38" s="9">
        <v>12.03</v>
      </c>
      <c r="G38" s="24">
        <v>2011</v>
      </c>
      <c r="J38" s="82" t="s">
        <v>27</v>
      </c>
      <c r="K38" s="78">
        <v>704675</v>
      </c>
      <c r="L38" s="78">
        <v>185.9</v>
      </c>
      <c r="M38" s="4">
        <v>8.25</v>
      </c>
      <c r="N38" s="38">
        <v>1</v>
      </c>
      <c r="O38" s="78">
        <v>11.1</v>
      </c>
      <c r="P38" s="24">
        <v>2017</v>
      </c>
    </row>
    <row r="39" spans="1:16" x14ac:dyDescent="0.3">
      <c r="A39" s="6" t="s">
        <v>18</v>
      </c>
      <c r="B39" s="7">
        <v>587600</v>
      </c>
      <c r="C39" s="8">
        <v>174.6</v>
      </c>
      <c r="D39" s="4">
        <v>8</v>
      </c>
      <c r="E39" s="38">
        <v>0</v>
      </c>
      <c r="F39" s="9">
        <v>11.98</v>
      </c>
      <c r="G39" s="24">
        <v>2012</v>
      </c>
      <c r="J39" s="82" t="s">
        <v>28</v>
      </c>
      <c r="K39" s="78">
        <v>817803</v>
      </c>
      <c r="L39" s="78">
        <v>186</v>
      </c>
      <c r="M39" s="4">
        <v>8.25</v>
      </c>
      <c r="N39" s="38">
        <v>1</v>
      </c>
      <c r="O39" s="78">
        <v>10.94</v>
      </c>
      <c r="P39" s="24">
        <v>2017</v>
      </c>
    </row>
    <row r="40" spans="1:16" x14ac:dyDescent="0.3">
      <c r="A40" s="6" t="s">
        <v>7</v>
      </c>
      <c r="B40" s="7">
        <v>30405</v>
      </c>
      <c r="C40" s="8">
        <v>168.9</v>
      </c>
      <c r="D40" s="4">
        <v>8</v>
      </c>
      <c r="E40" s="38">
        <v>0</v>
      </c>
      <c r="F40" s="9">
        <v>11.92</v>
      </c>
      <c r="G40" s="24">
        <v>2012</v>
      </c>
      <c r="J40" s="82" t="s">
        <v>29</v>
      </c>
      <c r="K40" s="78">
        <v>940552</v>
      </c>
      <c r="L40" s="78">
        <v>186.2</v>
      </c>
      <c r="M40" s="4">
        <v>7.75</v>
      </c>
      <c r="N40" s="38">
        <v>1</v>
      </c>
      <c r="O40" s="78">
        <v>10.78</v>
      </c>
      <c r="P40" s="24">
        <v>2017</v>
      </c>
    </row>
    <row r="41" spans="1:16" x14ac:dyDescent="0.3">
      <c r="A41" s="6" t="s">
        <v>8</v>
      </c>
      <c r="B41" s="7">
        <v>78800</v>
      </c>
      <c r="C41" s="8">
        <v>171.2</v>
      </c>
      <c r="D41" s="4">
        <v>8</v>
      </c>
      <c r="E41" s="38">
        <v>0</v>
      </c>
      <c r="F41" s="9">
        <v>11.98</v>
      </c>
      <c r="G41" s="24">
        <v>2012</v>
      </c>
      <c r="J41" s="82" t="s">
        <v>18</v>
      </c>
      <c r="K41" s="83">
        <v>1092316</v>
      </c>
      <c r="L41" s="83">
        <v>186.4</v>
      </c>
      <c r="M41" s="4">
        <v>7.75</v>
      </c>
      <c r="N41" s="38">
        <v>1</v>
      </c>
      <c r="O41" s="83">
        <v>10.64</v>
      </c>
      <c r="P41" s="24">
        <v>2018</v>
      </c>
    </row>
    <row r="42" spans="1:16" x14ac:dyDescent="0.3">
      <c r="A42" s="6" t="s">
        <v>9</v>
      </c>
      <c r="B42" s="7">
        <v>136432</v>
      </c>
      <c r="C42" s="8">
        <v>172.8</v>
      </c>
      <c r="D42" s="4">
        <v>8</v>
      </c>
      <c r="E42" s="38">
        <v>0</v>
      </c>
      <c r="F42" s="9">
        <v>12.05</v>
      </c>
      <c r="G42" s="24">
        <v>2012</v>
      </c>
      <c r="J42" s="82" t="s">
        <v>7</v>
      </c>
      <c r="K42" s="84">
        <v>78300</v>
      </c>
      <c r="L42" s="84">
        <v>190.8</v>
      </c>
      <c r="M42" s="4">
        <v>7.5</v>
      </c>
      <c r="N42" s="38">
        <v>1</v>
      </c>
      <c r="O42" s="84">
        <v>9.85</v>
      </c>
      <c r="P42" s="24">
        <v>2018</v>
      </c>
    </row>
    <row r="43" spans="1:16" x14ac:dyDescent="0.3">
      <c r="A43" s="6" t="s">
        <v>10</v>
      </c>
      <c r="B43" s="7">
        <v>198427</v>
      </c>
      <c r="C43" s="8">
        <v>174.2</v>
      </c>
      <c r="D43" s="4">
        <v>8</v>
      </c>
      <c r="E43" s="38">
        <v>0</v>
      </c>
      <c r="F43" s="9">
        <v>12.09</v>
      </c>
      <c r="G43" s="24">
        <v>2012</v>
      </c>
      <c r="J43" s="82" t="s">
        <v>8</v>
      </c>
      <c r="K43" s="84">
        <v>181272</v>
      </c>
      <c r="L43" s="84">
        <v>190.2</v>
      </c>
      <c r="M43" s="4">
        <v>7.25</v>
      </c>
      <c r="N43" s="38">
        <v>1</v>
      </c>
      <c r="O43" s="84">
        <v>9.8000000000000007</v>
      </c>
      <c r="P43" s="24">
        <v>2018</v>
      </c>
    </row>
    <row r="44" spans="1:16" x14ac:dyDescent="0.3">
      <c r="A44" s="6" t="s">
        <v>11</v>
      </c>
      <c r="B44" s="7">
        <v>258004</v>
      </c>
      <c r="C44" s="8">
        <v>174.6</v>
      </c>
      <c r="D44" s="4">
        <v>8</v>
      </c>
      <c r="E44" s="38">
        <v>0</v>
      </c>
      <c r="F44" s="9">
        <v>12.12</v>
      </c>
      <c r="G44" s="24">
        <v>2012</v>
      </c>
      <c r="J44" s="82" t="s">
        <v>9</v>
      </c>
      <c r="K44" s="84">
        <v>300359</v>
      </c>
      <c r="L44" s="84">
        <v>190.3</v>
      </c>
      <c r="M44" s="4">
        <v>7.25</v>
      </c>
      <c r="N44" s="38">
        <v>1</v>
      </c>
      <c r="O44" s="84">
        <v>9.74</v>
      </c>
      <c r="P44" s="24">
        <v>2018</v>
      </c>
    </row>
    <row r="45" spans="1:16" x14ac:dyDescent="0.3">
      <c r="A45" s="6" t="s">
        <v>12</v>
      </c>
      <c r="B45" s="7">
        <v>318388</v>
      </c>
      <c r="C45" s="8">
        <v>174.9</v>
      </c>
      <c r="D45" s="4">
        <v>8</v>
      </c>
      <c r="E45" s="38">
        <v>0</v>
      </c>
      <c r="F45" s="9">
        <v>12.14</v>
      </c>
      <c r="G45" s="24">
        <v>2012</v>
      </c>
      <c r="J45" s="82" t="s">
        <v>10</v>
      </c>
      <c r="K45" s="84">
        <v>426088</v>
      </c>
      <c r="L45" s="84">
        <v>190.8</v>
      </c>
      <c r="M45" s="4">
        <v>7.25</v>
      </c>
      <c r="N45" s="38">
        <v>1</v>
      </c>
      <c r="O45" s="84">
        <v>9.69</v>
      </c>
      <c r="P45" s="24">
        <v>2018</v>
      </c>
    </row>
    <row r="46" spans="1:16" x14ac:dyDescent="0.3">
      <c r="A46" s="6" t="s">
        <v>13</v>
      </c>
      <c r="B46" s="7">
        <v>381359</v>
      </c>
      <c r="C46" s="8">
        <v>175</v>
      </c>
      <c r="D46" s="4">
        <v>8</v>
      </c>
      <c r="E46" s="38">
        <v>0</v>
      </c>
      <c r="F46" s="9">
        <v>12.16</v>
      </c>
      <c r="G46" s="24">
        <v>2012</v>
      </c>
      <c r="J46" s="82" t="s">
        <v>11</v>
      </c>
      <c r="K46" s="84">
        <v>544626</v>
      </c>
      <c r="L46" s="84">
        <v>191</v>
      </c>
      <c r="M46" s="4">
        <v>7.25</v>
      </c>
      <c r="N46" s="38">
        <v>1</v>
      </c>
      <c r="O46" s="84">
        <v>9.66</v>
      </c>
      <c r="P46" s="24">
        <v>2018</v>
      </c>
    </row>
    <row r="47" spans="1:16" x14ac:dyDescent="0.3">
      <c r="A47" s="6" t="s">
        <v>14</v>
      </c>
      <c r="B47" s="7">
        <v>450784</v>
      </c>
      <c r="C47" s="8">
        <v>175.5</v>
      </c>
      <c r="D47" s="4">
        <v>8.25</v>
      </c>
      <c r="E47" s="38">
        <v>0</v>
      </c>
      <c r="F47" s="9">
        <v>12.19</v>
      </c>
      <c r="G47" s="24">
        <v>2012</v>
      </c>
      <c r="J47" s="82" t="s">
        <v>12</v>
      </c>
      <c r="K47" s="84">
        <v>665633</v>
      </c>
      <c r="L47" s="84">
        <v>191.4</v>
      </c>
      <c r="M47" s="4">
        <v>7.25</v>
      </c>
      <c r="N47" s="38">
        <v>1</v>
      </c>
      <c r="O47" s="84">
        <v>9.6300000000000008</v>
      </c>
      <c r="P47" s="24">
        <v>2018</v>
      </c>
    </row>
    <row r="48" spans="1:16" x14ac:dyDescent="0.3">
      <c r="A48" s="6" t="s">
        <v>15</v>
      </c>
      <c r="B48" s="7">
        <v>513166</v>
      </c>
      <c r="C48" s="8">
        <v>175.4</v>
      </c>
      <c r="D48" s="4">
        <v>8.25</v>
      </c>
      <c r="E48" s="38">
        <v>0</v>
      </c>
      <c r="F48" s="9">
        <v>12.21</v>
      </c>
      <c r="G48" s="24">
        <v>2012</v>
      </c>
      <c r="J48" s="82" t="s">
        <v>13</v>
      </c>
      <c r="K48" s="84">
        <v>787845</v>
      </c>
      <c r="L48" s="84">
        <v>193.3</v>
      </c>
      <c r="M48" s="4">
        <v>7.25</v>
      </c>
      <c r="N48" s="38">
        <v>1</v>
      </c>
      <c r="O48" s="84">
        <v>9.6199999999999992</v>
      </c>
      <c r="P48" s="24">
        <v>2018</v>
      </c>
    </row>
    <row r="49" spans="1:16" x14ac:dyDescent="0.3">
      <c r="A49" s="6" t="s">
        <v>16</v>
      </c>
      <c r="B49" s="7">
        <v>585035</v>
      </c>
      <c r="C49" s="8">
        <v>175.3</v>
      </c>
      <c r="D49" s="4">
        <v>8.25</v>
      </c>
      <c r="E49" s="38">
        <v>0</v>
      </c>
      <c r="F49" s="9">
        <v>12.25</v>
      </c>
      <c r="G49" s="24">
        <v>2012</v>
      </c>
      <c r="J49" s="82" t="s">
        <v>14</v>
      </c>
      <c r="K49" s="84">
        <v>914481</v>
      </c>
      <c r="L49" s="84">
        <v>193.6</v>
      </c>
      <c r="M49" s="4">
        <v>7.5</v>
      </c>
      <c r="N49" s="38">
        <v>1</v>
      </c>
      <c r="O49" s="84">
        <v>9.59</v>
      </c>
      <c r="P49" s="24">
        <v>2018</v>
      </c>
    </row>
    <row r="50" spans="1:16" x14ac:dyDescent="0.3">
      <c r="A50" s="6" t="s">
        <v>17</v>
      </c>
      <c r="B50" s="7">
        <v>656728</v>
      </c>
      <c r="C50" s="8">
        <v>175.8</v>
      </c>
      <c r="D50" s="4">
        <v>8.25</v>
      </c>
      <c r="E50" s="38">
        <v>0</v>
      </c>
      <c r="F50" s="9">
        <v>12.29</v>
      </c>
      <c r="G50" s="24">
        <v>2012</v>
      </c>
      <c r="J50" s="82" t="s">
        <v>15</v>
      </c>
      <c r="K50" s="84">
        <v>1036834</v>
      </c>
      <c r="L50" s="84">
        <v>193.9</v>
      </c>
      <c r="M50" s="4">
        <v>7.5</v>
      </c>
      <c r="N50" s="38">
        <v>1</v>
      </c>
      <c r="O50" s="84">
        <v>9.57</v>
      </c>
      <c r="P50" s="24">
        <v>2018</v>
      </c>
    </row>
    <row r="51" spans="1:16" x14ac:dyDescent="0.3">
      <c r="A51" s="6" t="s">
        <v>18</v>
      </c>
      <c r="B51" s="7">
        <v>739393</v>
      </c>
      <c r="C51" s="8">
        <v>176.6</v>
      </c>
      <c r="D51" s="4">
        <v>8.25</v>
      </c>
      <c r="E51" s="38">
        <v>0</v>
      </c>
      <c r="F51" s="9">
        <v>12.32</v>
      </c>
      <c r="G51" s="24">
        <v>2013</v>
      </c>
      <c r="J51" s="82" t="s">
        <v>16</v>
      </c>
      <c r="K51" s="84">
        <v>1178481</v>
      </c>
      <c r="L51" s="84">
        <v>194.4</v>
      </c>
      <c r="M51" s="4">
        <v>7.5</v>
      </c>
      <c r="N51" s="38">
        <v>1</v>
      </c>
      <c r="O51" s="84">
        <v>9.5500000000000007</v>
      </c>
      <c r="P51" s="24">
        <v>2018</v>
      </c>
    </row>
    <row r="52" spans="1:16" x14ac:dyDescent="0.3">
      <c r="A52" s="6" t="s">
        <v>7</v>
      </c>
      <c r="B52" s="7">
        <v>35778</v>
      </c>
      <c r="C52" s="8">
        <v>179</v>
      </c>
      <c r="D52" s="4">
        <v>8.25</v>
      </c>
      <c r="E52" s="38">
        <v>0</v>
      </c>
      <c r="F52" s="9">
        <v>12.73</v>
      </c>
      <c r="G52" s="24">
        <v>2013</v>
      </c>
      <c r="J52" s="82" t="s">
        <v>17</v>
      </c>
      <c r="K52" s="84">
        <v>1318786</v>
      </c>
      <c r="L52" s="84">
        <v>194.9</v>
      </c>
      <c r="M52" s="4">
        <v>7.75</v>
      </c>
      <c r="N52" s="38">
        <v>1</v>
      </c>
      <c r="O52" s="84">
        <v>9.5399999999999991</v>
      </c>
      <c r="P52" s="24">
        <v>2018</v>
      </c>
    </row>
    <row r="53" spans="1:16" x14ac:dyDescent="0.3">
      <c r="A53" s="6" t="s">
        <v>8</v>
      </c>
      <c r="B53" s="7">
        <v>89169</v>
      </c>
      <c r="C53" s="8">
        <v>177.8</v>
      </c>
      <c r="D53" s="4">
        <v>8.25</v>
      </c>
      <c r="E53" s="38">
        <v>0</v>
      </c>
      <c r="F53" s="9">
        <v>12.82</v>
      </c>
      <c r="G53" s="24">
        <v>2013</v>
      </c>
      <c r="J53" s="82" t="s">
        <v>18</v>
      </c>
      <c r="K53" s="83">
        <v>1476376</v>
      </c>
      <c r="L53" s="83">
        <v>195.5</v>
      </c>
      <c r="M53" s="4">
        <v>7.75</v>
      </c>
      <c r="N53" s="38">
        <v>1</v>
      </c>
      <c r="O53" s="83">
        <v>9.56</v>
      </c>
      <c r="P53" s="24">
        <v>2019</v>
      </c>
    </row>
    <row r="54" spans="1:16" x14ac:dyDescent="0.3">
      <c r="A54" s="6" t="s">
        <v>9</v>
      </c>
      <c r="B54" s="7">
        <v>150774</v>
      </c>
      <c r="C54" s="8">
        <v>177.4</v>
      </c>
      <c r="D54" s="4">
        <v>8.25</v>
      </c>
      <c r="E54" s="38">
        <v>0</v>
      </c>
      <c r="F54" s="9">
        <v>12.87</v>
      </c>
      <c r="G54" s="24">
        <v>2013</v>
      </c>
      <c r="J54" s="82" t="s">
        <v>7</v>
      </c>
      <c r="K54" s="84">
        <v>81627</v>
      </c>
      <c r="L54" s="84">
        <v>206.7</v>
      </c>
      <c r="M54" s="4">
        <v>7.75</v>
      </c>
      <c r="N54" s="38">
        <v>1</v>
      </c>
      <c r="O54" s="84">
        <v>9.89</v>
      </c>
      <c r="P54" s="24">
        <v>2019</v>
      </c>
    </row>
    <row r="55" spans="1:16" x14ac:dyDescent="0.3">
      <c r="A55" s="6" t="s">
        <v>10</v>
      </c>
      <c r="B55" s="7">
        <v>223546</v>
      </c>
      <c r="C55" s="8">
        <v>177</v>
      </c>
      <c r="D55" s="4">
        <v>8.25</v>
      </c>
      <c r="E55" s="38">
        <v>0</v>
      </c>
      <c r="F55" s="9">
        <v>12.81</v>
      </c>
      <c r="G55" s="24">
        <v>2013</v>
      </c>
      <c r="J55" s="82" t="s">
        <v>8</v>
      </c>
      <c r="K55" s="84">
        <v>188134</v>
      </c>
      <c r="L55" s="84">
        <v>209</v>
      </c>
      <c r="M55" s="4">
        <v>7.75</v>
      </c>
      <c r="N55" s="38">
        <v>1</v>
      </c>
      <c r="O55" s="84">
        <v>10.041232200381501</v>
      </c>
      <c r="P55" s="24">
        <v>2019</v>
      </c>
    </row>
    <row r="56" spans="1:16" x14ac:dyDescent="0.3">
      <c r="A56" s="6" t="s">
        <v>11</v>
      </c>
      <c r="B56" s="7">
        <v>286170</v>
      </c>
      <c r="C56" s="8">
        <v>175.9</v>
      </c>
      <c r="D56" s="4">
        <v>8.25</v>
      </c>
      <c r="E56" s="38">
        <v>0</v>
      </c>
      <c r="F56" s="9">
        <v>12.8</v>
      </c>
      <c r="G56" s="24">
        <v>2013</v>
      </c>
      <c r="J56" s="82" t="s">
        <v>9</v>
      </c>
      <c r="K56" s="84">
        <v>292854</v>
      </c>
      <c r="L56" s="84">
        <v>210.2</v>
      </c>
      <c r="M56" s="4">
        <v>7.75</v>
      </c>
      <c r="N56" s="38">
        <v>1</v>
      </c>
      <c r="O56" s="84">
        <v>10.1789149612837</v>
      </c>
      <c r="P56" s="24">
        <v>2019</v>
      </c>
    </row>
    <row r="57" spans="1:16" x14ac:dyDescent="0.3">
      <c r="A57" s="6" t="s">
        <v>12</v>
      </c>
      <c r="B57" s="7">
        <v>356292</v>
      </c>
      <c r="C57" s="8">
        <v>175.4</v>
      </c>
      <c r="D57" s="4">
        <v>8.25</v>
      </c>
      <c r="E57" s="38">
        <v>0</v>
      </c>
      <c r="F57" s="9">
        <v>12.76</v>
      </c>
      <c r="G57" s="24">
        <v>2013</v>
      </c>
      <c r="J57" s="82" t="s">
        <v>10</v>
      </c>
      <c r="K57" s="84">
        <v>404495</v>
      </c>
      <c r="L57" s="84">
        <v>211.3</v>
      </c>
      <c r="M57" s="4">
        <v>7.75</v>
      </c>
      <c r="N57" s="38">
        <v>1</v>
      </c>
      <c r="O57" s="84">
        <v>10.2859873759684</v>
      </c>
      <c r="P57" s="24">
        <v>2019</v>
      </c>
    </row>
    <row r="58" spans="1:16" x14ac:dyDescent="0.3">
      <c r="A58" s="6" t="s">
        <v>13</v>
      </c>
      <c r="B58" s="7">
        <v>436885</v>
      </c>
      <c r="C58" s="8">
        <v>175.1</v>
      </c>
      <c r="D58" s="4">
        <v>8.25</v>
      </c>
      <c r="E58" s="38">
        <v>0</v>
      </c>
      <c r="F58" s="9">
        <v>12.71</v>
      </c>
      <c r="G58" s="24">
        <v>2013</v>
      </c>
      <c r="J58" s="82" t="s">
        <v>11</v>
      </c>
      <c r="K58" s="84">
        <v>491716</v>
      </c>
      <c r="L58" s="84">
        <v>211.8</v>
      </c>
      <c r="M58" s="4">
        <v>7.5</v>
      </c>
      <c r="N58" s="38">
        <v>1</v>
      </c>
      <c r="O58" s="84">
        <v>10.331957596990399</v>
      </c>
      <c r="P58" s="24">
        <v>2019</v>
      </c>
    </row>
    <row r="59" spans="1:16" x14ac:dyDescent="0.3">
      <c r="A59" s="6" t="s">
        <v>14</v>
      </c>
      <c r="B59" s="7">
        <v>517007</v>
      </c>
      <c r="C59" s="8">
        <v>174.4</v>
      </c>
      <c r="D59" s="4">
        <v>5.5</v>
      </c>
      <c r="E59" s="38">
        <v>0</v>
      </c>
      <c r="F59" s="9">
        <v>12.67</v>
      </c>
      <c r="G59" s="24">
        <v>2013</v>
      </c>
      <c r="J59" s="82" t="s">
        <v>12</v>
      </c>
      <c r="K59" s="84">
        <v>589846</v>
      </c>
      <c r="L59" s="84">
        <v>212.3</v>
      </c>
      <c r="M59" s="4">
        <v>7.25</v>
      </c>
      <c r="N59" s="38">
        <v>1</v>
      </c>
      <c r="O59" s="84">
        <v>10.326385645079499</v>
      </c>
      <c r="P59" s="24">
        <v>2019</v>
      </c>
    </row>
    <row r="60" spans="1:16" x14ac:dyDescent="0.3">
      <c r="A60" s="6" t="s">
        <v>15</v>
      </c>
      <c r="B60" s="7">
        <v>593898</v>
      </c>
      <c r="C60" s="8">
        <v>174.1</v>
      </c>
      <c r="D60" s="4">
        <v>5.5</v>
      </c>
      <c r="E60" s="38">
        <v>0</v>
      </c>
      <c r="F60" s="9">
        <v>12.64</v>
      </c>
      <c r="G60" s="24">
        <v>2013</v>
      </c>
      <c r="J60" s="82" t="s">
        <v>13</v>
      </c>
      <c r="K60" s="84">
        <v>693033</v>
      </c>
      <c r="L60" s="84">
        <v>212.7</v>
      </c>
      <c r="M60" s="4">
        <v>7.25</v>
      </c>
      <c r="N60" s="38">
        <v>1</v>
      </c>
      <c r="O60" s="84">
        <v>10.311475768752601</v>
      </c>
      <c r="P60" s="24">
        <v>2019</v>
      </c>
    </row>
    <row r="61" spans="1:16" x14ac:dyDescent="0.3">
      <c r="A61" s="6" t="s">
        <v>16</v>
      </c>
      <c r="B61" s="7">
        <v>683351</v>
      </c>
      <c r="C61" s="8">
        <v>174</v>
      </c>
      <c r="D61" s="4">
        <v>5.5</v>
      </c>
      <c r="E61" s="38">
        <v>0</v>
      </c>
      <c r="F61" s="9">
        <v>12.6</v>
      </c>
      <c r="G61" s="24">
        <v>2013</v>
      </c>
      <c r="J61" s="82" t="s">
        <v>14</v>
      </c>
      <c r="K61" s="84">
        <v>803189</v>
      </c>
      <c r="L61" s="84">
        <v>213.1</v>
      </c>
      <c r="M61" s="4">
        <v>7</v>
      </c>
      <c r="N61" s="38">
        <v>1</v>
      </c>
      <c r="O61" s="84">
        <v>10.2546199802598</v>
      </c>
      <c r="P61" s="24">
        <v>2019</v>
      </c>
    </row>
    <row r="62" spans="1:16" x14ac:dyDescent="0.3">
      <c r="A62" s="6" t="s">
        <v>17</v>
      </c>
      <c r="B62" s="7">
        <v>767667</v>
      </c>
      <c r="C62" s="8">
        <v>172.8</v>
      </c>
      <c r="D62" s="4">
        <v>5.5</v>
      </c>
      <c r="E62" s="38">
        <v>0</v>
      </c>
      <c r="F62" s="9">
        <v>12.56</v>
      </c>
      <c r="G62" s="24">
        <v>2013</v>
      </c>
      <c r="J62" s="82" t="s">
        <v>15</v>
      </c>
      <c r="K62" s="84">
        <v>914116</v>
      </c>
      <c r="L62" s="84">
        <v>213.4</v>
      </c>
      <c r="M62" s="4">
        <v>6.5</v>
      </c>
      <c r="N62" s="38">
        <v>1</v>
      </c>
      <c r="O62" s="84">
        <v>10.1825783703665</v>
      </c>
      <c r="P62" s="24">
        <v>2019</v>
      </c>
    </row>
    <row r="63" spans="1:16" x14ac:dyDescent="0.3">
      <c r="A63" s="6" t="s">
        <v>18</v>
      </c>
      <c r="B63" s="7">
        <v>878495</v>
      </c>
      <c r="C63" s="8">
        <v>172.9</v>
      </c>
      <c r="D63" s="4">
        <v>5.5</v>
      </c>
      <c r="E63" s="38">
        <v>0</v>
      </c>
      <c r="F63" s="9">
        <v>12.51</v>
      </c>
      <c r="G63" s="24">
        <v>2014</v>
      </c>
      <c r="J63" s="82" t="s">
        <v>16</v>
      </c>
      <c r="K63" s="84">
        <v>1038211</v>
      </c>
      <c r="L63" s="84">
        <v>213.8</v>
      </c>
      <c r="M63" s="4">
        <v>6.5</v>
      </c>
      <c r="N63" s="38">
        <v>1</v>
      </c>
      <c r="O63" s="84">
        <v>10.087088793971599</v>
      </c>
      <c r="P63" s="24">
        <v>2019</v>
      </c>
    </row>
    <row r="64" spans="1:16" x14ac:dyDescent="0.3">
      <c r="A64" s="10" t="s">
        <v>19</v>
      </c>
      <c r="B64" s="11">
        <v>50367</v>
      </c>
      <c r="C64" s="12">
        <v>172</v>
      </c>
      <c r="D64" s="4">
        <v>5.5</v>
      </c>
      <c r="E64" s="38">
        <v>0</v>
      </c>
      <c r="F64" s="13">
        <v>12.3</v>
      </c>
      <c r="G64" s="24">
        <v>2014</v>
      </c>
      <c r="J64" s="82" t="s">
        <v>17</v>
      </c>
      <c r="K64" s="84">
        <v>1161433</v>
      </c>
      <c r="L64" s="84">
        <v>214</v>
      </c>
      <c r="M64" s="4">
        <v>6.25</v>
      </c>
      <c r="N64" s="38">
        <v>1</v>
      </c>
      <c r="O64" s="84">
        <v>9.9902794634507206</v>
      </c>
      <c r="P64" s="24">
        <v>2019</v>
      </c>
    </row>
    <row r="65" spans="1:16" x14ac:dyDescent="0.3">
      <c r="A65" s="10" t="s">
        <v>20</v>
      </c>
      <c r="B65" s="11">
        <v>123772</v>
      </c>
      <c r="C65" s="12">
        <v>178.9</v>
      </c>
      <c r="D65" s="4">
        <v>7</v>
      </c>
      <c r="E65" s="38">
        <v>0</v>
      </c>
      <c r="F65" s="13">
        <v>12.3</v>
      </c>
      <c r="G65" s="24">
        <v>2014</v>
      </c>
      <c r="J65" s="82" t="s">
        <v>18</v>
      </c>
      <c r="K65" s="83">
        <v>1318290</v>
      </c>
      <c r="L65" s="78">
        <v>214.1</v>
      </c>
      <c r="M65" s="4">
        <v>6.25</v>
      </c>
      <c r="N65" s="38">
        <v>1</v>
      </c>
      <c r="O65" s="83">
        <v>9.8723788597368003</v>
      </c>
      <c r="P65" s="24">
        <v>2020</v>
      </c>
    </row>
    <row r="66" spans="1:16" x14ac:dyDescent="0.3">
      <c r="A66" s="10" t="s">
        <v>21</v>
      </c>
      <c r="B66" s="11">
        <v>208384</v>
      </c>
      <c r="C66" s="12">
        <v>181.6</v>
      </c>
      <c r="D66" s="4">
        <v>7.5</v>
      </c>
      <c r="E66" s="38">
        <v>0</v>
      </c>
      <c r="F66" s="13">
        <v>12.18</v>
      </c>
      <c r="G66" s="24">
        <v>2014</v>
      </c>
      <c r="J66" s="82" t="s">
        <v>7</v>
      </c>
      <c r="K66" s="84">
        <v>83624</v>
      </c>
      <c r="L66" s="85">
        <v>216.7</v>
      </c>
      <c r="M66" s="4">
        <v>6</v>
      </c>
      <c r="N66" s="38">
        <v>1</v>
      </c>
      <c r="O66" s="84">
        <v>8.8461050481398793</v>
      </c>
      <c r="P66" s="24">
        <v>2020</v>
      </c>
    </row>
    <row r="67" spans="1:16" x14ac:dyDescent="0.3">
      <c r="A67" s="10" t="s">
        <v>22</v>
      </c>
      <c r="B67" s="11">
        <v>307049</v>
      </c>
      <c r="C67" s="12">
        <v>172.4</v>
      </c>
      <c r="D67" s="4">
        <v>7.5</v>
      </c>
      <c r="E67" s="38">
        <v>0</v>
      </c>
      <c r="F67" s="13">
        <v>12.22</v>
      </c>
      <c r="G67" s="24">
        <v>2014</v>
      </c>
      <c r="J67" s="82" t="s">
        <v>8</v>
      </c>
      <c r="K67" s="84">
        <v>199392</v>
      </c>
      <c r="L67" s="85">
        <v>217.5</v>
      </c>
      <c r="M67" s="4">
        <v>6</v>
      </c>
      <c r="N67" s="38">
        <v>1</v>
      </c>
      <c r="O67" s="84">
        <v>8.7806310039885602</v>
      </c>
      <c r="P67" s="24">
        <v>2020</v>
      </c>
    </row>
    <row r="68" spans="1:16" x14ac:dyDescent="0.3">
      <c r="A68" s="10" t="s">
        <v>23</v>
      </c>
      <c r="B68" s="11">
        <v>389021</v>
      </c>
      <c r="C68" s="12">
        <v>174.2</v>
      </c>
      <c r="D68" s="4">
        <v>7.5</v>
      </c>
      <c r="E68" s="38">
        <v>0</v>
      </c>
      <c r="F68" s="13">
        <v>12.22</v>
      </c>
      <c r="G68" s="24">
        <v>2014</v>
      </c>
      <c r="J68" s="82" t="s">
        <v>9</v>
      </c>
      <c r="K68" s="84">
        <v>332705</v>
      </c>
      <c r="L68" s="85">
        <v>217.4</v>
      </c>
      <c r="M68" s="4">
        <v>5.5</v>
      </c>
      <c r="N68" s="38">
        <v>1</v>
      </c>
      <c r="O68" s="84">
        <v>8.7408829550789306</v>
      </c>
      <c r="P68" s="24">
        <v>2020</v>
      </c>
    </row>
    <row r="69" spans="1:16" x14ac:dyDescent="0.3">
      <c r="A69" s="10" t="s">
        <v>24</v>
      </c>
      <c r="B69" s="11">
        <v>471256</v>
      </c>
      <c r="C69" s="12">
        <v>173.9</v>
      </c>
      <c r="D69" s="4">
        <v>8</v>
      </c>
      <c r="E69" s="38">
        <v>0</v>
      </c>
      <c r="F69" s="13">
        <v>12.22</v>
      </c>
      <c r="G69" s="24">
        <v>2014</v>
      </c>
      <c r="J69" s="82" t="s">
        <v>10</v>
      </c>
      <c r="K69" s="84">
        <v>430257</v>
      </c>
      <c r="L69" s="85">
        <v>217.2</v>
      </c>
      <c r="M69" s="4">
        <v>5.5</v>
      </c>
      <c r="N69" s="38">
        <v>1</v>
      </c>
      <c r="O69" s="84">
        <v>8.6726665023301397</v>
      </c>
      <c r="P69" s="24">
        <v>2020</v>
      </c>
    </row>
    <row r="70" spans="1:16" x14ac:dyDescent="0.3">
      <c r="A70" s="10" t="s">
        <v>25</v>
      </c>
      <c r="B70" s="11">
        <v>565551</v>
      </c>
      <c r="C70" s="12">
        <v>176.6</v>
      </c>
      <c r="D70" s="4">
        <v>8</v>
      </c>
      <c r="E70" s="38">
        <v>0</v>
      </c>
      <c r="F70" s="13">
        <v>12.23</v>
      </c>
      <c r="G70" s="24">
        <v>2014</v>
      </c>
      <c r="J70" s="82" t="s">
        <v>11</v>
      </c>
      <c r="K70" s="84">
        <v>523511</v>
      </c>
      <c r="L70" s="85">
        <v>216.5</v>
      </c>
      <c r="M70" s="4">
        <v>4.5</v>
      </c>
      <c r="N70" s="38">
        <v>1</v>
      </c>
      <c r="O70" s="84">
        <v>8.4831671374026403</v>
      </c>
      <c r="P70" s="24">
        <v>2020</v>
      </c>
    </row>
    <row r="71" spans="1:16" x14ac:dyDescent="0.3">
      <c r="A71" s="10" t="s">
        <v>26</v>
      </c>
      <c r="B71" s="11">
        <v>652343</v>
      </c>
      <c r="C71" s="12">
        <v>176.6</v>
      </c>
      <c r="D71" s="4">
        <v>8</v>
      </c>
      <c r="E71" s="38">
        <v>0</v>
      </c>
      <c r="F71" s="13">
        <v>12.24</v>
      </c>
      <c r="G71" s="24">
        <v>2014</v>
      </c>
      <c r="J71" s="82" t="s">
        <v>12</v>
      </c>
      <c r="K71" s="84">
        <v>650752</v>
      </c>
      <c r="L71" s="85">
        <v>216.2</v>
      </c>
      <c r="M71" s="4">
        <v>4.25</v>
      </c>
      <c r="N71" s="38">
        <v>1</v>
      </c>
      <c r="O71" s="84">
        <v>8.3210416613731706</v>
      </c>
      <c r="P71" s="24">
        <v>2020</v>
      </c>
    </row>
    <row r="72" spans="1:16" x14ac:dyDescent="0.3">
      <c r="A72" s="10" t="s">
        <v>27</v>
      </c>
      <c r="B72" s="11">
        <v>739226</v>
      </c>
      <c r="C72" s="12">
        <v>177.1</v>
      </c>
      <c r="D72" s="4">
        <v>8</v>
      </c>
      <c r="E72" s="38">
        <v>0</v>
      </c>
      <c r="F72" s="13">
        <v>12.27</v>
      </c>
      <c r="G72" s="24">
        <v>2014</v>
      </c>
      <c r="J72" s="82" t="s">
        <v>13</v>
      </c>
      <c r="K72" s="84">
        <v>806627</v>
      </c>
      <c r="L72" s="85">
        <v>216.5</v>
      </c>
      <c r="M72" s="4">
        <v>4.25</v>
      </c>
      <c r="N72" s="38">
        <v>1</v>
      </c>
      <c r="O72" s="84">
        <v>8.1340721930653395</v>
      </c>
      <c r="P72" s="24">
        <v>2020</v>
      </c>
    </row>
    <row r="73" spans="1:16" x14ac:dyDescent="0.3">
      <c r="A73" s="58" t="s">
        <v>28</v>
      </c>
      <c r="B73" s="59">
        <v>836062</v>
      </c>
      <c r="C73" s="60">
        <v>177.8</v>
      </c>
      <c r="D73" s="61">
        <v>9.5</v>
      </c>
      <c r="E73" s="62">
        <v>0</v>
      </c>
      <c r="F73" s="63">
        <v>12.34</v>
      </c>
      <c r="G73" s="64">
        <v>2014</v>
      </c>
      <c r="J73" s="82" t="s">
        <v>14</v>
      </c>
      <c r="K73" s="84">
        <v>970968</v>
      </c>
      <c r="L73" s="85">
        <v>216.8</v>
      </c>
      <c r="M73" s="4">
        <v>4.25</v>
      </c>
      <c r="N73" s="38">
        <v>1</v>
      </c>
      <c r="O73" s="84">
        <v>7.9781386489278301</v>
      </c>
      <c r="P73" s="24">
        <v>2020</v>
      </c>
    </row>
    <row r="74" spans="1:16" x14ac:dyDescent="0.3">
      <c r="A74" s="65"/>
      <c r="B74" s="66"/>
      <c r="C74" s="67"/>
      <c r="D74" s="22"/>
      <c r="F74" s="68"/>
      <c r="G74" s="69"/>
      <c r="J74" s="82" t="s">
        <v>15</v>
      </c>
      <c r="K74" s="84">
        <v>1169994</v>
      </c>
      <c r="L74" s="85">
        <v>217.3</v>
      </c>
      <c r="M74" s="4">
        <v>4.25</v>
      </c>
      <c r="N74" s="38">
        <v>1</v>
      </c>
      <c r="O74" s="84">
        <v>7.8611255994079396</v>
      </c>
      <c r="P74" s="24">
        <v>2020</v>
      </c>
    </row>
    <row r="75" spans="1:16" x14ac:dyDescent="0.3">
      <c r="A75" s="65"/>
      <c r="B75" s="66"/>
      <c r="C75" s="67"/>
      <c r="D75" s="22"/>
      <c r="F75" s="68"/>
      <c r="G75" s="69"/>
      <c r="J75" s="82" t="s">
        <v>16</v>
      </c>
      <c r="K75" s="84">
        <v>1382587</v>
      </c>
      <c r="L75" s="85">
        <v>218</v>
      </c>
      <c r="M75" s="4">
        <v>4.25</v>
      </c>
      <c r="N75" s="38">
        <v>1</v>
      </c>
      <c r="O75" s="84">
        <v>7.7719116628776499</v>
      </c>
      <c r="P75" s="24">
        <v>2020</v>
      </c>
    </row>
    <row r="76" spans="1:16" x14ac:dyDescent="0.3">
      <c r="A76" s="65"/>
      <c r="B76" s="66"/>
      <c r="C76" s="67"/>
      <c r="D76" s="22"/>
      <c r="F76" s="68"/>
      <c r="G76" s="69"/>
      <c r="J76" s="82" t="s">
        <v>17</v>
      </c>
      <c r="K76" s="84">
        <v>1571312</v>
      </c>
      <c r="L76" s="85">
        <v>218.6</v>
      </c>
      <c r="M76" s="4">
        <v>4.25</v>
      </c>
      <c r="N76" s="38">
        <v>1</v>
      </c>
      <c r="O76" s="84">
        <v>7.7218226498245697</v>
      </c>
      <c r="P76" s="24">
        <v>2020</v>
      </c>
    </row>
    <row r="77" spans="1:16" x14ac:dyDescent="0.3">
      <c r="A77" s="65"/>
      <c r="B77" s="66"/>
      <c r="C77" s="67"/>
      <c r="D77" s="22"/>
      <c r="F77" s="68"/>
      <c r="G77" s="69"/>
      <c r="J77" s="82" t="s">
        <v>18</v>
      </c>
      <c r="K77" s="83">
        <v>1783280</v>
      </c>
      <c r="L77" s="78">
        <v>219.4</v>
      </c>
      <c r="M77" s="4">
        <v>4.25</v>
      </c>
      <c r="N77" s="38">
        <v>1</v>
      </c>
      <c r="O77" s="78">
        <v>7.6746878268035301</v>
      </c>
      <c r="P77" s="24">
        <v>2021</v>
      </c>
    </row>
    <row r="78" spans="1:16" x14ac:dyDescent="0.3">
      <c r="A78" s="65"/>
      <c r="B78" s="66"/>
      <c r="C78" s="67"/>
      <c r="D78" s="22"/>
      <c r="F78" s="68"/>
      <c r="G78" s="69"/>
      <c r="J78" s="82" t="s">
        <v>7</v>
      </c>
      <c r="K78" s="84">
        <v>95242</v>
      </c>
      <c r="L78" s="85">
        <v>227.6</v>
      </c>
      <c r="M78" s="4">
        <v>4.25</v>
      </c>
      <c r="N78" s="38">
        <v>1</v>
      </c>
      <c r="O78" s="85">
        <v>7.2299141258069604</v>
      </c>
      <c r="P78" s="24">
        <v>2021</v>
      </c>
    </row>
    <row r="79" spans="1:16" x14ac:dyDescent="0.3">
      <c r="A79" s="65"/>
      <c r="B79" s="66"/>
      <c r="C79" s="67"/>
      <c r="D79" s="22"/>
      <c r="F79" s="68"/>
      <c r="G79" s="69"/>
      <c r="J79" s="82" t="s">
        <v>8</v>
      </c>
      <c r="K79" s="84">
        <v>240486</v>
      </c>
      <c r="L79" s="85">
        <v>228.8</v>
      </c>
      <c r="M79" s="4">
        <v>4.5</v>
      </c>
      <c r="N79" s="38">
        <v>1</v>
      </c>
      <c r="O79" s="85">
        <v>7.2513492912085402</v>
      </c>
      <c r="P79" s="24">
        <v>2021</v>
      </c>
    </row>
    <row r="80" spans="1:16" x14ac:dyDescent="0.3">
      <c r="A80" s="65"/>
      <c r="B80" s="66"/>
      <c r="C80" s="67"/>
      <c r="D80" s="22"/>
      <c r="F80" s="68"/>
      <c r="G80" s="69"/>
      <c r="J80" s="82" t="s">
        <v>9</v>
      </c>
      <c r="K80" s="84">
        <v>418898</v>
      </c>
      <c r="L80" s="85">
        <v>230.9</v>
      </c>
      <c r="M80" s="4">
        <v>5</v>
      </c>
      <c r="N80" s="38">
        <v>1</v>
      </c>
      <c r="O80" s="85">
        <v>7.24443078895301</v>
      </c>
      <c r="P80" s="24">
        <v>2021</v>
      </c>
    </row>
    <row r="81" spans="1:16" x14ac:dyDescent="0.3">
      <c r="A81" s="65"/>
      <c r="B81" s="66"/>
      <c r="C81" s="67"/>
      <c r="D81" s="22"/>
      <c r="F81" s="68"/>
      <c r="G81" s="69"/>
      <c r="J81" s="82" t="s">
        <v>10</v>
      </c>
      <c r="K81" s="84">
        <v>610634</v>
      </c>
      <c r="L81" s="85">
        <v>233.1</v>
      </c>
      <c r="M81" s="4">
        <v>5</v>
      </c>
      <c r="N81" s="38">
        <v>1</v>
      </c>
      <c r="O81" s="85">
        <v>7.2620010562644604</v>
      </c>
      <c r="P81" s="24">
        <v>2021</v>
      </c>
    </row>
    <row r="82" spans="1:16" x14ac:dyDescent="0.3">
      <c r="A82" s="65"/>
      <c r="B82" s="66"/>
      <c r="C82" s="67"/>
      <c r="D82" s="22"/>
      <c r="F82" s="68"/>
      <c r="G82" s="69"/>
      <c r="J82" s="82" t="s">
        <v>11</v>
      </c>
      <c r="K82" s="84">
        <v>759327</v>
      </c>
      <c r="L82" s="85">
        <v>234.5</v>
      </c>
      <c r="M82" s="4">
        <v>5.5</v>
      </c>
      <c r="N82" s="38">
        <v>1</v>
      </c>
      <c r="O82" s="85">
        <v>7.2695876776653199</v>
      </c>
      <c r="P82" s="24">
        <v>2021</v>
      </c>
    </row>
    <row r="83" spans="1:16" x14ac:dyDescent="0.3">
      <c r="A83" s="65"/>
      <c r="B83" s="66"/>
      <c r="C83" s="67"/>
      <c r="D83" s="22"/>
      <c r="F83" s="68"/>
      <c r="G83" s="69"/>
      <c r="J83" s="82" t="s">
        <v>12</v>
      </c>
      <c r="K83" s="84">
        <v>938338</v>
      </c>
      <c r="L83" s="85">
        <v>236.4</v>
      </c>
      <c r="M83" s="4">
        <v>6.5</v>
      </c>
      <c r="N83" s="38">
        <v>1</v>
      </c>
      <c r="O83" s="85">
        <v>7.2278074649192297</v>
      </c>
      <c r="P83" s="24">
        <v>2021</v>
      </c>
    </row>
    <row r="84" spans="1:16" x14ac:dyDescent="0.3">
      <c r="A84" s="65"/>
      <c r="B84" s="66"/>
      <c r="C84" s="67"/>
      <c r="D84" s="22"/>
      <c r="F84" s="68"/>
      <c r="G84" s="69"/>
      <c r="J84" s="82" t="s">
        <v>13</v>
      </c>
      <c r="K84" s="84">
        <v>1090038</v>
      </c>
      <c r="L84" s="85">
        <v>237.3</v>
      </c>
      <c r="M84" s="4">
        <v>6.5</v>
      </c>
      <c r="N84" s="38">
        <v>1</v>
      </c>
      <c r="O84" s="85">
        <v>7.2910729506059297</v>
      </c>
      <c r="P84" s="24">
        <v>2021</v>
      </c>
    </row>
    <row r="85" spans="1:16" x14ac:dyDescent="0.3">
      <c r="A85" s="65"/>
      <c r="B85" s="66"/>
      <c r="C85" s="67"/>
      <c r="D85" s="22"/>
      <c r="F85" s="68"/>
      <c r="G85" s="69"/>
      <c r="J85" s="82" t="s">
        <v>14</v>
      </c>
      <c r="K85" s="84">
        <v>1241090</v>
      </c>
      <c r="L85" s="85">
        <v>238.2</v>
      </c>
      <c r="M85" s="4">
        <v>6.75</v>
      </c>
      <c r="N85" s="38">
        <v>1</v>
      </c>
      <c r="O85" s="85">
        <v>7.3526498285739299</v>
      </c>
      <c r="P85" s="24">
        <v>2021</v>
      </c>
    </row>
    <row r="86" spans="1:16" x14ac:dyDescent="0.3">
      <c r="A86" s="65"/>
      <c r="B86" s="66"/>
      <c r="C86" s="67"/>
      <c r="D86" s="22"/>
      <c r="F86" s="68"/>
      <c r="G86" s="69"/>
      <c r="J86" s="82" t="s">
        <v>15</v>
      </c>
      <c r="K86" s="84">
        <v>1399097</v>
      </c>
      <c r="L86" s="85">
        <v>239.2</v>
      </c>
      <c r="M86" s="4">
        <v>7.5</v>
      </c>
      <c r="N86" s="38">
        <v>1</v>
      </c>
      <c r="O86" s="85">
        <v>7.3986477182112003</v>
      </c>
      <c r="P86" s="24">
        <v>2021</v>
      </c>
    </row>
    <row r="87" spans="1:16" x14ac:dyDescent="0.3">
      <c r="A87" s="65"/>
      <c r="B87" s="66"/>
      <c r="C87" s="67"/>
      <c r="D87" s="22"/>
      <c r="F87" s="68"/>
      <c r="G87" s="69"/>
      <c r="J87" s="82" t="s">
        <v>16</v>
      </c>
      <c r="K87" s="84">
        <v>1561138</v>
      </c>
      <c r="L87" s="85">
        <v>240.4</v>
      </c>
      <c r="M87" s="4">
        <v>7.5</v>
      </c>
      <c r="N87" s="38">
        <v>1</v>
      </c>
      <c r="O87" s="85">
        <v>7.4337074560463297</v>
      </c>
      <c r="P87" s="24">
        <v>2021</v>
      </c>
    </row>
    <row r="88" spans="1:16" x14ac:dyDescent="0.3">
      <c r="A88" s="65"/>
      <c r="B88" s="66"/>
      <c r="C88" s="67"/>
      <c r="D88" s="22"/>
      <c r="F88" s="68"/>
      <c r="G88" s="69"/>
      <c r="J88" s="82" t="s">
        <v>17</v>
      </c>
      <c r="K88" s="84">
        <v>1718958</v>
      </c>
      <c r="L88" s="85">
        <v>241.8</v>
      </c>
      <c r="M88" s="4">
        <v>8.5</v>
      </c>
      <c r="N88" s="38">
        <v>1</v>
      </c>
      <c r="O88" s="85">
        <v>7.4506539075763101</v>
      </c>
      <c r="P88" s="24">
        <v>2021</v>
      </c>
    </row>
    <row r="89" spans="1:16" x14ac:dyDescent="0.3">
      <c r="A89" s="65"/>
      <c r="B89" s="66"/>
      <c r="C89" s="67"/>
      <c r="D89" s="22"/>
      <c r="F89" s="68"/>
      <c r="G89" s="69"/>
      <c r="J89" s="82" t="s">
        <v>18</v>
      </c>
      <c r="K89" s="83">
        <v>1911650</v>
      </c>
      <c r="L89" s="78">
        <v>243.5</v>
      </c>
      <c r="M89" s="4">
        <v>8.5</v>
      </c>
      <c r="N89" s="38">
        <v>1</v>
      </c>
      <c r="O89" s="78">
        <v>7.4929849477907604</v>
      </c>
      <c r="P89" s="24">
        <v>2022</v>
      </c>
    </row>
    <row r="90" spans="1:16" x14ac:dyDescent="0.3">
      <c r="A90" s="65"/>
      <c r="B90" s="66"/>
      <c r="C90" s="67"/>
      <c r="D90" s="22"/>
      <c r="F90" s="68"/>
      <c r="G90" s="69"/>
      <c r="J90" s="82" t="s">
        <v>7</v>
      </c>
      <c r="K90" s="84">
        <v>95122</v>
      </c>
      <c r="L90" s="85">
        <v>262.2</v>
      </c>
      <c r="M90" s="4">
        <v>20</v>
      </c>
      <c r="N90" s="38">
        <v>1</v>
      </c>
      <c r="O90" s="85">
        <v>7.8710020331191002</v>
      </c>
      <c r="P90" s="24">
        <v>2022</v>
      </c>
    </row>
    <row r="91" spans="1:16" x14ac:dyDescent="0.3">
      <c r="A91" s="65"/>
      <c r="B91" s="66"/>
      <c r="C91" s="67"/>
      <c r="D91" s="22"/>
      <c r="F91" s="68"/>
      <c r="G91" s="69"/>
      <c r="J91" s="82" t="s">
        <v>8</v>
      </c>
      <c r="K91" s="84">
        <v>231003</v>
      </c>
      <c r="L91" s="85">
        <v>263.5</v>
      </c>
      <c r="M91" s="4">
        <v>20</v>
      </c>
      <c r="N91" s="38">
        <v>1</v>
      </c>
      <c r="O91" s="85">
        <v>8.0097213077866396</v>
      </c>
      <c r="P91" s="24">
        <v>2022</v>
      </c>
    </row>
    <row r="92" spans="1:16" x14ac:dyDescent="0.3">
      <c r="A92" s="65"/>
      <c r="B92" s="66"/>
      <c r="C92" s="67"/>
      <c r="D92" s="22"/>
      <c r="F92" s="68"/>
      <c r="G92" s="69"/>
      <c r="J92" s="82" t="s">
        <v>9</v>
      </c>
      <c r="K92" s="84">
        <v>394081</v>
      </c>
      <c r="L92" s="85">
        <v>264.5</v>
      </c>
      <c r="M92" s="4">
        <v>17</v>
      </c>
      <c r="N92" s="38">
        <v>1</v>
      </c>
      <c r="O92" s="85">
        <v>8.0245677008932894</v>
      </c>
      <c r="P92" s="24">
        <v>2022</v>
      </c>
    </row>
    <row r="93" spans="1:16" x14ac:dyDescent="0.3">
      <c r="A93" s="65"/>
      <c r="B93" s="66"/>
      <c r="C93" s="67"/>
      <c r="D93" s="22"/>
      <c r="F93" s="68"/>
      <c r="G93" s="69"/>
      <c r="J93" s="82" t="s">
        <v>10</v>
      </c>
      <c r="K93" s="84">
        <v>443717</v>
      </c>
      <c r="L93" s="85">
        <v>264.3</v>
      </c>
      <c r="M93" s="4">
        <v>14</v>
      </c>
      <c r="N93" s="38">
        <v>1</v>
      </c>
      <c r="O93" s="85">
        <v>7.9836573182267196</v>
      </c>
      <c r="P93" s="24">
        <v>2022</v>
      </c>
    </row>
    <row r="94" spans="1:16" x14ac:dyDescent="0.3">
      <c r="A94" s="65"/>
      <c r="B94" s="66"/>
      <c r="C94" s="67"/>
      <c r="D94" s="22"/>
      <c r="F94" s="68"/>
      <c r="G94" s="69"/>
      <c r="J94" s="82" t="s">
        <v>11</v>
      </c>
      <c r="K94" s="84">
        <v>480537</v>
      </c>
      <c r="L94" s="85">
        <v>264.89999999999998</v>
      </c>
      <c r="M94" s="4">
        <v>9.5</v>
      </c>
      <c r="N94" s="38">
        <v>1</v>
      </c>
      <c r="O94" s="85">
        <v>7.8240061910112102</v>
      </c>
      <c r="P94" s="24">
        <v>2022</v>
      </c>
    </row>
    <row r="95" spans="1:16" x14ac:dyDescent="0.3">
      <c r="A95" s="65"/>
      <c r="B95" s="66"/>
      <c r="C95" s="67"/>
      <c r="D95" s="22"/>
      <c r="F95" s="68"/>
      <c r="G95" s="69"/>
      <c r="J95" s="82" t="s">
        <v>12</v>
      </c>
      <c r="K95" s="84">
        <v>546255</v>
      </c>
      <c r="L95" s="85">
        <v>265.60000000000002</v>
      </c>
      <c r="M95" s="4">
        <v>8</v>
      </c>
      <c r="N95" s="38">
        <v>1</v>
      </c>
      <c r="O95" s="85">
        <v>7.6231946144807701</v>
      </c>
      <c r="P95" s="24">
        <v>2022</v>
      </c>
    </row>
    <row r="96" spans="1:16" x14ac:dyDescent="0.3">
      <c r="A96" s="65"/>
      <c r="B96" s="66"/>
      <c r="C96" s="67"/>
      <c r="D96" s="22"/>
      <c r="F96" s="68"/>
      <c r="G96" s="69"/>
      <c r="J96" s="82" t="s">
        <v>13</v>
      </c>
      <c r="K96" s="84">
        <v>638119</v>
      </c>
      <c r="L96" s="85">
        <v>267</v>
      </c>
      <c r="M96" s="4">
        <v>8</v>
      </c>
      <c r="N96" s="38">
        <v>1</v>
      </c>
      <c r="O96" s="85">
        <v>7.4730127154458303</v>
      </c>
      <c r="P96" s="24">
        <v>2022</v>
      </c>
    </row>
    <row r="97" spans="1:16" x14ac:dyDescent="0.3">
      <c r="A97" s="65"/>
      <c r="B97" s="66"/>
      <c r="C97" s="67"/>
      <c r="D97" s="22"/>
      <c r="F97" s="68"/>
      <c r="G97" s="69"/>
      <c r="J97" s="82" t="s">
        <v>14</v>
      </c>
      <c r="K97" s="84">
        <v>760267</v>
      </c>
      <c r="L97" s="85">
        <v>268.8</v>
      </c>
      <c r="M97" s="4">
        <v>7.5</v>
      </c>
      <c r="N97" s="38">
        <v>1</v>
      </c>
      <c r="O97" s="85">
        <v>7.3322996986712399</v>
      </c>
      <c r="P97" s="24">
        <v>2022</v>
      </c>
    </row>
    <row r="98" spans="1:16" x14ac:dyDescent="0.3">
      <c r="A98" s="65"/>
      <c r="B98" s="66"/>
      <c r="C98" s="67"/>
      <c r="D98" s="22"/>
      <c r="F98" s="68"/>
      <c r="G98" s="69"/>
      <c r="J98" s="82" t="s">
        <v>15</v>
      </c>
      <c r="K98" s="84">
        <v>897141</v>
      </c>
      <c r="L98" s="85">
        <v>270.8</v>
      </c>
      <c r="M98" s="4">
        <v>7.5</v>
      </c>
      <c r="N98" s="38">
        <v>1</v>
      </c>
      <c r="O98" s="85">
        <v>7.2284518766563401</v>
      </c>
      <c r="P98" s="24">
        <v>2022</v>
      </c>
    </row>
    <row r="99" spans="1:16" x14ac:dyDescent="0.3">
      <c r="A99" s="65"/>
      <c r="B99" s="66"/>
      <c r="C99" s="67"/>
      <c r="D99" s="22"/>
      <c r="F99" s="68"/>
      <c r="G99" s="69"/>
      <c r="J99" s="82" t="s">
        <v>16</v>
      </c>
      <c r="K99" s="84">
        <v>1024702</v>
      </c>
      <c r="L99" s="85">
        <v>271.89999999999998</v>
      </c>
      <c r="M99" s="4">
        <v>7.5</v>
      </c>
      <c r="N99" s="38">
        <v>1</v>
      </c>
      <c r="O99" s="85">
        <v>7.2474614662842498</v>
      </c>
      <c r="P99" s="24">
        <v>2022</v>
      </c>
    </row>
    <row r="100" spans="1:16" x14ac:dyDescent="0.3">
      <c r="A100" s="65"/>
      <c r="B100" s="66"/>
      <c r="C100" s="67"/>
      <c r="D100" s="22"/>
      <c r="F100" s="68"/>
      <c r="G100" s="69"/>
      <c r="J100" s="82" t="s">
        <v>17</v>
      </c>
      <c r="K100" s="84">
        <v>1153725</v>
      </c>
      <c r="L100" s="85">
        <v>273.2</v>
      </c>
      <c r="M100" s="4">
        <v>7.5</v>
      </c>
      <c r="N100" s="38">
        <v>1</v>
      </c>
      <c r="O100" s="85">
        <v>7.2317589554553203</v>
      </c>
      <c r="P100" s="24">
        <v>2022</v>
      </c>
    </row>
    <row r="101" spans="1:16" x14ac:dyDescent="0.3">
      <c r="A101" s="65"/>
      <c r="B101" s="66"/>
      <c r="C101" s="67"/>
      <c r="D101" s="22"/>
      <c r="F101" s="68"/>
      <c r="G101" s="69"/>
      <c r="J101" s="82" t="s">
        <v>18</v>
      </c>
      <c r="K101" s="83">
        <v>1330174</v>
      </c>
      <c r="L101" s="78">
        <v>275.5</v>
      </c>
      <c r="M101" s="4">
        <v>7.5</v>
      </c>
      <c r="N101" s="38">
        <v>1</v>
      </c>
      <c r="O101" s="78">
        <v>7.1434414050691002</v>
      </c>
      <c r="P101" s="24">
        <v>2023</v>
      </c>
    </row>
    <row r="102" spans="1:16" x14ac:dyDescent="0.3">
      <c r="A102" s="65"/>
      <c r="B102" s="66"/>
      <c r="C102" s="67"/>
      <c r="D102" s="22"/>
      <c r="F102" s="68"/>
      <c r="G102" s="69"/>
      <c r="J102" s="82" t="s">
        <v>7</v>
      </c>
      <c r="K102" s="84">
        <v>77366</v>
      </c>
      <c r="L102" s="85">
        <v>284.8</v>
      </c>
      <c r="M102" s="4">
        <v>7.5</v>
      </c>
      <c r="N102" s="38">
        <v>1</v>
      </c>
      <c r="O102" s="85">
        <v>7.8616709086823704</v>
      </c>
      <c r="P102" s="24">
        <v>2023</v>
      </c>
    </row>
    <row r="103" spans="1:16" x14ac:dyDescent="0.3">
      <c r="A103" s="65"/>
      <c r="B103" s="66"/>
      <c r="C103" s="67"/>
      <c r="D103" s="22"/>
      <c r="F103" s="68"/>
      <c r="G103" s="69"/>
      <c r="J103" s="82" t="s">
        <v>8</v>
      </c>
      <c r="K103" s="84">
        <v>192231</v>
      </c>
      <c r="L103" s="85">
        <v>286.3</v>
      </c>
      <c r="M103" s="4">
        <v>7.5</v>
      </c>
      <c r="N103" s="38">
        <v>1</v>
      </c>
      <c r="O103" s="85">
        <v>7.9768157043627603</v>
      </c>
      <c r="P103" s="24">
        <v>2023</v>
      </c>
    </row>
    <row r="104" spans="1:16" x14ac:dyDescent="0.3">
      <c r="A104" s="65"/>
      <c r="B104" s="66"/>
      <c r="C104" s="67"/>
      <c r="D104" s="22"/>
      <c r="F104" s="68"/>
      <c r="G104" s="69"/>
      <c r="J104" s="82" t="s">
        <v>9</v>
      </c>
      <c r="K104" s="84">
        <v>346471</v>
      </c>
      <c r="L104" s="85">
        <v>286.8</v>
      </c>
      <c r="M104" s="4">
        <v>7.5</v>
      </c>
      <c r="N104" s="38">
        <v>1</v>
      </c>
      <c r="O104" s="85">
        <v>8.0681979233267604</v>
      </c>
      <c r="P104" s="24">
        <v>2023</v>
      </c>
    </row>
    <row r="105" spans="1:16" x14ac:dyDescent="0.3">
      <c r="A105" s="65"/>
      <c r="B105" s="66"/>
      <c r="C105" s="67"/>
      <c r="D105" s="22"/>
      <c r="F105" s="68"/>
      <c r="G105" s="69"/>
      <c r="J105" s="82" t="s">
        <v>10</v>
      </c>
      <c r="K105" s="84">
        <v>500052</v>
      </c>
      <c r="L105" s="85">
        <v>286.60000000000002</v>
      </c>
      <c r="M105" s="4">
        <v>7.5</v>
      </c>
      <c r="N105" s="38">
        <v>1</v>
      </c>
      <c r="O105" s="85">
        <v>8.2057718181151102</v>
      </c>
      <c r="P105" s="24">
        <v>2023</v>
      </c>
    </row>
    <row r="106" spans="1:16" x14ac:dyDescent="0.3">
      <c r="A106" s="65"/>
      <c r="B106" s="66"/>
      <c r="C106" s="67"/>
      <c r="D106" s="22"/>
      <c r="F106" s="68"/>
      <c r="G106" s="69"/>
      <c r="J106" s="82" t="s">
        <v>11</v>
      </c>
      <c r="K106" s="84">
        <v>658115</v>
      </c>
      <c r="L106" s="85">
        <v>287.10000000000002</v>
      </c>
      <c r="M106" s="4">
        <v>7.5</v>
      </c>
      <c r="N106" s="38">
        <v>1</v>
      </c>
      <c r="O106" s="85">
        <v>8.2536786290411399</v>
      </c>
      <c r="P106" s="24">
        <v>2023</v>
      </c>
    </row>
    <row r="107" spans="1:16" x14ac:dyDescent="0.3">
      <c r="A107" s="65"/>
      <c r="B107" s="66"/>
      <c r="C107" s="67"/>
      <c r="D107" s="22"/>
      <c r="F107" s="68"/>
      <c r="G107" s="69"/>
      <c r="J107" s="82" t="s">
        <v>12</v>
      </c>
      <c r="K107" s="84">
        <v>826158</v>
      </c>
      <c r="L107" s="85">
        <v>287.5</v>
      </c>
      <c r="M107" s="4">
        <v>8.5</v>
      </c>
      <c r="N107" s="38">
        <v>1</v>
      </c>
      <c r="O107" s="85">
        <v>8.2937805105220992</v>
      </c>
      <c r="P107" s="24">
        <v>2023</v>
      </c>
    </row>
    <row r="108" spans="1:16" x14ac:dyDescent="0.3">
      <c r="A108" s="65"/>
      <c r="B108" s="66"/>
      <c r="C108" s="67"/>
      <c r="D108" s="22"/>
      <c r="F108" s="68"/>
      <c r="G108" s="69"/>
      <c r="J108" s="82" t="s">
        <v>13</v>
      </c>
      <c r="K108" s="84">
        <v>996920</v>
      </c>
      <c r="L108" s="85">
        <v>288.10000000000002</v>
      </c>
      <c r="M108" s="4">
        <v>12</v>
      </c>
      <c r="N108" s="38">
        <v>1</v>
      </c>
      <c r="O108" s="85">
        <v>8.2860723823704596</v>
      </c>
      <c r="P108" s="24">
        <v>2023</v>
      </c>
    </row>
    <row r="109" spans="1:16" x14ac:dyDescent="0.3">
      <c r="A109" s="65"/>
      <c r="B109" s="66"/>
      <c r="C109" s="67"/>
      <c r="D109" s="22"/>
      <c r="F109" s="68"/>
      <c r="G109" s="69"/>
      <c r="J109" s="82" t="s">
        <v>14</v>
      </c>
      <c r="K109" s="84">
        <v>1213179</v>
      </c>
      <c r="L109" s="85">
        <v>289.2</v>
      </c>
      <c r="M109" s="4">
        <v>13</v>
      </c>
      <c r="N109" s="38">
        <v>1</v>
      </c>
      <c r="O109" s="85">
        <v>8.2401051969259296</v>
      </c>
      <c r="P109" s="24">
        <v>2023</v>
      </c>
    </row>
    <row r="110" spans="1:16" x14ac:dyDescent="0.3">
      <c r="A110" s="65"/>
      <c r="B110" s="66"/>
      <c r="C110" s="67"/>
      <c r="D110" s="22"/>
      <c r="F110" s="68"/>
      <c r="G110" s="69"/>
      <c r="J110" s="82" t="s">
        <v>15</v>
      </c>
      <c r="K110" s="84">
        <v>1451542</v>
      </c>
      <c r="L110" s="85">
        <v>290.8</v>
      </c>
      <c r="M110" s="4">
        <v>15</v>
      </c>
      <c r="N110" s="38">
        <v>1</v>
      </c>
      <c r="O110" s="85">
        <v>8.1827152695892806</v>
      </c>
      <c r="P110" s="24">
        <v>2023</v>
      </c>
    </row>
    <row r="111" spans="1:16" x14ac:dyDescent="0.3">
      <c r="A111" s="65"/>
      <c r="B111" s="70"/>
      <c r="C111" s="71"/>
      <c r="D111" s="22"/>
      <c r="F111" s="72"/>
      <c r="G111" s="69"/>
      <c r="J111" s="82" t="s">
        <v>16</v>
      </c>
      <c r="K111" s="84">
        <v>1652045</v>
      </c>
      <c r="L111" s="85">
        <v>291.5</v>
      </c>
      <c r="M111" s="4">
        <v>15</v>
      </c>
      <c r="N111" s="38">
        <v>1</v>
      </c>
      <c r="O111" s="85">
        <v>8.2032766589560797</v>
      </c>
      <c r="P111" s="24">
        <v>2023</v>
      </c>
    </row>
    <row r="112" spans="1:16" x14ac:dyDescent="0.3">
      <c r="A112" s="65"/>
      <c r="B112" s="73"/>
      <c r="C112" s="74"/>
      <c r="D112" s="22"/>
      <c r="F112" s="75"/>
      <c r="G112" s="69"/>
      <c r="J112" s="82" t="s">
        <v>17</v>
      </c>
      <c r="K112" s="84">
        <v>1841303</v>
      </c>
      <c r="L112" s="85">
        <v>292.3</v>
      </c>
      <c r="M112" s="22">
        <v>16</v>
      </c>
      <c r="N112" s="38">
        <v>1</v>
      </c>
      <c r="O112" s="85">
        <v>8.2010392879351794</v>
      </c>
      <c r="P112" s="24">
        <v>2023</v>
      </c>
    </row>
    <row r="113" spans="1:7" x14ac:dyDescent="0.3">
      <c r="A113" s="65"/>
      <c r="B113" s="73"/>
      <c r="C113" s="74"/>
      <c r="D113" s="22"/>
      <c r="F113" s="75"/>
      <c r="G113" s="69"/>
    </row>
    <row r="114" spans="1:7" x14ac:dyDescent="0.3">
      <c r="A114" s="65"/>
      <c r="B114" s="73"/>
      <c r="C114" s="74"/>
      <c r="D114" s="22"/>
      <c r="F114" s="75"/>
      <c r="G114" s="69"/>
    </row>
    <row r="115" spans="1:7" x14ac:dyDescent="0.3">
      <c r="A115" s="65"/>
      <c r="B115" s="73"/>
      <c r="C115" s="74"/>
      <c r="D115" s="22"/>
      <c r="F115" s="75"/>
      <c r="G115" s="69"/>
    </row>
    <row r="116" spans="1:7" x14ac:dyDescent="0.3">
      <c r="A116" s="65"/>
      <c r="B116" s="73"/>
      <c r="C116" s="74"/>
      <c r="D116" s="22"/>
      <c r="F116" s="75"/>
      <c r="G116" s="69"/>
    </row>
    <row r="117" spans="1:7" x14ac:dyDescent="0.3">
      <c r="A117" s="65"/>
      <c r="B117" s="73"/>
      <c r="C117" s="74"/>
      <c r="D117" s="22"/>
      <c r="F117" s="75"/>
      <c r="G117" s="69"/>
    </row>
    <row r="118" spans="1:7" x14ac:dyDescent="0.3">
      <c r="A118" s="65"/>
      <c r="B118" s="73"/>
      <c r="C118" s="74"/>
      <c r="D118" s="22"/>
      <c r="F118" s="75"/>
      <c r="G118" s="69"/>
    </row>
    <row r="119" spans="1:7" x14ac:dyDescent="0.3">
      <c r="A119" s="65"/>
      <c r="B119" s="73"/>
      <c r="C119" s="74"/>
      <c r="D119" s="22"/>
      <c r="F119" s="75"/>
      <c r="G119" s="69"/>
    </row>
    <row r="120" spans="1:7" x14ac:dyDescent="0.3">
      <c r="A120" s="65"/>
      <c r="B120" s="73"/>
      <c r="C120" s="74"/>
      <c r="D120" s="22"/>
      <c r="F120" s="75"/>
      <c r="G120" s="69"/>
    </row>
    <row r="121" spans="1:7" x14ac:dyDescent="0.3">
      <c r="A121" s="65"/>
      <c r="B121" s="73"/>
      <c r="C121" s="74"/>
      <c r="D121" s="22"/>
      <c r="F121" s="75"/>
      <c r="G121" s="69"/>
    </row>
    <row r="122" spans="1:7" x14ac:dyDescent="0.3">
      <c r="A122" s="65"/>
      <c r="B122" s="73"/>
      <c r="C122" s="74"/>
      <c r="D122" s="22"/>
      <c r="F122" s="75"/>
      <c r="G122" s="69"/>
    </row>
    <row r="123" spans="1:7" x14ac:dyDescent="0.3">
      <c r="A123" s="65"/>
      <c r="B123" s="70"/>
      <c r="C123" s="71"/>
      <c r="D123" s="22"/>
      <c r="F123" s="72"/>
      <c r="G123" s="69"/>
    </row>
    <row r="124" spans="1:7" x14ac:dyDescent="0.3">
      <c r="A124" s="65"/>
      <c r="B124" s="73"/>
      <c r="C124" s="74"/>
      <c r="D124" s="22"/>
      <c r="F124" s="75"/>
      <c r="G124" s="69"/>
    </row>
    <row r="125" spans="1:7" x14ac:dyDescent="0.3">
      <c r="A125" s="65"/>
      <c r="B125" s="73"/>
      <c r="C125" s="74"/>
      <c r="D125" s="22"/>
      <c r="F125" s="75"/>
      <c r="G125" s="69"/>
    </row>
    <row r="126" spans="1:7" x14ac:dyDescent="0.3">
      <c r="A126" s="65"/>
      <c r="B126" s="73"/>
      <c r="C126" s="74"/>
      <c r="D126" s="22"/>
      <c r="F126" s="75"/>
      <c r="G126" s="69"/>
    </row>
    <row r="127" spans="1:7" x14ac:dyDescent="0.3">
      <c r="A127" s="65"/>
      <c r="B127" s="73"/>
      <c r="C127" s="74"/>
      <c r="D127" s="22"/>
      <c r="F127" s="75"/>
      <c r="G127" s="69"/>
    </row>
    <row r="128" spans="1:7" x14ac:dyDescent="0.3">
      <c r="A128" s="65"/>
      <c r="B128" s="73"/>
      <c r="C128" s="74"/>
      <c r="D128" s="22"/>
      <c r="F128" s="75"/>
      <c r="G128" s="69"/>
    </row>
    <row r="129" spans="1:7" x14ac:dyDescent="0.3">
      <c r="A129" s="65"/>
      <c r="B129" s="73"/>
      <c r="C129" s="74"/>
      <c r="D129" s="22"/>
      <c r="F129" s="75"/>
      <c r="G129" s="69"/>
    </row>
    <row r="130" spans="1:7" x14ac:dyDescent="0.3">
      <c r="A130" s="65"/>
      <c r="B130" s="73"/>
      <c r="C130" s="74"/>
      <c r="D130" s="22"/>
      <c r="F130" s="75"/>
      <c r="G130" s="69"/>
    </row>
    <row r="131" spans="1:7" x14ac:dyDescent="0.3">
      <c r="A131" s="65"/>
      <c r="B131" s="73"/>
      <c r="C131" s="74"/>
      <c r="D131" s="22"/>
      <c r="F131" s="75"/>
      <c r="G131" s="69"/>
    </row>
    <row r="132" spans="1:7" x14ac:dyDescent="0.3">
      <c r="A132" s="65"/>
      <c r="B132" s="73"/>
      <c r="C132" s="74"/>
      <c r="D132" s="22"/>
      <c r="F132" s="75"/>
      <c r="G132" s="69"/>
    </row>
    <row r="133" spans="1:7" x14ac:dyDescent="0.3">
      <c r="A133" s="65"/>
      <c r="B133" s="73"/>
      <c r="C133" s="74"/>
      <c r="D133" s="22"/>
      <c r="F133" s="75"/>
      <c r="G133" s="69"/>
    </row>
    <row r="134" spans="1:7" x14ac:dyDescent="0.3">
      <c r="A134" s="65"/>
      <c r="B134" s="73"/>
      <c r="C134" s="74"/>
      <c r="D134" s="22"/>
      <c r="F134" s="75"/>
      <c r="G134" s="69"/>
    </row>
    <row r="135" spans="1:7" x14ac:dyDescent="0.3">
      <c r="A135" s="65"/>
      <c r="B135" s="70"/>
      <c r="C135" s="67"/>
      <c r="D135" s="22"/>
      <c r="F135" s="72"/>
      <c r="G135" s="69"/>
    </row>
    <row r="136" spans="1:7" x14ac:dyDescent="0.3">
      <c r="A136" s="65"/>
      <c r="B136" s="73"/>
      <c r="C136" s="76"/>
      <c r="D136" s="22"/>
      <c r="F136" s="75"/>
      <c r="G136" s="69"/>
    </row>
    <row r="137" spans="1:7" x14ac:dyDescent="0.3">
      <c r="A137" s="65"/>
      <c r="B137" s="73"/>
      <c r="C137" s="76"/>
      <c r="D137" s="22"/>
      <c r="F137" s="75"/>
      <c r="G137" s="69"/>
    </row>
    <row r="138" spans="1:7" x14ac:dyDescent="0.3">
      <c r="A138" s="65"/>
      <c r="B138" s="73"/>
      <c r="C138" s="76"/>
      <c r="D138" s="22"/>
      <c r="F138" s="75"/>
      <c r="G138" s="69"/>
    </row>
    <row r="139" spans="1:7" x14ac:dyDescent="0.3">
      <c r="A139" s="65"/>
      <c r="B139" s="73"/>
      <c r="C139" s="76"/>
      <c r="D139" s="22"/>
      <c r="F139" s="75"/>
      <c r="G139" s="69"/>
    </row>
    <row r="140" spans="1:7" x14ac:dyDescent="0.3">
      <c r="A140" s="65"/>
      <c r="B140" s="73"/>
      <c r="C140" s="76"/>
      <c r="D140" s="22"/>
      <c r="F140" s="75"/>
      <c r="G140" s="69"/>
    </row>
    <row r="141" spans="1:7" x14ac:dyDescent="0.3">
      <c r="A141" s="65"/>
      <c r="B141" s="73"/>
      <c r="C141" s="76"/>
      <c r="D141" s="22"/>
      <c r="F141" s="75"/>
      <c r="G141" s="69"/>
    </row>
    <row r="142" spans="1:7" x14ac:dyDescent="0.3">
      <c r="A142" s="65"/>
      <c r="B142" s="73"/>
      <c r="C142" s="76"/>
      <c r="D142" s="22"/>
      <c r="F142" s="75"/>
      <c r="G142" s="69"/>
    </row>
    <row r="143" spans="1:7" x14ac:dyDescent="0.3">
      <c r="A143" s="65"/>
      <c r="B143" s="73"/>
      <c r="C143" s="76"/>
      <c r="D143" s="22"/>
      <c r="F143" s="75"/>
      <c r="G143" s="69"/>
    </row>
    <row r="144" spans="1:7" x14ac:dyDescent="0.3">
      <c r="A144" s="65"/>
      <c r="B144" s="73"/>
      <c r="C144" s="76"/>
      <c r="D144" s="22"/>
      <c r="F144" s="75"/>
      <c r="G144" s="69"/>
    </row>
    <row r="145" spans="1:7" x14ac:dyDescent="0.3">
      <c r="A145" s="65"/>
      <c r="B145" s="73"/>
      <c r="C145" s="76"/>
      <c r="D145" s="22"/>
      <c r="F145" s="75"/>
      <c r="G145" s="69"/>
    </row>
    <row r="146" spans="1:7" x14ac:dyDescent="0.3">
      <c r="A146" s="65"/>
      <c r="B146" s="73"/>
      <c r="C146" s="76"/>
      <c r="D146" s="22"/>
      <c r="F146" s="75"/>
      <c r="G146" s="69"/>
    </row>
    <row r="147" spans="1:7" x14ac:dyDescent="0.3">
      <c r="A147" s="65"/>
      <c r="B147" s="70"/>
      <c r="C147" s="67"/>
      <c r="D147" s="22"/>
      <c r="F147" s="68"/>
      <c r="G147" s="69"/>
    </row>
    <row r="148" spans="1:7" x14ac:dyDescent="0.3">
      <c r="A148" s="65"/>
      <c r="B148" s="73"/>
      <c r="C148" s="76"/>
      <c r="D148" s="22"/>
      <c r="F148" s="77"/>
      <c r="G148" s="69"/>
    </row>
    <row r="149" spans="1:7" x14ac:dyDescent="0.3">
      <c r="A149" s="65"/>
      <c r="B149" s="73"/>
      <c r="C149" s="76"/>
      <c r="D149" s="22"/>
      <c r="F149" s="77"/>
      <c r="G149" s="69"/>
    </row>
    <row r="150" spans="1:7" x14ac:dyDescent="0.3">
      <c r="A150" s="65"/>
      <c r="B150" s="73"/>
      <c r="C150" s="76"/>
      <c r="D150" s="22"/>
      <c r="F150" s="77"/>
      <c r="G150" s="69"/>
    </row>
    <row r="151" spans="1:7" x14ac:dyDescent="0.3">
      <c r="A151" s="65"/>
      <c r="B151" s="73"/>
      <c r="C151" s="76"/>
      <c r="D151" s="22"/>
      <c r="F151" s="77"/>
      <c r="G151" s="69"/>
    </row>
    <row r="152" spans="1:7" x14ac:dyDescent="0.3">
      <c r="A152" s="65"/>
      <c r="B152" s="73"/>
      <c r="C152" s="76"/>
      <c r="D152" s="22"/>
      <c r="F152" s="77"/>
      <c r="G152" s="69"/>
    </row>
    <row r="153" spans="1:7" x14ac:dyDescent="0.3">
      <c r="A153" s="65"/>
      <c r="B153" s="73"/>
      <c r="C153" s="76"/>
      <c r="D153" s="22"/>
      <c r="F153" s="77"/>
      <c r="G153" s="69"/>
    </row>
    <row r="154" spans="1:7" x14ac:dyDescent="0.3">
      <c r="A154" s="65"/>
      <c r="B154" s="73"/>
      <c r="C154" s="76"/>
      <c r="D154" s="22"/>
      <c r="F154" s="77"/>
      <c r="G154" s="69"/>
    </row>
    <row r="155" spans="1:7" x14ac:dyDescent="0.3">
      <c r="A155" s="65"/>
      <c r="B155" s="73"/>
      <c r="C155" s="76"/>
      <c r="D155" s="22"/>
      <c r="F155" s="77"/>
      <c r="G155" s="69"/>
    </row>
    <row r="156" spans="1:7" x14ac:dyDescent="0.3">
      <c r="A156" s="65"/>
      <c r="B156" s="73"/>
      <c r="C156" s="76"/>
      <c r="D156" s="22"/>
      <c r="F156" s="77"/>
      <c r="G156" s="69"/>
    </row>
    <row r="157" spans="1:7" x14ac:dyDescent="0.3">
      <c r="A157" s="65"/>
      <c r="B157" s="73"/>
      <c r="C157" s="76"/>
      <c r="D157" s="22"/>
      <c r="F157" s="77"/>
      <c r="G157" s="69"/>
    </row>
    <row r="158" spans="1:7" x14ac:dyDescent="0.3">
      <c r="A158" s="65"/>
      <c r="B158" s="73"/>
      <c r="C158" s="76"/>
      <c r="D158" s="22"/>
      <c r="F158" s="77"/>
      <c r="G158" s="69"/>
    </row>
    <row r="159" spans="1:7" x14ac:dyDescent="0.3">
      <c r="A159" s="65"/>
      <c r="B159" s="70"/>
      <c r="C159" s="67"/>
      <c r="D159" s="22"/>
      <c r="F159" s="68"/>
      <c r="G159" s="69"/>
    </row>
    <row r="160" spans="1:7" x14ac:dyDescent="0.3">
      <c r="A160" s="65"/>
      <c r="B160" s="73"/>
      <c r="C160" s="76"/>
      <c r="D160" s="22"/>
      <c r="F160" s="77"/>
      <c r="G160" s="69"/>
    </row>
    <row r="161" spans="1:7" x14ac:dyDescent="0.3">
      <c r="A161" s="65"/>
      <c r="B161" s="73"/>
      <c r="C161" s="76"/>
      <c r="D161" s="22"/>
      <c r="F161" s="77"/>
      <c r="G161" s="69"/>
    </row>
    <row r="162" spans="1:7" x14ac:dyDescent="0.3">
      <c r="A162" s="65"/>
      <c r="B162" s="73"/>
      <c r="C162" s="76"/>
      <c r="D162" s="22"/>
      <c r="F162" s="77"/>
      <c r="G162" s="69"/>
    </row>
    <row r="163" spans="1:7" x14ac:dyDescent="0.3">
      <c r="A163" s="65"/>
      <c r="B163" s="73"/>
      <c r="C163" s="76"/>
      <c r="D163" s="22"/>
      <c r="F163" s="77"/>
      <c r="G163" s="69"/>
    </row>
    <row r="164" spans="1:7" x14ac:dyDescent="0.3">
      <c r="A164" s="65"/>
      <c r="B164" s="73"/>
      <c r="C164" s="76"/>
      <c r="D164" s="22"/>
      <c r="F164" s="77"/>
      <c r="G164" s="69"/>
    </row>
    <row r="165" spans="1:7" x14ac:dyDescent="0.3">
      <c r="A165" s="65"/>
      <c r="B165" s="73"/>
      <c r="C165" s="76"/>
      <c r="D165" s="22"/>
      <c r="F165" s="77"/>
      <c r="G165" s="69"/>
    </row>
    <row r="166" spans="1:7" x14ac:dyDescent="0.3">
      <c r="A166" s="65"/>
      <c r="B166" s="73"/>
      <c r="C166" s="76"/>
      <c r="D166" s="22"/>
      <c r="F166" s="77"/>
      <c r="G166" s="69"/>
    </row>
    <row r="167" spans="1:7" x14ac:dyDescent="0.3">
      <c r="A167" s="65"/>
      <c r="B167" s="73"/>
      <c r="C167" s="76"/>
      <c r="D167" s="22"/>
      <c r="F167" s="77"/>
      <c r="G167" s="69"/>
    </row>
    <row r="168" spans="1:7" x14ac:dyDescent="0.3">
      <c r="A168" s="65"/>
      <c r="B168" s="73"/>
      <c r="C168" s="76"/>
      <c r="D168" s="22"/>
      <c r="F168" s="77"/>
      <c r="G168" s="69"/>
    </row>
    <row r="169" spans="1:7" x14ac:dyDescent="0.3">
      <c r="A169" s="65"/>
      <c r="B169" s="73"/>
      <c r="C169" s="76"/>
      <c r="D169" s="22"/>
      <c r="F169" s="77"/>
      <c r="G169" s="69"/>
    </row>
    <row r="170" spans="1:7" x14ac:dyDescent="0.3">
      <c r="A170" s="65"/>
      <c r="B170" s="73"/>
      <c r="C170" s="76"/>
      <c r="D170" s="22"/>
      <c r="F170" s="77"/>
      <c r="G170" s="69"/>
    </row>
    <row r="171" spans="1:7" x14ac:dyDescent="0.3">
      <c r="A171" s="65"/>
      <c r="B171" s="70"/>
      <c r="C171" s="67"/>
      <c r="D171" s="22"/>
      <c r="F171" s="68"/>
      <c r="G171" s="69"/>
    </row>
    <row r="172" spans="1:7" x14ac:dyDescent="0.3">
      <c r="A172" s="65"/>
      <c r="B172" s="73"/>
      <c r="C172" s="76"/>
      <c r="D172" s="22"/>
      <c r="F172" s="77"/>
      <c r="G172" s="69"/>
    </row>
    <row r="173" spans="1:7" x14ac:dyDescent="0.3">
      <c r="A173" s="65"/>
      <c r="B173" s="73"/>
      <c r="C173" s="76"/>
      <c r="D173" s="22"/>
      <c r="F173" s="77"/>
      <c r="G173" s="69"/>
    </row>
    <row r="174" spans="1:7" x14ac:dyDescent="0.3">
      <c r="A174" s="65"/>
      <c r="B174" s="73"/>
      <c r="C174" s="76"/>
      <c r="D174" s="22"/>
      <c r="F174" s="77"/>
      <c r="G174" s="69"/>
    </row>
    <row r="175" spans="1:7" x14ac:dyDescent="0.3">
      <c r="A175" s="65"/>
      <c r="B175" s="73"/>
      <c r="C175" s="76"/>
      <c r="D175" s="22"/>
      <c r="F175" s="77"/>
      <c r="G175" s="69"/>
    </row>
    <row r="176" spans="1:7" x14ac:dyDescent="0.3">
      <c r="A176" s="65"/>
      <c r="B176" s="73"/>
      <c r="C176" s="76"/>
      <c r="D176" s="22"/>
      <c r="F176" s="77"/>
      <c r="G176" s="69"/>
    </row>
    <row r="177" spans="1:7" x14ac:dyDescent="0.3">
      <c r="A177" s="65"/>
      <c r="B177" s="73"/>
      <c r="C177" s="76"/>
      <c r="D177" s="22"/>
      <c r="F177" s="77"/>
      <c r="G177" s="69"/>
    </row>
    <row r="178" spans="1:7" x14ac:dyDescent="0.3">
      <c r="A178" s="65"/>
      <c r="B178" s="73"/>
      <c r="C178" s="76"/>
      <c r="D178" s="22"/>
      <c r="F178" s="77"/>
      <c r="G178" s="69"/>
    </row>
    <row r="179" spans="1:7" x14ac:dyDescent="0.3">
      <c r="A179" s="65"/>
      <c r="B179" s="73"/>
      <c r="C179" s="76"/>
      <c r="D179" s="22"/>
      <c r="F179" s="77"/>
      <c r="G179" s="69"/>
    </row>
    <row r="180" spans="1:7" x14ac:dyDescent="0.3">
      <c r="A180" s="65"/>
      <c r="B180" s="73"/>
      <c r="C180" s="76"/>
      <c r="D180" s="22"/>
      <c r="F180" s="77"/>
      <c r="G180" s="69"/>
    </row>
    <row r="181" spans="1:7" x14ac:dyDescent="0.3">
      <c r="A181" s="65"/>
      <c r="B181" s="73"/>
      <c r="C181" s="76"/>
      <c r="D181" s="22"/>
      <c r="F181" s="77"/>
      <c r="G181" s="69"/>
    </row>
    <row r="182" spans="1:7" x14ac:dyDescent="0.3">
      <c r="A182" s="65"/>
      <c r="B182" s="73"/>
      <c r="C182" s="76"/>
      <c r="D182" s="22"/>
      <c r="F182" s="77"/>
      <c r="G182" s="69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AFF2-C00D-4909-8937-4239E37E9658}">
  <dimension ref="A1:H181"/>
  <sheetViews>
    <sheetView topLeftCell="A174" workbookViewId="0">
      <selection sqref="A1:G181"/>
    </sheetView>
  </sheetViews>
  <sheetFormatPr defaultRowHeight="14.4" x14ac:dyDescent="0.3"/>
  <cols>
    <col min="2" max="2" width="14.44140625" customWidth="1"/>
    <col min="3" max="3" width="18.44140625" customWidth="1"/>
    <col min="4" max="4" width="16" customWidth="1"/>
    <col min="5" max="5" width="15.5546875" customWidth="1"/>
    <col min="6" max="6" width="18.5546875" customWidth="1"/>
    <col min="7" max="7" width="12.21875" customWidth="1"/>
    <col min="8" max="8" width="14.5546875" customWidth="1"/>
    <col min="9" max="9" width="13" customWidth="1"/>
    <col min="10" max="10" width="15" customWidth="1"/>
  </cols>
  <sheetData>
    <row r="1" spans="1:8" ht="133.19999999999999" customHeight="1" x14ac:dyDescent="0.3">
      <c r="A1" s="27"/>
      <c r="B1" s="23" t="s">
        <v>0</v>
      </c>
      <c r="C1" s="23" t="s">
        <v>36</v>
      </c>
      <c r="D1" s="23" t="s">
        <v>33</v>
      </c>
      <c r="E1" s="51" t="s">
        <v>38</v>
      </c>
      <c r="F1" s="23" t="s">
        <v>32</v>
      </c>
      <c r="G1" s="52" t="s">
        <v>37</v>
      </c>
    </row>
    <row r="2" spans="1:8" ht="32.4" x14ac:dyDescent="0.3">
      <c r="A2" s="25"/>
      <c r="B2" s="47" t="s">
        <v>1</v>
      </c>
      <c r="C2" s="48" t="s">
        <v>4</v>
      </c>
      <c r="D2" s="46" t="s">
        <v>5</v>
      </c>
      <c r="E2" s="49" t="s">
        <v>34</v>
      </c>
      <c r="F2" s="48" t="s">
        <v>6</v>
      </c>
      <c r="G2" s="50" t="s">
        <v>37</v>
      </c>
    </row>
    <row r="3" spans="1:8" x14ac:dyDescent="0.3">
      <c r="A3" s="1" t="s">
        <v>7</v>
      </c>
      <c r="B3" s="2">
        <v>6198</v>
      </c>
      <c r="C3" s="42">
        <v>191.1</v>
      </c>
      <c r="D3" s="43">
        <v>13</v>
      </c>
      <c r="E3" s="38">
        <v>0</v>
      </c>
      <c r="F3" s="44">
        <v>14.35</v>
      </c>
      <c r="G3" s="45">
        <v>2009</v>
      </c>
      <c r="H3">
        <v>1</v>
      </c>
    </row>
    <row r="4" spans="1:8" x14ac:dyDescent="0.3">
      <c r="A4" s="6" t="s">
        <v>8</v>
      </c>
      <c r="B4" s="7">
        <v>14330</v>
      </c>
      <c r="C4" s="8">
        <v>192.3</v>
      </c>
      <c r="D4" s="4">
        <v>13</v>
      </c>
      <c r="E4" s="38">
        <v>0</v>
      </c>
      <c r="F4" s="9">
        <v>14.5</v>
      </c>
      <c r="G4" s="33">
        <v>2009</v>
      </c>
      <c r="H4">
        <v>2</v>
      </c>
    </row>
    <row r="5" spans="1:8" x14ac:dyDescent="0.3">
      <c r="A5" s="6" t="s">
        <v>9</v>
      </c>
      <c r="B5" s="7">
        <v>24486</v>
      </c>
      <c r="C5" s="8">
        <v>190.8</v>
      </c>
      <c r="D5" s="4">
        <v>12.5</v>
      </c>
      <c r="E5" s="38">
        <v>0</v>
      </c>
      <c r="F5" s="9">
        <v>14.67</v>
      </c>
      <c r="G5" s="33">
        <v>2009</v>
      </c>
      <c r="H5">
        <v>3</v>
      </c>
    </row>
    <row r="6" spans="1:8" x14ac:dyDescent="0.3">
      <c r="A6" s="6" t="s">
        <v>10</v>
      </c>
      <c r="B6" s="7">
        <v>36232</v>
      </c>
      <c r="C6" s="8">
        <v>191.2</v>
      </c>
      <c r="D6" s="4">
        <v>12</v>
      </c>
      <c r="E6" s="38">
        <v>0</v>
      </c>
      <c r="F6" s="9">
        <v>14.71</v>
      </c>
      <c r="G6" s="33">
        <v>2009</v>
      </c>
      <c r="H6">
        <v>4</v>
      </c>
    </row>
    <row r="7" spans="1:8" x14ac:dyDescent="0.3">
      <c r="A7" s="6" t="s">
        <v>11</v>
      </c>
      <c r="B7" s="7">
        <v>46914</v>
      </c>
      <c r="C7" s="8">
        <v>189.3</v>
      </c>
      <c r="D7" s="4">
        <v>11.5</v>
      </c>
      <c r="E7" s="38">
        <v>0</v>
      </c>
      <c r="F7" s="9">
        <v>14.84</v>
      </c>
      <c r="G7" s="33">
        <v>2009</v>
      </c>
      <c r="H7">
        <v>5</v>
      </c>
    </row>
    <row r="8" spans="1:8" x14ac:dyDescent="0.3">
      <c r="A8" s="6" t="s">
        <v>12</v>
      </c>
      <c r="B8" s="7">
        <v>60163</v>
      </c>
      <c r="C8" s="8">
        <v>187.3</v>
      </c>
      <c r="D8" s="4">
        <v>11</v>
      </c>
      <c r="E8" s="38">
        <v>0</v>
      </c>
      <c r="F8" s="9">
        <v>14.86</v>
      </c>
      <c r="G8" s="33">
        <v>2009</v>
      </c>
      <c r="H8">
        <v>6</v>
      </c>
    </row>
    <row r="9" spans="1:8" x14ac:dyDescent="0.3">
      <c r="A9" s="6" t="s">
        <v>13</v>
      </c>
      <c r="B9" s="7">
        <v>75018</v>
      </c>
      <c r="C9" s="8">
        <v>187.5</v>
      </c>
      <c r="D9" s="4">
        <v>10.75</v>
      </c>
      <c r="E9" s="38">
        <v>0</v>
      </c>
      <c r="F9" s="9">
        <v>14.88</v>
      </c>
      <c r="G9" s="33">
        <v>2009</v>
      </c>
      <c r="H9">
        <v>7</v>
      </c>
    </row>
    <row r="10" spans="1:8" x14ac:dyDescent="0.3">
      <c r="A10" s="6" t="s">
        <v>14</v>
      </c>
      <c r="B10" s="7">
        <v>89893</v>
      </c>
      <c r="C10" s="8">
        <v>187.9</v>
      </c>
      <c r="D10" s="4">
        <v>10.5</v>
      </c>
      <c r="E10" s="38">
        <v>0</v>
      </c>
      <c r="F10" s="9">
        <v>14.85</v>
      </c>
      <c r="G10" s="33">
        <v>2009</v>
      </c>
      <c r="H10">
        <v>8</v>
      </c>
    </row>
    <row r="11" spans="1:8" x14ac:dyDescent="0.3">
      <c r="A11" s="6" t="s">
        <v>15</v>
      </c>
      <c r="B11" s="7">
        <v>106642</v>
      </c>
      <c r="C11" s="8">
        <v>187.7</v>
      </c>
      <c r="D11" s="4">
        <v>9.5</v>
      </c>
      <c r="E11" s="38">
        <v>0</v>
      </c>
      <c r="F11" s="9">
        <v>14.8</v>
      </c>
      <c r="G11" s="33">
        <v>2009</v>
      </c>
      <c r="H11">
        <v>9</v>
      </c>
    </row>
    <row r="12" spans="1:8" x14ac:dyDescent="0.3">
      <c r="A12" s="6" t="s">
        <v>16</v>
      </c>
      <c r="B12" s="7">
        <v>126962</v>
      </c>
      <c r="C12" s="8">
        <v>187.8</v>
      </c>
      <c r="D12" s="4">
        <v>9</v>
      </c>
      <c r="E12" s="38">
        <v>0</v>
      </c>
      <c r="F12" s="9">
        <v>14.76</v>
      </c>
      <c r="G12" s="33">
        <v>2009</v>
      </c>
      <c r="H12">
        <v>10</v>
      </c>
    </row>
    <row r="13" spans="1:8" x14ac:dyDescent="0.3">
      <c r="A13" s="6" t="s">
        <v>17</v>
      </c>
      <c r="B13" s="7">
        <v>146598</v>
      </c>
      <c r="C13" s="8">
        <v>188.6</v>
      </c>
      <c r="D13" s="4">
        <v>8.75</v>
      </c>
      <c r="E13" s="38">
        <v>0</v>
      </c>
      <c r="F13" s="9">
        <v>14.72</v>
      </c>
      <c r="G13" s="33">
        <v>2009</v>
      </c>
      <c r="H13">
        <v>11</v>
      </c>
    </row>
    <row r="14" spans="1:8" x14ac:dyDescent="0.3">
      <c r="A14" s="6" t="s">
        <v>18</v>
      </c>
      <c r="B14" s="7">
        <v>176146</v>
      </c>
      <c r="C14" s="8">
        <v>188.4</v>
      </c>
      <c r="D14" s="4">
        <v>8.75</v>
      </c>
      <c r="E14" s="38">
        <v>0</v>
      </c>
      <c r="F14" s="9">
        <v>14.59</v>
      </c>
      <c r="G14" s="24">
        <v>2010</v>
      </c>
      <c r="H14">
        <v>12</v>
      </c>
    </row>
    <row r="15" spans="1:8" x14ac:dyDescent="0.3">
      <c r="A15" s="6" t="s">
        <v>7</v>
      </c>
      <c r="B15" s="7">
        <v>9452</v>
      </c>
      <c r="C15" s="8">
        <v>186.8</v>
      </c>
      <c r="D15" s="4">
        <v>8.5</v>
      </c>
      <c r="E15" s="38">
        <v>0</v>
      </c>
      <c r="F15" s="9">
        <v>14.17</v>
      </c>
      <c r="G15" s="24">
        <v>2010</v>
      </c>
      <c r="H15">
        <v>13</v>
      </c>
    </row>
    <row r="16" spans="1:8" x14ac:dyDescent="0.3">
      <c r="A16" s="6" t="s">
        <v>8</v>
      </c>
      <c r="B16" s="7">
        <v>27184</v>
      </c>
      <c r="C16" s="8">
        <v>187.7</v>
      </c>
      <c r="D16" s="4">
        <v>8.25</v>
      </c>
      <c r="E16" s="38">
        <v>0</v>
      </c>
      <c r="F16" s="9">
        <v>14.01</v>
      </c>
      <c r="G16" s="24">
        <v>2010</v>
      </c>
      <c r="H16">
        <v>14</v>
      </c>
    </row>
    <row r="17" spans="1:8" x14ac:dyDescent="0.3">
      <c r="A17" s="6" t="s">
        <v>9</v>
      </c>
      <c r="B17" s="7">
        <v>52073</v>
      </c>
      <c r="C17" s="8">
        <v>188</v>
      </c>
      <c r="D17" s="4">
        <v>8</v>
      </c>
      <c r="E17" s="38">
        <v>0</v>
      </c>
      <c r="F17" s="9">
        <v>13.85</v>
      </c>
      <c r="G17" s="24">
        <v>2010</v>
      </c>
      <c r="H17">
        <v>15</v>
      </c>
    </row>
    <row r="18" spans="1:8" x14ac:dyDescent="0.3">
      <c r="A18" s="6" t="s">
        <v>10</v>
      </c>
      <c r="B18" s="7">
        <v>80382</v>
      </c>
      <c r="C18" s="8">
        <v>188.3</v>
      </c>
      <c r="D18" s="4">
        <v>8</v>
      </c>
      <c r="E18" s="38">
        <v>0</v>
      </c>
      <c r="F18" s="9">
        <v>13.8</v>
      </c>
      <c r="G18" s="24">
        <v>2010</v>
      </c>
      <c r="H18">
        <v>16</v>
      </c>
    </row>
    <row r="19" spans="1:8" x14ac:dyDescent="0.3">
      <c r="A19" s="6" t="s">
        <v>11</v>
      </c>
      <c r="B19" s="7">
        <v>107475</v>
      </c>
      <c r="C19" s="8">
        <v>188.9</v>
      </c>
      <c r="D19" s="4">
        <v>7.75</v>
      </c>
      <c r="E19" s="38">
        <v>0</v>
      </c>
      <c r="F19" s="9">
        <v>13.75</v>
      </c>
      <c r="G19" s="24">
        <v>2010</v>
      </c>
      <c r="H19">
        <v>17</v>
      </c>
    </row>
    <row r="20" spans="1:8" x14ac:dyDescent="0.3">
      <c r="A20" s="6" t="s">
        <v>12</v>
      </c>
      <c r="B20" s="7">
        <v>140874</v>
      </c>
      <c r="C20" s="8">
        <v>189</v>
      </c>
      <c r="D20" s="4">
        <v>7.75</v>
      </c>
      <c r="E20" s="38">
        <v>0</v>
      </c>
      <c r="F20" s="9">
        <v>13.71</v>
      </c>
      <c r="G20" s="24">
        <v>2010</v>
      </c>
      <c r="H20">
        <v>18</v>
      </c>
    </row>
    <row r="21" spans="1:8" x14ac:dyDescent="0.3">
      <c r="A21" s="6" t="s">
        <v>13</v>
      </c>
      <c r="B21" s="7">
        <v>175311</v>
      </c>
      <c r="C21" s="8">
        <v>189.5</v>
      </c>
      <c r="D21" s="4">
        <v>7.75</v>
      </c>
      <c r="E21" s="38">
        <v>0</v>
      </c>
      <c r="F21" s="9">
        <v>13.67</v>
      </c>
      <c r="G21" s="24">
        <v>2010</v>
      </c>
      <c r="H21">
        <v>19</v>
      </c>
    </row>
    <row r="22" spans="1:8" x14ac:dyDescent="0.3">
      <c r="A22" s="6" t="s">
        <v>14</v>
      </c>
      <c r="B22" s="7">
        <v>210064</v>
      </c>
      <c r="C22" s="8">
        <v>188.9</v>
      </c>
      <c r="D22" s="4">
        <v>7.75</v>
      </c>
      <c r="E22" s="38">
        <v>0</v>
      </c>
      <c r="F22" s="9">
        <v>13.65</v>
      </c>
      <c r="G22" s="24">
        <v>2010</v>
      </c>
      <c r="H22">
        <v>20</v>
      </c>
    </row>
    <row r="23" spans="1:8" x14ac:dyDescent="0.3">
      <c r="A23" s="6" t="s">
        <v>15</v>
      </c>
      <c r="B23" s="7">
        <v>248503</v>
      </c>
      <c r="C23" s="8">
        <v>188.7</v>
      </c>
      <c r="D23" s="4">
        <v>7.75</v>
      </c>
      <c r="E23" s="38">
        <v>0</v>
      </c>
      <c r="F23" s="9">
        <v>13.63</v>
      </c>
      <c r="G23" s="24">
        <v>2010</v>
      </c>
      <c r="H23">
        <v>21</v>
      </c>
    </row>
    <row r="24" spans="1:8" x14ac:dyDescent="0.3">
      <c r="A24" s="6" t="s">
        <v>16</v>
      </c>
      <c r="B24" s="7">
        <v>286581</v>
      </c>
      <c r="C24" s="8">
        <v>188.7</v>
      </c>
      <c r="D24" s="4">
        <v>7.75</v>
      </c>
      <c r="E24" s="38">
        <v>0</v>
      </c>
      <c r="F24" s="9">
        <v>13.51</v>
      </c>
      <c r="G24" s="24">
        <v>2010</v>
      </c>
      <c r="H24">
        <v>22</v>
      </c>
    </row>
    <row r="25" spans="1:8" x14ac:dyDescent="0.3">
      <c r="A25" s="6" t="s">
        <v>17</v>
      </c>
      <c r="B25" s="7">
        <v>328681</v>
      </c>
      <c r="C25" s="8">
        <v>188.6</v>
      </c>
      <c r="D25" s="4">
        <v>7.75</v>
      </c>
      <c r="E25" s="38">
        <v>0</v>
      </c>
      <c r="F25" s="9">
        <v>13.44</v>
      </c>
      <c r="G25" s="24">
        <v>2010</v>
      </c>
      <c r="H25">
        <v>23</v>
      </c>
    </row>
    <row r="26" spans="1:8" x14ac:dyDescent="0.3">
      <c r="A26" s="6" t="s">
        <v>18</v>
      </c>
      <c r="B26" s="7">
        <v>392302</v>
      </c>
      <c r="C26" s="8">
        <v>188.7</v>
      </c>
      <c r="D26" s="4">
        <v>7.75</v>
      </c>
      <c r="E26" s="38">
        <v>0</v>
      </c>
      <c r="F26" s="9">
        <v>13.29</v>
      </c>
      <c r="G26" s="24">
        <v>2011</v>
      </c>
      <c r="H26">
        <v>24</v>
      </c>
    </row>
    <row r="27" spans="1:8" x14ac:dyDescent="0.3">
      <c r="A27" s="6" t="s">
        <v>7</v>
      </c>
      <c r="B27" s="7">
        <v>20029</v>
      </c>
      <c r="C27" s="8">
        <v>184</v>
      </c>
      <c r="D27" s="4">
        <v>8</v>
      </c>
      <c r="E27" s="38">
        <v>0</v>
      </c>
      <c r="F27" s="9">
        <v>12.96</v>
      </c>
      <c r="G27" s="24">
        <v>2011</v>
      </c>
      <c r="H27">
        <v>25</v>
      </c>
    </row>
    <row r="28" spans="1:8" x14ac:dyDescent="0.3">
      <c r="A28" s="6" t="s">
        <v>8</v>
      </c>
      <c r="B28" s="7">
        <v>51740</v>
      </c>
      <c r="C28" s="8">
        <v>186.4</v>
      </c>
      <c r="D28" s="4">
        <v>8</v>
      </c>
      <c r="E28" s="38">
        <v>0</v>
      </c>
      <c r="F28" s="9">
        <v>12.74</v>
      </c>
      <c r="G28" s="24">
        <v>2011</v>
      </c>
      <c r="H28">
        <v>26</v>
      </c>
    </row>
    <row r="29" spans="1:8" x14ac:dyDescent="0.3">
      <c r="A29" s="6" t="s">
        <v>9</v>
      </c>
      <c r="B29" s="7">
        <v>91472</v>
      </c>
      <c r="C29" s="8">
        <v>187.6</v>
      </c>
      <c r="D29" s="4">
        <v>8</v>
      </c>
      <c r="E29" s="38">
        <v>0</v>
      </c>
      <c r="F29" s="9">
        <v>12.64</v>
      </c>
      <c r="G29" s="24">
        <v>2011</v>
      </c>
      <c r="H29">
        <v>27</v>
      </c>
    </row>
    <row r="30" spans="1:8" x14ac:dyDescent="0.3">
      <c r="A30" s="6" t="s">
        <v>10</v>
      </c>
      <c r="B30" s="7">
        <v>136070</v>
      </c>
      <c r="C30" s="8">
        <v>187.3</v>
      </c>
      <c r="D30" s="4">
        <v>8.25</v>
      </c>
      <c r="E30" s="38">
        <v>0</v>
      </c>
      <c r="F30" s="9">
        <v>12.47</v>
      </c>
      <c r="G30" s="24">
        <v>2011</v>
      </c>
      <c r="H30">
        <v>28</v>
      </c>
    </row>
    <row r="31" spans="1:8" x14ac:dyDescent="0.3">
      <c r="A31" s="6" t="s">
        <v>11</v>
      </c>
      <c r="B31" s="7">
        <v>182740</v>
      </c>
      <c r="C31" s="8">
        <v>186.3</v>
      </c>
      <c r="D31" s="4">
        <v>8.25</v>
      </c>
      <c r="E31" s="38">
        <v>0</v>
      </c>
      <c r="F31" s="9">
        <v>12.4</v>
      </c>
      <c r="G31" s="24">
        <v>2011</v>
      </c>
      <c r="H31">
        <v>29</v>
      </c>
    </row>
    <row r="32" spans="1:8" x14ac:dyDescent="0.3">
      <c r="A32" s="6" t="s">
        <v>12</v>
      </c>
      <c r="B32" s="7">
        <v>232628</v>
      </c>
      <c r="C32" s="8">
        <v>185</v>
      </c>
      <c r="D32" s="4">
        <v>8.25</v>
      </c>
      <c r="E32" s="38">
        <v>0</v>
      </c>
      <c r="F32" s="9">
        <v>12.35</v>
      </c>
      <c r="G32" s="24">
        <v>2011</v>
      </c>
      <c r="H32">
        <v>30</v>
      </c>
    </row>
    <row r="33" spans="1:8" x14ac:dyDescent="0.3">
      <c r="A33" s="6" t="s">
        <v>13</v>
      </c>
      <c r="B33" s="7">
        <v>282259</v>
      </c>
      <c r="C33" s="8">
        <v>182.8</v>
      </c>
      <c r="D33" s="4">
        <v>8.25</v>
      </c>
      <c r="E33" s="38">
        <v>0</v>
      </c>
      <c r="F33" s="9">
        <v>12.29</v>
      </c>
      <c r="G33" s="24">
        <v>2011</v>
      </c>
      <c r="H33">
        <v>31</v>
      </c>
    </row>
    <row r="34" spans="1:8" x14ac:dyDescent="0.3">
      <c r="A34" s="6" t="s">
        <v>14</v>
      </c>
      <c r="B34" s="7">
        <v>335560</v>
      </c>
      <c r="C34" s="8">
        <v>181.1</v>
      </c>
      <c r="D34" s="4">
        <v>8.25</v>
      </c>
      <c r="E34" s="38">
        <v>0</v>
      </c>
      <c r="F34" s="9">
        <v>12.22</v>
      </c>
      <c r="G34" s="24">
        <v>2011</v>
      </c>
      <c r="H34">
        <v>32</v>
      </c>
    </row>
    <row r="35" spans="1:8" x14ac:dyDescent="0.3">
      <c r="A35" s="6" t="s">
        <v>15</v>
      </c>
      <c r="B35" s="7">
        <v>391240</v>
      </c>
      <c r="C35" s="8">
        <v>178.7</v>
      </c>
      <c r="D35" s="4">
        <v>8.25</v>
      </c>
      <c r="E35" s="38">
        <v>0</v>
      </c>
      <c r="F35" s="9">
        <v>12.15</v>
      </c>
      <c r="G35" s="24">
        <v>2011</v>
      </c>
      <c r="H35">
        <v>33</v>
      </c>
    </row>
    <row r="36" spans="1:8" x14ac:dyDescent="0.3">
      <c r="A36" s="6" t="s">
        <v>16</v>
      </c>
      <c r="B36" s="7">
        <v>449383</v>
      </c>
      <c r="C36" s="8">
        <v>177.2</v>
      </c>
      <c r="D36" s="4">
        <v>8.25</v>
      </c>
      <c r="E36" s="38">
        <v>0</v>
      </c>
      <c r="F36" s="9">
        <v>12.08</v>
      </c>
      <c r="G36" s="24">
        <v>2011</v>
      </c>
      <c r="H36">
        <v>34</v>
      </c>
    </row>
    <row r="37" spans="1:8" x14ac:dyDescent="0.3">
      <c r="A37" s="6" t="s">
        <v>17</v>
      </c>
      <c r="B37" s="7">
        <v>509339</v>
      </c>
      <c r="C37" s="8">
        <v>176</v>
      </c>
      <c r="D37" s="4">
        <v>8</v>
      </c>
      <c r="E37" s="38">
        <v>0</v>
      </c>
      <c r="F37" s="9">
        <v>12.03</v>
      </c>
      <c r="G37" s="24">
        <v>2011</v>
      </c>
      <c r="H37">
        <v>35</v>
      </c>
    </row>
    <row r="38" spans="1:8" x14ac:dyDescent="0.3">
      <c r="A38" s="6" t="s">
        <v>18</v>
      </c>
      <c r="B38" s="7">
        <v>587600</v>
      </c>
      <c r="C38" s="8">
        <v>174.6</v>
      </c>
      <c r="D38" s="4">
        <v>8</v>
      </c>
      <c r="E38" s="38">
        <v>0</v>
      </c>
      <c r="F38" s="9">
        <v>11.98</v>
      </c>
      <c r="G38" s="24">
        <v>2012</v>
      </c>
      <c r="H38">
        <v>36</v>
      </c>
    </row>
    <row r="39" spans="1:8" x14ac:dyDescent="0.3">
      <c r="A39" s="6" t="s">
        <v>7</v>
      </c>
      <c r="B39" s="7">
        <v>30405</v>
      </c>
      <c r="C39" s="8">
        <v>168.9</v>
      </c>
      <c r="D39" s="4">
        <v>8</v>
      </c>
      <c r="E39" s="38">
        <v>0</v>
      </c>
      <c r="F39" s="9">
        <v>11.92</v>
      </c>
      <c r="G39" s="24">
        <v>2012</v>
      </c>
      <c r="H39">
        <v>37</v>
      </c>
    </row>
    <row r="40" spans="1:8" x14ac:dyDescent="0.3">
      <c r="A40" s="6" t="s">
        <v>8</v>
      </c>
      <c r="B40" s="7">
        <v>78800</v>
      </c>
      <c r="C40" s="8">
        <v>171.2</v>
      </c>
      <c r="D40" s="4">
        <v>8</v>
      </c>
      <c r="E40" s="38">
        <v>0</v>
      </c>
      <c r="F40" s="9">
        <v>11.98</v>
      </c>
      <c r="G40" s="24">
        <v>2012</v>
      </c>
      <c r="H40">
        <v>38</v>
      </c>
    </row>
    <row r="41" spans="1:8" x14ac:dyDescent="0.3">
      <c r="A41" s="6" t="s">
        <v>9</v>
      </c>
      <c r="B41" s="7">
        <v>136432</v>
      </c>
      <c r="C41" s="8">
        <v>172.8</v>
      </c>
      <c r="D41" s="4">
        <v>8</v>
      </c>
      <c r="E41" s="38">
        <v>0</v>
      </c>
      <c r="F41" s="9">
        <v>12.05</v>
      </c>
      <c r="G41" s="24">
        <v>2012</v>
      </c>
      <c r="H41">
        <v>39</v>
      </c>
    </row>
    <row r="42" spans="1:8" x14ac:dyDescent="0.3">
      <c r="A42" s="6" t="s">
        <v>10</v>
      </c>
      <c r="B42" s="7">
        <v>198427</v>
      </c>
      <c r="C42" s="8">
        <v>174.2</v>
      </c>
      <c r="D42" s="4">
        <v>8</v>
      </c>
      <c r="E42" s="38">
        <v>0</v>
      </c>
      <c r="F42" s="9">
        <v>12.09</v>
      </c>
      <c r="G42" s="24">
        <v>2012</v>
      </c>
      <c r="H42">
        <v>40</v>
      </c>
    </row>
    <row r="43" spans="1:8" x14ac:dyDescent="0.3">
      <c r="A43" s="6" t="s">
        <v>11</v>
      </c>
      <c r="B43" s="7">
        <v>258004</v>
      </c>
      <c r="C43" s="8">
        <v>174.6</v>
      </c>
      <c r="D43" s="4">
        <v>8</v>
      </c>
      <c r="E43" s="38">
        <v>0</v>
      </c>
      <c r="F43" s="9">
        <v>12.12</v>
      </c>
      <c r="G43" s="24">
        <v>2012</v>
      </c>
      <c r="H43">
        <v>41</v>
      </c>
    </row>
    <row r="44" spans="1:8" x14ac:dyDescent="0.3">
      <c r="A44" s="6" t="s">
        <v>12</v>
      </c>
      <c r="B44" s="7">
        <v>318388</v>
      </c>
      <c r="C44" s="8">
        <v>174.9</v>
      </c>
      <c r="D44" s="4">
        <v>8</v>
      </c>
      <c r="E44" s="38">
        <v>0</v>
      </c>
      <c r="F44" s="9">
        <v>12.14</v>
      </c>
      <c r="G44" s="24">
        <v>2012</v>
      </c>
      <c r="H44">
        <v>42</v>
      </c>
    </row>
    <row r="45" spans="1:8" x14ac:dyDescent="0.3">
      <c r="A45" s="6" t="s">
        <v>13</v>
      </c>
      <c r="B45" s="7">
        <v>381359</v>
      </c>
      <c r="C45" s="8">
        <v>175</v>
      </c>
      <c r="D45" s="4">
        <v>8</v>
      </c>
      <c r="E45" s="38">
        <v>0</v>
      </c>
      <c r="F45" s="9">
        <v>12.16</v>
      </c>
      <c r="G45" s="24">
        <v>2012</v>
      </c>
      <c r="H45">
        <v>43</v>
      </c>
    </row>
    <row r="46" spans="1:8" x14ac:dyDescent="0.3">
      <c r="A46" s="6" t="s">
        <v>14</v>
      </c>
      <c r="B46" s="7">
        <v>450784</v>
      </c>
      <c r="C46" s="8">
        <v>175.5</v>
      </c>
      <c r="D46" s="4">
        <v>8.25</v>
      </c>
      <c r="E46" s="38">
        <v>0</v>
      </c>
      <c r="F46" s="9">
        <v>12.19</v>
      </c>
      <c r="G46" s="24">
        <v>2012</v>
      </c>
      <c r="H46">
        <v>44</v>
      </c>
    </row>
    <row r="47" spans="1:8" x14ac:dyDescent="0.3">
      <c r="A47" s="6" t="s">
        <v>15</v>
      </c>
      <c r="B47" s="7">
        <v>513166</v>
      </c>
      <c r="C47" s="8">
        <v>175.4</v>
      </c>
      <c r="D47" s="4">
        <v>8.25</v>
      </c>
      <c r="E47" s="38">
        <v>0</v>
      </c>
      <c r="F47" s="9">
        <v>12.21</v>
      </c>
      <c r="G47" s="24">
        <v>2012</v>
      </c>
      <c r="H47">
        <v>45</v>
      </c>
    </row>
    <row r="48" spans="1:8" x14ac:dyDescent="0.3">
      <c r="A48" s="6" t="s">
        <v>16</v>
      </c>
      <c r="B48" s="7">
        <v>585035</v>
      </c>
      <c r="C48" s="8">
        <v>175.3</v>
      </c>
      <c r="D48" s="4">
        <v>8.25</v>
      </c>
      <c r="E48" s="38">
        <v>0</v>
      </c>
      <c r="F48" s="9">
        <v>12.25</v>
      </c>
      <c r="G48" s="24">
        <v>2012</v>
      </c>
      <c r="H48">
        <v>46</v>
      </c>
    </row>
    <row r="49" spans="1:8" x14ac:dyDescent="0.3">
      <c r="A49" s="6" t="s">
        <v>17</v>
      </c>
      <c r="B49" s="7">
        <v>656728</v>
      </c>
      <c r="C49" s="8">
        <v>175.8</v>
      </c>
      <c r="D49" s="4">
        <v>8.25</v>
      </c>
      <c r="E49" s="38">
        <v>0</v>
      </c>
      <c r="F49" s="9">
        <v>12.29</v>
      </c>
      <c r="G49" s="24">
        <v>2012</v>
      </c>
      <c r="H49">
        <v>47</v>
      </c>
    </row>
    <row r="50" spans="1:8" x14ac:dyDescent="0.3">
      <c r="A50" s="6" t="s">
        <v>18</v>
      </c>
      <c r="B50" s="7">
        <v>739393</v>
      </c>
      <c r="C50" s="8">
        <v>176.6</v>
      </c>
      <c r="D50" s="4">
        <v>8.25</v>
      </c>
      <c r="E50" s="38">
        <v>0</v>
      </c>
      <c r="F50" s="9">
        <v>12.32</v>
      </c>
      <c r="G50" s="24">
        <v>2013</v>
      </c>
      <c r="H50">
        <v>48</v>
      </c>
    </row>
    <row r="51" spans="1:8" x14ac:dyDescent="0.3">
      <c r="A51" s="6" t="s">
        <v>7</v>
      </c>
      <c r="B51" s="7">
        <v>35778</v>
      </c>
      <c r="C51" s="8">
        <v>179</v>
      </c>
      <c r="D51" s="4">
        <v>8.25</v>
      </c>
      <c r="E51" s="38">
        <v>0</v>
      </c>
      <c r="F51" s="9">
        <v>12.73</v>
      </c>
      <c r="G51" s="24">
        <v>2013</v>
      </c>
      <c r="H51">
        <v>49</v>
      </c>
    </row>
    <row r="52" spans="1:8" x14ac:dyDescent="0.3">
      <c r="A52" s="6" t="s">
        <v>8</v>
      </c>
      <c r="B52" s="7">
        <v>89169</v>
      </c>
      <c r="C52" s="8">
        <v>177.8</v>
      </c>
      <c r="D52" s="4">
        <v>8.25</v>
      </c>
      <c r="E52" s="38">
        <v>0</v>
      </c>
      <c r="F52" s="9">
        <v>12.82</v>
      </c>
      <c r="G52" s="24">
        <v>2013</v>
      </c>
      <c r="H52">
        <v>50</v>
      </c>
    </row>
    <row r="53" spans="1:8" x14ac:dyDescent="0.3">
      <c r="A53" s="6" t="s">
        <v>9</v>
      </c>
      <c r="B53" s="7">
        <v>150774</v>
      </c>
      <c r="C53" s="8">
        <v>177.4</v>
      </c>
      <c r="D53" s="4">
        <v>8.25</v>
      </c>
      <c r="E53" s="38">
        <v>0</v>
      </c>
      <c r="F53" s="9">
        <v>12.87</v>
      </c>
      <c r="G53" s="24">
        <v>2013</v>
      </c>
      <c r="H53">
        <v>51</v>
      </c>
    </row>
    <row r="54" spans="1:8" x14ac:dyDescent="0.3">
      <c r="A54" s="6" t="s">
        <v>10</v>
      </c>
      <c r="B54" s="7">
        <v>223546</v>
      </c>
      <c r="C54" s="8">
        <v>177</v>
      </c>
      <c r="D54" s="4">
        <v>8.25</v>
      </c>
      <c r="E54" s="38">
        <v>0</v>
      </c>
      <c r="F54" s="9">
        <v>12.81</v>
      </c>
      <c r="G54" s="24">
        <v>2013</v>
      </c>
      <c r="H54">
        <v>52</v>
      </c>
    </row>
    <row r="55" spans="1:8" x14ac:dyDescent="0.3">
      <c r="A55" s="6" t="s">
        <v>11</v>
      </c>
      <c r="B55" s="7">
        <v>286170</v>
      </c>
      <c r="C55" s="8">
        <v>175.9</v>
      </c>
      <c r="D55" s="4">
        <v>8.25</v>
      </c>
      <c r="E55" s="38">
        <v>0</v>
      </c>
      <c r="F55" s="9">
        <v>12.8</v>
      </c>
      <c r="G55" s="24">
        <v>2013</v>
      </c>
      <c r="H55">
        <v>53</v>
      </c>
    </row>
    <row r="56" spans="1:8" x14ac:dyDescent="0.3">
      <c r="A56" s="6" t="s">
        <v>12</v>
      </c>
      <c r="B56" s="7">
        <v>356292</v>
      </c>
      <c r="C56" s="8">
        <v>175.4</v>
      </c>
      <c r="D56" s="4">
        <v>8.25</v>
      </c>
      <c r="E56" s="38">
        <v>0</v>
      </c>
      <c r="F56" s="9">
        <v>12.76</v>
      </c>
      <c r="G56" s="24">
        <v>2013</v>
      </c>
      <c r="H56">
        <v>54</v>
      </c>
    </row>
    <row r="57" spans="1:8" x14ac:dyDescent="0.3">
      <c r="A57" s="6" t="s">
        <v>13</v>
      </c>
      <c r="B57" s="7">
        <v>436885</v>
      </c>
      <c r="C57" s="8">
        <v>175.1</v>
      </c>
      <c r="D57" s="4">
        <v>8.25</v>
      </c>
      <c r="E57" s="38">
        <v>0</v>
      </c>
      <c r="F57" s="9">
        <v>12.71</v>
      </c>
      <c r="G57" s="24">
        <v>2013</v>
      </c>
      <c r="H57">
        <v>55</v>
      </c>
    </row>
    <row r="58" spans="1:8" x14ac:dyDescent="0.3">
      <c r="A58" s="6" t="s">
        <v>14</v>
      </c>
      <c r="B58" s="7">
        <v>517007</v>
      </c>
      <c r="C58" s="8">
        <v>174.4</v>
      </c>
      <c r="D58" s="4">
        <v>5.5</v>
      </c>
      <c r="E58" s="38">
        <v>0</v>
      </c>
      <c r="F58" s="9">
        <v>12.67</v>
      </c>
      <c r="G58" s="24">
        <v>2013</v>
      </c>
      <c r="H58">
        <v>56</v>
      </c>
    </row>
    <row r="59" spans="1:8" x14ac:dyDescent="0.3">
      <c r="A59" s="6" t="s">
        <v>15</v>
      </c>
      <c r="B59" s="7">
        <v>593898</v>
      </c>
      <c r="C59" s="8">
        <v>174.1</v>
      </c>
      <c r="D59" s="4">
        <v>5.5</v>
      </c>
      <c r="E59" s="38">
        <v>0</v>
      </c>
      <c r="F59" s="9">
        <v>12.64</v>
      </c>
      <c r="G59" s="24">
        <v>2013</v>
      </c>
      <c r="H59">
        <v>57</v>
      </c>
    </row>
    <row r="60" spans="1:8" x14ac:dyDescent="0.3">
      <c r="A60" s="6" t="s">
        <v>16</v>
      </c>
      <c r="B60" s="7">
        <v>683351</v>
      </c>
      <c r="C60" s="8">
        <v>174</v>
      </c>
      <c r="D60" s="4">
        <v>5.5</v>
      </c>
      <c r="E60" s="38">
        <v>0</v>
      </c>
      <c r="F60" s="9">
        <v>12.6</v>
      </c>
      <c r="G60" s="24">
        <v>2013</v>
      </c>
      <c r="H60">
        <v>58</v>
      </c>
    </row>
    <row r="61" spans="1:8" x14ac:dyDescent="0.3">
      <c r="A61" s="6" t="s">
        <v>17</v>
      </c>
      <c r="B61" s="7">
        <v>767667</v>
      </c>
      <c r="C61" s="8">
        <v>172.8</v>
      </c>
      <c r="D61" s="4">
        <v>5.5</v>
      </c>
      <c r="E61" s="38">
        <v>0</v>
      </c>
      <c r="F61" s="9">
        <v>12.56</v>
      </c>
      <c r="G61" s="24">
        <v>2013</v>
      </c>
      <c r="H61">
        <v>59</v>
      </c>
    </row>
    <row r="62" spans="1:8" x14ac:dyDescent="0.3">
      <c r="A62" s="6" t="s">
        <v>18</v>
      </c>
      <c r="B62" s="7">
        <v>878495</v>
      </c>
      <c r="C62" s="8">
        <v>172.9</v>
      </c>
      <c r="D62" s="4">
        <v>5.5</v>
      </c>
      <c r="E62" s="38">
        <v>0</v>
      </c>
      <c r="F62" s="9">
        <v>12.51</v>
      </c>
      <c r="G62" s="24">
        <v>2014</v>
      </c>
      <c r="H62">
        <v>60</v>
      </c>
    </row>
    <row r="63" spans="1:8" x14ac:dyDescent="0.3">
      <c r="A63" s="10" t="s">
        <v>19</v>
      </c>
      <c r="B63" s="11">
        <v>50367</v>
      </c>
      <c r="C63" s="12">
        <v>172</v>
      </c>
      <c r="D63" s="4">
        <v>5.5</v>
      </c>
      <c r="E63" s="38">
        <v>0</v>
      </c>
      <c r="F63" s="13">
        <v>12.3</v>
      </c>
      <c r="G63" s="24">
        <v>2014</v>
      </c>
      <c r="H63">
        <v>61</v>
      </c>
    </row>
    <row r="64" spans="1:8" x14ac:dyDescent="0.3">
      <c r="A64" s="10" t="s">
        <v>20</v>
      </c>
      <c r="B64" s="11">
        <v>123772</v>
      </c>
      <c r="C64" s="12">
        <v>178.9</v>
      </c>
      <c r="D64" s="4">
        <v>7</v>
      </c>
      <c r="E64" s="38">
        <v>0</v>
      </c>
      <c r="F64" s="13">
        <v>12.3</v>
      </c>
      <c r="G64" s="24">
        <v>2014</v>
      </c>
      <c r="H64">
        <v>62</v>
      </c>
    </row>
    <row r="65" spans="1:8" x14ac:dyDescent="0.3">
      <c r="A65" s="10" t="s">
        <v>21</v>
      </c>
      <c r="B65" s="11">
        <v>208384</v>
      </c>
      <c r="C65" s="12">
        <v>181.6</v>
      </c>
      <c r="D65" s="4">
        <v>7.5</v>
      </c>
      <c r="E65" s="38">
        <v>0</v>
      </c>
      <c r="F65" s="13">
        <v>12.18</v>
      </c>
      <c r="G65" s="24">
        <v>2014</v>
      </c>
      <c r="H65">
        <v>63</v>
      </c>
    </row>
    <row r="66" spans="1:8" x14ac:dyDescent="0.3">
      <c r="A66" s="10" t="s">
        <v>22</v>
      </c>
      <c r="B66" s="11">
        <v>307049</v>
      </c>
      <c r="C66" s="12">
        <v>172.4</v>
      </c>
      <c r="D66" s="4">
        <v>7.5</v>
      </c>
      <c r="E66" s="38">
        <v>0</v>
      </c>
      <c r="F66" s="13">
        <v>12.22</v>
      </c>
      <c r="G66" s="24">
        <v>2014</v>
      </c>
      <c r="H66">
        <v>64</v>
      </c>
    </row>
    <row r="67" spans="1:8" x14ac:dyDescent="0.3">
      <c r="A67" s="10" t="s">
        <v>23</v>
      </c>
      <c r="B67" s="11">
        <v>389021</v>
      </c>
      <c r="C67" s="12">
        <v>174.2</v>
      </c>
      <c r="D67" s="4">
        <v>7.5</v>
      </c>
      <c r="E67" s="38">
        <v>0</v>
      </c>
      <c r="F67" s="13">
        <v>12.22</v>
      </c>
      <c r="G67" s="24">
        <v>2014</v>
      </c>
      <c r="H67">
        <v>65</v>
      </c>
    </row>
    <row r="68" spans="1:8" x14ac:dyDescent="0.3">
      <c r="A68" s="10" t="s">
        <v>24</v>
      </c>
      <c r="B68" s="11">
        <v>471256</v>
      </c>
      <c r="C68" s="12">
        <v>173.9</v>
      </c>
      <c r="D68" s="4">
        <v>8</v>
      </c>
      <c r="E68" s="38">
        <v>0</v>
      </c>
      <c r="F68" s="13">
        <v>12.22</v>
      </c>
      <c r="G68" s="24">
        <v>2014</v>
      </c>
      <c r="H68">
        <v>66</v>
      </c>
    </row>
    <row r="69" spans="1:8" x14ac:dyDescent="0.3">
      <c r="A69" s="10" t="s">
        <v>25</v>
      </c>
      <c r="B69" s="11">
        <v>565551</v>
      </c>
      <c r="C69" s="12">
        <v>176.6</v>
      </c>
      <c r="D69" s="4">
        <v>8</v>
      </c>
      <c r="E69" s="38">
        <v>0</v>
      </c>
      <c r="F69" s="13">
        <v>12.23</v>
      </c>
      <c r="G69" s="24">
        <v>2014</v>
      </c>
      <c r="H69">
        <v>67</v>
      </c>
    </row>
    <row r="70" spans="1:8" x14ac:dyDescent="0.3">
      <c r="A70" s="10" t="s">
        <v>26</v>
      </c>
      <c r="B70" s="11">
        <v>652343</v>
      </c>
      <c r="C70" s="12">
        <v>176.6</v>
      </c>
      <c r="D70" s="4">
        <v>8</v>
      </c>
      <c r="E70" s="38">
        <v>0</v>
      </c>
      <c r="F70" s="13">
        <v>12.24</v>
      </c>
      <c r="G70" s="24">
        <v>2014</v>
      </c>
      <c r="H70">
        <v>68</v>
      </c>
    </row>
    <row r="71" spans="1:8" x14ac:dyDescent="0.3">
      <c r="A71" s="10" t="s">
        <v>27</v>
      </c>
      <c r="B71" s="11">
        <v>739226</v>
      </c>
      <c r="C71" s="12">
        <v>177.1</v>
      </c>
      <c r="D71" s="4">
        <v>8</v>
      </c>
      <c r="E71" s="38">
        <v>0</v>
      </c>
      <c r="F71" s="13">
        <v>12.27</v>
      </c>
      <c r="G71" s="24">
        <v>2014</v>
      </c>
      <c r="H71">
        <v>69</v>
      </c>
    </row>
    <row r="72" spans="1:8" x14ac:dyDescent="0.3">
      <c r="A72" s="10" t="s">
        <v>28</v>
      </c>
      <c r="B72" s="11">
        <v>836062</v>
      </c>
      <c r="C72" s="12">
        <v>177.8</v>
      </c>
      <c r="D72" s="4">
        <v>9.5</v>
      </c>
      <c r="E72" s="38">
        <v>0</v>
      </c>
      <c r="F72" s="13">
        <v>12.34</v>
      </c>
      <c r="G72" s="24">
        <v>2014</v>
      </c>
      <c r="H72">
        <v>70</v>
      </c>
    </row>
    <row r="73" spans="1:8" x14ac:dyDescent="0.3">
      <c r="A73" s="10" t="s">
        <v>29</v>
      </c>
      <c r="B73" s="11">
        <v>923945</v>
      </c>
      <c r="C73" s="12">
        <v>178.1</v>
      </c>
      <c r="D73" s="4">
        <v>17</v>
      </c>
      <c r="E73" s="38">
        <v>1</v>
      </c>
      <c r="F73" s="13">
        <v>12.37</v>
      </c>
      <c r="G73" s="24">
        <v>2014</v>
      </c>
      <c r="H73">
        <v>71</v>
      </c>
    </row>
    <row r="74" spans="1:8" x14ac:dyDescent="0.3">
      <c r="A74" s="10" t="s">
        <v>18</v>
      </c>
      <c r="B74" s="11">
        <v>1058641</v>
      </c>
      <c r="C74" s="12">
        <v>178.1</v>
      </c>
      <c r="D74" s="4">
        <v>17</v>
      </c>
      <c r="E74" s="38">
        <v>1</v>
      </c>
      <c r="F74" s="13">
        <v>12.47</v>
      </c>
      <c r="G74" s="24">
        <v>2015</v>
      </c>
      <c r="H74">
        <v>72</v>
      </c>
    </row>
    <row r="75" spans="1:8" x14ac:dyDescent="0.3">
      <c r="A75" s="10" t="s">
        <v>7</v>
      </c>
      <c r="B75" s="11">
        <v>44924</v>
      </c>
      <c r="C75" s="12">
        <v>175.9</v>
      </c>
      <c r="D75" s="4">
        <v>15</v>
      </c>
      <c r="E75" s="38">
        <v>1</v>
      </c>
      <c r="F75" s="13">
        <v>14.16</v>
      </c>
      <c r="G75" s="24">
        <v>2015</v>
      </c>
      <c r="H75">
        <v>73</v>
      </c>
    </row>
    <row r="76" spans="1:8" x14ac:dyDescent="0.3">
      <c r="A76" s="10" t="s">
        <v>8</v>
      </c>
      <c r="B76" s="11">
        <v>94862</v>
      </c>
      <c r="C76" s="12">
        <v>174.6</v>
      </c>
      <c r="D76" s="4">
        <v>14</v>
      </c>
      <c r="E76" s="38">
        <v>1</v>
      </c>
      <c r="F76" s="13">
        <v>14.46</v>
      </c>
      <c r="G76" s="24">
        <v>2015</v>
      </c>
      <c r="H76">
        <v>74</v>
      </c>
    </row>
    <row r="77" spans="1:8" x14ac:dyDescent="0.3">
      <c r="A77" s="10" t="s">
        <v>9</v>
      </c>
      <c r="B77" s="11">
        <v>138911</v>
      </c>
      <c r="C77" s="12">
        <v>172.9</v>
      </c>
      <c r="D77" s="4">
        <v>14</v>
      </c>
      <c r="E77" s="38">
        <v>1</v>
      </c>
      <c r="F77" s="13">
        <v>14.54</v>
      </c>
      <c r="G77" s="24">
        <v>2015</v>
      </c>
      <c r="H77">
        <v>75</v>
      </c>
    </row>
    <row r="78" spans="1:8" x14ac:dyDescent="0.3">
      <c r="A78" s="10" t="s">
        <v>10</v>
      </c>
      <c r="B78" s="11">
        <v>189551</v>
      </c>
      <c r="C78" s="12">
        <v>171.6</v>
      </c>
      <c r="D78" s="4">
        <v>12.5</v>
      </c>
      <c r="E78" s="38">
        <v>1</v>
      </c>
      <c r="F78" s="13">
        <v>14.41</v>
      </c>
      <c r="G78" s="24">
        <v>2015</v>
      </c>
      <c r="H78">
        <v>76</v>
      </c>
    </row>
    <row r="79" spans="1:8" x14ac:dyDescent="0.3">
      <c r="A79" s="10" t="s">
        <v>11</v>
      </c>
      <c r="B79" s="11">
        <v>234503</v>
      </c>
      <c r="C79" s="12">
        <v>171.3</v>
      </c>
      <c r="D79" s="4">
        <v>11.5</v>
      </c>
      <c r="E79" s="38">
        <v>1</v>
      </c>
      <c r="F79" s="13">
        <v>14.23</v>
      </c>
      <c r="G79" s="24">
        <v>2015</v>
      </c>
      <c r="H79">
        <v>77</v>
      </c>
    </row>
    <row r="80" spans="1:8" x14ac:dyDescent="0.3">
      <c r="A80" s="10" t="s">
        <v>12</v>
      </c>
      <c r="B80" s="11">
        <v>287957</v>
      </c>
      <c r="C80" s="12">
        <v>171.9</v>
      </c>
      <c r="D80" s="4">
        <v>11.5</v>
      </c>
      <c r="E80" s="38">
        <v>1</v>
      </c>
      <c r="F80" s="13">
        <v>14.05</v>
      </c>
      <c r="G80" s="24">
        <v>2015</v>
      </c>
      <c r="H80">
        <v>78</v>
      </c>
    </row>
    <row r="81" spans="1:8" x14ac:dyDescent="0.3">
      <c r="A81" s="10" t="s">
        <v>13</v>
      </c>
      <c r="B81" s="11">
        <v>347425</v>
      </c>
      <c r="C81" s="12">
        <v>172</v>
      </c>
      <c r="D81" s="4">
        <v>11</v>
      </c>
      <c r="E81" s="38">
        <v>1</v>
      </c>
      <c r="F81" s="13">
        <v>13.95</v>
      </c>
      <c r="G81" s="24">
        <v>2015</v>
      </c>
      <c r="H81">
        <v>79</v>
      </c>
    </row>
    <row r="82" spans="1:8" x14ac:dyDescent="0.3">
      <c r="A82" s="10" t="s">
        <v>14</v>
      </c>
      <c r="B82" s="11">
        <v>406377</v>
      </c>
      <c r="C82" s="12">
        <v>172.5</v>
      </c>
      <c r="D82" s="4">
        <v>11</v>
      </c>
      <c r="E82" s="38">
        <v>1</v>
      </c>
      <c r="F82" s="13">
        <v>13.79</v>
      </c>
      <c r="G82" s="24">
        <v>2015</v>
      </c>
      <c r="H82">
        <v>80</v>
      </c>
    </row>
    <row r="83" spans="1:8" x14ac:dyDescent="0.3">
      <c r="A83" s="10" t="s">
        <v>15</v>
      </c>
      <c r="B83" s="11">
        <v>473466</v>
      </c>
      <c r="C83" s="12">
        <v>173</v>
      </c>
      <c r="D83" s="4">
        <v>11</v>
      </c>
      <c r="E83" s="38">
        <v>1</v>
      </c>
      <c r="F83" s="13">
        <v>13.7</v>
      </c>
      <c r="G83" s="24">
        <v>2015</v>
      </c>
      <c r="H83">
        <v>81</v>
      </c>
    </row>
    <row r="84" spans="1:8" x14ac:dyDescent="0.3">
      <c r="A84" s="10" t="s">
        <v>16</v>
      </c>
      <c r="B84" s="11">
        <v>539966</v>
      </c>
      <c r="C84" s="12">
        <v>173.4</v>
      </c>
      <c r="D84" s="4">
        <v>11</v>
      </c>
      <c r="E84" s="38">
        <v>1</v>
      </c>
      <c r="F84" s="13">
        <v>13.59</v>
      </c>
      <c r="G84" s="24">
        <v>2015</v>
      </c>
      <c r="H84">
        <v>82</v>
      </c>
    </row>
    <row r="85" spans="1:8" x14ac:dyDescent="0.3">
      <c r="A85" s="10" t="s">
        <v>17</v>
      </c>
      <c r="B85" s="11">
        <v>608173</v>
      </c>
      <c r="C85" s="12">
        <v>174.1</v>
      </c>
      <c r="D85" s="4">
        <v>11</v>
      </c>
      <c r="E85" s="38">
        <v>1</v>
      </c>
      <c r="F85" s="13">
        <v>13.44</v>
      </c>
      <c r="G85" s="24">
        <v>2015</v>
      </c>
      <c r="H85">
        <v>83</v>
      </c>
    </row>
    <row r="86" spans="1:8" x14ac:dyDescent="0.3">
      <c r="A86" s="10" t="s">
        <v>18</v>
      </c>
      <c r="B86" s="11">
        <v>710450</v>
      </c>
      <c r="C86" s="12">
        <v>175.2</v>
      </c>
      <c r="D86" s="4">
        <v>11</v>
      </c>
      <c r="E86" s="38">
        <v>1</v>
      </c>
      <c r="F86" s="13">
        <v>13.36</v>
      </c>
      <c r="G86" s="24">
        <v>2016</v>
      </c>
      <c r="H86">
        <v>84</v>
      </c>
    </row>
    <row r="87" spans="1:8" x14ac:dyDescent="0.3">
      <c r="A87" s="10" t="s">
        <v>7</v>
      </c>
      <c r="B87" s="11">
        <v>37510</v>
      </c>
      <c r="C87" s="12">
        <v>179.4</v>
      </c>
      <c r="D87" s="4">
        <v>11</v>
      </c>
      <c r="E87" s="38">
        <v>1</v>
      </c>
      <c r="F87" s="13">
        <v>12.51</v>
      </c>
      <c r="G87" s="24">
        <v>2016</v>
      </c>
      <c r="H87">
        <v>85</v>
      </c>
    </row>
    <row r="88" spans="1:8" x14ac:dyDescent="0.3">
      <c r="A88" s="10" t="s">
        <v>8</v>
      </c>
      <c r="B88" s="11">
        <v>118445</v>
      </c>
      <c r="C88" s="12">
        <v>180.8</v>
      </c>
      <c r="D88" s="4">
        <v>11</v>
      </c>
      <c r="E88" s="38">
        <v>1</v>
      </c>
      <c r="F88" s="13">
        <v>12.24</v>
      </c>
      <c r="G88" s="24">
        <v>2016</v>
      </c>
      <c r="H88">
        <v>86</v>
      </c>
    </row>
    <row r="89" spans="1:8" x14ac:dyDescent="0.3">
      <c r="A89" s="10" t="s">
        <v>9</v>
      </c>
      <c r="B89" s="11">
        <v>190445</v>
      </c>
      <c r="C89" s="12">
        <v>180.6</v>
      </c>
      <c r="D89" s="4">
        <v>11</v>
      </c>
      <c r="E89" s="38">
        <v>1</v>
      </c>
      <c r="F89" s="13">
        <v>12.48</v>
      </c>
      <c r="G89" s="24">
        <v>2016</v>
      </c>
      <c r="H89">
        <v>87</v>
      </c>
    </row>
    <row r="90" spans="1:8" x14ac:dyDescent="0.3">
      <c r="A90" s="10" t="s">
        <v>10</v>
      </c>
      <c r="B90" s="11">
        <v>264105</v>
      </c>
      <c r="C90" s="12">
        <v>181</v>
      </c>
      <c r="D90" s="4">
        <v>11</v>
      </c>
      <c r="E90" s="38">
        <v>1</v>
      </c>
      <c r="F90" s="13">
        <v>12.6</v>
      </c>
      <c r="G90" s="24">
        <v>2016</v>
      </c>
      <c r="H90">
        <v>88</v>
      </c>
    </row>
    <row r="91" spans="1:8" x14ac:dyDescent="0.3">
      <c r="A91" s="10" t="s">
        <v>11</v>
      </c>
      <c r="B91" s="11">
        <v>326456</v>
      </c>
      <c r="C91" s="12">
        <v>181.6</v>
      </c>
      <c r="D91" s="4">
        <v>10.5</v>
      </c>
      <c r="E91" s="38">
        <v>1</v>
      </c>
      <c r="F91" s="13">
        <v>12.7</v>
      </c>
      <c r="G91" s="24">
        <v>2016</v>
      </c>
      <c r="H91">
        <v>89</v>
      </c>
    </row>
    <row r="92" spans="1:8" x14ac:dyDescent="0.3">
      <c r="A92" s="10" t="s">
        <v>12</v>
      </c>
      <c r="B92" s="11">
        <v>394672</v>
      </c>
      <c r="C92" s="12">
        <v>181.6</v>
      </c>
      <c r="D92" s="4">
        <v>10.5</v>
      </c>
      <c r="E92" s="38">
        <v>1</v>
      </c>
      <c r="F92" s="13">
        <v>12.74</v>
      </c>
      <c r="G92" s="24">
        <v>2016</v>
      </c>
      <c r="H92">
        <v>90</v>
      </c>
    </row>
    <row r="93" spans="1:8" x14ac:dyDescent="0.3">
      <c r="A93" s="10" t="s">
        <v>13</v>
      </c>
      <c r="B93" s="11">
        <v>460485</v>
      </c>
      <c r="C93" s="12">
        <v>181.6</v>
      </c>
      <c r="D93" s="4">
        <v>10.5</v>
      </c>
      <c r="E93" s="38">
        <v>1</v>
      </c>
      <c r="F93" s="13">
        <v>12.75</v>
      </c>
      <c r="G93" s="24">
        <v>2016</v>
      </c>
      <c r="H93">
        <v>91</v>
      </c>
    </row>
    <row r="94" spans="1:8" x14ac:dyDescent="0.3">
      <c r="A94" s="10" t="s">
        <v>14</v>
      </c>
      <c r="B94" s="11">
        <v>534022</v>
      </c>
      <c r="C94" s="12">
        <v>181.5</v>
      </c>
      <c r="D94" s="4">
        <v>10</v>
      </c>
      <c r="E94" s="38">
        <v>1</v>
      </c>
      <c r="F94" s="13">
        <v>12.74</v>
      </c>
      <c r="G94" s="24">
        <v>2016</v>
      </c>
      <c r="H94">
        <v>92</v>
      </c>
    </row>
    <row r="95" spans="1:8" x14ac:dyDescent="0.3">
      <c r="A95" s="10" t="s">
        <v>15</v>
      </c>
      <c r="B95" s="11">
        <v>608708</v>
      </c>
      <c r="C95" s="12">
        <v>181.6</v>
      </c>
      <c r="D95" s="4">
        <v>10</v>
      </c>
      <c r="E95" s="38">
        <v>1</v>
      </c>
      <c r="F95" s="13">
        <v>12.71</v>
      </c>
      <c r="G95" s="24">
        <v>2016</v>
      </c>
      <c r="H95">
        <v>93</v>
      </c>
    </row>
    <row r="96" spans="1:8" x14ac:dyDescent="0.3">
      <c r="A96" s="10" t="s">
        <v>16</v>
      </c>
      <c r="B96" s="11">
        <v>681261</v>
      </c>
      <c r="C96" s="12">
        <v>181.7</v>
      </c>
      <c r="D96" s="4">
        <v>10</v>
      </c>
      <c r="E96" s="38">
        <v>1</v>
      </c>
      <c r="F96" s="13">
        <v>12.68</v>
      </c>
      <c r="G96" s="24">
        <v>2016</v>
      </c>
      <c r="H96">
        <v>94</v>
      </c>
    </row>
    <row r="97" spans="1:8" x14ac:dyDescent="0.3">
      <c r="A97" s="10" t="s">
        <v>17</v>
      </c>
      <c r="B97" s="11">
        <v>759936</v>
      </c>
      <c r="C97" s="12">
        <v>182</v>
      </c>
      <c r="D97" s="4">
        <v>10</v>
      </c>
      <c r="E97" s="38">
        <v>1</v>
      </c>
      <c r="F97" s="13">
        <v>12.62</v>
      </c>
      <c r="G97" s="24">
        <v>2016</v>
      </c>
      <c r="H97">
        <v>95</v>
      </c>
    </row>
    <row r="98" spans="1:8" x14ac:dyDescent="0.3">
      <c r="A98" s="10" t="s">
        <v>18</v>
      </c>
      <c r="B98" s="11">
        <v>863803</v>
      </c>
      <c r="C98" s="12">
        <v>182.2</v>
      </c>
      <c r="D98" s="4">
        <v>10</v>
      </c>
      <c r="E98" s="38">
        <v>1</v>
      </c>
      <c r="F98" s="13">
        <v>12.49</v>
      </c>
      <c r="G98" s="24">
        <v>2017</v>
      </c>
      <c r="H98">
        <v>96</v>
      </c>
    </row>
    <row r="99" spans="1:8" x14ac:dyDescent="0.3">
      <c r="A99" s="10" t="s">
        <v>19</v>
      </c>
      <c r="B99" s="11">
        <v>40233</v>
      </c>
      <c r="C99" s="12">
        <v>185.9</v>
      </c>
      <c r="D99" s="4">
        <v>10</v>
      </c>
      <c r="E99" s="38">
        <v>1</v>
      </c>
      <c r="F99" s="13">
        <v>11.84</v>
      </c>
      <c r="G99" s="24">
        <v>2017</v>
      </c>
      <c r="H99">
        <v>97</v>
      </c>
    </row>
    <row r="100" spans="1:8" x14ac:dyDescent="0.3">
      <c r="A100" s="10" t="s">
        <v>20</v>
      </c>
      <c r="B100" s="11">
        <v>98391</v>
      </c>
      <c r="C100" s="12">
        <v>184.8</v>
      </c>
      <c r="D100" s="4">
        <v>9.75</v>
      </c>
      <c r="E100" s="38">
        <v>1</v>
      </c>
      <c r="F100" s="13">
        <v>11.9</v>
      </c>
      <c r="G100" s="24">
        <v>2017</v>
      </c>
      <c r="H100">
        <v>98</v>
      </c>
    </row>
    <row r="101" spans="1:8" x14ac:dyDescent="0.3">
      <c r="A101" s="10" t="s">
        <v>21</v>
      </c>
      <c r="B101" s="11">
        <v>179347</v>
      </c>
      <c r="C101" s="12">
        <v>184.9</v>
      </c>
      <c r="D101" s="4">
        <v>9.75</v>
      </c>
      <c r="E101" s="38">
        <v>1</v>
      </c>
      <c r="F101" s="13">
        <v>11.81</v>
      </c>
      <c r="G101" s="24">
        <v>2017</v>
      </c>
      <c r="H101">
        <v>99</v>
      </c>
    </row>
    <row r="102" spans="1:8" x14ac:dyDescent="0.3">
      <c r="A102" s="10" t="s">
        <v>22</v>
      </c>
      <c r="B102" s="11">
        <v>261538</v>
      </c>
      <c r="C102" s="12">
        <v>185.1</v>
      </c>
      <c r="D102" s="4">
        <v>9.25</v>
      </c>
      <c r="E102" s="38">
        <v>1</v>
      </c>
      <c r="F102" s="13">
        <v>11.69</v>
      </c>
      <c r="G102" s="24">
        <v>2017</v>
      </c>
      <c r="H102">
        <v>100</v>
      </c>
    </row>
    <row r="103" spans="1:8" x14ac:dyDescent="0.3">
      <c r="A103" s="10" t="s">
        <v>23</v>
      </c>
      <c r="B103" s="11">
        <v>340772</v>
      </c>
      <c r="C103" s="12">
        <v>185.4</v>
      </c>
      <c r="D103" s="4">
        <v>9</v>
      </c>
      <c r="E103" s="38">
        <v>1</v>
      </c>
      <c r="F103" s="13">
        <v>11.61</v>
      </c>
      <c r="G103" s="24">
        <v>2017</v>
      </c>
      <c r="H103">
        <v>101</v>
      </c>
    </row>
    <row r="104" spans="1:8" x14ac:dyDescent="0.3">
      <c r="A104" s="10" t="s">
        <v>24</v>
      </c>
      <c r="B104" s="11">
        <v>426032</v>
      </c>
      <c r="C104" s="12">
        <v>185.7</v>
      </c>
      <c r="D104" s="4">
        <v>9</v>
      </c>
      <c r="E104" s="38">
        <v>1</v>
      </c>
      <c r="F104" s="13">
        <v>11.5</v>
      </c>
      <c r="G104" s="24">
        <v>2017</v>
      </c>
      <c r="H104">
        <v>102</v>
      </c>
    </row>
    <row r="105" spans="1:8" x14ac:dyDescent="0.3">
      <c r="A105" s="10" t="s">
        <v>25</v>
      </c>
      <c r="B105" s="11">
        <v>510944</v>
      </c>
      <c r="C105" s="12">
        <v>185.7</v>
      </c>
      <c r="D105" s="4">
        <v>9</v>
      </c>
      <c r="E105" s="38">
        <v>1</v>
      </c>
      <c r="F105" s="13">
        <v>11.41</v>
      </c>
      <c r="G105" s="24">
        <v>2017</v>
      </c>
      <c r="H105">
        <v>103</v>
      </c>
    </row>
    <row r="106" spans="1:8" x14ac:dyDescent="0.3">
      <c r="A106" s="10" t="s">
        <v>26</v>
      </c>
      <c r="B106" s="11">
        <v>605776</v>
      </c>
      <c r="C106" s="12">
        <v>185.8</v>
      </c>
      <c r="D106" s="4">
        <v>8.5</v>
      </c>
      <c r="E106" s="38">
        <v>1</v>
      </c>
      <c r="F106" s="13">
        <v>11.28</v>
      </c>
      <c r="G106" s="24">
        <v>2017</v>
      </c>
      <c r="H106">
        <v>104</v>
      </c>
    </row>
    <row r="107" spans="1:8" x14ac:dyDescent="0.3">
      <c r="A107" s="10" t="s">
        <v>27</v>
      </c>
      <c r="B107" s="11">
        <v>704675</v>
      </c>
      <c r="C107" s="12">
        <v>185.9</v>
      </c>
      <c r="D107" s="4">
        <v>8.25</v>
      </c>
      <c r="E107" s="38">
        <v>1</v>
      </c>
      <c r="F107" s="13">
        <v>11.1</v>
      </c>
      <c r="G107" s="24">
        <v>2017</v>
      </c>
      <c r="H107">
        <v>105</v>
      </c>
    </row>
    <row r="108" spans="1:8" x14ac:dyDescent="0.3">
      <c r="A108" s="10" t="s">
        <v>28</v>
      </c>
      <c r="B108" s="11">
        <v>817803</v>
      </c>
      <c r="C108" s="12">
        <v>186</v>
      </c>
      <c r="D108" s="4">
        <v>8.25</v>
      </c>
      <c r="E108" s="38">
        <v>1</v>
      </c>
      <c r="F108" s="13">
        <v>10.94</v>
      </c>
      <c r="G108" s="24">
        <v>2017</v>
      </c>
      <c r="H108">
        <v>106</v>
      </c>
    </row>
    <row r="109" spans="1:8" x14ac:dyDescent="0.3">
      <c r="A109" s="10" t="s">
        <v>29</v>
      </c>
      <c r="B109" s="11">
        <v>940552</v>
      </c>
      <c r="C109" s="12">
        <v>186.2</v>
      </c>
      <c r="D109" s="4">
        <v>7.75</v>
      </c>
      <c r="E109" s="38">
        <v>1</v>
      </c>
      <c r="F109" s="13">
        <v>10.78</v>
      </c>
      <c r="G109" s="24">
        <v>2017</v>
      </c>
      <c r="H109">
        <v>107</v>
      </c>
    </row>
    <row r="110" spans="1:8" x14ac:dyDescent="0.3">
      <c r="A110" s="10" t="s">
        <v>18</v>
      </c>
      <c r="B110" s="14">
        <v>1092316</v>
      </c>
      <c r="C110" s="15">
        <v>186.4</v>
      </c>
      <c r="D110" s="4">
        <v>7.75</v>
      </c>
      <c r="E110" s="38">
        <v>1</v>
      </c>
      <c r="F110" s="16">
        <v>10.64</v>
      </c>
      <c r="G110" s="24">
        <v>2018</v>
      </c>
      <c r="H110">
        <v>108</v>
      </c>
    </row>
    <row r="111" spans="1:8" x14ac:dyDescent="0.3">
      <c r="A111" s="10" t="s">
        <v>7</v>
      </c>
      <c r="B111" s="17">
        <v>78300</v>
      </c>
      <c r="C111" s="18">
        <v>190.8</v>
      </c>
      <c r="D111" s="4">
        <v>7.5</v>
      </c>
      <c r="E111" s="38">
        <v>1</v>
      </c>
      <c r="F111" s="19">
        <v>9.85</v>
      </c>
      <c r="G111" s="24">
        <v>2018</v>
      </c>
      <c r="H111">
        <v>109</v>
      </c>
    </row>
    <row r="112" spans="1:8" x14ac:dyDescent="0.3">
      <c r="A112" s="10" t="s">
        <v>8</v>
      </c>
      <c r="B112" s="17">
        <v>181272</v>
      </c>
      <c r="C112" s="18">
        <v>190.2</v>
      </c>
      <c r="D112" s="4">
        <v>7.25</v>
      </c>
      <c r="E112" s="38">
        <v>1</v>
      </c>
      <c r="F112" s="19">
        <v>9.8000000000000007</v>
      </c>
      <c r="G112" s="24">
        <v>2018</v>
      </c>
      <c r="H112">
        <v>110</v>
      </c>
    </row>
    <row r="113" spans="1:8" x14ac:dyDescent="0.3">
      <c r="A113" s="10" t="s">
        <v>9</v>
      </c>
      <c r="B113" s="17">
        <v>300359</v>
      </c>
      <c r="C113" s="18">
        <v>190.3</v>
      </c>
      <c r="D113" s="4">
        <v>7.25</v>
      </c>
      <c r="E113" s="38">
        <v>1</v>
      </c>
      <c r="F113" s="19">
        <v>9.74</v>
      </c>
      <c r="G113" s="24">
        <v>2018</v>
      </c>
      <c r="H113">
        <v>111</v>
      </c>
    </row>
    <row r="114" spans="1:8" x14ac:dyDescent="0.3">
      <c r="A114" s="10" t="s">
        <v>10</v>
      </c>
      <c r="B114" s="17">
        <v>426088</v>
      </c>
      <c r="C114" s="18">
        <v>190.8</v>
      </c>
      <c r="D114" s="4">
        <v>7.25</v>
      </c>
      <c r="E114" s="38">
        <v>1</v>
      </c>
      <c r="F114" s="19">
        <v>9.69</v>
      </c>
      <c r="G114" s="24">
        <v>2018</v>
      </c>
      <c r="H114">
        <v>112</v>
      </c>
    </row>
    <row r="115" spans="1:8" x14ac:dyDescent="0.3">
      <c r="A115" s="10" t="s">
        <v>11</v>
      </c>
      <c r="B115" s="17">
        <v>544626</v>
      </c>
      <c r="C115" s="18">
        <v>191</v>
      </c>
      <c r="D115" s="4">
        <v>7.25</v>
      </c>
      <c r="E115" s="38">
        <v>1</v>
      </c>
      <c r="F115" s="19">
        <v>9.66</v>
      </c>
      <c r="G115" s="24">
        <v>2018</v>
      </c>
      <c r="H115">
        <v>113</v>
      </c>
    </row>
    <row r="116" spans="1:8" x14ac:dyDescent="0.3">
      <c r="A116" s="10" t="s">
        <v>12</v>
      </c>
      <c r="B116" s="17">
        <v>665633</v>
      </c>
      <c r="C116" s="18">
        <v>191.4</v>
      </c>
      <c r="D116" s="4">
        <v>7.25</v>
      </c>
      <c r="E116" s="38">
        <v>1</v>
      </c>
      <c r="F116" s="19">
        <v>9.6300000000000008</v>
      </c>
      <c r="G116" s="24">
        <v>2018</v>
      </c>
      <c r="H116">
        <v>114</v>
      </c>
    </row>
    <row r="117" spans="1:8" x14ac:dyDescent="0.3">
      <c r="A117" s="10" t="s">
        <v>13</v>
      </c>
      <c r="B117" s="17">
        <v>787845</v>
      </c>
      <c r="C117" s="18">
        <v>193.3</v>
      </c>
      <c r="D117" s="4">
        <v>7.25</v>
      </c>
      <c r="E117" s="38">
        <v>1</v>
      </c>
      <c r="F117" s="19">
        <v>9.6199999999999992</v>
      </c>
      <c r="G117" s="24">
        <v>2018</v>
      </c>
      <c r="H117">
        <v>115</v>
      </c>
    </row>
    <row r="118" spans="1:8" x14ac:dyDescent="0.3">
      <c r="A118" s="10" t="s">
        <v>14</v>
      </c>
      <c r="B118" s="17">
        <v>914481</v>
      </c>
      <c r="C118" s="18">
        <v>193.6</v>
      </c>
      <c r="D118" s="4">
        <v>7.5</v>
      </c>
      <c r="E118" s="38">
        <v>1</v>
      </c>
      <c r="F118" s="19">
        <v>9.59</v>
      </c>
      <c r="G118" s="24">
        <v>2018</v>
      </c>
      <c r="H118">
        <v>116</v>
      </c>
    </row>
    <row r="119" spans="1:8" x14ac:dyDescent="0.3">
      <c r="A119" s="10" t="s">
        <v>15</v>
      </c>
      <c r="B119" s="17">
        <v>1036834</v>
      </c>
      <c r="C119" s="18">
        <v>193.9</v>
      </c>
      <c r="D119" s="4">
        <v>7.5</v>
      </c>
      <c r="E119" s="38">
        <v>1</v>
      </c>
      <c r="F119" s="19">
        <v>9.57</v>
      </c>
      <c r="G119" s="24">
        <v>2018</v>
      </c>
      <c r="H119">
        <v>117</v>
      </c>
    </row>
    <row r="120" spans="1:8" x14ac:dyDescent="0.3">
      <c r="A120" s="10" t="s">
        <v>16</v>
      </c>
      <c r="B120" s="17">
        <v>1178481</v>
      </c>
      <c r="C120" s="18">
        <v>194.4</v>
      </c>
      <c r="D120" s="4">
        <v>7.5</v>
      </c>
      <c r="E120" s="38">
        <v>1</v>
      </c>
      <c r="F120" s="19">
        <v>9.5500000000000007</v>
      </c>
      <c r="G120" s="24">
        <v>2018</v>
      </c>
      <c r="H120">
        <v>118</v>
      </c>
    </row>
    <row r="121" spans="1:8" x14ac:dyDescent="0.3">
      <c r="A121" s="10" t="s">
        <v>17</v>
      </c>
      <c r="B121" s="17">
        <v>1318786</v>
      </c>
      <c r="C121" s="18">
        <v>194.9</v>
      </c>
      <c r="D121" s="4">
        <v>7.75</v>
      </c>
      <c r="E121" s="38">
        <v>1</v>
      </c>
      <c r="F121" s="19">
        <v>9.5399999999999991</v>
      </c>
      <c r="G121" s="24">
        <v>2018</v>
      </c>
      <c r="H121">
        <v>119</v>
      </c>
    </row>
    <row r="122" spans="1:8" x14ac:dyDescent="0.3">
      <c r="A122" s="10" t="s">
        <v>18</v>
      </c>
      <c r="B122" s="14">
        <v>1476376</v>
      </c>
      <c r="C122" s="15">
        <v>195.5</v>
      </c>
      <c r="D122" s="4">
        <v>7.75</v>
      </c>
      <c r="E122" s="38">
        <v>1</v>
      </c>
      <c r="F122" s="16">
        <v>9.56</v>
      </c>
      <c r="G122" s="24">
        <v>2019</v>
      </c>
      <c r="H122">
        <v>120</v>
      </c>
    </row>
    <row r="123" spans="1:8" x14ac:dyDescent="0.3">
      <c r="A123" s="10" t="s">
        <v>7</v>
      </c>
      <c r="B123" s="17">
        <v>81627</v>
      </c>
      <c r="C123" s="18">
        <v>206.7</v>
      </c>
      <c r="D123" s="4">
        <v>7.75</v>
      </c>
      <c r="E123" s="38">
        <v>1</v>
      </c>
      <c r="F123" s="19">
        <v>9.89</v>
      </c>
      <c r="G123" s="24">
        <v>2019</v>
      </c>
      <c r="H123">
        <v>121</v>
      </c>
    </row>
    <row r="124" spans="1:8" x14ac:dyDescent="0.3">
      <c r="A124" s="10" t="s">
        <v>8</v>
      </c>
      <c r="B124" s="17">
        <v>188134</v>
      </c>
      <c r="C124" s="18">
        <v>209</v>
      </c>
      <c r="D124" s="4">
        <v>7.75</v>
      </c>
      <c r="E124" s="38">
        <v>1</v>
      </c>
      <c r="F124" s="19">
        <v>10.041232200381501</v>
      </c>
      <c r="G124" s="24">
        <v>2019</v>
      </c>
      <c r="H124">
        <v>122</v>
      </c>
    </row>
    <row r="125" spans="1:8" x14ac:dyDescent="0.3">
      <c r="A125" s="10" t="s">
        <v>9</v>
      </c>
      <c r="B125" s="17">
        <v>292854</v>
      </c>
      <c r="C125" s="18">
        <v>210.2</v>
      </c>
      <c r="D125" s="4">
        <v>7.75</v>
      </c>
      <c r="E125" s="38">
        <v>1</v>
      </c>
      <c r="F125" s="19">
        <v>10.1789149612837</v>
      </c>
      <c r="G125" s="24">
        <v>2019</v>
      </c>
      <c r="H125">
        <v>123</v>
      </c>
    </row>
    <row r="126" spans="1:8" x14ac:dyDescent="0.3">
      <c r="A126" s="10" t="s">
        <v>10</v>
      </c>
      <c r="B126" s="17">
        <v>404495</v>
      </c>
      <c r="C126" s="18">
        <v>211.3</v>
      </c>
      <c r="D126" s="4">
        <v>7.75</v>
      </c>
      <c r="E126" s="38">
        <v>1</v>
      </c>
      <c r="F126" s="19">
        <v>10.2859873759684</v>
      </c>
      <c r="G126" s="24">
        <v>2019</v>
      </c>
      <c r="H126">
        <v>124</v>
      </c>
    </row>
    <row r="127" spans="1:8" x14ac:dyDescent="0.3">
      <c r="A127" s="10" t="s">
        <v>11</v>
      </c>
      <c r="B127" s="17">
        <v>491716</v>
      </c>
      <c r="C127" s="18">
        <v>211.8</v>
      </c>
      <c r="D127" s="4">
        <v>7.5</v>
      </c>
      <c r="E127" s="38">
        <v>1</v>
      </c>
      <c r="F127" s="19">
        <v>10.331957596990399</v>
      </c>
      <c r="G127" s="24">
        <v>2019</v>
      </c>
      <c r="H127">
        <v>125</v>
      </c>
    </row>
    <row r="128" spans="1:8" x14ac:dyDescent="0.3">
      <c r="A128" s="10" t="s">
        <v>12</v>
      </c>
      <c r="B128" s="17">
        <v>589846</v>
      </c>
      <c r="C128" s="18">
        <v>212.3</v>
      </c>
      <c r="D128" s="4">
        <v>7.25</v>
      </c>
      <c r="E128" s="38">
        <v>1</v>
      </c>
      <c r="F128" s="19">
        <v>10.326385645079499</v>
      </c>
      <c r="G128" s="24">
        <v>2019</v>
      </c>
      <c r="H128">
        <v>126</v>
      </c>
    </row>
    <row r="129" spans="1:8" x14ac:dyDescent="0.3">
      <c r="A129" s="10" t="s">
        <v>13</v>
      </c>
      <c r="B129" s="17">
        <v>693033</v>
      </c>
      <c r="C129" s="18">
        <v>212.7</v>
      </c>
      <c r="D129" s="4">
        <v>7.25</v>
      </c>
      <c r="E129" s="38">
        <v>1</v>
      </c>
      <c r="F129" s="19">
        <v>10.311475768752601</v>
      </c>
      <c r="G129" s="24">
        <v>2019</v>
      </c>
      <c r="H129">
        <v>127</v>
      </c>
    </row>
    <row r="130" spans="1:8" x14ac:dyDescent="0.3">
      <c r="A130" s="10" t="s">
        <v>14</v>
      </c>
      <c r="B130" s="17">
        <v>803189</v>
      </c>
      <c r="C130" s="18">
        <v>213.1</v>
      </c>
      <c r="D130" s="4">
        <v>7</v>
      </c>
      <c r="E130" s="38">
        <v>1</v>
      </c>
      <c r="F130" s="19">
        <v>10.2546199802598</v>
      </c>
      <c r="G130" s="24">
        <v>2019</v>
      </c>
      <c r="H130">
        <v>128</v>
      </c>
    </row>
    <row r="131" spans="1:8" x14ac:dyDescent="0.3">
      <c r="A131" s="10" t="s">
        <v>15</v>
      </c>
      <c r="B131" s="17">
        <v>914116</v>
      </c>
      <c r="C131" s="18">
        <v>213.4</v>
      </c>
      <c r="D131" s="4">
        <v>6.5</v>
      </c>
      <c r="E131" s="38">
        <v>1</v>
      </c>
      <c r="F131" s="19">
        <v>10.1825783703665</v>
      </c>
      <c r="G131" s="24">
        <v>2019</v>
      </c>
      <c r="H131">
        <v>129</v>
      </c>
    </row>
    <row r="132" spans="1:8" x14ac:dyDescent="0.3">
      <c r="A132" s="10" t="s">
        <v>16</v>
      </c>
      <c r="B132" s="17">
        <v>1038211</v>
      </c>
      <c r="C132" s="18">
        <v>213.8</v>
      </c>
      <c r="D132" s="4">
        <v>6.5</v>
      </c>
      <c r="E132" s="38">
        <v>1</v>
      </c>
      <c r="F132" s="19">
        <v>10.087088793971599</v>
      </c>
      <c r="G132" s="24">
        <v>2019</v>
      </c>
      <c r="H132">
        <v>130</v>
      </c>
    </row>
    <row r="133" spans="1:8" x14ac:dyDescent="0.3">
      <c r="A133" s="10" t="s">
        <v>17</v>
      </c>
      <c r="B133" s="17">
        <v>1161433</v>
      </c>
      <c r="C133" s="18">
        <v>214</v>
      </c>
      <c r="D133" s="4">
        <v>6.25</v>
      </c>
      <c r="E133" s="38">
        <v>1</v>
      </c>
      <c r="F133" s="19">
        <v>9.9902794634507206</v>
      </c>
      <c r="G133" s="24">
        <v>2019</v>
      </c>
      <c r="H133">
        <v>131</v>
      </c>
    </row>
    <row r="134" spans="1:8" x14ac:dyDescent="0.3">
      <c r="A134" s="10" t="s">
        <v>18</v>
      </c>
      <c r="B134" s="14">
        <v>1318290</v>
      </c>
      <c r="C134" s="12">
        <v>214.1</v>
      </c>
      <c r="D134" s="4">
        <v>6.25</v>
      </c>
      <c r="E134" s="38">
        <v>1</v>
      </c>
      <c r="F134" s="16">
        <v>9.8723788597368003</v>
      </c>
      <c r="G134" s="24">
        <v>2020</v>
      </c>
      <c r="H134">
        <v>132</v>
      </c>
    </row>
    <row r="135" spans="1:8" x14ac:dyDescent="0.3">
      <c r="A135" s="10" t="s">
        <v>7</v>
      </c>
      <c r="B135" s="17">
        <v>83624</v>
      </c>
      <c r="C135" s="20">
        <v>216.7</v>
      </c>
      <c r="D135" s="4">
        <v>6</v>
      </c>
      <c r="E135" s="38">
        <v>1</v>
      </c>
      <c r="F135" s="19">
        <v>8.8461050481398793</v>
      </c>
      <c r="G135" s="24">
        <v>2020</v>
      </c>
      <c r="H135">
        <v>133</v>
      </c>
    </row>
    <row r="136" spans="1:8" x14ac:dyDescent="0.3">
      <c r="A136" s="10" t="s">
        <v>8</v>
      </c>
      <c r="B136" s="17">
        <v>199392</v>
      </c>
      <c r="C136" s="20">
        <v>217.5</v>
      </c>
      <c r="D136" s="4">
        <v>6</v>
      </c>
      <c r="E136" s="38">
        <v>1</v>
      </c>
      <c r="F136" s="19">
        <v>8.7806310039885602</v>
      </c>
      <c r="G136" s="24">
        <v>2020</v>
      </c>
      <c r="H136">
        <v>134</v>
      </c>
    </row>
    <row r="137" spans="1:8" x14ac:dyDescent="0.3">
      <c r="A137" s="10" t="s">
        <v>9</v>
      </c>
      <c r="B137" s="17">
        <v>332705</v>
      </c>
      <c r="C137" s="20">
        <v>217.4</v>
      </c>
      <c r="D137" s="4">
        <v>5.5</v>
      </c>
      <c r="E137" s="38">
        <v>1</v>
      </c>
      <c r="F137" s="19">
        <v>8.7408829550789306</v>
      </c>
      <c r="G137" s="24">
        <v>2020</v>
      </c>
      <c r="H137">
        <v>135</v>
      </c>
    </row>
    <row r="138" spans="1:8" x14ac:dyDescent="0.3">
      <c r="A138" s="10" t="s">
        <v>10</v>
      </c>
      <c r="B138" s="17">
        <v>430257</v>
      </c>
      <c r="C138" s="20">
        <v>217.2</v>
      </c>
      <c r="D138" s="4">
        <v>5.5</v>
      </c>
      <c r="E138" s="38">
        <v>1</v>
      </c>
      <c r="F138" s="19">
        <v>8.6726665023301397</v>
      </c>
      <c r="G138" s="24">
        <v>2020</v>
      </c>
      <c r="H138">
        <v>136</v>
      </c>
    </row>
    <row r="139" spans="1:8" x14ac:dyDescent="0.3">
      <c r="A139" s="10" t="s">
        <v>11</v>
      </c>
      <c r="B139" s="17">
        <v>523511</v>
      </c>
      <c r="C139" s="20">
        <v>216.5</v>
      </c>
      <c r="D139" s="4">
        <v>4.5</v>
      </c>
      <c r="E139" s="38">
        <v>1</v>
      </c>
      <c r="F139" s="19">
        <v>8.4831671374026403</v>
      </c>
      <c r="G139" s="24">
        <v>2020</v>
      </c>
      <c r="H139">
        <v>137</v>
      </c>
    </row>
    <row r="140" spans="1:8" x14ac:dyDescent="0.3">
      <c r="A140" s="10" t="s">
        <v>12</v>
      </c>
      <c r="B140" s="17">
        <v>650752</v>
      </c>
      <c r="C140" s="20">
        <v>216.2</v>
      </c>
      <c r="D140" s="4">
        <v>4.25</v>
      </c>
      <c r="E140" s="38">
        <v>1</v>
      </c>
      <c r="F140" s="19">
        <v>8.3210416613731706</v>
      </c>
      <c r="G140" s="24">
        <v>2020</v>
      </c>
      <c r="H140">
        <v>138</v>
      </c>
    </row>
    <row r="141" spans="1:8" x14ac:dyDescent="0.3">
      <c r="A141" s="10" t="s">
        <v>13</v>
      </c>
      <c r="B141" s="17">
        <v>806627</v>
      </c>
      <c r="C141" s="20">
        <v>216.5</v>
      </c>
      <c r="D141" s="4">
        <v>4.25</v>
      </c>
      <c r="E141" s="38">
        <v>1</v>
      </c>
      <c r="F141" s="19">
        <v>8.1340721930653395</v>
      </c>
      <c r="G141" s="24">
        <v>2020</v>
      </c>
      <c r="H141">
        <v>139</v>
      </c>
    </row>
    <row r="142" spans="1:8" x14ac:dyDescent="0.3">
      <c r="A142" s="10" t="s">
        <v>14</v>
      </c>
      <c r="B142" s="17">
        <v>970968</v>
      </c>
      <c r="C142" s="20">
        <v>216.8</v>
      </c>
      <c r="D142" s="4">
        <v>4.25</v>
      </c>
      <c r="E142" s="38">
        <v>1</v>
      </c>
      <c r="F142" s="19">
        <v>7.9781386489278301</v>
      </c>
      <c r="G142" s="24">
        <v>2020</v>
      </c>
      <c r="H142">
        <v>140</v>
      </c>
    </row>
    <row r="143" spans="1:8" x14ac:dyDescent="0.3">
      <c r="A143" s="10" t="s">
        <v>15</v>
      </c>
      <c r="B143" s="17">
        <v>1169994</v>
      </c>
      <c r="C143" s="20">
        <v>217.3</v>
      </c>
      <c r="D143" s="4">
        <v>4.25</v>
      </c>
      <c r="E143" s="38">
        <v>1</v>
      </c>
      <c r="F143" s="19">
        <v>7.8611255994079396</v>
      </c>
      <c r="G143" s="24">
        <v>2020</v>
      </c>
      <c r="H143">
        <v>141</v>
      </c>
    </row>
    <row r="144" spans="1:8" x14ac:dyDescent="0.3">
      <c r="A144" s="10" t="s">
        <v>16</v>
      </c>
      <c r="B144" s="17">
        <v>1382587</v>
      </c>
      <c r="C144" s="20">
        <v>218</v>
      </c>
      <c r="D144" s="4">
        <v>4.25</v>
      </c>
      <c r="E144" s="38">
        <v>1</v>
      </c>
      <c r="F144" s="19">
        <v>7.7719116628776499</v>
      </c>
      <c r="G144" s="24">
        <v>2020</v>
      </c>
      <c r="H144">
        <v>142</v>
      </c>
    </row>
    <row r="145" spans="1:8" x14ac:dyDescent="0.3">
      <c r="A145" s="10" t="s">
        <v>17</v>
      </c>
      <c r="B145" s="17">
        <v>1571312</v>
      </c>
      <c r="C145" s="20">
        <v>218.6</v>
      </c>
      <c r="D145" s="4">
        <v>4.25</v>
      </c>
      <c r="E145" s="38">
        <v>1</v>
      </c>
      <c r="F145" s="19">
        <v>7.7218226498245697</v>
      </c>
      <c r="G145" s="24">
        <v>2020</v>
      </c>
      <c r="H145">
        <v>143</v>
      </c>
    </row>
    <row r="146" spans="1:8" x14ac:dyDescent="0.3">
      <c r="A146" s="10" t="s">
        <v>18</v>
      </c>
      <c r="B146" s="14">
        <v>1783280</v>
      </c>
      <c r="C146" s="12">
        <v>219.4</v>
      </c>
      <c r="D146" s="4">
        <v>4.25</v>
      </c>
      <c r="E146" s="38">
        <v>1</v>
      </c>
      <c r="F146" s="13">
        <v>7.6746878268035301</v>
      </c>
      <c r="G146" s="24">
        <v>2021</v>
      </c>
      <c r="H146">
        <v>144</v>
      </c>
    </row>
    <row r="147" spans="1:8" x14ac:dyDescent="0.3">
      <c r="A147" s="10" t="s">
        <v>7</v>
      </c>
      <c r="B147" s="17">
        <v>95242</v>
      </c>
      <c r="C147" s="20">
        <v>227.6</v>
      </c>
      <c r="D147" s="4">
        <v>4.25</v>
      </c>
      <c r="E147" s="38">
        <v>1</v>
      </c>
      <c r="F147" s="21">
        <v>7.2299141258069604</v>
      </c>
      <c r="G147" s="24">
        <v>2021</v>
      </c>
      <c r="H147">
        <v>145</v>
      </c>
    </row>
    <row r="148" spans="1:8" x14ac:dyDescent="0.3">
      <c r="A148" s="10" t="s">
        <v>8</v>
      </c>
      <c r="B148" s="17">
        <v>240486</v>
      </c>
      <c r="C148" s="20">
        <v>228.8</v>
      </c>
      <c r="D148" s="4">
        <v>4.5</v>
      </c>
      <c r="E148" s="38">
        <v>1</v>
      </c>
      <c r="F148" s="21">
        <v>7.2513492912085402</v>
      </c>
      <c r="G148" s="24">
        <v>2021</v>
      </c>
      <c r="H148">
        <v>146</v>
      </c>
    </row>
    <row r="149" spans="1:8" x14ac:dyDescent="0.3">
      <c r="A149" s="10" t="s">
        <v>9</v>
      </c>
      <c r="B149" s="17">
        <v>418898</v>
      </c>
      <c r="C149" s="20">
        <v>230.9</v>
      </c>
      <c r="D149" s="4">
        <v>5</v>
      </c>
      <c r="E149" s="38">
        <v>1</v>
      </c>
      <c r="F149" s="21">
        <v>7.24443078895301</v>
      </c>
      <c r="G149" s="24">
        <v>2021</v>
      </c>
      <c r="H149">
        <v>147</v>
      </c>
    </row>
    <row r="150" spans="1:8" x14ac:dyDescent="0.3">
      <c r="A150" s="10" t="s">
        <v>10</v>
      </c>
      <c r="B150" s="17">
        <v>610634</v>
      </c>
      <c r="C150" s="20">
        <v>233.1</v>
      </c>
      <c r="D150" s="4">
        <v>5</v>
      </c>
      <c r="E150" s="38">
        <v>1</v>
      </c>
      <c r="F150" s="21">
        <v>7.2620010562644604</v>
      </c>
      <c r="G150" s="24">
        <v>2021</v>
      </c>
      <c r="H150">
        <v>148</v>
      </c>
    </row>
    <row r="151" spans="1:8" x14ac:dyDescent="0.3">
      <c r="A151" s="10" t="s">
        <v>11</v>
      </c>
      <c r="B151" s="17">
        <v>759327</v>
      </c>
      <c r="C151" s="20">
        <v>234.5</v>
      </c>
      <c r="D151" s="4">
        <v>5.5</v>
      </c>
      <c r="E151" s="38">
        <v>1</v>
      </c>
      <c r="F151" s="21">
        <v>7.2695876776653199</v>
      </c>
      <c r="G151" s="24">
        <v>2021</v>
      </c>
      <c r="H151">
        <v>149</v>
      </c>
    </row>
    <row r="152" spans="1:8" x14ac:dyDescent="0.3">
      <c r="A152" s="10" t="s">
        <v>12</v>
      </c>
      <c r="B152" s="17">
        <v>938338</v>
      </c>
      <c r="C152" s="20">
        <v>236.4</v>
      </c>
      <c r="D152" s="4">
        <v>6.5</v>
      </c>
      <c r="E152" s="38">
        <v>1</v>
      </c>
      <c r="F152" s="21">
        <v>7.2278074649192297</v>
      </c>
      <c r="G152" s="24">
        <v>2021</v>
      </c>
      <c r="H152">
        <v>150</v>
      </c>
    </row>
    <row r="153" spans="1:8" x14ac:dyDescent="0.3">
      <c r="A153" s="10" t="s">
        <v>13</v>
      </c>
      <c r="B153" s="17">
        <v>1090038</v>
      </c>
      <c r="C153" s="20">
        <v>237.3</v>
      </c>
      <c r="D153" s="4">
        <v>6.5</v>
      </c>
      <c r="E153" s="38">
        <v>1</v>
      </c>
      <c r="F153" s="21">
        <v>7.2910729506059297</v>
      </c>
      <c r="G153" s="24">
        <v>2021</v>
      </c>
      <c r="H153">
        <v>151</v>
      </c>
    </row>
    <row r="154" spans="1:8" x14ac:dyDescent="0.3">
      <c r="A154" s="10" t="s">
        <v>14</v>
      </c>
      <c r="B154" s="17">
        <v>1241090</v>
      </c>
      <c r="C154" s="20">
        <v>238.2</v>
      </c>
      <c r="D154" s="4">
        <v>6.75</v>
      </c>
      <c r="E154" s="38">
        <v>1</v>
      </c>
      <c r="F154" s="21">
        <v>7.3526498285739299</v>
      </c>
      <c r="G154" s="24">
        <v>2021</v>
      </c>
      <c r="H154">
        <v>152</v>
      </c>
    </row>
    <row r="155" spans="1:8" x14ac:dyDescent="0.3">
      <c r="A155" s="10" t="s">
        <v>15</v>
      </c>
      <c r="B155" s="17">
        <v>1399097</v>
      </c>
      <c r="C155" s="20">
        <v>239.2</v>
      </c>
      <c r="D155" s="4">
        <v>7.5</v>
      </c>
      <c r="E155" s="38">
        <v>1</v>
      </c>
      <c r="F155" s="21">
        <v>7.3986477182112003</v>
      </c>
      <c r="G155" s="24">
        <v>2021</v>
      </c>
      <c r="H155">
        <v>153</v>
      </c>
    </row>
    <row r="156" spans="1:8" x14ac:dyDescent="0.3">
      <c r="A156" s="10" t="s">
        <v>16</v>
      </c>
      <c r="B156" s="17">
        <v>1561138</v>
      </c>
      <c r="C156" s="20">
        <v>240.4</v>
      </c>
      <c r="D156" s="4">
        <v>7.5</v>
      </c>
      <c r="E156" s="38">
        <v>1</v>
      </c>
      <c r="F156" s="21">
        <v>7.4337074560463297</v>
      </c>
      <c r="G156" s="24">
        <v>2021</v>
      </c>
      <c r="H156">
        <v>154</v>
      </c>
    </row>
    <row r="157" spans="1:8" x14ac:dyDescent="0.3">
      <c r="A157" s="10" t="s">
        <v>17</v>
      </c>
      <c r="B157" s="17">
        <v>1718958</v>
      </c>
      <c r="C157" s="20">
        <v>241.8</v>
      </c>
      <c r="D157" s="4">
        <v>8.5</v>
      </c>
      <c r="E157" s="38">
        <v>1</v>
      </c>
      <c r="F157" s="21">
        <v>7.4506539075763101</v>
      </c>
      <c r="G157" s="24">
        <v>2021</v>
      </c>
      <c r="H157">
        <v>155</v>
      </c>
    </row>
    <row r="158" spans="1:8" x14ac:dyDescent="0.3">
      <c r="A158" s="10" t="s">
        <v>18</v>
      </c>
      <c r="B158" s="14">
        <v>1911650</v>
      </c>
      <c r="C158" s="12">
        <v>243.5</v>
      </c>
      <c r="D158" s="4">
        <v>8.5</v>
      </c>
      <c r="E158" s="38">
        <v>1</v>
      </c>
      <c r="F158" s="13">
        <v>7.4929849477907604</v>
      </c>
      <c r="G158" s="24">
        <v>2022</v>
      </c>
      <c r="H158">
        <v>156</v>
      </c>
    </row>
    <row r="159" spans="1:8" x14ac:dyDescent="0.3">
      <c r="A159" s="10" t="s">
        <v>7</v>
      </c>
      <c r="B159" s="17">
        <v>95122</v>
      </c>
      <c r="C159" s="20">
        <v>262.2</v>
      </c>
      <c r="D159" s="4">
        <v>20</v>
      </c>
      <c r="E159" s="38">
        <v>1</v>
      </c>
      <c r="F159" s="21">
        <v>7.8710020331191002</v>
      </c>
      <c r="G159" s="24">
        <v>2022</v>
      </c>
      <c r="H159">
        <v>157</v>
      </c>
    </row>
    <row r="160" spans="1:8" x14ac:dyDescent="0.3">
      <c r="A160" s="10" t="s">
        <v>8</v>
      </c>
      <c r="B160" s="17">
        <v>231003</v>
      </c>
      <c r="C160" s="20">
        <v>263.5</v>
      </c>
      <c r="D160" s="4">
        <v>20</v>
      </c>
      <c r="E160" s="38">
        <v>1</v>
      </c>
      <c r="F160" s="21">
        <v>8.0097213077866396</v>
      </c>
      <c r="G160" s="24">
        <v>2022</v>
      </c>
      <c r="H160">
        <v>158</v>
      </c>
    </row>
    <row r="161" spans="1:8" x14ac:dyDescent="0.3">
      <c r="A161" s="10" t="s">
        <v>9</v>
      </c>
      <c r="B161" s="17">
        <v>394081</v>
      </c>
      <c r="C161" s="20">
        <v>264.5</v>
      </c>
      <c r="D161" s="4">
        <v>17</v>
      </c>
      <c r="E161" s="38">
        <v>1</v>
      </c>
      <c r="F161" s="21">
        <v>8.0245677008932894</v>
      </c>
      <c r="G161" s="24">
        <v>2022</v>
      </c>
      <c r="H161">
        <v>159</v>
      </c>
    </row>
    <row r="162" spans="1:8" x14ac:dyDescent="0.3">
      <c r="A162" s="10" t="s">
        <v>10</v>
      </c>
      <c r="B162" s="17">
        <v>443717</v>
      </c>
      <c r="C162" s="20">
        <v>264.3</v>
      </c>
      <c r="D162" s="4">
        <v>14</v>
      </c>
      <c r="E162" s="38">
        <v>1</v>
      </c>
      <c r="F162" s="21">
        <v>7.9836573182267196</v>
      </c>
      <c r="G162" s="24">
        <v>2022</v>
      </c>
      <c r="H162">
        <v>160</v>
      </c>
    </row>
    <row r="163" spans="1:8" x14ac:dyDescent="0.3">
      <c r="A163" s="10" t="s">
        <v>11</v>
      </c>
      <c r="B163" s="17">
        <v>480537</v>
      </c>
      <c r="C163" s="20">
        <v>264.89999999999998</v>
      </c>
      <c r="D163" s="4">
        <v>9.5</v>
      </c>
      <c r="E163" s="38">
        <v>1</v>
      </c>
      <c r="F163" s="21">
        <v>7.8240061910112102</v>
      </c>
      <c r="G163" s="24">
        <v>2022</v>
      </c>
      <c r="H163">
        <v>161</v>
      </c>
    </row>
    <row r="164" spans="1:8" x14ac:dyDescent="0.3">
      <c r="A164" s="10" t="s">
        <v>12</v>
      </c>
      <c r="B164" s="17">
        <v>546255</v>
      </c>
      <c r="C164" s="20">
        <v>265.60000000000002</v>
      </c>
      <c r="D164" s="4">
        <v>8</v>
      </c>
      <c r="E164" s="38">
        <v>1</v>
      </c>
      <c r="F164" s="21">
        <v>7.6231946144807701</v>
      </c>
      <c r="G164" s="24">
        <v>2022</v>
      </c>
      <c r="H164">
        <v>162</v>
      </c>
    </row>
    <row r="165" spans="1:8" x14ac:dyDescent="0.3">
      <c r="A165" s="10" t="s">
        <v>13</v>
      </c>
      <c r="B165" s="17">
        <v>638119</v>
      </c>
      <c r="C165" s="20">
        <v>267</v>
      </c>
      <c r="D165" s="4">
        <v>8</v>
      </c>
      <c r="E165" s="38">
        <v>1</v>
      </c>
      <c r="F165" s="21">
        <v>7.4730127154458303</v>
      </c>
      <c r="G165" s="24">
        <v>2022</v>
      </c>
      <c r="H165">
        <v>163</v>
      </c>
    </row>
    <row r="166" spans="1:8" x14ac:dyDescent="0.3">
      <c r="A166" s="10" t="s">
        <v>14</v>
      </c>
      <c r="B166" s="17">
        <v>760267</v>
      </c>
      <c r="C166" s="20">
        <v>268.8</v>
      </c>
      <c r="D166" s="4">
        <v>7.5</v>
      </c>
      <c r="E166" s="38">
        <v>1</v>
      </c>
      <c r="F166" s="21">
        <v>7.3322996986712399</v>
      </c>
      <c r="G166" s="24">
        <v>2022</v>
      </c>
      <c r="H166">
        <v>164</v>
      </c>
    </row>
    <row r="167" spans="1:8" x14ac:dyDescent="0.3">
      <c r="A167" s="10" t="s">
        <v>15</v>
      </c>
      <c r="B167" s="17">
        <v>897141</v>
      </c>
      <c r="C167" s="20">
        <v>270.8</v>
      </c>
      <c r="D167" s="4">
        <v>7.5</v>
      </c>
      <c r="E167" s="38">
        <v>1</v>
      </c>
      <c r="F167" s="21">
        <v>7.2284518766563401</v>
      </c>
      <c r="G167" s="24">
        <v>2022</v>
      </c>
      <c r="H167">
        <v>165</v>
      </c>
    </row>
    <row r="168" spans="1:8" x14ac:dyDescent="0.3">
      <c r="A168" s="10" t="s">
        <v>16</v>
      </c>
      <c r="B168" s="17">
        <v>1024702</v>
      </c>
      <c r="C168" s="20">
        <v>271.89999999999998</v>
      </c>
      <c r="D168" s="4">
        <v>7.5</v>
      </c>
      <c r="E168" s="38">
        <v>1</v>
      </c>
      <c r="F168" s="21">
        <v>7.2474614662842498</v>
      </c>
      <c r="G168" s="24">
        <v>2022</v>
      </c>
      <c r="H168">
        <v>166</v>
      </c>
    </row>
    <row r="169" spans="1:8" x14ac:dyDescent="0.3">
      <c r="A169" s="10" t="s">
        <v>17</v>
      </c>
      <c r="B169" s="17">
        <v>1153725</v>
      </c>
      <c r="C169" s="20">
        <v>273.2</v>
      </c>
      <c r="D169" s="4">
        <v>7.5</v>
      </c>
      <c r="E169" s="38">
        <v>1</v>
      </c>
      <c r="F169" s="21">
        <v>7.2317589554553203</v>
      </c>
      <c r="G169" s="24">
        <v>2022</v>
      </c>
      <c r="H169">
        <v>167</v>
      </c>
    </row>
    <row r="170" spans="1:8" x14ac:dyDescent="0.3">
      <c r="A170" s="10" t="s">
        <v>18</v>
      </c>
      <c r="B170" s="14">
        <v>1330174</v>
      </c>
      <c r="C170" s="12">
        <v>275.5</v>
      </c>
      <c r="D170" s="4">
        <v>7.5</v>
      </c>
      <c r="E170" s="38">
        <v>1</v>
      </c>
      <c r="F170" s="13">
        <v>7.1434414050691002</v>
      </c>
      <c r="G170" s="24">
        <v>2023</v>
      </c>
      <c r="H170">
        <v>168</v>
      </c>
    </row>
    <row r="171" spans="1:8" x14ac:dyDescent="0.3">
      <c r="A171" s="10" t="s">
        <v>7</v>
      </c>
      <c r="B171" s="17">
        <v>77366</v>
      </c>
      <c r="C171" s="20">
        <v>284.8</v>
      </c>
      <c r="D171" s="4">
        <v>7.5</v>
      </c>
      <c r="E171" s="38">
        <v>1</v>
      </c>
      <c r="F171" s="21">
        <v>7.8616709086823704</v>
      </c>
      <c r="G171" s="24">
        <v>2023</v>
      </c>
      <c r="H171">
        <v>169</v>
      </c>
    </row>
    <row r="172" spans="1:8" x14ac:dyDescent="0.3">
      <c r="A172" s="10" t="s">
        <v>8</v>
      </c>
      <c r="B172" s="17">
        <v>192231</v>
      </c>
      <c r="C172" s="20">
        <v>286.3</v>
      </c>
      <c r="D172" s="4">
        <v>7.5</v>
      </c>
      <c r="E172" s="38">
        <v>1</v>
      </c>
      <c r="F172" s="21">
        <v>7.9768157043627603</v>
      </c>
      <c r="G172" s="24">
        <v>2023</v>
      </c>
      <c r="H172">
        <v>170</v>
      </c>
    </row>
    <row r="173" spans="1:8" x14ac:dyDescent="0.3">
      <c r="A173" s="10" t="s">
        <v>9</v>
      </c>
      <c r="B173" s="17">
        <v>346471</v>
      </c>
      <c r="C173" s="20">
        <v>286.8</v>
      </c>
      <c r="D173" s="4">
        <v>7.5</v>
      </c>
      <c r="E173" s="38">
        <v>1</v>
      </c>
      <c r="F173" s="21">
        <v>8.0681979233267604</v>
      </c>
      <c r="G173" s="24">
        <v>2023</v>
      </c>
      <c r="H173">
        <v>171</v>
      </c>
    </row>
    <row r="174" spans="1:8" x14ac:dyDescent="0.3">
      <c r="A174" s="10" t="s">
        <v>10</v>
      </c>
      <c r="B174" s="17">
        <v>500052</v>
      </c>
      <c r="C174" s="20">
        <v>286.60000000000002</v>
      </c>
      <c r="D174" s="4">
        <v>7.5</v>
      </c>
      <c r="E174" s="38">
        <v>1</v>
      </c>
      <c r="F174" s="21">
        <v>8.2057718181151102</v>
      </c>
      <c r="G174" s="24">
        <v>2023</v>
      </c>
      <c r="H174">
        <v>172</v>
      </c>
    </row>
    <row r="175" spans="1:8" x14ac:dyDescent="0.3">
      <c r="A175" s="10" t="s">
        <v>11</v>
      </c>
      <c r="B175" s="17">
        <v>658115</v>
      </c>
      <c r="C175" s="20">
        <v>287.10000000000002</v>
      </c>
      <c r="D175" s="4">
        <v>7.5</v>
      </c>
      <c r="E175" s="38">
        <v>1</v>
      </c>
      <c r="F175" s="21">
        <v>8.2536786290411399</v>
      </c>
      <c r="G175" s="24">
        <v>2023</v>
      </c>
      <c r="H175">
        <v>173</v>
      </c>
    </row>
    <row r="176" spans="1:8" x14ac:dyDescent="0.3">
      <c r="A176" s="10" t="s">
        <v>12</v>
      </c>
      <c r="B176" s="17">
        <v>826158</v>
      </c>
      <c r="C176" s="20">
        <v>287.5</v>
      </c>
      <c r="D176" s="4">
        <v>8.5</v>
      </c>
      <c r="E176" s="38">
        <v>1</v>
      </c>
      <c r="F176" s="21">
        <v>8.2937805105220992</v>
      </c>
      <c r="G176" s="24">
        <v>2023</v>
      </c>
      <c r="H176">
        <v>174</v>
      </c>
    </row>
    <row r="177" spans="1:8" x14ac:dyDescent="0.3">
      <c r="A177" s="10" t="s">
        <v>13</v>
      </c>
      <c r="B177" s="17">
        <v>996920</v>
      </c>
      <c r="C177" s="20">
        <v>288.10000000000002</v>
      </c>
      <c r="D177" s="4">
        <v>12</v>
      </c>
      <c r="E177" s="38">
        <v>1</v>
      </c>
      <c r="F177" s="21">
        <v>8.2860723823704596</v>
      </c>
      <c r="G177" s="24">
        <v>2023</v>
      </c>
      <c r="H177">
        <v>175</v>
      </c>
    </row>
    <row r="178" spans="1:8" x14ac:dyDescent="0.3">
      <c r="A178" s="10" t="s">
        <v>14</v>
      </c>
      <c r="B178" s="17">
        <v>1213179</v>
      </c>
      <c r="C178" s="20">
        <v>289.2</v>
      </c>
      <c r="D178" s="4">
        <v>13</v>
      </c>
      <c r="E178" s="38">
        <v>1</v>
      </c>
      <c r="F178" s="21">
        <v>8.2401051969259296</v>
      </c>
      <c r="G178" s="24">
        <v>2023</v>
      </c>
      <c r="H178">
        <v>176</v>
      </c>
    </row>
    <row r="179" spans="1:8" x14ac:dyDescent="0.3">
      <c r="A179" s="10" t="s">
        <v>15</v>
      </c>
      <c r="B179" s="17">
        <v>1451542</v>
      </c>
      <c r="C179" s="20">
        <v>290.8</v>
      </c>
      <c r="D179" s="4">
        <v>15</v>
      </c>
      <c r="E179" s="38">
        <v>1</v>
      </c>
      <c r="F179" s="21">
        <v>8.1827152695892806</v>
      </c>
      <c r="G179" s="24">
        <v>2023</v>
      </c>
      <c r="H179">
        <v>177</v>
      </c>
    </row>
    <row r="180" spans="1:8" x14ac:dyDescent="0.3">
      <c r="A180" s="10" t="s">
        <v>16</v>
      </c>
      <c r="B180" s="17">
        <v>1652045</v>
      </c>
      <c r="C180" s="20">
        <v>291.5</v>
      </c>
      <c r="D180" s="4">
        <v>15</v>
      </c>
      <c r="E180" s="38">
        <v>1</v>
      </c>
      <c r="F180" s="21">
        <v>8.2032766589560797</v>
      </c>
      <c r="G180" s="24">
        <v>2023</v>
      </c>
      <c r="H180">
        <v>178</v>
      </c>
    </row>
    <row r="181" spans="1:8" x14ac:dyDescent="0.3">
      <c r="A181" s="10" t="s">
        <v>17</v>
      </c>
      <c r="B181" s="17">
        <v>1841303</v>
      </c>
      <c r="C181" s="20">
        <v>292.3</v>
      </c>
      <c r="D181" s="22">
        <v>16</v>
      </c>
      <c r="E181" s="38">
        <v>1</v>
      </c>
      <c r="F181" s="21">
        <v>8.2010392879351794</v>
      </c>
      <c r="G181" s="24">
        <v>2023</v>
      </c>
      <c r="H181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C4F3-E270-4863-9582-E3059AD872E0}">
  <dimension ref="A1:I21"/>
  <sheetViews>
    <sheetView tabSelected="1" topLeftCell="D9" workbookViewId="0">
      <selection activeCell="C13" sqref="C13"/>
    </sheetView>
  </sheetViews>
  <sheetFormatPr defaultRowHeight="14.4" x14ac:dyDescent="0.3"/>
  <cols>
    <col min="1" max="1" width="12.6640625" customWidth="1"/>
    <col min="2" max="2" width="13" customWidth="1"/>
  </cols>
  <sheetData>
    <row r="1" spans="1:9" x14ac:dyDescent="0.3">
      <c r="A1" t="s">
        <v>39</v>
      </c>
    </row>
    <row r="2" spans="1:9" ht="15" thickBot="1" x14ac:dyDescent="0.35"/>
    <row r="3" spans="1:9" x14ac:dyDescent="0.3">
      <c r="A3" s="56" t="s">
        <v>40</v>
      </c>
      <c r="B3" s="56"/>
      <c r="C3" s="28"/>
    </row>
    <row r="4" spans="1:9" ht="28.8" x14ac:dyDescent="0.3">
      <c r="A4" s="28" t="s">
        <v>41</v>
      </c>
      <c r="B4" s="28">
        <v>0.91954907816994969</v>
      </c>
      <c r="C4" s="28"/>
    </row>
    <row r="5" spans="1:9" x14ac:dyDescent="0.3">
      <c r="A5" s="28" t="s">
        <v>42</v>
      </c>
      <c r="B5" s="28">
        <v>0.84557050716320414</v>
      </c>
      <c r="C5" s="28"/>
    </row>
    <row r="6" spans="1:9" ht="43.2" x14ac:dyDescent="0.3">
      <c r="A6" s="28" t="s">
        <v>43</v>
      </c>
      <c r="B6" s="28">
        <v>0.84202040387959953</v>
      </c>
      <c r="C6" s="28"/>
    </row>
    <row r="7" spans="1:9" ht="28.8" x14ac:dyDescent="0.3">
      <c r="A7" s="28" t="s">
        <v>44</v>
      </c>
      <c r="B7" s="28">
        <v>0.94358583602590707</v>
      </c>
      <c r="C7" s="28"/>
    </row>
    <row r="8" spans="1:9" ht="15" thickBot="1" x14ac:dyDescent="0.35">
      <c r="A8" s="55" t="s">
        <v>45</v>
      </c>
      <c r="B8" s="55">
        <v>179</v>
      </c>
      <c r="C8" s="28"/>
    </row>
    <row r="10" spans="1:9" ht="15" thickBot="1" x14ac:dyDescent="0.35">
      <c r="A10" t="s">
        <v>46</v>
      </c>
    </row>
    <row r="11" spans="1:9" ht="28.8" x14ac:dyDescent="0.3">
      <c r="A11" s="31"/>
      <c r="B11" s="31" t="s">
        <v>51</v>
      </c>
      <c r="C11" s="31" t="s">
        <v>52</v>
      </c>
      <c r="D11" s="31" t="s">
        <v>53</v>
      </c>
      <c r="E11" s="31" t="s">
        <v>54</v>
      </c>
      <c r="F11" s="54" t="s">
        <v>55</v>
      </c>
    </row>
    <row r="12" spans="1:9" x14ac:dyDescent="0.3">
      <c r="A12" t="s">
        <v>47</v>
      </c>
      <c r="B12">
        <v>4</v>
      </c>
      <c r="C12">
        <v>848.26521104280823</v>
      </c>
      <c r="D12">
        <v>212.06630276070206</v>
      </c>
      <c r="E12">
        <v>238.18194559812267</v>
      </c>
      <c r="F12">
        <v>1.9591343607355213E-69</v>
      </c>
    </row>
    <row r="13" spans="1:9" x14ac:dyDescent="0.3">
      <c r="A13" t="s">
        <v>48</v>
      </c>
      <c r="B13">
        <v>174</v>
      </c>
      <c r="C13">
        <v>154.92163601107555</v>
      </c>
      <c r="D13">
        <v>0.89035422994871005</v>
      </c>
    </row>
    <row r="14" spans="1:9" ht="15" thickBot="1" x14ac:dyDescent="0.35">
      <c r="A14" s="30" t="s">
        <v>49</v>
      </c>
      <c r="B14" s="30">
        <v>178</v>
      </c>
      <c r="C14" s="30">
        <v>1003.1868470538838</v>
      </c>
      <c r="D14" s="30"/>
      <c r="E14" s="30"/>
      <c r="F14" s="30"/>
    </row>
    <row r="15" spans="1:9" ht="15" thickBot="1" x14ac:dyDescent="0.35"/>
    <row r="16" spans="1:9" ht="43.2" x14ac:dyDescent="0.3">
      <c r="A16" s="54"/>
      <c r="B16" s="54" t="s">
        <v>56</v>
      </c>
      <c r="C16" s="54" t="s">
        <v>44</v>
      </c>
      <c r="D16" s="54" t="s">
        <v>57</v>
      </c>
      <c r="E16" s="54" t="s">
        <v>58</v>
      </c>
      <c r="F16" s="54" t="s">
        <v>59</v>
      </c>
      <c r="G16" s="54" t="s">
        <v>60</v>
      </c>
      <c r="H16" s="54" t="s">
        <v>61</v>
      </c>
      <c r="I16" s="54" t="s">
        <v>62</v>
      </c>
    </row>
    <row r="17" spans="1:9" ht="28.8" x14ac:dyDescent="0.3">
      <c r="A17" s="28" t="s">
        <v>50</v>
      </c>
      <c r="B17" s="28">
        <v>18.61705847487643</v>
      </c>
      <c r="C17" s="28">
        <v>0.49491179135250191</v>
      </c>
      <c r="D17" s="28">
        <v>37.616922449957137</v>
      </c>
      <c r="E17" s="28">
        <v>1.7184862120582891E-85</v>
      </c>
      <c r="F17" s="28">
        <v>17.640255308849653</v>
      </c>
      <c r="G17" s="28">
        <v>19.593861640903206</v>
      </c>
      <c r="H17" s="28">
        <v>17.640255308849653</v>
      </c>
      <c r="I17" s="28">
        <v>19.593861640903206</v>
      </c>
    </row>
    <row r="18" spans="1:9" x14ac:dyDescent="0.3">
      <c r="A18" s="28" t="s">
        <v>1</v>
      </c>
      <c r="B18" s="28">
        <v>-8.3108128685933997E-7</v>
      </c>
      <c r="C18" s="28">
        <v>1.9160014081809804E-7</v>
      </c>
      <c r="D18" s="28">
        <v>-4.337581816541328</v>
      </c>
      <c r="E18" s="28">
        <v>2.4352894219480215E-5</v>
      </c>
      <c r="F18" s="28">
        <v>-1.2092408446480786E-6</v>
      </c>
      <c r="G18" s="28">
        <v>-4.5292172907060145E-7</v>
      </c>
      <c r="H18" s="28">
        <v>-1.2092408446480786E-6</v>
      </c>
      <c r="I18" s="28">
        <v>-4.5292172907060145E-7</v>
      </c>
    </row>
    <row r="19" spans="1:9" x14ac:dyDescent="0.3">
      <c r="A19" s="28" t="s">
        <v>4</v>
      </c>
      <c r="B19" s="28">
        <v>-4.2313501615910756E-2</v>
      </c>
      <c r="C19" s="28">
        <v>2.4947313069804437E-3</v>
      </c>
      <c r="D19" s="28">
        <v>-16.961145874713814</v>
      </c>
      <c r="E19" s="28">
        <v>1.0288470778850935E-38</v>
      </c>
      <c r="F19" s="28">
        <v>-4.7237331440989544E-2</v>
      </c>
      <c r="G19" s="28">
        <v>-3.7389671790831969E-2</v>
      </c>
      <c r="H19" s="28">
        <v>-4.7237331440989544E-2</v>
      </c>
      <c r="I19" s="28">
        <v>-3.7389671790831969E-2</v>
      </c>
    </row>
    <row r="20" spans="1:9" x14ac:dyDescent="0.3">
      <c r="A20" s="28" t="s">
        <v>5</v>
      </c>
      <c r="B20" s="28">
        <v>0.2746564523590686</v>
      </c>
      <c r="C20" s="28">
        <v>2.6061648488215784E-2</v>
      </c>
      <c r="D20" s="28">
        <v>10.538721389142331</v>
      </c>
      <c r="E20" s="28">
        <v>2.1362537379331095E-20</v>
      </c>
      <c r="F20" s="28">
        <v>0.22321879983194526</v>
      </c>
      <c r="G20" s="28">
        <v>0.32609410488619195</v>
      </c>
      <c r="H20" s="28">
        <v>0.22321879983194526</v>
      </c>
      <c r="I20" s="28">
        <v>0.32609410488619195</v>
      </c>
    </row>
    <row r="21" spans="1:9" ht="15" thickBot="1" x14ac:dyDescent="0.35">
      <c r="A21" s="55" t="s">
        <v>34</v>
      </c>
      <c r="B21" s="55">
        <v>-1.4092047589711951</v>
      </c>
      <c r="C21" s="55">
        <v>0.17573922851059401</v>
      </c>
      <c r="D21" s="55">
        <v>-8.0187262167606743</v>
      </c>
      <c r="E21" s="55">
        <v>1.5033306174081034E-13</v>
      </c>
      <c r="F21" s="55">
        <v>-1.7560597699118912</v>
      </c>
      <c r="G21" s="55">
        <v>-1.0623497480304991</v>
      </c>
      <c r="H21" s="55">
        <v>-1.7560597699118912</v>
      </c>
      <c r="I21" s="55">
        <v>-1.0623497480304991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ДАННЫЕ</vt:lpstr>
      <vt:lpstr>КОРРЕЛЯЦИЯ</vt:lpstr>
      <vt:lpstr>АВТОКОРРЕЛЯЦИЯ</vt:lpstr>
      <vt:lpstr>ГРАФИКИ</vt:lpstr>
      <vt:lpstr>ГЕТЕРОСКЕДАСТИЧНОСТЬ</vt:lpstr>
      <vt:lpstr>ФП=0</vt:lpstr>
      <vt:lpstr>ФП=1</vt:lpstr>
      <vt:lpstr>ТЕСТ ЧОУ</vt:lpstr>
      <vt:lpstr>РЕГРЕССИЯ</vt:lpstr>
      <vt:lpstr>Рез. РЕГРЕССИИ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Рощина Оксана 10 б</dc:creator>
  <cp:lastModifiedBy>Арина Рощина</cp:lastModifiedBy>
  <dcterms:created xsi:type="dcterms:W3CDTF">2015-06-05T18:19:34Z</dcterms:created>
  <dcterms:modified xsi:type="dcterms:W3CDTF">2026-05-01T14:42:57Z</dcterms:modified>
</cp:coreProperties>
</file>