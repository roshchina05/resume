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281\Desktop\резюме\"/>
    </mc:Choice>
  </mc:AlternateContent>
  <xr:revisionPtr revIDLastSave="0" documentId="13_ncr:1_{B3222582-4DE0-470F-8F7A-46DA41E45593}" xr6:coauthVersionLast="47" xr6:coauthVersionMax="47" xr10:uidLastSave="{00000000-0000-0000-0000-000000000000}"/>
  <bookViews>
    <workbookView xWindow="-108" yWindow="-108" windowWidth="23256" windowHeight="12576" activeTab="1" xr2:uid="{C646023D-27A7-4C5C-B6F4-026B7D9EB083}"/>
  </bookViews>
  <sheets>
    <sheet name="Исходные данные" sheetId="1" r:id="rId1"/>
    <sheet name="Регрессия" sheetId="2" r:id="rId2"/>
    <sheet name="AR(1)" sheetId="3" r:id="rId3"/>
    <sheet name="DW" sheetId="6" r:id="rId4"/>
    <sheet name="AR(2)" sheetId="4" r:id="rId5"/>
    <sheet name="AR(1) со вр.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5" l="1"/>
  <c r="I8" i="5"/>
  <c r="I7" i="4"/>
  <c r="I6" i="4"/>
  <c r="I6" i="3"/>
  <c r="I7" i="2"/>
  <c r="I6" i="2"/>
  <c r="K2" i="6"/>
  <c r="H4" i="6"/>
  <c r="H3" i="6"/>
  <c r="E3" i="6"/>
  <c r="H2" i="6"/>
  <c r="G473" i="6"/>
  <c r="C473" i="6"/>
  <c r="E473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9" i="6"/>
  <c r="E4" i="6"/>
  <c r="E5" i="6"/>
  <c r="E6" i="6"/>
  <c r="E7" i="6"/>
  <c r="E8" i="6"/>
  <c r="K28" i="5"/>
  <c r="J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28" i="5"/>
  <c r="I7" i="3"/>
  <c r="K28" i="4"/>
  <c r="J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28" i="4"/>
  <c r="K27" i="3"/>
  <c r="J27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28" i="3"/>
  <c r="I27" i="3"/>
</calcChain>
</file>

<file path=xl/sharedStrings.xml><?xml version="1.0" encoding="utf-8"?>
<sst xmlns="http://schemas.openxmlformats.org/spreadsheetml/2006/main" count="161" uniqueCount="48">
  <si>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</si>
  <si>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</si>
  <si>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</si>
  <si>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</si>
  <si>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</si>
  <si>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</si>
  <si>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</si>
  <si>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</si>
  <si>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</si>
  <si>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</si>
  <si>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</si>
  <si>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</si>
  <si>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</si>
  <si>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</si>
  <si>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</si>
  <si>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</si>
  <si>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</si>
  <si>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</si>
  <si>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</si>
  <si>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</si>
  <si>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</si>
  <si>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</si>
  <si>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</si>
  <si>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</si>
  <si>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</si>
  <si>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ВЫВОД ОСТАТКА</t>
  </si>
  <si>
    <t>Наблюдение</t>
  </si>
  <si>
    <t>Предсказанное Y</t>
  </si>
  <si>
    <t>Остатки</t>
  </si>
  <si>
    <t>Фактор времени (номер недели)</t>
  </si>
  <si>
    <t>Y- Спотовая цена на нефть (еженедельная)</t>
  </si>
  <si>
    <t>X-Фактор времени (номер недели)</t>
  </si>
  <si>
    <t>X</t>
  </si>
  <si>
    <t>Модуль остатков</t>
  </si>
  <si>
    <t>Сумма</t>
  </si>
  <si>
    <t>А</t>
  </si>
  <si>
    <t>Переменная X 2</t>
  </si>
  <si>
    <t>ПРОГНОЗ</t>
  </si>
  <si>
    <t>471 неделя</t>
  </si>
  <si>
    <t>472 неделя</t>
  </si>
  <si>
    <t>Номер недели</t>
  </si>
  <si>
    <t>Дата</t>
  </si>
  <si>
    <t>DW</t>
  </si>
  <si>
    <t>et</t>
  </si>
  <si>
    <t>et-1</t>
  </si>
  <si>
    <t>(et-et-1)^2</t>
  </si>
  <si>
    <t>h</t>
  </si>
  <si>
    <t>Еженедельная спотовая цена на нефть WTI (FOB, Кушинг, Оклахома) (долларов США за баррель)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</si>
</sst>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5" x14ac:knownFonts="1">
    <font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3" tint="0.79998168889431442"/>
      <name val="Calibri"/>
      <family val="2"/>
      <charset val="204"/>
      <scheme val="minor"/>
    </font>
    <font>
      <sz val="14"/>
      <color theme="2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14"/>
      <color theme="1" tint="0.499984740745262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164" fontId="0" fillId="0" borderId="0" xfId="0" applyNumberFormat="1"/>
    <xf numFmtId="0" fontId="2" fillId="0" borderId="0" xfId="1" quotePrefix="1" applyAlignment="1" applyProtection="1">
      <alignment horizontal="left"/>
    </xf>
    <xf numFmtId="0" fontId="0" fillId="0" borderId="1" xfId="0" applyBorder="1"/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horizontal="centerContinuous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center"/>
    </xf>
    <xf numFmtId="0" fontId="3" fillId="0" borderId="2" xfId="0" applyFont="1" applyBorder="1"/>
    <xf numFmtId="11" fontId="3" fillId="0" borderId="0" xfId="0" applyNumberFormat="1" applyFont="1"/>
    <xf numFmtId="11" fontId="3" fillId="0" borderId="2" xfId="0" applyNumberFormat="1" applyFont="1" applyBorder="1"/>
    <xf numFmtId="0" fontId="8" fillId="0" borderId="3" xfId="0" applyFont="1" applyBorder="1" applyAlignment="1">
      <alignment horizontal="centerContinuous"/>
    </xf>
    <xf numFmtId="0" fontId="8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center"/>
    </xf>
    <xf numFmtId="0" fontId="9" fillId="0" borderId="1" xfId="0" applyFont="1" applyBorder="1"/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4" fillId="0" borderId="1" xfId="0" applyFont="1" applyBorder="1"/>
    <xf numFmtId="0" fontId="3" fillId="2" borderId="1" xfId="0" applyFont="1" applyFill="1" applyBorder="1" applyAlignment="1">
      <alignment horizontal="center"/>
    </xf>
  </cellXfs>
  <cellStyles count="2">
    <cellStyle name="Гиперссылка 2" xfId="1" xr:uid="{3342D11F-6C17-43FF-AF00-83E2C1AD0C46}"/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цены от времени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2.2799937871634591E-3"/>
                  <c:y val="-8.54286974444049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'Исходные данные'!$B$4:$B$473</c:f>
              <c:numCache>
                <c:formatCode>General</c:formatCode>
                <c:ptCount val="4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</c:numCache>
            </c:numRef>
          </c:xVal>
          <c:yVal>
            <c:numRef>
              <c:f>'Исходные данные'!$C$4:$C$473</c:f>
              <c:numCache>
                <c:formatCode>General</c:formatCode>
                <c:ptCount val="470"/>
                <c:pt idx="0">
                  <c:v>53.44</c:v>
                </c:pt>
                <c:pt idx="1">
                  <c:v>48.77</c:v>
                </c:pt>
                <c:pt idx="2">
                  <c:v>47.07</c:v>
                </c:pt>
                <c:pt idx="3">
                  <c:v>46.46</c:v>
                </c:pt>
                <c:pt idx="4">
                  <c:v>45.32</c:v>
                </c:pt>
                <c:pt idx="5">
                  <c:v>50.58</c:v>
                </c:pt>
                <c:pt idx="6">
                  <c:v>51.14</c:v>
                </c:pt>
                <c:pt idx="7">
                  <c:v>51.69</c:v>
                </c:pt>
                <c:pt idx="8">
                  <c:v>49.16</c:v>
                </c:pt>
                <c:pt idx="9">
                  <c:v>50.38</c:v>
                </c:pt>
                <c:pt idx="10">
                  <c:v>47.69</c:v>
                </c:pt>
                <c:pt idx="11">
                  <c:v>44.39</c:v>
                </c:pt>
                <c:pt idx="12">
                  <c:v>48.68</c:v>
                </c:pt>
                <c:pt idx="13">
                  <c:v>48.91</c:v>
                </c:pt>
                <c:pt idx="14">
                  <c:v>51.78</c:v>
                </c:pt>
                <c:pt idx="15">
                  <c:v>54.78</c:v>
                </c:pt>
                <c:pt idx="16">
                  <c:v>56.14</c:v>
                </c:pt>
                <c:pt idx="17">
                  <c:v>57.98</c:v>
                </c:pt>
                <c:pt idx="18">
                  <c:v>59.73</c:v>
                </c:pt>
                <c:pt idx="19">
                  <c:v>60.01</c:v>
                </c:pt>
                <c:pt idx="20">
                  <c:v>58.95</c:v>
                </c:pt>
                <c:pt idx="21">
                  <c:v>58.19</c:v>
                </c:pt>
                <c:pt idx="22">
                  <c:v>59.66</c:v>
                </c:pt>
                <c:pt idx="23">
                  <c:v>60.07</c:v>
                </c:pt>
                <c:pt idx="24">
                  <c:v>59.89</c:v>
                </c:pt>
                <c:pt idx="25">
                  <c:v>60.01</c:v>
                </c:pt>
                <c:pt idx="26">
                  <c:v>57.92</c:v>
                </c:pt>
                <c:pt idx="27">
                  <c:v>52.38</c:v>
                </c:pt>
                <c:pt idx="28">
                  <c:v>51.68</c:v>
                </c:pt>
                <c:pt idx="29">
                  <c:v>49.21</c:v>
                </c:pt>
                <c:pt idx="30">
                  <c:v>47.91</c:v>
                </c:pt>
                <c:pt idx="31">
                  <c:v>44.94</c:v>
                </c:pt>
                <c:pt idx="32">
                  <c:v>43.2</c:v>
                </c:pt>
                <c:pt idx="33">
                  <c:v>41.34</c:v>
                </c:pt>
                <c:pt idx="34">
                  <c:v>40.729999999999997</c:v>
                </c:pt>
                <c:pt idx="35">
                  <c:v>46.73</c:v>
                </c:pt>
                <c:pt idx="36">
                  <c:v>45.16</c:v>
                </c:pt>
                <c:pt idx="37">
                  <c:v>45.48</c:v>
                </c:pt>
                <c:pt idx="38">
                  <c:v>45.57</c:v>
                </c:pt>
                <c:pt idx="39">
                  <c:v>45</c:v>
                </c:pt>
                <c:pt idx="40">
                  <c:v>48.36</c:v>
                </c:pt>
                <c:pt idx="41">
                  <c:v>46.82</c:v>
                </c:pt>
                <c:pt idx="42">
                  <c:v>45.16</c:v>
                </c:pt>
                <c:pt idx="43">
                  <c:v>44.99</c:v>
                </c:pt>
                <c:pt idx="44">
                  <c:v>45.98</c:v>
                </c:pt>
                <c:pt idx="45">
                  <c:v>42.7</c:v>
                </c:pt>
                <c:pt idx="46">
                  <c:v>40.619999999999997</c:v>
                </c:pt>
                <c:pt idx="47">
                  <c:v>40.49</c:v>
                </c:pt>
                <c:pt idx="48">
                  <c:v>40.4</c:v>
                </c:pt>
                <c:pt idx="49">
                  <c:v>36.93</c:v>
                </c:pt>
                <c:pt idx="50">
                  <c:v>35.78</c:v>
                </c:pt>
                <c:pt idx="51">
                  <c:v>36.26</c:v>
                </c:pt>
                <c:pt idx="52">
                  <c:v>36.99</c:v>
                </c:pt>
                <c:pt idx="53">
                  <c:v>34.65</c:v>
                </c:pt>
                <c:pt idx="54">
                  <c:v>30.59</c:v>
                </c:pt>
                <c:pt idx="55">
                  <c:v>29.19</c:v>
                </c:pt>
                <c:pt idx="56">
                  <c:v>31.81</c:v>
                </c:pt>
                <c:pt idx="57">
                  <c:v>31.26</c:v>
                </c:pt>
                <c:pt idx="58">
                  <c:v>28.14</c:v>
                </c:pt>
                <c:pt idx="59">
                  <c:v>30.02</c:v>
                </c:pt>
                <c:pt idx="60">
                  <c:v>31.32</c:v>
                </c:pt>
                <c:pt idx="61">
                  <c:v>34.43</c:v>
                </c:pt>
                <c:pt idx="62">
                  <c:v>37.69</c:v>
                </c:pt>
                <c:pt idx="63">
                  <c:v>38.32</c:v>
                </c:pt>
                <c:pt idx="64">
                  <c:v>39.450000000000003</c:v>
                </c:pt>
                <c:pt idx="65">
                  <c:v>36.82</c:v>
                </c:pt>
                <c:pt idx="66">
                  <c:v>36.72</c:v>
                </c:pt>
                <c:pt idx="67">
                  <c:v>41.23</c:v>
                </c:pt>
                <c:pt idx="68">
                  <c:v>41.86</c:v>
                </c:pt>
                <c:pt idx="69">
                  <c:v>44.3</c:v>
                </c:pt>
                <c:pt idx="70">
                  <c:v>44.22</c:v>
                </c:pt>
                <c:pt idx="71">
                  <c:v>45.44</c:v>
                </c:pt>
                <c:pt idx="72">
                  <c:v>47.99</c:v>
                </c:pt>
                <c:pt idx="73">
                  <c:v>48.72</c:v>
                </c:pt>
                <c:pt idx="74">
                  <c:v>49</c:v>
                </c:pt>
                <c:pt idx="75">
                  <c:v>50.18</c:v>
                </c:pt>
                <c:pt idx="76">
                  <c:v>47.89</c:v>
                </c:pt>
                <c:pt idx="77">
                  <c:v>48.71</c:v>
                </c:pt>
                <c:pt idx="78">
                  <c:v>48.17</c:v>
                </c:pt>
                <c:pt idx="79">
                  <c:v>46.17</c:v>
                </c:pt>
                <c:pt idx="80">
                  <c:v>45.6</c:v>
                </c:pt>
                <c:pt idx="81">
                  <c:v>44.44</c:v>
                </c:pt>
                <c:pt idx="82">
                  <c:v>41.83</c:v>
                </c:pt>
                <c:pt idx="83">
                  <c:v>40.82</c:v>
                </c:pt>
                <c:pt idx="84">
                  <c:v>43.11</c:v>
                </c:pt>
                <c:pt idx="85">
                  <c:v>47.16</c:v>
                </c:pt>
                <c:pt idx="86">
                  <c:v>47.05</c:v>
                </c:pt>
                <c:pt idx="87">
                  <c:v>45.11</c:v>
                </c:pt>
                <c:pt idx="88">
                  <c:v>45.96</c:v>
                </c:pt>
                <c:pt idx="89">
                  <c:v>44.34</c:v>
                </c:pt>
                <c:pt idx="90">
                  <c:v>44.59</c:v>
                </c:pt>
                <c:pt idx="91">
                  <c:v>46.55</c:v>
                </c:pt>
                <c:pt idx="92">
                  <c:v>49.48</c:v>
                </c:pt>
                <c:pt idx="93">
                  <c:v>50.29</c:v>
                </c:pt>
                <c:pt idx="94">
                  <c:v>50.56</c:v>
                </c:pt>
                <c:pt idx="95">
                  <c:v>49.36</c:v>
                </c:pt>
                <c:pt idx="96">
                  <c:v>45.51</c:v>
                </c:pt>
                <c:pt idx="97">
                  <c:v>44.61</c:v>
                </c:pt>
                <c:pt idx="98">
                  <c:v>45.15</c:v>
                </c:pt>
                <c:pt idx="99">
                  <c:v>47.25</c:v>
                </c:pt>
                <c:pt idx="100">
                  <c:v>48.63</c:v>
                </c:pt>
                <c:pt idx="101">
                  <c:v>50.97</c:v>
                </c:pt>
                <c:pt idx="102">
                  <c:v>51.91</c:v>
                </c:pt>
                <c:pt idx="103">
                  <c:v>51.95</c:v>
                </c:pt>
                <c:pt idx="104">
                  <c:v>53.6</c:v>
                </c:pt>
                <c:pt idx="105">
                  <c:v>53.34</c:v>
                </c:pt>
                <c:pt idx="106">
                  <c:v>52.07</c:v>
                </c:pt>
                <c:pt idx="107">
                  <c:v>51.82</c:v>
                </c:pt>
                <c:pt idx="108">
                  <c:v>52.74</c:v>
                </c:pt>
                <c:pt idx="109">
                  <c:v>53.33</c:v>
                </c:pt>
                <c:pt idx="110">
                  <c:v>52.88</c:v>
                </c:pt>
                <c:pt idx="111">
                  <c:v>53.22</c:v>
                </c:pt>
                <c:pt idx="112">
                  <c:v>54.03</c:v>
                </c:pt>
                <c:pt idx="113">
                  <c:v>53.56</c:v>
                </c:pt>
                <c:pt idx="114">
                  <c:v>50.5</c:v>
                </c:pt>
                <c:pt idx="115">
                  <c:v>48.03</c:v>
                </c:pt>
                <c:pt idx="116">
                  <c:v>47.28</c:v>
                </c:pt>
                <c:pt idx="117">
                  <c:v>49.14</c:v>
                </c:pt>
                <c:pt idx="118">
                  <c:v>51.26</c:v>
                </c:pt>
                <c:pt idx="119">
                  <c:v>53.19</c:v>
                </c:pt>
                <c:pt idx="120">
                  <c:v>51.09</c:v>
                </c:pt>
                <c:pt idx="121">
                  <c:v>49.12</c:v>
                </c:pt>
                <c:pt idx="122">
                  <c:v>47.21</c:v>
                </c:pt>
                <c:pt idx="123">
                  <c:v>47.04</c:v>
                </c:pt>
                <c:pt idx="124">
                  <c:v>49.24</c:v>
                </c:pt>
                <c:pt idx="125">
                  <c:v>50.21</c:v>
                </c:pt>
                <c:pt idx="126">
                  <c:v>48.48</c:v>
                </c:pt>
                <c:pt idx="127">
                  <c:v>46.57</c:v>
                </c:pt>
                <c:pt idx="128">
                  <c:v>45.3</c:v>
                </c:pt>
                <c:pt idx="129">
                  <c:v>43.09</c:v>
                </c:pt>
                <c:pt idx="130">
                  <c:v>44.63</c:v>
                </c:pt>
                <c:pt idx="131">
                  <c:v>44.96</c:v>
                </c:pt>
                <c:pt idx="132">
                  <c:v>45.51</c:v>
                </c:pt>
                <c:pt idx="133">
                  <c:v>46.41</c:v>
                </c:pt>
                <c:pt idx="134">
                  <c:v>48.27</c:v>
                </c:pt>
                <c:pt idx="135">
                  <c:v>49.52</c:v>
                </c:pt>
                <c:pt idx="136">
                  <c:v>49.08</c:v>
                </c:pt>
                <c:pt idx="137">
                  <c:v>47.52</c:v>
                </c:pt>
                <c:pt idx="138">
                  <c:v>47.68</c:v>
                </c:pt>
                <c:pt idx="139">
                  <c:v>46.68</c:v>
                </c:pt>
                <c:pt idx="140">
                  <c:v>48.58</c:v>
                </c:pt>
                <c:pt idx="141">
                  <c:v>49.07</c:v>
                </c:pt>
                <c:pt idx="142">
                  <c:v>50.12</c:v>
                </c:pt>
                <c:pt idx="143">
                  <c:v>51.77</c:v>
                </c:pt>
                <c:pt idx="144">
                  <c:v>50.23</c:v>
                </c:pt>
                <c:pt idx="145">
                  <c:v>50.77</c:v>
                </c:pt>
                <c:pt idx="146">
                  <c:v>51.74</c:v>
                </c:pt>
                <c:pt idx="147">
                  <c:v>52.51</c:v>
                </c:pt>
                <c:pt idx="148">
                  <c:v>54.59</c:v>
                </c:pt>
                <c:pt idx="149">
                  <c:v>57.05</c:v>
                </c:pt>
                <c:pt idx="150">
                  <c:v>55.81</c:v>
                </c:pt>
                <c:pt idx="151">
                  <c:v>57.47</c:v>
                </c:pt>
                <c:pt idx="152">
                  <c:v>57.81</c:v>
                </c:pt>
                <c:pt idx="153">
                  <c:v>56.92</c:v>
                </c:pt>
                <c:pt idx="154">
                  <c:v>57.17</c:v>
                </c:pt>
                <c:pt idx="155">
                  <c:v>57.87</c:v>
                </c:pt>
                <c:pt idx="156">
                  <c:v>59.88</c:v>
                </c:pt>
                <c:pt idx="157">
                  <c:v>61.36</c:v>
                </c:pt>
                <c:pt idx="158">
                  <c:v>63.26</c:v>
                </c:pt>
                <c:pt idx="159">
                  <c:v>63.77</c:v>
                </c:pt>
                <c:pt idx="160">
                  <c:v>65.14</c:v>
                </c:pt>
                <c:pt idx="161">
                  <c:v>65.319999999999993</c:v>
                </c:pt>
                <c:pt idx="162">
                  <c:v>62.01</c:v>
                </c:pt>
                <c:pt idx="163">
                  <c:v>60.56</c:v>
                </c:pt>
                <c:pt idx="164">
                  <c:v>62.47</c:v>
                </c:pt>
                <c:pt idx="165">
                  <c:v>62.07</c:v>
                </c:pt>
                <c:pt idx="166">
                  <c:v>61.65</c:v>
                </c:pt>
                <c:pt idx="167">
                  <c:v>61.28</c:v>
                </c:pt>
                <c:pt idx="168">
                  <c:v>64.11</c:v>
                </c:pt>
                <c:pt idx="169">
                  <c:v>64.97</c:v>
                </c:pt>
                <c:pt idx="170">
                  <c:v>63.07</c:v>
                </c:pt>
                <c:pt idx="171">
                  <c:v>66.02</c:v>
                </c:pt>
                <c:pt idx="172">
                  <c:v>67.55</c:v>
                </c:pt>
                <c:pt idx="173">
                  <c:v>67.91</c:v>
                </c:pt>
                <c:pt idx="174">
                  <c:v>68.38</c:v>
                </c:pt>
                <c:pt idx="175">
                  <c:v>70.56</c:v>
                </c:pt>
                <c:pt idx="176">
                  <c:v>71.3</c:v>
                </c:pt>
                <c:pt idx="177">
                  <c:v>70.98</c:v>
                </c:pt>
                <c:pt idx="178">
                  <c:v>66.959999999999994</c:v>
                </c:pt>
                <c:pt idx="179">
                  <c:v>65.349999999999994</c:v>
                </c:pt>
                <c:pt idx="180">
                  <c:v>66.209999999999994</c:v>
                </c:pt>
                <c:pt idx="181">
                  <c:v>66.319999999999993</c:v>
                </c:pt>
                <c:pt idx="182">
                  <c:v>74.03</c:v>
                </c:pt>
                <c:pt idx="183">
                  <c:v>73.73</c:v>
                </c:pt>
                <c:pt idx="184">
                  <c:v>71.959999999999994</c:v>
                </c:pt>
                <c:pt idx="185">
                  <c:v>68.95</c:v>
                </c:pt>
                <c:pt idx="186">
                  <c:v>70.010000000000005</c:v>
                </c:pt>
                <c:pt idx="187">
                  <c:v>69.459999999999994</c:v>
                </c:pt>
                <c:pt idx="188">
                  <c:v>67.900000000000006</c:v>
                </c:pt>
                <c:pt idx="189">
                  <c:v>66.150000000000006</c:v>
                </c:pt>
                <c:pt idx="190">
                  <c:v>68.099999999999994</c:v>
                </c:pt>
                <c:pt idx="191">
                  <c:v>69.66</c:v>
                </c:pt>
                <c:pt idx="192">
                  <c:v>68.510000000000005</c:v>
                </c:pt>
                <c:pt idx="193">
                  <c:v>68.959999999999994</c:v>
                </c:pt>
                <c:pt idx="194">
                  <c:v>70.28</c:v>
                </c:pt>
                <c:pt idx="195">
                  <c:v>72.84</c:v>
                </c:pt>
                <c:pt idx="196">
                  <c:v>75.13</c:v>
                </c:pt>
                <c:pt idx="197">
                  <c:v>72.959999999999994</c:v>
                </c:pt>
                <c:pt idx="198">
                  <c:v>70.239999999999995</c:v>
                </c:pt>
                <c:pt idx="199">
                  <c:v>67.430000000000007</c:v>
                </c:pt>
                <c:pt idx="200">
                  <c:v>65.06</c:v>
                </c:pt>
                <c:pt idx="201">
                  <c:v>61.57</c:v>
                </c:pt>
                <c:pt idx="202">
                  <c:v>56.92</c:v>
                </c:pt>
                <c:pt idx="203">
                  <c:v>54.99</c:v>
                </c:pt>
                <c:pt idx="204">
                  <c:v>51.01</c:v>
                </c:pt>
                <c:pt idx="205">
                  <c:v>52.63</c:v>
                </c:pt>
                <c:pt idx="206">
                  <c:v>51.54</c:v>
                </c:pt>
                <c:pt idx="207">
                  <c:v>46.98</c:v>
                </c:pt>
                <c:pt idx="208">
                  <c:v>45.22</c:v>
                </c:pt>
                <c:pt idx="209">
                  <c:v>47</c:v>
                </c:pt>
                <c:pt idx="210">
                  <c:v>50.78</c:v>
                </c:pt>
                <c:pt idx="211">
                  <c:v>51.92</c:v>
                </c:pt>
                <c:pt idx="212">
                  <c:v>52.88</c:v>
                </c:pt>
                <c:pt idx="213">
                  <c:v>53.63</c:v>
                </c:pt>
                <c:pt idx="214">
                  <c:v>53.53</c:v>
                </c:pt>
                <c:pt idx="215">
                  <c:v>53.88</c:v>
                </c:pt>
                <c:pt idx="216">
                  <c:v>56.74</c:v>
                </c:pt>
                <c:pt idx="217">
                  <c:v>56.12</c:v>
                </c:pt>
                <c:pt idx="218">
                  <c:v>56.35</c:v>
                </c:pt>
                <c:pt idx="219">
                  <c:v>57.81</c:v>
                </c:pt>
                <c:pt idx="220">
                  <c:v>59.44</c:v>
                </c:pt>
                <c:pt idx="221">
                  <c:v>59.49</c:v>
                </c:pt>
                <c:pt idx="222">
                  <c:v>62.36</c:v>
                </c:pt>
                <c:pt idx="223">
                  <c:v>64.099999999999994</c:v>
                </c:pt>
                <c:pt idx="224">
                  <c:v>63.8</c:v>
                </c:pt>
                <c:pt idx="225">
                  <c:v>65.28</c:v>
                </c:pt>
                <c:pt idx="226">
                  <c:v>62.9</c:v>
                </c:pt>
                <c:pt idx="227">
                  <c:v>61.81</c:v>
                </c:pt>
                <c:pt idx="228">
                  <c:v>62.1</c:v>
                </c:pt>
                <c:pt idx="229">
                  <c:v>60.72</c:v>
                </c:pt>
                <c:pt idx="230">
                  <c:v>56.93</c:v>
                </c:pt>
                <c:pt idx="231">
                  <c:v>52.97</c:v>
                </c:pt>
                <c:pt idx="232">
                  <c:v>52.52</c:v>
                </c:pt>
                <c:pt idx="233">
                  <c:v>54.75</c:v>
                </c:pt>
                <c:pt idx="234">
                  <c:v>58.38</c:v>
                </c:pt>
                <c:pt idx="235">
                  <c:v>57.32</c:v>
                </c:pt>
                <c:pt idx="236">
                  <c:v>59.02</c:v>
                </c:pt>
                <c:pt idx="237">
                  <c:v>56.74</c:v>
                </c:pt>
                <c:pt idx="238">
                  <c:v>56.05</c:v>
                </c:pt>
                <c:pt idx="239">
                  <c:v>56.55</c:v>
                </c:pt>
                <c:pt idx="240">
                  <c:v>53.28</c:v>
                </c:pt>
                <c:pt idx="241">
                  <c:v>55.31</c:v>
                </c:pt>
                <c:pt idx="242">
                  <c:v>55.5</c:v>
                </c:pt>
                <c:pt idx="243">
                  <c:v>55.21</c:v>
                </c:pt>
                <c:pt idx="244">
                  <c:v>55.73</c:v>
                </c:pt>
                <c:pt idx="245">
                  <c:v>56.16</c:v>
                </c:pt>
                <c:pt idx="246">
                  <c:v>59.33</c:v>
                </c:pt>
                <c:pt idx="247">
                  <c:v>56.9</c:v>
                </c:pt>
                <c:pt idx="248">
                  <c:v>53.12</c:v>
                </c:pt>
                <c:pt idx="249">
                  <c:v>53.27</c:v>
                </c:pt>
                <c:pt idx="250">
                  <c:v>53.49</c:v>
                </c:pt>
                <c:pt idx="251">
                  <c:v>55.2</c:v>
                </c:pt>
                <c:pt idx="252">
                  <c:v>55.17</c:v>
                </c:pt>
                <c:pt idx="253">
                  <c:v>56.69</c:v>
                </c:pt>
                <c:pt idx="254">
                  <c:v>56.85</c:v>
                </c:pt>
                <c:pt idx="255">
                  <c:v>56.9</c:v>
                </c:pt>
                <c:pt idx="256">
                  <c:v>58.07</c:v>
                </c:pt>
                <c:pt idx="257">
                  <c:v>57.64</c:v>
                </c:pt>
                <c:pt idx="258">
                  <c:v>59.25</c:v>
                </c:pt>
                <c:pt idx="259">
                  <c:v>60.75</c:v>
                </c:pt>
                <c:pt idx="260">
                  <c:v>61.29</c:v>
                </c:pt>
                <c:pt idx="261">
                  <c:v>62.09</c:v>
                </c:pt>
                <c:pt idx="262">
                  <c:v>60.84</c:v>
                </c:pt>
                <c:pt idx="263">
                  <c:v>58.29</c:v>
                </c:pt>
                <c:pt idx="264">
                  <c:v>56.15</c:v>
                </c:pt>
                <c:pt idx="265">
                  <c:v>52.7</c:v>
                </c:pt>
                <c:pt idx="266">
                  <c:v>50.36</c:v>
                </c:pt>
                <c:pt idx="267">
                  <c:v>50.83</c:v>
                </c:pt>
                <c:pt idx="268">
                  <c:v>53.14</c:v>
                </c:pt>
                <c:pt idx="269">
                  <c:v>48.36</c:v>
                </c:pt>
                <c:pt idx="270">
                  <c:v>45.57</c:v>
                </c:pt>
                <c:pt idx="271">
                  <c:v>32.39</c:v>
                </c:pt>
                <c:pt idx="272">
                  <c:v>24.19</c:v>
                </c:pt>
                <c:pt idx="273">
                  <c:v>19.440000000000001</c:v>
                </c:pt>
                <c:pt idx="274">
                  <c:v>21.69</c:v>
                </c:pt>
                <c:pt idx="275">
                  <c:v>24.41</c:v>
                </c:pt>
                <c:pt idx="276">
                  <c:v>20.12</c:v>
                </c:pt>
                <c:pt idx="277">
                  <c:v>3.32</c:v>
                </c:pt>
                <c:pt idx="278">
                  <c:v>15.71</c:v>
                </c:pt>
                <c:pt idx="279">
                  <c:v>23.46</c:v>
                </c:pt>
                <c:pt idx="280">
                  <c:v>26.4</c:v>
                </c:pt>
                <c:pt idx="281">
                  <c:v>33.1</c:v>
                </c:pt>
                <c:pt idx="282">
                  <c:v>34.19</c:v>
                </c:pt>
                <c:pt idx="283">
                  <c:v>37.32</c:v>
                </c:pt>
                <c:pt idx="284">
                  <c:v>37.869999999999997</c:v>
                </c:pt>
                <c:pt idx="285">
                  <c:v>38.35</c:v>
                </c:pt>
                <c:pt idx="286">
                  <c:v>39.22</c:v>
                </c:pt>
                <c:pt idx="287">
                  <c:v>39.85</c:v>
                </c:pt>
                <c:pt idx="288">
                  <c:v>40.44</c:v>
                </c:pt>
                <c:pt idx="289">
                  <c:v>40.57</c:v>
                </c:pt>
                <c:pt idx="290">
                  <c:v>41.34</c:v>
                </c:pt>
                <c:pt idx="291">
                  <c:v>40.69</c:v>
                </c:pt>
                <c:pt idx="292">
                  <c:v>41.57</c:v>
                </c:pt>
                <c:pt idx="293">
                  <c:v>42.08</c:v>
                </c:pt>
                <c:pt idx="294">
                  <c:v>42.73</c:v>
                </c:pt>
                <c:pt idx="295">
                  <c:v>42.93</c:v>
                </c:pt>
                <c:pt idx="296">
                  <c:v>41.84</c:v>
                </c:pt>
                <c:pt idx="297">
                  <c:v>37.380000000000003</c:v>
                </c:pt>
                <c:pt idx="298">
                  <c:v>39.549999999999997</c:v>
                </c:pt>
                <c:pt idx="299">
                  <c:v>39.78</c:v>
                </c:pt>
                <c:pt idx="300">
                  <c:v>38.99</c:v>
                </c:pt>
                <c:pt idx="301">
                  <c:v>40.19</c:v>
                </c:pt>
                <c:pt idx="302">
                  <c:v>40.33</c:v>
                </c:pt>
                <c:pt idx="303">
                  <c:v>40.43</c:v>
                </c:pt>
                <c:pt idx="304">
                  <c:v>37.32</c:v>
                </c:pt>
                <c:pt idx="305">
                  <c:v>37.71</c:v>
                </c:pt>
                <c:pt idx="306">
                  <c:v>40.659999999999997</c:v>
                </c:pt>
                <c:pt idx="307">
                  <c:v>41.52</c:v>
                </c:pt>
                <c:pt idx="308">
                  <c:v>44.4</c:v>
                </c:pt>
                <c:pt idx="309">
                  <c:v>45.37</c:v>
                </c:pt>
                <c:pt idx="310">
                  <c:v>46.04</c:v>
                </c:pt>
                <c:pt idx="311">
                  <c:v>47.97</c:v>
                </c:pt>
                <c:pt idx="312">
                  <c:v>47.73</c:v>
                </c:pt>
                <c:pt idx="313">
                  <c:v>47.98</c:v>
                </c:pt>
                <c:pt idx="314">
                  <c:v>50.09</c:v>
                </c:pt>
                <c:pt idx="315">
                  <c:v>52.75</c:v>
                </c:pt>
                <c:pt idx="316">
                  <c:v>52.82</c:v>
                </c:pt>
                <c:pt idx="317">
                  <c:v>52.52</c:v>
                </c:pt>
                <c:pt idx="318">
                  <c:v>55.39</c:v>
                </c:pt>
                <c:pt idx="319">
                  <c:v>58.54</c:v>
                </c:pt>
                <c:pt idx="320">
                  <c:v>60.17</c:v>
                </c:pt>
                <c:pt idx="321">
                  <c:v>62.3</c:v>
                </c:pt>
                <c:pt idx="322">
                  <c:v>62.29</c:v>
                </c:pt>
                <c:pt idx="323">
                  <c:v>65.02</c:v>
                </c:pt>
                <c:pt idx="324">
                  <c:v>63.22</c:v>
                </c:pt>
                <c:pt idx="325">
                  <c:v>59.95</c:v>
                </c:pt>
                <c:pt idx="326">
                  <c:v>60.66</c:v>
                </c:pt>
                <c:pt idx="327">
                  <c:v>59.35</c:v>
                </c:pt>
                <c:pt idx="328">
                  <c:v>61.93</c:v>
                </c:pt>
                <c:pt idx="329">
                  <c:v>62.18</c:v>
                </c:pt>
                <c:pt idx="330">
                  <c:v>63.47</c:v>
                </c:pt>
                <c:pt idx="331">
                  <c:v>65.099999999999994</c:v>
                </c:pt>
                <c:pt idx="332">
                  <c:v>65.069999999999993</c:v>
                </c:pt>
                <c:pt idx="333">
                  <c:v>64.11</c:v>
                </c:pt>
                <c:pt idx="334">
                  <c:v>66.400000000000006</c:v>
                </c:pt>
                <c:pt idx="335">
                  <c:v>68.739999999999995</c:v>
                </c:pt>
                <c:pt idx="336">
                  <c:v>70.11</c:v>
                </c:pt>
                <c:pt idx="337">
                  <c:v>71.55</c:v>
                </c:pt>
                <c:pt idx="338">
                  <c:v>73.48</c:v>
                </c:pt>
                <c:pt idx="339">
                  <c:v>74.069999999999993</c:v>
                </c:pt>
                <c:pt idx="340">
                  <c:v>73.349999999999994</c:v>
                </c:pt>
                <c:pt idx="341">
                  <c:v>73.19</c:v>
                </c:pt>
                <c:pt idx="342">
                  <c:v>69.680000000000007</c:v>
                </c:pt>
                <c:pt idx="343">
                  <c:v>72.75</c:v>
                </c:pt>
                <c:pt idx="344">
                  <c:v>69.5</c:v>
                </c:pt>
                <c:pt idx="345">
                  <c:v>68.33</c:v>
                </c:pt>
                <c:pt idx="346">
                  <c:v>65.05</c:v>
                </c:pt>
                <c:pt idx="347">
                  <c:v>67.59</c:v>
                </c:pt>
                <c:pt idx="348">
                  <c:v>69.150000000000006</c:v>
                </c:pt>
                <c:pt idx="349">
                  <c:v>68.98</c:v>
                </c:pt>
                <c:pt idx="350">
                  <c:v>71.69</c:v>
                </c:pt>
                <c:pt idx="351">
                  <c:v>72.180000000000007</c:v>
                </c:pt>
                <c:pt idx="352">
                  <c:v>75.45</c:v>
                </c:pt>
                <c:pt idx="353">
                  <c:v>78.5</c:v>
                </c:pt>
                <c:pt idx="354">
                  <c:v>81.180000000000007</c:v>
                </c:pt>
                <c:pt idx="355">
                  <c:v>83.48</c:v>
                </c:pt>
                <c:pt idx="356">
                  <c:v>83.84</c:v>
                </c:pt>
                <c:pt idx="357">
                  <c:v>81.790000000000006</c:v>
                </c:pt>
                <c:pt idx="358">
                  <c:v>81.93</c:v>
                </c:pt>
                <c:pt idx="359">
                  <c:v>78.989999999999995</c:v>
                </c:pt>
                <c:pt idx="360">
                  <c:v>77.790000000000006</c:v>
                </c:pt>
                <c:pt idx="361">
                  <c:v>66.89</c:v>
                </c:pt>
                <c:pt idx="362">
                  <c:v>71.31</c:v>
                </c:pt>
                <c:pt idx="363">
                  <c:v>71.180000000000007</c:v>
                </c:pt>
                <c:pt idx="364">
                  <c:v>71.63</c:v>
                </c:pt>
                <c:pt idx="365">
                  <c:v>76.05</c:v>
                </c:pt>
                <c:pt idx="366">
                  <c:v>77.86</c:v>
                </c:pt>
                <c:pt idx="367">
                  <c:v>81.52</c:v>
                </c:pt>
                <c:pt idx="368">
                  <c:v>85.93</c:v>
                </c:pt>
                <c:pt idx="369">
                  <c:v>86.94</c:v>
                </c:pt>
                <c:pt idx="370">
                  <c:v>89.6</c:v>
                </c:pt>
                <c:pt idx="371">
                  <c:v>90.61</c:v>
                </c:pt>
                <c:pt idx="372">
                  <c:v>92.89</c:v>
                </c:pt>
                <c:pt idx="373">
                  <c:v>92.18</c:v>
                </c:pt>
                <c:pt idx="374">
                  <c:v>106.8</c:v>
                </c:pt>
                <c:pt idx="375">
                  <c:v>113.39</c:v>
                </c:pt>
                <c:pt idx="376">
                  <c:v>100.43</c:v>
                </c:pt>
                <c:pt idx="377">
                  <c:v>113.69</c:v>
                </c:pt>
                <c:pt idx="378">
                  <c:v>103.89</c:v>
                </c:pt>
                <c:pt idx="379">
                  <c:v>99.21</c:v>
                </c:pt>
                <c:pt idx="380">
                  <c:v>101.46</c:v>
                </c:pt>
                <c:pt idx="381">
                  <c:v>104.02</c:v>
                </c:pt>
                <c:pt idx="382">
                  <c:v>102.85</c:v>
                </c:pt>
                <c:pt idx="383">
                  <c:v>106.69</c:v>
                </c:pt>
                <c:pt idx="384">
                  <c:v>105</c:v>
                </c:pt>
                <c:pt idx="385">
                  <c:v>112.18</c:v>
                </c:pt>
                <c:pt idx="386">
                  <c:v>113.38</c:v>
                </c:pt>
                <c:pt idx="387">
                  <c:v>116.37</c:v>
                </c:pt>
                <c:pt idx="388">
                  <c:v>120.43</c:v>
                </c:pt>
                <c:pt idx="389">
                  <c:v>116.46</c:v>
                </c:pt>
                <c:pt idx="390">
                  <c:v>107.88</c:v>
                </c:pt>
                <c:pt idx="391">
                  <c:v>110.96</c:v>
                </c:pt>
                <c:pt idx="392">
                  <c:v>103.32</c:v>
                </c:pt>
                <c:pt idx="393">
                  <c:v>99.92</c:v>
                </c:pt>
                <c:pt idx="394">
                  <c:v>102.24</c:v>
                </c:pt>
                <c:pt idx="395">
                  <c:v>99.6</c:v>
                </c:pt>
                <c:pt idx="396">
                  <c:v>94.01</c:v>
                </c:pt>
                <c:pt idx="397">
                  <c:v>94.65</c:v>
                </c:pt>
                <c:pt idx="398">
                  <c:v>91.81</c:v>
                </c:pt>
                <c:pt idx="399">
                  <c:v>94.47</c:v>
                </c:pt>
                <c:pt idx="400">
                  <c:v>90.79</c:v>
                </c:pt>
                <c:pt idx="401">
                  <c:v>85.29</c:v>
                </c:pt>
                <c:pt idx="402">
                  <c:v>87.24</c:v>
                </c:pt>
                <c:pt idx="403">
                  <c:v>83.46</c:v>
                </c:pt>
                <c:pt idx="404">
                  <c:v>80.08</c:v>
                </c:pt>
                <c:pt idx="405">
                  <c:v>88.22</c:v>
                </c:pt>
                <c:pt idx="406">
                  <c:v>88.97</c:v>
                </c:pt>
                <c:pt idx="407">
                  <c:v>85.36</c:v>
                </c:pt>
                <c:pt idx="408">
                  <c:v>87.87</c:v>
                </c:pt>
                <c:pt idx="409">
                  <c:v>89.14</c:v>
                </c:pt>
                <c:pt idx="410">
                  <c:v>88.41</c:v>
                </c:pt>
                <c:pt idx="411">
                  <c:v>84.02</c:v>
                </c:pt>
                <c:pt idx="412">
                  <c:v>78.739999999999995</c:v>
                </c:pt>
                <c:pt idx="413">
                  <c:v>79.290000000000006</c:v>
                </c:pt>
                <c:pt idx="414">
                  <c:v>73.06</c:v>
                </c:pt>
                <c:pt idx="415">
                  <c:v>75.12</c:v>
                </c:pt>
                <c:pt idx="416">
                  <c:v>77.28</c:v>
                </c:pt>
                <c:pt idx="417">
                  <c:v>79.23</c:v>
                </c:pt>
                <c:pt idx="418">
                  <c:v>74.27</c:v>
                </c:pt>
                <c:pt idx="419">
                  <c:v>77.099999999999994</c:v>
                </c:pt>
                <c:pt idx="420">
                  <c:v>80.34</c:v>
                </c:pt>
                <c:pt idx="421">
                  <c:v>80.33</c:v>
                </c:pt>
                <c:pt idx="422">
                  <c:v>76.510000000000005</c:v>
                </c:pt>
                <c:pt idx="423">
                  <c:v>77.510000000000005</c:v>
                </c:pt>
                <c:pt idx="424">
                  <c:v>78.510000000000005</c:v>
                </c:pt>
                <c:pt idx="425">
                  <c:v>75.42</c:v>
                </c:pt>
                <c:pt idx="426">
                  <c:v>77.540000000000006</c:v>
                </c:pt>
                <c:pt idx="427">
                  <c:v>77.31</c:v>
                </c:pt>
                <c:pt idx="428">
                  <c:v>69.599999999999994</c:v>
                </c:pt>
                <c:pt idx="429">
                  <c:v>69.33</c:v>
                </c:pt>
                <c:pt idx="430">
                  <c:v>73.790000000000006</c:v>
                </c:pt>
                <c:pt idx="431">
                  <c:v>80.62</c:v>
                </c:pt>
                <c:pt idx="432">
                  <c:v>81.87</c:v>
                </c:pt>
                <c:pt idx="433">
                  <c:v>79.22</c:v>
                </c:pt>
                <c:pt idx="434">
                  <c:v>76.31</c:v>
                </c:pt>
                <c:pt idx="435">
                  <c:v>71.16</c:v>
                </c:pt>
                <c:pt idx="436">
                  <c:v>72.03</c:v>
                </c:pt>
                <c:pt idx="437">
                  <c:v>71.62</c:v>
                </c:pt>
                <c:pt idx="438">
                  <c:v>72.62</c:v>
                </c:pt>
                <c:pt idx="439">
                  <c:v>69.849999999999994</c:v>
                </c:pt>
                <c:pt idx="440">
                  <c:v>71.56</c:v>
                </c:pt>
                <c:pt idx="441">
                  <c:v>69.42</c:v>
                </c:pt>
                <c:pt idx="442">
                  <c:v>70.41</c:v>
                </c:pt>
                <c:pt idx="443">
                  <c:v>69.36</c:v>
                </c:pt>
                <c:pt idx="444">
                  <c:v>71.790000000000006</c:v>
                </c:pt>
                <c:pt idx="445">
                  <c:v>75.2</c:v>
                </c:pt>
                <c:pt idx="446">
                  <c:v>75.61</c:v>
                </c:pt>
                <c:pt idx="447">
                  <c:v>79.680000000000007</c:v>
                </c:pt>
                <c:pt idx="448">
                  <c:v>81.400000000000006</c:v>
                </c:pt>
                <c:pt idx="449">
                  <c:v>83.04</c:v>
                </c:pt>
                <c:pt idx="450">
                  <c:v>80.930000000000007</c:v>
                </c:pt>
                <c:pt idx="451">
                  <c:v>79.97</c:v>
                </c:pt>
                <c:pt idx="452">
                  <c:v>82.5</c:v>
                </c:pt>
                <c:pt idx="453">
                  <c:v>87.17</c:v>
                </c:pt>
                <c:pt idx="454">
                  <c:v>89.14</c:v>
                </c:pt>
                <c:pt idx="455">
                  <c:v>90.28</c:v>
                </c:pt>
                <c:pt idx="456">
                  <c:v>91.44</c:v>
                </c:pt>
                <c:pt idx="457">
                  <c:v>85.5</c:v>
                </c:pt>
                <c:pt idx="458">
                  <c:v>85.03</c:v>
                </c:pt>
                <c:pt idx="459">
                  <c:v>88.03</c:v>
                </c:pt>
                <c:pt idx="460">
                  <c:v>85.2</c:v>
                </c:pt>
                <c:pt idx="461">
                  <c:v>81.99</c:v>
                </c:pt>
                <c:pt idx="462">
                  <c:v>77.92</c:v>
                </c:pt>
                <c:pt idx="463">
                  <c:v>76.98</c:v>
                </c:pt>
                <c:pt idx="464">
                  <c:v>77.02</c:v>
                </c:pt>
                <c:pt idx="465">
                  <c:v>75.489999999999995</c:v>
                </c:pt>
                <c:pt idx="466">
                  <c:v>70.709999999999994</c:v>
                </c:pt>
                <c:pt idx="467">
                  <c:v>70.11</c:v>
                </c:pt>
                <c:pt idx="468">
                  <c:v>73.23</c:v>
                </c:pt>
                <c:pt idx="469">
                  <c:v>73.52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A-4F76-889D-FE8AC38F6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449456"/>
        <c:axId val="1334438416"/>
      </c:scatterChart>
      <c:valAx>
        <c:axId val="133444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38416"/>
        <c:crosses val="autoZero"/>
        <c:crossBetween val="midCat"/>
        <c:majorUnit val="14"/>
      </c:valAx>
      <c:valAx>
        <c:axId val="13344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44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остатков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'AR(1)'!$H$27:$H$495</c:f>
              <c:numCache>
                <c:formatCode>General</c:formatCode>
                <c:ptCount val="469"/>
                <c:pt idx="0">
                  <c:v>-4.8020105107802564</c:v>
                </c:pt>
                <c:pt idx="1">
                  <c:v>-1.8915295022911991</c:v>
                </c:pt>
                <c:pt idx="2">
                  <c:v>-0.82319594459710999</c:v>
                </c:pt>
                <c:pt idx="3">
                  <c:v>-1.360970373895114</c:v>
                </c:pt>
                <c:pt idx="4">
                  <c:v>5.024500364793866</c:v>
                </c:pt>
                <c:pt idx="5">
                  <c:v>0.39153888628156608</c:v>
                </c:pt>
                <c:pt idx="6">
                  <c:v>0.38867606727644954</c:v>
                </c:pt>
                <c:pt idx="7">
                  <c:v>-2.6843142013892844</c:v>
                </c:pt>
                <c:pt idx="8">
                  <c:v>1.0334410344731069</c:v>
                </c:pt>
                <c:pt idx="9">
                  <c:v>-2.8610101069309053</c:v>
                </c:pt>
                <c:pt idx="10">
                  <c:v>-3.5052940656384806</c:v>
                </c:pt>
                <c:pt idx="11">
                  <c:v>4.0426475463559299</c:v>
                </c:pt>
                <c:pt idx="12">
                  <c:v>3.7323450763189214E-2</c:v>
                </c:pt>
                <c:pt idx="13">
                  <c:v>2.6802547929575269</c:v>
                </c:pt>
                <c:pt idx="14">
                  <c:v>2.846832845556321</c:v>
                </c:pt>
                <c:pt idx="15">
                  <c:v>1.2450677437432205</c:v>
                </c:pt>
                <c:pt idx="16">
                  <c:v>1.7424008975879417</c:v>
                </c:pt>
                <c:pt idx="17">
                  <c:v>1.6758516351425783</c:v>
                </c:pt>
                <c:pt idx="18">
                  <c:v>0.22815532575160091</c:v>
                </c:pt>
                <c:pt idx="19">
                  <c:v>-1.1082760837509511</c:v>
                </c:pt>
                <c:pt idx="20">
                  <c:v>-0.82178574777699964</c:v>
                </c:pt>
                <c:pt idx="21">
                  <c:v>1.3985280780156586</c:v>
                </c:pt>
                <c:pt idx="22">
                  <c:v>0.35726317812724773</c:v>
                </c:pt>
                <c:pt idx="23">
                  <c:v>-0.22751138578721708</c:v>
                </c:pt>
                <c:pt idx="24">
                  <c:v>7.0194520321564369E-2</c:v>
                </c:pt>
                <c:pt idx="25">
                  <c:v>-2.1382760837509522</c:v>
                </c:pt>
                <c:pt idx="26">
                  <c:v>-5.6149130628211594</c:v>
                </c:pt>
                <c:pt idx="27">
                  <c:v>-0.84552017480630326</c:v>
                </c:pt>
                <c:pt idx="28">
                  <c:v>-2.6244416510499065</c:v>
                </c:pt>
                <c:pt idx="29">
                  <c:v>-1.4859217172237891</c:v>
                </c:pt>
                <c:pt idx="30">
                  <c:v>-3.1724901731047765</c:v>
                </c:pt>
                <c:pt idx="31">
                  <c:v>-1.9803427223097998</c:v>
                </c:pt>
                <c:pt idx="32">
                  <c:v>-2.1225189632582087</c:v>
                </c:pt>
                <c:pt idx="33">
                  <c:v>-0.89622460013409011</c:v>
                </c:pt>
                <c:pt idx="34">
                  <c:v>5.7060009705679136</c:v>
                </c:pt>
                <c:pt idx="35">
                  <c:v>-1.7875292330582937</c:v>
                </c:pt>
                <c:pt idx="36">
                  <c:v>8.2461170223901092E-2</c:v>
                </c:pt>
                <c:pt idx="37">
                  <c:v>-0.14346044063616148</c:v>
                </c:pt>
                <c:pt idx="38">
                  <c:v>-0.80231339369056087</c:v>
                </c:pt>
                <c:pt idx="39">
                  <c:v>3.1204219756539331</c:v>
                </c:pt>
                <c:pt idx="40">
                  <c:v>-1.7367549383767411</c:v>
                </c:pt>
                <c:pt idx="41">
                  <c:v>-1.8763821861126857</c:v>
                </c:pt>
                <c:pt idx="42">
                  <c:v>-0.40753882977609379</c:v>
                </c:pt>
                <c:pt idx="43">
                  <c:v>0.75029452599330426</c:v>
                </c:pt>
                <c:pt idx="44">
                  <c:v>-3.5070879576050089</c:v>
                </c:pt>
                <c:pt idx="45">
                  <c:v>-2.3488914462893646</c:v>
                </c:pt>
                <c:pt idx="46">
                  <c:v>-0.42540097569893476</c:v>
                </c:pt>
                <c:pt idx="47">
                  <c:v>-0.38705782128704413</c:v>
                </c:pt>
                <c:pt idx="48">
                  <c:v>-3.7682048682326439</c:v>
                </c:pt>
                <c:pt idx="49">
                  <c:v>-1.4924299004688208</c:v>
                </c:pt>
                <c:pt idx="50">
                  <c:v>0.12291338855953171</c:v>
                </c:pt>
                <c:pt idx="51">
                  <c:v>0.37903097226944027</c:v>
                </c:pt>
                <c:pt idx="52">
                  <c:v>-2.6816652025050871</c:v>
                </c:pt>
                <c:pt idx="53">
                  <c:v>-4.4314884230908653</c:v>
                </c:pt>
                <c:pt idx="54">
                  <c:v>-1.8232329853038003</c:v>
                </c:pt>
                <c:pt idx="55">
                  <c:v>2.1789240622089778</c:v>
                </c:pt>
                <c:pt idx="56">
                  <c:v>-0.95768412670779313</c:v>
                </c:pt>
                <c:pt idx="57">
                  <c:v>-3.5346938580420613</c:v>
                </c:pt>
                <c:pt idx="58">
                  <c:v>1.4255418478435651</c:v>
                </c:pt>
                <c:pt idx="59">
                  <c:v>0.86950238404068969</c:v>
                </c:pt>
                <c:pt idx="60">
                  <c:v>2.6960708399216777</c:v>
                </c:pt>
                <c:pt idx="61">
                  <c:v>2.8857076843754257</c:v>
                </c:pt>
                <c:pt idx="62">
                  <c:v>0.29725627373852603</c:v>
                </c:pt>
                <c:pt idx="63">
                  <c:v>0.80528560235777746</c:v>
                </c:pt>
                <c:pt idx="64">
                  <c:v>-2.9403125859918333</c:v>
                </c:pt>
                <c:pt idx="65">
                  <c:v>-0.44383184673567655</c:v>
                </c:pt>
                <c:pt idx="66">
                  <c:v>4.1648936566580943</c:v>
                </c:pt>
                <c:pt idx="67">
                  <c:v>0.34237345359906612</c:v>
                </c:pt>
                <c:pt idx="68">
                  <c:v>2.1604027822183127</c:v>
                </c:pt>
                <c:pt idx="69">
                  <c:v>-0.32849950058967892</c:v>
                </c:pt>
                <c:pt idx="70">
                  <c:v>0.97048090212533822</c:v>
                </c:pt>
                <c:pt idx="71">
                  <c:v>2.3160297607213494</c:v>
                </c:pt>
                <c:pt idx="72">
                  <c:v>0.52852942418020632</c:v>
                </c:pt>
                <c:pt idx="73">
                  <c:v>8.7833249405683489E-2</c:v>
                </c:pt>
                <c:pt idx="74">
                  <c:v>0.99140183990312636</c:v>
                </c:pt>
                <c:pt idx="75">
                  <c:v>-2.4635591001433568</c:v>
                </c:pt>
                <c:pt idx="76">
                  <c:v>0.61725492757397404</c:v>
                </c:pt>
                <c:pt idx="77">
                  <c:v>-0.73229420025493397</c:v>
                </c:pt>
                <c:pt idx="78">
                  <c:v>-2.1991764819285819</c:v>
                </c:pt>
                <c:pt idx="79">
                  <c:v>-0.79466641405317517</c:v>
                </c:pt>
                <c:pt idx="80">
                  <c:v>-1.3919310447086914</c:v>
                </c:pt>
                <c:pt idx="81">
                  <c:v>-2.8567152053409544</c:v>
                </c:pt>
                <c:pt idx="82">
                  <c:v>-1.2899795667635559</c:v>
                </c:pt>
                <c:pt idx="83">
                  <c:v>1.997148017513517</c:v>
                </c:pt>
                <c:pt idx="84">
                  <c:v>3.7863339897961836</c:v>
                </c:pt>
                <c:pt idx="85">
                  <c:v>-0.32204889765149858</c:v>
                </c:pt>
                <c:pt idx="86">
                  <c:v>-2.1534508439183497</c:v>
                </c:pt>
                <c:pt idx="87">
                  <c:v>0.61182392192078794</c:v>
                </c:pt>
                <c:pt idx="88">
                  <c:v>-1.8473428569262609</c:v>
                </c:pt>
                <c:pt idx="89">
                  <c:v>2.0102980528164949E-3</c:v>
                </c:pt>
                <c:pt idx="90">
                  <c:v>1.7151965395683817</c:v>
                </c:pt>
                <c:pt idx="91">
                  <c:v>2.7101766730504977</c:v>
                </c:pt>
                <c:pt idx="92">
                  <c:v>0.62751942361303747</c:v>
                </c:pt>
                <c:pt idx="93">
                  <c:v>9.7842846123498362E-2</c:v>
                </c:pt>
                <c:pt idx="94">
                  <c:v>-1.3687160130396876</c:v>
                </c:pt>
                <c:pt idx="95">
                  <c:v>-4.0340099723144434</c:v>
                </c:pt>
                <c:pt idx="96">
                  <c:v>-1.1330780916542906</c:v>
                </c:pt>
                <c:pt idx="97">
                  <c:v>0.29545143888963565</c:v>
                </c:pt>
                <c:pt idx="98">
                  <c:v>1.862333720563278</c:v>
                </c:pt>
                <c:pt idx="99">
                  <c:v>1.1690981492941077</c:v>
                </c:pt>
                <c:pt idx="100">
                  <c:v>2.1466862024600744</c:v>
                </c:pt>
                <c:pt idx="101">
                  <c:v>0.77650942304585868</c:v>
                </c:pt>
                <c:pt idx="102">
                  <c:v>-0.11151030885557134</c:v>
                </c:pt>
                <c:pt idx="103">
                  <c:v>1.498999489786911</c:v>
                </c:pt>
                <c:pt idx="104">
                  <c:v>-0.38997131621029268</c:v>
                </c:pt>
                <c:pt idx="105">
                  <c:v>-1.4032850073864935</c:v>
                </c:pt>
                <c:pt idx="106">
                  <c:v>-0.39947111428561044</c:v>
                </c:pt>
                <c:pt idx="107">
                  <c:v>0.76734264419881271</c:v>
                </c:pt>
                <c:pt idx="108">
                  <c:v>0.44906801297612731</c:v>
                </c:pt>
                <c:pt idx="109">
                  <c:v>-0.58341245704711042</c:v>
                </c:pt>
                <c:pt idx="110">
                  <c:v>0.2008523082248459</c:v>
                </c:pt>
                <c:pt idx="111">
                  <c:v>0.67518559668603473</c:v>
                </c:pt>
                <c:pt idx="112">
                  <c:v>-0.59449098080350637</c:v>
                </c:pt>
                <c:pt idx="113">
                  <c:v>-3.190481114852787</c:v>
                </c:pt>
                <c:pt idx="114">
                  <c:v>-2.6394807110034222</c:v>
                </c:pt>
                <c:pt idx="115">
                  <c:v>-0.95096077717730054</c:v>
                </c:pt>
                <c:pt idx="116">
                  <c:v>1.6494804982759774</c:v>
                </c:pt>
                <c:pt idx="117">
                  <c:v>1.9331861351518498</c:v>
                </c:pt>
                <c:pt idx="118">
                  <c:v>1.7702054632039292</c:v>
                </c:pt>
                <c:pt idx="119">
                  <c:v>-2.2351967522958276</c:v>
                </c:pt>
                <c:pt idx="120">
                  <c:v>-2.1319611810266679</c:v>
                </c:pt>
                <c:pt idx="121">
                  <c:v>-2.0970687641693928</c:v>
                </c:pt>
                <c:pt idx="122">
                  <c:v>-0.38141164934838656</c:v>
                </c:pt>
                <c:pt idx="123">
                  <c:v>1.9864217064210266</c:v>
                </c:pt>
                <c:pt idx="124">
                  <c:v>0.78446063175807978</c:v>
                </c:pt>
                <c:pt idx="125">
                  <c:v>-1.9031767511614888</c:v>
                </c:pt>
                <c:pt idx="126">
                  <c:v>-2.1052255424492614</c:v>
                </c:pt>
                <c:pt idx="127">
                  <c:v>-1.4895684276282637</c:v>
                </c:pt>
                <c:pt idx="128">
                  <c:v>-2.4457545345273743</c:v>
                </c:pt>
                <c:pt idx="129">
                  <c:v>1.2760790904749371</c:v>
                </c:pt>
                <c:pt idx="130">
                  <c:v>8.5706338210876254E-2</c:v>
                </c:pt>
                <c:pt idx="131">
                  <c:v>0.3099121770114408</c:v>
                </c:pt>
                <c:pt idx="132">
                  <c:v>0.66692190834570653</c:v>
                </c:pt>
                <c:pt idx="133">
                  <c:v>1.6383923778017788</c:v>
                </c:pt>
                <c:pt idx="134">
                  <c:v>1.0520980146776537</c:v>
                </c:pt>
                <c:pt idx="135">
                  <c:v>-0.62197077774447962</c:v>
                </c:pt>
                <c:pt idx="136">
                  <c:v>-1.7475785628118814</c:v>
                </c:pt>
                <c:pt idx="137">
                  <c:v>-4.7460709869078244E-2</c:v>
                </c:pt>
                <c:pt idx="138">
                  <c:v>-1.2054215152991077</c:v>
                </c:pt>
                <c:pt idx="139">
                  <c:v>1.6818335186385909</c:v>
                </c:pt>
                <c:pt idx="140">
                  <c:v>0.29604895415696575</c:v>
                </c:pt>
                <c:pt idx="141">
                  <c:v>0.86229398752748665</c:v>
                </c:pt>
                <c:pt idx="142">
                  <c:v>1.4756762018929095</c:v>
                </c:pt>
                <c:pt idx="143">
                  <c:v>-1.6932946041043095</c:v>
                </c:pt>
                <c:pt idx="144">
                  <c:v>0.36707814815976292</c:v>
                </c:pt>
                <c:pt idx="145">
                  <c:v>0.80396042983339555</c:v>
                </c:pt>
                <c:pt idx="146">
                  <c:v>0.616323046913827</c:v>
                </c:pt>
                <c:pt idx="147">
                  <c:v>1.9361366707818064</c:v>
                </c:pt>
                <c:pt idx="148">
                  <c:v>2.3426462001913748</c:v>
                </c:pt>
                <c:pt idx="149">
                  <c:v>-1.3260011832953538</c:v>
                </c:pt>
                <c:pt idx="150">
                  <c:v>1.5581950587873834</c:v>
                </c:pt>
                <c:pt idx="151">
                  <c:v>0.25935170245080741</c:v>
                </c:pt>
                <c:pt idx="152">
                  <c:v>-0.96631500908801371</c:v>
                </c:pt>
                <c:pt idx="153">
                  <c:v>0.1623419711165397</c:v>
                </c:pt>
                <c:pt idx="154">
                  <c:v>0.61552821263211399</c:v>
                </c:pt>
                <c:pt idx="155">
                  <c:v>1.9344496888757305</c:v>
                </c:pt>
                <c:pt idx="156">
                  <c:v>1.4300670706609466</c:v>
                </c:pt>
                <c:pt idx="157">
                  <c:v>1.8689296204331498</c:v>
                </c:pt>
                <c:pt idx="158">
                  <c:v>0.5031450559515207</c:v>
                </c:pt>
                <c:pt idx="159">
                  <c:v>1.3696449886432873</c:v>
                </c:pt>
                <c:pt idx="160">
                  <c:v>0.1971055921486311</c:v>
                </c:pt>
                <c:pt idx="161">
                  <c:v>-3.2906003139601339</c:v>
                </c:pt>
                <c:pt idx="162">
                  <c:v>-1.4727861516263516</c:v>
                </c:pt>
                <c:pt idx="163">
                  <c:v>1.868733647583305</c:v>
                </c:pt>
                <c:pt idx="164">
                  <c:v>-0.41692346723769447</c:v>
                </c:pt>
                <c:pt idx="165">
                  <c:v>-0.44202145366261902</c:v>
                </c:pt>
                <c:pt idx="166">
                  <c:v>-0.39737433940877764</c:v>
                </c:pt>
                <c:pt idx="167">
                  <c:v>2.7979100231481624</c:v>
                </c:pt>
                <c:pt idx="168">
                  <c:v>0.86397827710447928</c:v>
                </c:pt>
                <c:pt idx="169">
                  <c:v>-1.8850610520819586</c:v>
                </c:pt>
                <c:pt idx="170">
                  <c:v>2.9407235123996784</c:v>
                </c:pt>
                <c:pt idx="171">
                  <c:v>1.5583211622834625</c:v>
                </c:pt>
                <c:pt idx="172">
                  <c:v>0.40782096035877657</c:v>
                </c:pt>
                <c:pt idx="173">
                  <c:v>0.52240914814120742</c:v>
                </c:pt>
                <c:pt idx="174">
                  <c:v>2.2383992821904997</c:v>
                </c:pt>
                <c:pt idx="175">
                  <c:v>0.82618330820629637</c:v>
                </c:pt>
                <c:pt idx="176">
                  <c:v>-0.2243854169075945</c:v>
                </c:pt>
                <c:pt idx="177">
                  <c:v>-3.9284638060475316</c:v>
                </c:pt>
                <c:pt idx="178">
                  <c:v>-1.5696985696179695</c:v>
                </c:pt>
                <c:pt idx="179">
                  <c:v>0.87978203502173358</c:v>
                </c:pt>
                <c:pt idx="180">
                  <c:v>0.14074270583529369</c:v>
                </c:pt>
                <c:pt idx="181">
                  <c:v>7.7421446521021551</c:v>
                </c:pt>
                <c:pt idx="182">
                  <c:v>-0.16959165955752553</c:v>
                </c:pt>
                <c:pt idx="183">
                  <c:v>-1.6434151493762243</c:v>
                </c:pt>
                <c:pt idx="184">
                  <c:v>-2.9059737393064751</c:v>
                </c:pt>
                <c:pt idx="185">
                  <c:v>1.125663912846008</c:v>
                </c:pt>
                <c:pt idx="186">
                  <c:v>-0.47082642312797418</c:v>
                </c:pt>
                <c:pt idx="187">
                  <c:v>-1.487836154462201</c:v>
                </c:pt>
                <c:pt idx="188">
                  <c:v>-1.6977183015194157</c:v>
                </c:pt>
                <c:pt idx="189">
                  <c:v>1.9799780078715514</c:v>
                </c:pt>
                <c:pt idx="190">
                  <c:v>1.6148306916930437</c:v>
                </c:pt>
                <c:pt idx="191">
                  <c:v>-1.0752871612497614</c:v>
                </c:pt>
                <c:pt idx="192">
                  <c:v>0.51005612777858289</c:v>
                </c:pt>
                <c:pt idx="193">
                  <c:v>1.3857913625066374</c:v>
                </c:pt>
                <c:pt idx="194">
                  <c:v>2.6426147177088524</c:v>
                </c:pt>
                <c:pt idx="195">
                  <c:v>2.405241830828345</c:v>
                </c:pt>
                <c:pt idx="196">
                  <c:v>-2.0255721968890015</c:v>
                </c:pt>
                <c:pt idx="197">
                  <c:v>-2.6032287732441688</c:v>
                </c:pt>
                <c:pt idx="198">
                  <c:v>-2.7278950809336209</c:v>
                </c:pt>
                <c:pt idx="199">
                  <c:v>-2.3237084355687045</c:v>
                </c:pt>
                <c:pt idx="200">
                  <c:v>-3.4739140051363435</c:v>
                </c:pt>
                <c:pt idx="201">
                  <c:v>-4.6783939366937659</c:v>
                </c:pt>
                <c:pt idx="202">
                  <c:v>-2.01765802888346</c:v>
                </c:pt>
                <c:pt idx="203">
                  <c:v>-4.0922558133837015</c:v>
                </c:pt>
                <c:pt idx="204">
                  <c:v>1.4570192216883555</c:v>
                </c:pt>
                <c:pt idx="205">
                  <c:v>-1.2323339332907253</c:v>
                </c:pt>
                <c:pt idx="206">
                  <c:v>-4.7162259462986356</c:v>
                </c:pt>
                <c:pt idx="207">
                  <c:v>-1.9743429915427129</c:v>
                </c:pt>
                <c:pt idx="208">
                  <c:v>1.5432258681876405</c:v>
                </c:pt>
                <c:pt idx="209">
                  <c:v>3.5659119077785348</c:v>
                </c:pt>
                <c:pt idx="210">
                  <c:v>0.97408787949402154</c:v>
                </c:pt>
                <c:pt idx="211">
                  <c:v>0.80861714080504754</c:v>
                </c:pt>
                <c:pt idx="212">
                  <c:v>0.61085230822484959</c:v>
                </c:pt>
                <c:pt idx="213">
                  <c:v>-0.22958896722842326</c:v>
                </c:pt>
                <c:pt idx="214">
                  <c:v>0.2191365361653439</c:v>
                </c:pt>
                <c:pt idx="215">
                  <c:v>2.733597274287149</c:v>
                </c:pt>
                <c:pt idx="216">
                  <c:v>-0.70995212277468056</c:v>
                </c:pt>
                <c:pt idx="217">
                  <c:v>0.13214599826670792</c:v>
                </c:pt>
                <c:pt idx="218">
                  <c:v>1.3650773404610277</c:v>
                </c:pt>
                <c:pt idx="219">
                  <c:v>1.5536849909119823</c:v>
                </c:pt>
                <c:pt idx="220">
                  <c:v>-5.5407144064574254E-3</c:v>
                </c:pt>
                <c:pt idx="221">
                  <c:v>2.81509653389665</c:v>
                </c:pt>
                <c:pt idx="222">
                  <c:v>1.7216745864954461</c:v>
                </c:pt>
                <c:pt idx="223">
                  <c:v>-0.2961491725561558</c:v>
                </c:pt>
                <c:pt idx="224">
                  <c:v>1.4800273376251667</c:v>
                </c:pt>
                <c:pt idx="225">
                  <c:v>-2.3611101126026384</c:v>
                </c:pt>
                <c:pt idx="226">
                  <c:v>-1.101443131830905</c:v>
                </c:pt>
                <c:pt idx="227">
                  <c:v>0.2646648551611861</c:v>
                </c:pt>
                <c:pt idx="228">
                  <c:v>-1.4016391046807541</c:v>
                </c:pt>
                <c:pt idx="229">
                  <c:v>-3.8292271578467236</c:v>
                </c:pt>
                <c:pt idx="230">
                  <c:v>-4.0475305792228369</c:v>
                </c:pt>
                <c:pt idx="231">
                  <c:v>-0.58800064482953474</c:v>
                </c:pt>
                <c:pt idx="232">
                  <c:v>2.0862641204424222</c:v>
                </c:pt>
                <c:pt idx="233">
                  <c:v>3.5146853947613508</c:v>
                </c:pt>
                <c:pt idx="234">
                  <c:v>-1.1290503784325026</c:v>
                </c:pt>
                <c:pt idx="235">
                  <c:v>1.617439957541464</c:v>
                </c:pt>
                <c:pt idx="236">
                  <c:v>-2.3408936001526328</c:v>
                </c:pt>
                <c:pt idx="237">
                  <c:v>-0.77995212277468084</c:v>
                </c:pt>
                <c:pt idx="238">
                  <c:v>0.40125385064234109</c:v>
                </c:pt>
                <c:pt idx="239">
                  <c:v>-3.3623736663265049</c:v>
                </c:pt>
                <c:pt idx="240">
                  <c:v>1.8959502946497722</c:v>
                </c:pt>
                <c:pt idx="241">
                  <c:v>8.1822575756234528E-2</c:v>
                </c:pt>
                <c:pt idx="242">
                  <c:v>-0.39575588069192236</c:v>
                </c:pt>
                <c:pt idx="243">
                  <c:v>0.41054807915000424</c:v>
                </c:pt>
                <c:pt idx="244">
                  <c:v>0.32717546150240651</c:v>
                </c:pt>
                <c:pt idx="245">
                  <c:v>3.0726557969091957</c:v>
                </c:pt>
                <c:pt idx="246">
                  <c:v>-2.4869426606733214</c:v>
                </c:pt>
                <c:pt idx="247">
                  <c:v>-3.86791292820471</c:v>
                </c:pt>
                <c:pt idx="248">
                  <c:v>1.3911100079809557E-2</c:v>
                </c:pt>
                <c:pt idx="249">
                  <c:v>8.5822844989145608E-2</c:v>
                </c:pt>
                <c:pt idx="250">
                  <c:v>1.5786267375228533</c:v>
                </c:pt>
                <c:pt idx="251">
                  <c:v>-0.1395793705106172</c:v>
                </c:pt>
                <c:pt idx="252">
                  <c:v>1.4100382805075142</c:v>
                </c:pt>
                <c:pt idx="253">
                  <c:v>6.9410628922213391E-2</c:v>
                </c:pt>
                <c:pt idx="254">
                  <c:v>-3.8550176507825995E-2</c:v>
                </c:pt>
                <c:pt idx="255">
                  <c:v>1.0820870717952928</c:v>
                </c:pt>
                <c:pt idx="256">
                  <c:v>-0.50300131791181713</c:v>
                </c:pt>
                <c:pt idx="257">
                  <c:v>1.5315183466813949</c:v>
                </c:pt>
                <c:pt idx="258">
                  <c:v>1.4420377420416983</c:v>
                </c:pt>
                <c:pt idx="259">
                  <c:v>0.5011551911351475</c:v>
                </c:pt>
                <c:pt idx="260">
                  <c:v>0.76803747280879264</c:v>
                </c:pt>
                <c:pt idx="261">
                  <c:v>-1.2717665543413688</c:v>
                </c:pt>
                <c:pt idx="262">
                  <c:v>-2.5876977619192516</c:v>
                </c:pt>
                <c:pt idx="263">
                  <c:v>-2.2101974253781123</c:v>
                </c:pt>
                <c:pt idx="264">
                  <c:v>-3.5474716527514261</c:v>
                </c:pt>
                <c:pt idx="265">
                  <c:v>-2.4814417856663695</c:v>
                </c:pt>
                <c:pt idx="266">
                  <c:v>0.29873499374785695</c:v>
                </c:pt>
                <c:pt idx="267">
                  <c:v>2.1447251277971375</c:v>
                </c:pt>
                <c:pt idx="268">
                  <c:v>-4.9158340005989558</c:v>
                </c:pt>
                <c:pt idx="269">
                  <c:v>-2.9867549383767411</c:v>
                </c:pt>
                <c:pt idx="270">
                  <c:v>-13.41231339369056</c:v>
                </c:pt>
                <c:pt idx="271">
                  <c:v>-8.6002920463916617</c:v>
                </c:pt>
                <c:pt idx="272">
                  <c:v>-5.2548007681025162</c:v>
                </c:pt>
                <c:pt idx="273">
                  <c:v>1.6846606431015623</c:v>
                </c:pt>
                <c:pt idx="274">
                  <c:v>2.1833368167417326</c:v>
                </c:pt>
                <c:pt idx="275">
                  <c:v>-4.7919968755688096</c:v>
                </c:pt>
                <c:pt idx="276">
                  <c:v>-17.356672779976076</c:v>
                </c:pt>
                <c:pt idx="277">
                  <c:v>11.619211790177296</c:v>
                </c:pt>
                <c:pt idx="278">
                  <c:v>7.1371219196891857</c:v>
                </c:pt>
                <c:pt idx="279">
                  <c:v>2.4258954066720015</c:v>
                </c:pt>
                <c:pt idx="280">
                  <c:v>6.2233656068951682</c:v>
                </c:pt>
                <c:pt idx="281">
                  <c:v>0.69875687951256538</c:v>
                </c:pt>
                <c:pt idx="282">
                  <c:v>2.752648892520476</c:v>
                </c:pt>
                <c:pt idx="283">
                  <c:v>0.21254063629547204</c:v>
                </c:pt>
                <c:pt idx="284">
                  <c:v>0.14955036762974316</c:v>
                </c:pt>
                <c:pt idx="285">
                  <c:v>0.54566795133963808</c:v>
                </c:pt>
                <c:pt idx="286">
                  <c:v>0.3167560718138418</c:v>
                </c:pt>
                <c:pt idx="287">
                  <c:v>0.28478540043308698</c:v>
                </c:pt>
                <c:pt idx="288">
                  <c:v>-0.16769506959015246</c:v>
                </c:pt>
                <c:pt idx="289">
                  <c:v>0.47396177599794953</c:v>
                </c:pt>
                <c:pt idx="290">
                  <c:v>-0.93622460013408926</c:v>
                </c:pt>
                <c:pt idx="291">
                  <c:v>0.5854911719254261</c:v>
                </c:pt>
                <c:pt idx="292">
                  <c:v>0.22670674206024444</c:v>
                </c:pt>
                <c:pt idx="293">
                  <c:v>0.3732066747520193</c:v>
                </c:pt>
                <c:pt idx="294">
                  <c:v>-6.8509097307483557E-2</c:v>
                </c:pt>
                <c:pt idx="295">
                  <c:v>-1.3559601040950255</c:v>
                </c:pt>
                <c:pt idx="296">
                  <c:v>-4.7398521171029344</c:v>
                </c:pt>
                <c:pt idx="297">
                  <c:v>1.8333053342592081</c:v>
                </c:pt>
                <c:pt idx="298">
                  <c:v>-7.9038089385598198E-2</c:v>
                </c:pt>
                <c:pt idx="299">
                  <c:v>-1.0961067471912713</c:v>
                </c:pt>
                <c:pt idx="300">
                  <c:v>0.88382472961951208</c:v>
                </c:pt>
                <c:pt idx="301">
                  <c:v>-0.1608813111057259</c:v>
                </c:pt>
                <c:pt idx="302">
                  <c:v>-0.19909701585700645</c:v>
                </c:pt>
                <c:pt idx="303">
                  <c:v>-3.4078225192507787</c:v>
                </c:pt>
                <c:pt idx="304">
                  <c:v>5.2540636295475451E-2</c:v>
                </c:pt>
                <c:pt idx="305">
                  <c:v>2.6175111730597678</c:v>
                </c:pt>
                <c:pt idx="306">
                  <c:v>0.56510882294355724</c:v>
                </c:pt>
                <c:pt idx="307">
                  <c:v>2.5960694937571276</c:v>
                </c:pt>
                <c:pt idx="308">
                  <c:v>0.72277499601655393</c:v>
                </c:pt>
                <c:pt idx="309">
                  <c:v>0.43513761309698396</c:v>
                </c:pt>
                <c:pt idx="310">
                  <c:v>1.7036767403587234</c:v>
                </c:pt>
                <c:pt idx="311">
                  <c:v>-0.4417254751410411</c:v>
                </c:pt>
                <c:pt idx="312">
                  <c:v>4.5215733004006609E-2</c:v>
                </c:pt>
                <c:pt idx="313">
                  <c:v>1.9084019745195917</c:v>
                </c:pt>
                <c:pt idx="314">
                  <c:v>2.4852938529110347</c:v>
                </c:pt>
                <c:pt idx="315">
                  <c:v>-7.0804537363244435E-2</c:v>
                </c:pt>
                <c:pt idx="316">
                  <c:v>-0.43991238973888613</c:v>
                </c:pt>
                <c:pt idx="317">
                  <c:v>2.7262641204424227</c:v>
                </c:pt>
                <c:pt idx="318">
                  <c:v>3.0428421730412225</c:v>
                </c:pt>
                <c:pt idx="319">
                  <c:v>1.5629888161374694</c:v>
                </c:pt>
                <c:pt idx="320">
                  <c:v>2.0837631108190067</c:v>
                </c:pt>
                <c:pt idx="321">
                  <c:v>-2.9090111468285329E-2</c:v>
                </c:pt>
                <c:pt idx="322">
                  <c:v>2.7107824388710853</c:v>
                </c:pt>
                <c:pt idx="323">
                  <c:v>-1.7844238037788216</c:v>
                </c:pt>
                <c:pt idx="324">
                  <c:v>-3.2773647426909704</c:v>
                </c:pt>
                <c:pt idx="325">
                  <c:v>0.66095921828529924</c:v>
                </c:pt>
                <c:pt idx="326">
                  <c:v>-1.3499918558104582</c:v>
                </c:pt>
                <c:pt idx="327">
                  <c:v>2.5233122386479252</c:v>
                </c:pt>
                <c:pt idx="328">
                  <c:v>0.22619425108865698</c:v>
                </c:pt>
                <c:pt idx="329">
                  <c:v>1.2693804926042347</c:v>
                </c:pt>
                <c:pt idx="330">
                  <c:v>1.6258214988245996</c:v>
                </c:pt>
                <c:pt idx="331">
                  <c:v>-1.340420649384555E-2</c:v>
                </c:pt>
                <c:pt idx="332">
                  <c:v>-0.943786555475711</c:v>
                </c:pt>
                <c:pt idx="333">
                  <c:v>2.2939782771044861</c:v>
                </c:pt>
                <c:pt idx="334">
                  <c:v>2.3731642493871306</c:v>
                </c:pt>
                <c:pt idx="335">
                  <c:v>1.4329874699729288</c:v>
                </c:pt>
                <c:pt idx="336">
                  <c:v>1.5204480734782777</c:v>
                </c:pt>
                <c:pt idx="337">
                  <c:v>2.0288008246079841</c:v>
                </c:pt>
                <c:pt idx="338">
                  <c:v>0.71339860910819652</c:v>
                </c:pt>
                <c:pt idx="339">
                  <c:v>-0.58908186091503012</c:v>
                </c:pt>
                <c:pt idx="340">
                  <c:v>-3.8258236479890684E-2</c:v>
                </c:pt>
                <c:pt idx="341">
                  <c:v>-3.390297431049845</c:v>
                </c:pt>
                <c:pt idx="342">
                  <c:v>3.1449677380714718</c:v>
                </c:pt>
                <c:pt idx="343">
                  <c:v>-3.1359052161172656</c:v>
                </c:pt>
                <c:pt idx="344">
                  <c:v>-1.0973263558197317</c:v>
                </c:pt>
                <c:pt idx="345">
                  <c:v>-3.2222379661126155</c:v>
                </c:pt>
                <c:pt idx="346">
                  <c:v>2.5559585452030262</c:v>
                </c:pt>
                <c:pt idx="347">
                  <c:v>1.6083307590012907</c:v>
                </c:pt>
                <c:pt idx="348">
                  <c:v>-0.10178709394155305</c:v>
                </c:pt>
                <c:pt idx="349">
                  <c:v>2.7760462618278723</c:v>
                </c:pt>
                <c:pt idx="350">
                  <c:v>0.59058511985671203</c:v>
                </c:pt>
                <c:pt idx="351">
                  <c:v>3.3768301532272318</c:v>
                </c:pt>
                <c:pt idx="352">
                  <c:v>3.1985061922509317</c:v>
                </c:pt>
                <c:pt idx="353">
                  <c:v>2.8673783387409628</c:v>
                </c:pt>
                <c:pt idx="354">
                  <c:v>2.5215348477879189</c:v>
                </c:pt>
                <c:pt idx="355">
                  <c:v>0.61084826973120698</c:v>
                </c:pt>
                <c:pt idx="356">
                  <c:v>-1.7945635424863582</c:v>
                </c:pt>
                <c:pt idx="357">
                  <c:v>0.36930927708593231</c:v>
                </c:pt>
                <c:pt idx="358">
                  <c:v>-2.7089064276653545</c:v>
                </c:pt>
                <c:pt idx="359">
                  <c:v>-1.006376627888514</c:v>
                </c:pt>
                <c:pt idx="360">
                  <c:v>-10.721670587163274</c:v>
                </c:pt>
                <c:pt idx="361">
                  <c:v>4.4594092827576617</c:v>
                </c:pt>
                <c:pt idx="362">
                  <c:v>-3.4257967246958287E-2</c:v>
                </c:pt>
                <c:pt idx="363">
                  <c:v>0.54408518716491017</c:v>
                </c:pt>
                <c:pt idx="364">
                  <c:v>4.519820421892959</c:v>
                </c:pt>
                <c:pt idx="365">
                  <c:v>1.9661531718883367</c:v>
                </c:pt>
                <c:pt idx="366">
                  <c:v>3.8392215604610982</c:v>
                </c:pt>
                <c:pt idx="367">
                  <c:v>4.6358681362491154</c:v>
                </c:pt>
                <c:pt idx="368">
                  <c:v>1.2920734365838484</c:v>
                </c:pt>
                <c:pt idx="369">
                  <c:v>2.9549458523067642</c:v>
                </c:pt>
                <c:pt idx="370">
                  <c:v>1.3388474620324899</c:v>
                </c:pt>
                <c:pt idx="371">
                  <c:v>2.6217198777554103</c:v>
                </c:pt>
                <c:pt idx="372">
                  <c:v>-0.33922159962253318</c:v>
                </c:pt>
                <c:pt idx="373">
                  <c:v>14.981729474473198</c:v>
                </c:pt>
                <c:pt idx="374">
                  <c:v>7.1380608783040458</c:v>
                </c:pt>
                <c:pt idx="375">
                  <c:v>-12.327949795345404</c:v>
                </c:pt>
                <c:pt idx="376">
                  <c:v>13.726875444487177</c:v>
                </c:pt>
                <c:pt idx="377">
                  <c:v>-9.1641263055267217</c:v>
                </c:pt>
                <c:pt idx="378">
                  <c:v>-4.1690269729372602</c:v>
                </c:pt>
                <c:pt idx="379">
                  <c:v>2.7013265858911808</c:v>
                </c:pt>
                <c:pt idx="380">
                  <c:v>3.0400027595313617</c:v>
                </c:pt>
                <c:pt idx="381">
                  <c:v>-0.65737012734916789</c:v>
                </c:pt>
                <c:pt idx="382">
                  <c:v>4.3377182623579529</c:v>
                </c:pt>
                <c:pt idx="383">
                  <c:v>-1.1433410679628082</c:v>
                </c:pt>
                <c:pt idx="384">
                  <c:v>7.7051199393918921</c:v>
                </c:pt>
                <c:pt idx="385">
                  <c:v>1.8166287957191969</c:v>
                </c:pt>
                <c:pt idx="386">
                  <c:v>3.6219227549939603</c:v>
                </c:pt>
                <c:pt idx="387">
                  <c:v>4.7300302035202435</c:v>
                </c:pt>
                <c:pt idx="388">
                  <c:v>-3.2482252342668545</c:v>
                </c:pt>
                <c:pt idx="389">
                  <c:v>-7.9088227495341528</c:v>
                </c:pt>
                <c:pt idx="390">
                  <c:v>3.6418254416513065</c:v>
                </c:pt>
                <c:pt idx="391">
                  <c:v>-7.0389200628767981</c:v>
                </c:pt>
                <c:pt idx="392">
                  <c:v>-2.8962916035927577</c:v>
                </c:pt>
                <c:pt idx="393">
                  <c:v>2.7803755117954125</c:v>
                </c:pt>
                <c:pt idx="394">
                  <c:v>-2.1500561669400611</c:v>
                </c:pt>
                <c:pt idx="395">
                  <c:v>-5.1337028773445041</c:v>
                </c:pt>
                <c:pt idx="396">
                  <c:v>1.0250527623672383</c:v>
                </c:pt>
                <c:pt idx="397">
                  <c:v>-2.4467904593529113</c:v>
                </c:pt>
                <c:pt idx="398">
                  <c:v>3.0170138370301629</c:v>
                </c:pt>
                <c:pt idx="399">
                  <c:v>-3.2890845532441091</c:v>
                </c:pt>
                <c:pt idx="400">
                  <c:v>-5.1559860283533823</c:v>
                </c:pt>
                <c:pt idx="401">
                  <c:v>2.2239166583039633</c:v>
                </c:pt>
                <c:pt idx="402">
                  <c:v>-3.4812306578745478</c:v>
                </c:pt>
                <c:pt idx="403">
                  <c:v>-3.1294066295900365</c:v>
                </c:pt>
                <c:pt idx="404">
                  <c:v>8.3475153851194079</c:v>
                </c:pt>
                <c:pt idx="405">
                  <c:v>1.0612594088665048</c:v>
                </c:pt>
                <c:pt idx="406">
                  <c:v>-3.2891818665867589</c:v>
                </c:pt>
                <c:pt idx="407">
                  <c:v>2.7848088059283498</c:v>
                </c:pt>
                <c:pt idx="408">
                  <c:v>1.5767986707447079</c:v>
                </c:pt>
                <c:pt idx="409">
                  <c:v>-0.40701522235616494</c:v>
                </c:pt>
                <c:pt idx="410">
                  <c:v>-4.0763190475816629</c:v>
                </c:pt>
                <c:pt idx="411">
                  <c:v>-5.0222694485951394</c:v>
                </c:pt>
                <c:pt idx="412">
                  <c:v>0.74043713059593586</c:v>
                </c:pt>
                <c:pt idx="413">
                  <c:v>-6.0325531380698294</c:v>
                </c:pt>
                <c:pt idx="414">
                  <c:v>2.1780457233620609</c:v>
                </c:pt>
                <c:pt idx="415">
                  <c:v>2.3043003534503725</c:v>
                </c:pt>
                <c:pt idx="416">
                  <c:v>2.1218294801449673</c:v>
                </c:pt>
                <c:pt idx="417">
                  <c:v>-4.7633178360335791</c:v>
                </c:pt>
                <c:pt idx="418">
                  <c:v>2.9634671322974384</c:v>
                </c:pt>
                <c:pt idx="419">
                  <c:v>3.4095353862537365</c:v>
                </c:pt>
                <c:pt idx="420">
                  <c:v>0.20082907629559088</c:v>
                </c:pt>
                <c:pt idx="421">
                  <c:v>-3.6092983733650357</c:v>
                </c:pt>
                <c:pt idx="422">
                  <c:v>1.1620158562769944</c:v>
                </c:pt>
                <c:pt idx="423">
                  <c:v>1.1747608223392803</c:v>
                </c:pt>
                <c:pt idx="424">
                  <c:v>-2.9024942115984089</c:v>
                </c:pt>
                <c:pt idx="425">
                  <c:v>2.2681238432690947</c:v>
                </c:pt>
                <c:pt idx="426">
                  <c:v>-5.4856828678850889E-2</c:v>
                </c:pt>
                <c:pt idx="427">
                  <c:v>-7.5377881708731707</c:v>
                </c:pt>
                <c:pt idx="428">
                  <c:v>-0.19605185921351165</c:v>
                </c:pt>
                <c:pt idx="429">
                  <c:v>4.5305069999496794</c:v>
                </c:pt>
                <c:pt idx="430">
                  <c:v>6.9573495485875299</c:v>
                </c:pt>
                <c:pt idx="431">
                  <c:v>1.4643976667930474</c:v>
                </c:pt>
                <c:pt idx="432">
                  <c:v>-2.4196711256290939</c:v>
                </c:pt>
                <c:pt idx="433">
                  <c:v>-2.7134452856941778</c:v>
                </c:pt>
                <c:pt idx="434">
                  <c:v>-4.9905331369354826</c:v>
                </c:pt>
                <c:pt idx="435">
                  <c:v>0.96383028784367752</c:v>
                </c:pt>
                <c:pt idx="436">
                  <c:v>-0.30508159168212501</c:v>
                </c:pt>
                <c:pt idx="437">
                  <c:v>1.099692972232333</c:v>
                </c:pt>
                <c:pt idx="438">
                  <c:v>-2.657562061705363</c:v>
                </c:pt>
                <c:pt idx="439">
                  <c:v>1.7871343823020709</c:v>
                </c:pt>
                <c:pt idx="440">
                  <c:v>-2.0410717257313848</c:v>
                </c:pt>
                <c:pt idx="441">
                  <c:v>1.0616540468952849</c:v>
                </c:pt>
                <c:pt idx="442">
                  <c:v>-0.96572843670303143</c:v>
                </c:pt>
                <c:pt idx="443">
                  <c:v>2.5008893489315511</c:v>
                </c:pt>
                <c:pt idx="444">
                  <c:v>3.5118596164629281</c:v>
                </c:pt>
                <c:pt idx="445">
                  <c:v>0.55531995073538098</c:v>
                </c:pt>
                <c:pt idx="446">
                  <c:v>4.2205453868209304</c:v>
                </c:pt>
                <c:pt idx="447">
                  <c:v>1.9224173986944777</c:v>
                </c:pt>
                <c:pt idx="448">
                  <c:v>1.8643387403216281</c:v>
                </c:pt>
                <c:pt idx="449">
                  <c:v>-1.8647595153362033</c:v>
                </c:pt>
                <c:pt idx="450">
                  <c:v>-0.74165139372766475</c:v>
                </c:pt>
                <c:pt idx="451">
                  <c:v>2.7361134388525556</c:v>
                </c:pt>
                <c:pt idx="452">
                  <c:v>4.9083582029901578</c:v>
                </c:pt>
                <c:pt idx="453">
                  <c:v>2.2678771945010823</c:v>
                </c:pt>
                <c:pt idx="454">
                  <c:v>1.4629847776438396</c:v>
                </c:pt>
                <c:pt idx="455">
                  <c:v>1.4975140389548471</c:v>
                </c:pt>
                <c:pt idx="456">
                  <c:v>-5.5877018004128729</c:v>
                </c:pt>
                <c:pt idx="457">
                  <c:v>-0.19340689882295692</c:v>
                </c:pt>
                <c:pt idx="458">
                  <c:v>3.2706029671277861</c:v>
                </c:pt>
                <c:pt idx="459">
                  <c:v>-2.5211621346853264</c:v>
                </c:pt>
                <c:pt idx="460">
                  <c:v>-2.9372303886416518</c:v>
                </c:pt>
                <c:pt idx="461">
                  <c:v>-3.8381417297016043</c:v>
                </c:pt>
                <c:pt idx="462">
                  <c:v>-0.76001374157517887</c:v>
                </c:pt>
                <c:pt idx="463">
                  <c:v>0.20800599032627076</c:v>
                </c:pt>
                <c:pt idx="464">
                  <c:v>-1.3614842110312537</c:v>
                </c:pt>
                <c:pt idx="465">
                  <c:v>-4.6309840091065695</c:v>
                </c:pt>
                <c:pt idx="466">
                  <c:v>-0.51190494688434285</c:v>
                </c:pt>
                <c:pt idx="467">
                  <c:v>3.2004480734782845</c:v>
                </c:pt>
                <c:pt idx="468">
                  <c:v>0.41021236759264923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C-4A27-B463-6163821B0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696"/>
        <c:axId val="3116096"/>
      </c:scatterChart>
      <c:valAx>
        <c:axId val="311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6096"/>
        <c:crosses val="autoZero"/>
        <c:crossBetween val="midCat"/>
      </c:valAx>
      <c:valAx>
        <c:axId val="31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остатков</a:t>
            </a:r>
          </a:p>
        </c:rich>
      </c:tx>
      <c:layout>
        <c:manualLayout>
          <c:xMode val="edge"/>
          <c:yMode val="edge"/>
          <c:x val="0.32544562563202578"/>
          <c:y val="2.5229014558664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'AR(2)'!$H$28:$H$495</c:f>
              <c:numCache>
                <c:formatCode>General</c:formatCode>
                <c:ptCount val="468"/>
                <c:pt idx="0">
                  <c:v>-1.5414581297866832</c:v>
                </c:pt>
                <c:pt idx="1">
                  <c:v>-0.71186985364052902</c:v>
                </c:pt>
                <c:pt idx="2">
                  <c:v>-1.3372467471960263</c:v>
                </c:pt>
                <c:pt idx="3">
                  <c:v>5.0889747760720994</c:v>
                </c:pt>
                <c:pt idx="4">
                  <c:v>-4.6995221929783781E-2</c:v>
                </c:pt>
                <c:pt idx="5">
                  <c:v>0.32521867875639288</c:v>
                </c:pt>
                <c:pt idx="6">
                  <c:v>-2.7462687667058674</c:v>
                </c:pt>
                <c:pt idx="7">
                  <c:v>1.2135610849552805</c:v>
                </c:pt>
                <c:pt idx="8">
                  <c:v>-2.9780128576301905</c:v>
                </c:pt>
                <c:pt idx="9">
                  <c:v>-3.3143177227470559</c:v>
                </c:pt>
                <c:pt idx="10">
                  <c:v>4.2779728149331717</c:v>
                </c:pt>
                <c:pt idx="11">
                  <c:v>-0.32638963594771297</c:v>
                </c:pt>
                <c:pt idx="12">
                  <c:v>2.6402182867160704</c:v>
                </c:pt>
                <c:pt idx="13">
                  <c:v>2.6002045959516238</c:v>
                </c:pt>
                <c:pt idx="14">
                  <c:v>0.99193756564724112</c:v>
                </c:pt>
                <c:pt idx="15">
                  <c:v>1.621644143877603</c:v>
                </c:pt>
                <c:pt idx="16">
                  <c:v>1.5192255739576197</c:v>
                </c:pt>
                <c:pt idx="17">
                  <c:v>8.0945188265673096E-2</c:v>
                </c:pt>
                <c:pt idx="18">
                  <c:v>-1.1380403406716511</c:v>
                </c:pt>
                <c:pt idx="19">
                  <c:v>-0.74617954183440816</c:v>
                </c:pt>
                <c:pt idx="20">
                  <c:v>1.4492631178482824</c:v>
                </c:pt>
                <c:pt idx="21">
                  <c:v>0.23226529815235608</c:v>
                </c:pt>
                <c:pt idx="22">
                  <c:v>-0.26755316066448387</c:v>
                </c:pt>
                <c:pt idx="23">
                  <c:v>7.691540824135501E-2</c:v>
                </c:pt>
                <c:pt idx="24">
                  <c:v>-2.1552962535297624</c:v>
                </c:pt>
                <c:pt idx="25">
                  <c:v>-5.458589536429578</c:v>
                </c:pt>
                <c:pt idx="26">
                  <c:v>-0.42151681555288434</c:v>
                </c:pt>
                <c:pt idx="27">
                  <c:v>-2.5868458777114753</c:v>
                </c:pt>
                <c:pt idx="28">
                  <c:v>-1.310516488714633</c:v>
                </c:pt>
                <c:pt idx="29">
                  <c:v>-3.0919455601557075</c:v>
                </c:pt>
                <c:pt idx="30">
                  <c:v>-1.7705958157056116</c:v>
                </c:pt>
                <c:pt idx="31">
                  <c:v>-2.0129767590980094</c:v>
                </c:pt>
                <c:pt idx="32">
                  <c:v>-0.77951296885060373</c:v>
                </c:pt>
                <c:pt idx="33">
                  <c:v>5.7223660504520097</c:v>
                </c:pt>
                <c:pt idx="34">
                  <c:v>-2.289948968600676</c:v>
                </c:pt>
                <c:pt idx="35">
                  <c:v>0.18097984143935975</c:v>
                </c:pt>
                <c:pt idx="36">
                  <c:v>-0.1950703502711022</c:v>
                </c:pt>
                <c:pt idx="37">
                  <c:v>-0.835488098789682</c:v>
                </c:pt>
                <c:pt idx="38">
                  <c:v>3.1390846279759401</c:v>
                </c:pt>
                <c:pt idx="39">
                  <c:v>-2.0268039670886111</c:v>
                </c:pt>
                <c:pt idx="40">
                  <c:v>-1.77812123582396</c:v>
                </c:pt>
                <c:pt idx="41">
                  <c:v>-0.30185160954331991</c:v>
                </c:pt>
                <c:pt idx="42">
                  <c:v>0.73708411831953669</c:v>
                </c:pt>
                <c:pt idx="43">
                  <c:v>-3.6114216250947067</c:v>
                </c:pt>
                <c:pt idx="44">
                  <c:v>-2.1173295104403493</c:v>
                </c:pt>
                <c:pt idx="45">
                  <c:v>-0.29209085875010743</c:v>
                </c:pt>
                <c:pt idx="46">
                  <c:v>-0.40923321421355041</c:v>
                </c:pt>
                <c:pt idx="47">
                  <c:v>-3.7936818622139654</c:v>
                </c:pt>
                <c:pt idx="48">
                  <c:v>-1.2531442765179506</c:v>
                </c:pt>
                <c:pt idx="49">
                  <c:v>0.17593290273352125</c:v>
                </c:pt>
                <c:pt idx="50">
                  <c:v>0.30283652145522666</c:v>
                </c:pt>
                <c:pt idx="51">
                  <c:v>-2.7768348131827096</c:v>
                </c:pt>
                <c:pt idx="52">
                  <c:v>-4.2851359227363695</c:v>
                </c:pt>
                <c:pt idx="53">
                  <c:v>-1.5450954574355222</c:v>
                </c:pt>
                <c:pt idx="54">
                  <c:v>2.2433932415978894</c:v>
                </c:pt>
                <c:pt idx="55">
                  <c:v>-1.21004549580692</c:v>
                </c:pt>
                <c:pt idx="56">
                  <c:v>-3.5352693183995179</c:v>
                </c:pt>
                <c:pt idx="57">
                  <c:v>1.6256615391988056</c:v>
                </c:pt>
                <c:pt idx="58">
                  <c:v>0.67378367472695189</c:v>
                </c:pt>
                <c:pt idx="59">
                  <c:v>2.5482189248322982</c:v>
                </c:pt>
                <c:pt idx="60">
                  <c:v>2.5976821893563056</c:v>
                </c:pt>
                <c:pt idx="61">
                  <c:v>1.4697350023951117E-3</c:v>
                </c:pt>
                <c:pt idx="62">
                  <c:v>0.71978905090193734</c:v>
                </c:pt>
                <c:pt idx="63">
                  <c:v>-3.0641832478287441</c:v>
                </c:pt>
                <c:pt idx="64">
                  <c:v>-0.27159394383117785</c:v>
                </c:pt>
                <c:pt idx="65">
                  <c:v>4.1354872602210122</c:v>
                </c:pt>
                <c:pt idx="66">
                  <c:v>-4.8430148005536466E-2</c:v>
                </c:pt>
                <c:pt idx="67">
                  <c:v>2.0794523486900616</c:v>
                </c:pt>
                <c:pt idx="68">
                  <c:v>-0.55048393749723346</c:v>
                </c:pt>
                <c:pt idx="69">
                  <c:v>0.94911310057430143</c:v>
                </c:pt>
                <c:pt idx="70">
                  <c:v>2.1926829923491056</c:v>
                </c:pt>
                <c:pt idx="71">
                  <c:v>0.3025221774057556</c:v>
                </c:pt>
                <c:pt idx="72">
                  <c:v>7.7274701660812184E-3</c:v>
                </c:pt>
                <c:pt idx="73">
                  <c:v>0.94749838569917699</c:v>
                </c:pt>
                <c:pt idx="74">
                  <c:v>-2.5776326718779359</c:v>
                </c:pt>
                <c:pt idx="75">
                  <c:v>0.77662789543143873</c:v>
                </c:pt>
                <c:pt idx="76">
                  <c:v>-0.81958137065289804</c:v>
                </c:pt>
                <c:pt idx="77">
                  <c:v>-2.1788323872365112</c:v>
                </c:pt>
                <c:pt idx="78">
                  <c:v>-0.66060095239900107</c:v>
                </c:pt>
                <c:pt idx="79">
                  <c:v>-1.3724978639243801</c:v>
                </c:pt>
                <c:pt idx="80">
                  <c:v>-2.7917778915813614</c:v>
                </c:pt>
                <c:pt idx="81">
                  <c:v>-1.112900762091563</c:v>
                </c:pt>
                <c:pt idx="82">
                  <c:v>2.0454888945216965</c:v>
                </c:pt>
                <c:pt idx="83">
                  <c:v>3.5747689198005759</c:v>
                </c:pt>
                <c:pt idx="84">
                  <c:v>-0.66859785908739866</c:v>
                </c:pt>
                <c:pt idx="85">
                  <c:v>-2.1687948032164286</c:v>
                </c:pt>
                <c:pt idx="86">
                  <c:v>0.73974908394668404</c:v>
                </c:pt>
                <c:pt idx="87">
                  <c:v>-1.9405511324488813</c:v>
                </c:pt>
                <c:pt idx="88">
                  <c:v>0.10345844093496481</c:v>
                </c:pt>
                <c:pt idx="89">
                  <c:v>1.6680192175056092</c:v>
                </c:pt>
                <c:pt idx="90">
                  <c:v>2.5293139793022448</c:v>
                </c:pt>
                <c:pt idx="91">
                  <c:v>0.3731584488913029</c:v>
                </c:pt>
                <c:pt idx="92">
                  <c:v>1.338123945596692E-2</c:v>
                </c:pt>
                <c:pt idx="93">
                  <c:v>-1.4098195877952904</c:v>
                </c:pt>
                <c:pt idx="94">
                  <c:v>-3.9595683033784965</c:v>
                </c:pt>
                <c:pt idx="95">
                  <c:v>-0.85250670373049786</c:v>
                </c:pt>
                <c:pt idx="96">
                  <c:v>0.33989792744129943</c:v>
                </c:pt>
                <c:pt idx="97">
                  <c:v>1.7927769004539726</c:v>
                </c:pt>
                <c:pt idx="98">
                  <c:v>0.97798332916939046</c:v>
                </c:pt>
                <c:pt idx="99">
                  <c:v>2.0146919899371838</c:v>
                </c:pt>
                <c:pt idx="100">
                  <c:v>0.5710557486745742</c:v>
                </c:pt>
                <c:pt idx="101">
                  <c:v>-0.2042460594776685</c:v>
                </c:pt>
                <c:pt idx="102">
                  <c:v>1.4780005979021169</c:v>
                </c:pt>
                <c:pt idx="103">
                  <c:v>-0.53708863168905907</c:v>
                </c:pt>
                <c:pt idx="104">
                  <c:v>-1.3986036782759044</c:v>
                </c:pt>
                <c:pt idx="105">
                  <c:v>-0.31597368700368378</c:v>
                </c:pt>
                <c:pt idx="106">
                  <c:v>0.76927546242521316</c:v>
                </c:pt>
                <c:pt idx="107">
                  <c:v>0.35899117095294741</c:v>
                </c:pt>
                <c:pt idx="108">
                  <c:v>-0.64644693301886491</c:v>
                </c:pt>
                <c:pt idx="109">
                  <c:v>0.22007650232867348</c:v>
                </c:pt>
                <c:pt idx="110">
                  <c:v>0.63192249332206529</c:v>
                </c:pt>
                <c:pt idx="111">
                  <c:v>-0.67414962672267364</c:v>
                </c:pt>
                <c:pt idx="112">
                  <c:v>-3.1687906442656129</c:v>
                </c:pt>
                <c:pt idx="113">
                  <c:v>-2.415425024964577</c:v>
                </c:pt>
                <c:pt idx="114">
                  <c:v>-0.77707092131067412</c:v>
                </c:pt>
                <c:pt idx="115">
                  <c:v>1.6854082567893585</c:v>
                </c:pt>
                <c:pt idx="116">
                  <c:v>1.7636146103962247</c:v>
                </c:pt>
                <c:pt idx="117">
                  <c:v>1.5826473307428586</c:v>
                </c:pt>
                <c:pt idx="118">
                  <c:v>-2.4051427480554892</c:v>
                </c:pt>
                <c:pt idx="119">
                  <c:v>-1.983612331517925</c:v>
                </c:pt>
                <c:pt idx="120">
                  <c:v>-1.9616043872479949</c:v>
                </c:pt>
                <c:pt idx="121">
                  <c:v>-0.25317915404353641</c:v>
                </c:pt>
                <c:pt idx="122">
                  <c:v>1.9758439376601302</c:v>
                </c:pt>
                <c:pt idx="123">
                  <c:v>0.58793634323631494</c:v>
                </c:pt>
                <c:pt idx="124">
                  <c:v>-2.0004851820992187</c:v>
                </c:pt>
                <c:pt idx="125">
                  <c:v>-1.9896991932671639</c:v>
                </c:pt>
                <c:pt idx="126">
                  <c:v>-1.3621578293498686</c:v>
                </c:pt>
                <c:pt idx="127">
                  <c:v>-2.3709512367284233</c:v>
                </c:pt>
                <c:pt idx="128">
                  <c:v>1.4229157870630331</c:v>
                </c:pt>
                <c:pt idx="129">
                  <c:v>-6.4168817869266093E-2</c:v>
                </c:pt>
                <c:pt idx="130">
                  <c:v>0.25683797059613767</c:v>
                </c:pt>
                <c:pt idx="131">
                  <c:v>0.59703089986741276</c:v>
                </c:pt>
                <c:pt idx="132">
                  <c:v>1.5417794713940438</c:v>
                </c:pt>
                <c:pt idx="133">
                  <c:v>0.88140922365169416</c:v>
                </c:pt>
                <c:pt idx="134">
                  <c:v>-0.74246746891216731</c:v>
                </c:pt>
                <c:pt idx="135">
                  <c:v>-1.7340308877490074</c:v>
                </c:pt>
                <c:pt idx="136">
                  <c:v>5.329220118507294E-2</c:v>
                </c:pt>
                <c:pt idx="137">
                  <c:v>-1.2414620667637024</c:v>
                </c:pt>
                <c:pt idx="138">
                  <c:v>1.7369033848488868</c:v>
                </c:pt>
                <c:pt idx="139">
                  <c:v>0.12257224771772002</c:v>
                </c:pt>
                <c:pt idx="140">
                  <c:v>0.80175381393706857</c:v>
                </c:pt>
                <c:pt idx="141">
                  <c:v>1.3718801481148901</c:v>
                </c:pt>
                <c:pt idx="142">
                  <c:v>-1.8427620313931072</c:v>
                </c:pt>
                <c:pt idx="143">
                  <c:v>0.4697182685425787</c:v>
                </c:pt>
                <c:pt idx="144">
                  <c:v>0.74162089298766176</c:v>
                </c:pt>
                <c:pt idx="145">
                  <c:v>0.5209794635549656</c:v>
                </c:pt>
                <c:pt idx="146">
                  <c:v>1.8577120412102701</c:v>
                </c:pt>
                <c:pt idx="147">
                  <c:v>2.1625505224815669</c:v>
                </c:pt>
                <c:pt idx="148">
                  <c:v>-1.5332049012717235</c:v>
                </c:pt>
                <c:pt idx="149">
                  <c:v>1.6441059304785597</c:v>
                </c:pt>
                <c:pt idx="150">
                  <c:v>0.11640779010752311</c:v>
                </c:pt>
                <c:pt idx="151">
                  <c:v>-1.0036835697153705</c:v>
                </c:pt>
                <c:pt idx="152">
                  <c:v>0.2218006298400752</c:v>
                </c:pt>
                <c:pt idx="153">
                  <c:v>0.58450630399561021</c:v>
                </c:pt>
                <c:pt idx="154">
                  <c:v>1.8684839850253425</c:v>
                </c:pt>
                <c:pt idx="155">
                  <c:v>1.2623404236850035</c:v>
                </c:pt>
                <c:pt idx="156">
                  <c:v>1.7453183989884096</c:v>
                </c:pt>
                <c:pt idx="157">
                  <c:v>0.34852061255660516</c:v>
                </c:pt>
                <c:pt idx="158">
                  <c:v>1.3263897514865377</c:v>
                </c:pt>
                <c:pt idx="159">
                  <c:v>8.7110259926461708E-2</c:v>
                </c:pt>
                <c:pt idx="160">
                  <c:v>-3.3055803395257826</c:v>
                </c:pt>
                <c:pt idx="161">
                  <c:v>-1.2140365250931424</c:v>
                </c:pt>
                <c:pt idx="162">
                  <c:v>1.977471150641442</c:v>
                </c:pt>
                <c:pt idx="163">
                  <c:v>-0.57335894522100972</c:v>
                </c:pt>
                <c:pt idx="164">
                  <c:v>-0.41497785917636776</c:v>
                </c:pt>
                <c:pt idx="165">
                  <c:v>-0.36927710395341506</c:v>
                </c:pt>
                <c:pt idx="166">
                  <c:v>2.8215495721532662</c:v>
                </c:pt>
                <c:pt idx="167">
                  <c:v>0.63637040918555954</c:v>
                </c:pt>
                <c:pt idx="168">
                  <c:v>-1.9546529229369938</c:v>
                </c:pt>
                <c:pt idx="169">
                  <c:v>3.0885271379450217</c:v>
                </c:pt>
                <c:pt idx="170">
                  <c:v>1.3236080779464601</c:v>
                </c:pt>
                <c:pt idx="171">
                  <c:v>0.28817649698495984</c:v>
                </c:pt>
                <c:pt idx="172">
                  <c:v>0.49641813906985988</c:v>
                </c:pt>
                <c:pt idx="173">
                  <c:v>2.2042502938379016</c:v>
                </c:pt>
                <c:pt idx="174">
                  <c:v>0.65863147527107913</c:v>
                </c:pt>
                <c:pt idx="175">
                  <c:v>-0.27629014712891831</c:v>
                </c:pt>
                <c:pt idx="176">
                  <c:v>-3.8963499074670551</c:v>
                </c:pt>
                <c:pt idx="177">
                  <c:v>-1.2480401965786001</c:v>
                </c:pt>
                <c:pt idx="178">
                  <c:v>1.0074150107791269</c:v>
                </c:pt>
                <c:pt idx="179">
                  <c:v>7.2743260469010806E-2</c:v>
                </c:pt>
                <c:pt idx="180">
                  <c:v>7.7340243787649285</c:v>
                </c:pt>
                <c:pt idx="181">
                  <c:v>-0.77315478139412619</c:v>
                </c:pt>
                <c:pt idx="182">
                  <c:v>-1.609362672902904</c:v>
                </c:pt>
                <c:pt idx="183">
                  <c:v>-2.7571080211807981</c:v>
                </c:pt>
                <c:pt idx="184">
                  <c:v>1.3694308218688036</c:v>
                </c:pt>
                <c:pt idx="185">
                  <c:v>-0.54987596382704851</c:v>
                </c:pt>
                <c:pt idx="186">
                  <c:v>-1.439354636053082</c:v>
                </c:pt>
                <c:pt idx="187">
                  <c:v>-1.5707931070290613</c:v>
                </c:pt>
                <c:pt idx="188">
                  <c:v>2.1197894311611947</c:v>
                </c:pt>
                <c:pt idx="189">
                  <c:v>1.4624393173288581</c:v>
                </c:pt>
                <c:pt idx="190">
                  <c:v>-1.1946114492035917</c:v>
                </c:pt>
                <c:pt idx="191">
                  <c:v>0.60510796957116497</c:v>
                </c:pt>
                <c:pt idx="192">
                  <c:v>1.3539802292270053</c:v>
                </c:pt>
                <c:pt idx="193">
                  <c:v>2.5432027732122577</c:v>
                </c:pt>
                <c:pt idx="194">
                  <c:v>2.2103507990878768</c:v>
                </c:pt>
                <c:pt idx="195">
                  <c:v>-2.1960167312797125</c:v>
                </c:pt>
                <c:pt idx="196">
                  <c:v>-2.4212186231599304</c:v>
                </c:pt>
                <c:pt idx="197">
                  <c:v>-2.5055701936615549</c:v>
                </c:pt>
                <c:pt idx="198">
                  <c:v>-2.097823640911102</c:v>
                </c:pt>
                <c:pt idx="199">
                  <c:v>-3.2861190375450562</c:v>
                </c:pt>
                <c:pt idx="200">
                  <c:v>-4.4058722663316061</c:v>
                </c:pt>
                <c:pt idx="201">
                  <c:v>-1.6587133223254114</c:v>
                </c:pt>
                <c:pt idx="202">
                  <c:v>-3.952439121458255</c:v>
                </c:pt>
                <c:pt idx="203">
                  <c:v>1.7550083579860498</c:v>
                </c:pt>
                <c:pt idx="204">
                  <c:v>-1.3783074201111134</c:v>
                </c:pt>
                <c:pt idx="205">
                  <c:v>-4.6477462505263745</c:v>
                </c:pt>
                <c:pt idx="206">
                  <c:v>-1.6353319221941192</c:v>
                </c:pt>
                <c:pt idx="207">
                  <c:v>1.6569551957303261</c:v>
                </c:pt>
                <c:pt idx="208">
                  <c:v>3.3999642084116459</c:v>
                </c:pt>
                <c:pt idx="209">
                  <c:v>0.65369342016596477</c:v>
                </c:pt>
                <c:pt idx="210">
                  <c:v>0.69996412339661163</c:v>
                </c:pt>
                <c:pt idx="211">
                  <c:v>0.51776923439073386</c:v>
                </c:pt>
                <c:pt idx="212">
                  <c:v>-0.30498226611092605</c:v>
                </c:pt>
                <c:pt idx="213">
                  <c:v>0.211317778813779</c:v>
                </c:pt>
                <c:pt idx="214">
                  <c:v>2.6903852467853469</c:v>
                </c:pt>
                <c:pt idx="215">
                  <c:v>-0.94941416497797348</c:v>
                </c:pt>
                <c:pt idx="216">
                  <c:v>0.16907163865522534</c:v>
                </c:pt>
                <c:pt idx="217">
                  <c:v>1.3345953871521203</c:v>
                </c:pt>
                <c:pt idx="218">
                  <c:v>1.4271078202913614</c:v>
                </c:pt>
                <c:pt idx="219">
                  <c:v>-0.14356520862609301</c:v>
                </c:pt>
                <c:pt idx="220">
                  <c:v>2.8029841109084117</c:v>
                </c:pt>
                <c:pt idx="221">
                  <c:v>1.4886333221093366</c:v>
                </c:pt>
                <c:pt idx="222">
                  <c:v>-0.43695078896195128</c:v>
                </c:pt>
                <c:pt idx="223">
                  <c:v>1.5013275680473726</c:v>
                </c:pt>
                <c:pt idx="224">
                  <c:v>-2.4796872147603395</c:v>
                </c:pt>
                <c:pt idx="225">
                  <c:v>-0.91562556125754213</c:v>
                </c:pt>
                <c:pt idx="226">
                  <c:v>0.34633342977983972</c:v>
                </c:pt>
                <c:pt idx="227">
                  <c:v>-1.429515859570806</c:v>
                </c:pt>
                <c:pt idx="228">
                  <c:v>-3.7258597186565581</c:v>
                </c:pt>
                <c:pt idx="229">
                  <c:v>-3.7570724989114268</c:v>
                </c:pt>
                <c:pt idx="230">
                  <c:v>-0.28908745978106509</c:v>
                </c:pt>
                <c:pt idx="231">
                  <c:v>2.1050259974688643</c:v>
                </c:pt>
                <c:pt idx="232">
                  <c:v>3.32284760961263</c:v>
                </c:pt>
                <c:pt idx="233">
                  <c:v>-1.427737228875877</c:v>
                </c:pt>
                <c:pt idx="234">
                  <c:v>1.6909528944947994</c:v>
                </c:pt>
                <c:pt idx="235">
                  <c:v>-2.485033002420451</c:v>
                </c:pt>
                <c:pt idx="236">
                  <c:v>-0.61001036554462473</c:v>
                </c:pt>
                <c:pt idx="237">
                  <c:v>0.44366513416817099</c:v>
                </c:pt>
                <c:pt idx="238">
                  <c:v>-3.4141044238665899</c:v>
                </c:pt>
                <c:pt idx="239">
                  <c:v>2.1403027102710226</c:v>
                </c:pt>
                <c:pt idx="240">
                  <c:v>-9.3365940566968675E-2</c:v>
                </c:pt>
                <c:pt idx="241">
                  <c:v>-0.42414339420361813</c:v>
                </c:pt>
                <c:pt idx="242">
                  <c:v>0.42002040497387583</c:v>
                </c:pt>
                <c:pt idx="243">
                  <c:v>0.27279863750443667</c:v>
                </c:pt>
                <c:pt idx="244">
                  <c:v>3.0259997339931886</c:v>
                </c:pt>
                <c:pt idx="245">
                  <c:v>-2.7477702571851026</c:v>
                </c:pt>
                <c:pt idx="246">
                  <c:v>-3.6858181150225064</c:v>
                </c:pt>
                <c:pt idx="247">
                  <c:v>0.2986798192092337</c:v>
                </c:pt>
                <c:pt idx="248">
                  <c:v>5.7757555811363659E-2</c:v>
                </c:pt>
                <c:pt idx="249">
                  <c:v>1.5452684373233438</c:v>
                </c:pt>
                <c:pt idx="250">
                  <c:v>-0.28942097610145368</c:v>
                </c:pt>
                <c:pt idx="251">
                  <c:v>1.3987500961616561</c:v>
                </c:pt>
                <c:pt idx="252">
                  <c:v>-6.3383894172908128E-2</c:v>
                </c:pt>
                <c:pt idx="253">
                  <c:v>-6.281448464023498E-2</c:v>
                </c:pt>
                <c:pt idx="254">
                  <c:v>1.0666485342781371</c:v>
                </c:pt>
                <c:pt idx="255">
                  <c:v>-0.60614593492074675</c:v>
                </c:pt>
                <c:pt idx="256">
                  <c:v>1.5552623890267512</c:v>
                </c:pt>
                <c:pt idx="257">
                  <c:v>1.305362258035089</c:v>
                </c:pt>
                <c:pt idx="258">
                  <c:v>0.37516758819432994</c:v>
                </c:pt>
                <c:pt idx="259">
                  <c:v>0.71920786833542394</c:v>
                </c:pt>
                <c:pt idx="260">
                  <c:v>-1.3402779291372511</c:v>
                </c:pt>
                <c:pt idx="261">
                  <c:v>-2.494530787839409</c:v>
                </c:pt>
                <c:pt idx="262">
                  <c:v>-2.016759489235163</c:v>
                </c:pt>
                <c:pt idx="263">
                  <c:v>-3.389438658091791</c:v>
                </c:pt>
                <c:pt idx="264">
                  <c:v>-2.223497116190714</c:v>
                </c:pt>
                <c:pt idx="265">
                  <c:v>0.46526249767364192</c:v>
                </c:pt>
                <c:pt idx="266">
                  <c:v>2.088038181922208</c:v>
                </c:pt>
                <c:pt idx="267">
                  <c:v>-5.1161114140257951</c:v>
                </c:pt>
                <c:pt idx="268">
                  <c:v>-2.628448533744745</c:v>
                </c:pt>
                <c:pt idx="269">
                  <c:v>-13.21609453023558</c:v>
                </c:pt>
                <c:pt idx="270">
                  <c:v>-7.5934299660485109</c:v>
                </c:pt>
                <c:pt idx="271">
                  <c:v>-4.6551289557022919</c:v>
                </c:pt>
                <c:pt idx="272">
                  <c:v>2.0034380595114634</c:v>
                </c:pt>
                <c:pt idx="273">
                  <c:v>1.9474499024273975</c:v>
                </c:pt>
                <c:pt idx="274">
                  <c:v>-5.0618264835000204</c:v>
                </c:pt>
                <c:pt idx="275">
                  <c:v>-17.073661348508509</c:v>
                </c:pt>
                <c:pt idx="276">
                  <c:v>12.877076738107245</c:v>
                </c:pt>
                <c:pt idx="277">
                  <c:v>6.0858988824163589</c:v>
                </c:pt>
                <c:pt idx="278">
                  <c:v>1.7542035558188509</c:v>
                </c:pt>
                <c:pt idx="279">
                  <c:v>5.9385684652104906</c:v>
                </c:pt>
                <c:pt idx="280">
                  <c:v>0.12307792448908828</c:v>
                </c:pt>
                <c:pt idx="281">
                  <c:v>2.6252092862828533</c:v>
                </c:pt>
                <c:pt idx="282">
                  <c:v>-7.3366490856301425E-2</c:v>
                </c:pt>
                <c:pt idx="283">
                  <c:v>6.9847963398132151E-2</c:v>
                </c:pt>
                <c:pt idx="284">
                  <c:v>0.47215750800244649</c:v>
                </c:pt>
                <c:pt idx="285">
                  <c:v>0.21329918233862344</c:v>
                </c:pt>
                <c:pt idx="286">
                  <c:v>0.20125369655612246</c:v>
                </c:pt>
                <c:pt idx="287">
                  <c:v>-0.24728306536037792</c:v>
                </c:pt>
                <c:pt idx="288">
                  <c:v>0.43117997859417301</c:v>
                </c:pt>
                <c:pt idx="289">
                  <c:v>-1.0289939012454852</c:v>
                </c:pt>
                <c:pt idx="290">
                  <c:v>0.60499090503083863</c:v>
                </c:pt>
                <c:pt idx="291">
                  <c:v>0.12547125028267203</c:v>
                </c:pt>
                <c:pt idx="292">
                  <c:v>0.30209683368303075</c:v>
                </c:pt>
                <c:pt idx="293">
                  <c:v>-0.14993527545812668</c:v>
                </c:pt>
                <c:pt idx="294">
                  <c:v>-1.4012866943383244</c:v>
                </c:pt>
                <c:pt idx="295">
                  <c:v>-4.6838292981378942</c:v>
                </c:pt>
                <c:pt idx="296">
                  <c:v>2.1520228937472723</c:v>
                </c:pt>
                <c:pt idx="297">
                  <c:v>-0.28561689623444408</c:v>
                </c:pt>
                <c:pt idx="298">
                  <c:v>-1.1478681282007699</c:v>
                </c:pt>
                <c:pt idx="299">
                  <c:v>0.91229237499756266</c:v>
                </c:pt>
                <c:pt idx="300">
                  <c:v>-0.28937719263038275</c:v>
                </c:pt>
                <c:pt idx="301">
                  <c:v>-0.24298353009207574</c:v>
                </c:pt>
                <c:pt idx="302">
                  <c:v>-3.4483945902899862</c:v>
                </c:pt>
                <c:pt idx="303">
                  <c:v>0.26365290767757443</c:v>
                </c:pt>
                <c:pt idx="304">
                  <c:v>2.5503473817134363</c:v>
                </c:pt>
                <c:pt idx="305">
                  <c:v>0.29782806893324221</c:v>
                </c:pt>
                <c:pt idx="306">
                  <c:v>2.4963628021671056</c:v>
                </c:pt>
                <c:pt idx="307">
                  <c:v>0.46587274087916342</c:v>
                </c:pt>
                <c:pt idx="308">
                  <c:v>0.33161358589668311</c:v>
                </c:pt>
                <c:pt idx="309">
                  <c:v>1.6249082999990421</c:v>
                </c:pt>
                <c:pt idx="310">
                  <c:v>-0.61837506852273094</c:v>
                </c:pt>
                <c:pt idx="311">
                  <c:v>4.1099610099337269E-2</c:v>
                </c:pt>
                <c:pt idx="312">
                  <c:v>1.8655781382688232</c:v>
                </c:pt>
                <c:pt idx="313">
                  <c:v>2.2970296953948477</c:v>
                </c:pt>
                <c:pt idx="314">
                  <c:v>-0.29946048491348876</c:v>
                </c:pt>
                <c:pt idx="315">
                  <c:v>-0.46218353169244608</c:v>
                </c:pt>
                <c:pt idx="316">
                  <c:v>2.7330784157733348</c:v>
                </c:pt>
                <c:pt idx="317">
                  <c:v>2.8008499363513764</c:v>
                </c:pt>
                <c:pt idx="318">
                  <c:v>1.3027397013763959</c:v>
                </c:pt>
                <c:pt idx="319">
                  <c:v>1.9466760928951743</c:v>
                </c:pt>
                <c:pt idx="320">
                  <c:v>-0.20326702566935495</c:v>
                </c:pt>
                <c:pt idx="321">
                  <c:v>2.707044848051801</c:v>
                </c:pt>
                <c:pt idx="322">
                  <c:v>-2.0028979823995741</c:v>
                </c:pt>
                <c:pt idx="323">
                  <c:v>-3.1373335394937385</c:v>
                </c:pt>
                <c:pt idx="324">
                  <c:v>0.91387734197914483</c:v>
                </c:pt>
                <c:pt idx="325">
                  <c:v>-1.4131711077575062</c:v>
                </c:pt>
                <c:pt idx="326">
                  <c:v>2.6193447663912579</c:v>
                </c:pt>
                <c:pt idx="327">
                  <c:v>1.5699432582593431E-2</c:v>
                </c:pt>
                <c:pt idx="328">
                  <c:v>1.2447924966279658</c:v>
                </c:pt>
                <c:pt idx="329">
                  <c:v>1.5200535726199575</c:v>
                </c:pt>
                <c:pt idx="330">
                  <c:v>-0.14416004888576595</c:v>
                </c:pt>
                <c:pt idx="331">
                  <c:v>-0.94236102019358725</c:v>
                </c:pt>
                <c:pt idx="332">
                  <c:v>2.3682459733591799</c:v>
                </c:pt>
                <c:pt idx="333">
                  <c:v>2.1915085258698923</c:v>
                </c:pt>
                <c:pt idx="334">
                  <c:v>1.2503542802268299</c:v>
                </c:pt>
                <c:pt idx="335">
                  <c:v>1.416835285352164</c:v>
                </c:pt>
                <c:pt idx="336">
                  <c:v>1.9214617666668232</c:v>
                </c:pt>
                <c:pt idx="337">
                  <c:v>0.56950931751541134</c:v>
                </c:pt>
                <c:pt idx="338">
                  <c:v>-0.62548173637320303</c:v>
                </c:pt>
                <c:pt idx="339">
                  <c:v>2.8759467381448189E-2</c:v>
                </c:pt>
                <c:pt idx="340">
                  <c:v>-3.3680895064417626</c:v>
                </c:pt>
                <c:pt idx="341">
                  <c:v>3.4294973957084949</c:v>
                </c:pt>
                <c:pt idx="342">
                  <c:v>-3.3715336048918658</c:v>
                </c:pt>
                <c:pt idx="343">
                  <c:v>-0.83373699832698378</c:v>
                </c:pt>
                <c:pt idx="344">
                  <c:v>-3.1258242719659961</c:v>
                </c:pt>
                <c:pt idx="345">
                  <c:v>2.8162226662728216</c:v>
                </c:pt>
                <c:pt idx="346">
                  <c:v>1.4082906141083953</c:v>
                </c:pt>
                <c:pt idx="347">
                  <c:v>-0.22176633108833244</c:v>
                </c:pt>
                <c:pt idx="348">
                  <c:v>2.7936441505051448</c:v>
                </c:pt>
                <c:pt idx="349">
                  <c:v>0.38226966020130249</c:v>
                </c:pt>
                <c:pt idx="350">
                  <c:v>3.3459681675764728</c:v>
                </c:pt>
                <c:pt idx="351">
                  <c:v>2.9504150726293403</c:v>
                </c:pt>
                <c:pt idx="352">
                  <c:v>2.6407271919561737</c:v>
                </c:pt>
                <c:pt idx="353">
                  <c:v>2.3277960963170443</c:v>
                </c:pt>
                <c:pt idx="354">
                  <c:v>0.45033041766114934</c:v>
                </c:pt>
                <c:pt idx="355">
                  <c:v>-1.8000970208835696</c:v>
                </c:pt>
                <c:pt idx="356">
                  <c:v>0.55310097235063438</c:v>
                </c:pt>
                <c:pt idx="357">
                  <c:v>-2.6993696351808012</c:v>
                </c:pt>
                <c:pt idx="358">
                  <c:v>-0.75529174738775851</c:v>
                </c:pt>
                <c:pt idx="359">
                  <c:v>-10.610718711255231</c:v>
                </c:pt>
                <c:pt idx="360">
                  <c:v>5.3289735079112148</c:v>
                </c:pt>
                <c:pt idx="361">
                  <c:v>-0.37926385959082154</c:v>
                </c:pt>
                <c:pt idx="362">
                  <c:v>0.56132232508517177</c:v>
                </c:pt>
                <c:pt idx="363">
                  <c:v>4.4914381402705885</c:v>
                </c:pt>
                <c:pt idx="364">
                  <c:v>1.6272344543966568</c:v>
                </c:pt>
                <c:pt idx="365">
                  <c:v>3.7105151919995052</c:v>
                </c:pt>
                <c:pt idx="366">
                  <c:v>4.3645084838294252</c:v>
                </c:pt>
                <c:pt idx="367">
                  <c:v>0.96663925988445953</c:v>
                </c:pt>
                <c:pt idx="368">
                  <c:v>2.9016205836175004</c:v>
                </c:pt>
                <c:pt idx="369">
                  <c:v>1.1575148042086596</c:v>
                </c:pt>
                <c:pt idx="370">
                  <c:v>2.5731076748272272</c:v>
                </c:pt>
                <c:pt idx="371">
                  <c:v>-0.48606198608275974</c:v>
                </c:pt>
                <c:pt idx="372">
                  <c:v>15.072132424463419</c:v>
                </c:pt>
                <c:pt idx="373">
                  <c:v>6.0261961892096139</c:v>
                </c:pt>
                <c:pt idx="374">
                  <c:v>-12.791757640061718</c:v>
                </c:pt>
                <c:pt idx="375">
                  <c:v>14.803592332635333</c:v>
                </c:pt>
                <c:pt idx="376">
                  <c:v>-10.158818018739595</c:v>
                </c:pt>
                <c:pt idx="377">
                  <c:v>-3.3395624250422458</c:v>
                </c:pt>
                <c:pt idx="378">
                  <c:v>3.116970223239619</c:v>
                </c:pt>
                <c:pt idx="379">
                  <c:v>2.9065576042801382</c:v>
                </c:pt>
                <c:pt idx="380">
                  <c:v>-0.81221936333197675</c:v>
                </c:pt>
                <c:pt idx="381">
                  <c:v>4.4784630273690595</c:v>
                </c:pt>
                <c:pt idx="382">
                  <c:v>-1.3967141494235307</c:v>
                </c:pt>
                <c:pt idx="383">
                  <c:v>7.8900440479374083</c:v>
                </c:pt>
                <c:pt idx="384">
                  <c:v>1.3042732306014955</c:v>
                </c:pt>
                <c:pt idx="385">
                  <c:v>3.5874185037291682</c:v>
                </c:pt>
                <c:pt idx="386">
                  <c:v>4.5567912775259742</c:v>
                </c:pt>
                <c:pt idx="387">
                  <c:v>-3.5014763337609338</c:v>
                </c:pt>
                <c:pt idx="388">
                  <c:v>-7.5275783055866725</c:v>
                </c:pt>
                <c:pt idx="389">
                  <c:v>4.3792403393637045</c:v>
                </c:pt>
                <c:pt idx="390">
                  <c:v>-7.2262751361901394</c:v>
                </c:pt>
                <c:pt idx="391">
                  <c:v>-2.2396042341524947</c:v>
                </c:pt>
                <c:pt idx="392">
                  <c:v>3.0949782440224141</c:v>
                </c:pt>
                <c:pt idx="393">
                  <c:v>-2.2880751733148514</c:v>
                </c:pt>
                <c:pt idx="394">
                  <c:v>-4.8800455075547262</c:v>
                </c:pt>
                <c:pt idx="395">
                  <c:v>1.5065004819952321</c:v>
                </c:pt>
                <c:pt idx="396">
                  <c:v>-2.4607437357859396</c:v>
                </c:pt>
                <c:pt idx="397">
                  <c:v>3.2765972878784311</c:v>
                </c:pt>
                <c:pt idx="398">
                  <c:v>-3.4641630883822501</c:v>
                </c:pt>
                <c:pt idx="399">
                  <c:v>-4.830806018396089</c:v>
                </c:pt>
                <c:pt idx="400">
                  <c:v>2.6869974819291969</c:v>
                </c:pt>
                <c:pt idx="401">
                  <c:v>-3.6090421742912753</c:v>
                </c:pt>
                <c:pt idx="402">
                  <c:v>-2.8056748545501904</c:v>
                </c:pt>
                <c:pt idx="403">
                  <c:v>8.6350462986335401</c:v>
                </c:pt>
                <c:pt idx="404">
                  <c:v>0.44166955096949323</c:v>
                </c:pt>
                <c:pt idx="405">
                  <c:v>-3.3191910390396515</c:v>
                </c:pt>
                <c:pt idx="406">
                  <c:v>3.0974399951772256</c:v>
                </c:pt>
                <c:pt idx="407">
                  <c:v>1.4051919042167498</c:v>
                </c:pt>
                <c:pt idx="408">
                  <c:v>-0.47822436162256565</c:v>
                </c:pt>
                <c:pt idx="409">
                  <c:v>-3.9891645738701698</c:v>
                </c:pt>
                <c:pt idx="410">
                  <c:v>-4.649231681428688</c:v>
                </c:pt>
                <c:pt idx="411">
                  <c:v>1.1775832320209076</c:v>
                </c:pt>
                <c:pt idx="412">
                  <c:v>-6.0590633941204999</c:v>
                </c:pt>
                <c:pt idx="413">
                  <c:v>2.6835655060822461</c:v>
                </c:pt>
                <c:pt idx="414">
                  <c:v>2.1521626021850864</c:v>
                </c:pt>
                <c:pt idx="415">
                  <c:v>1.9645005768802548</c:v>
                </c:pt>
                <c:pt idx="416">
                  <c:v>-4.9014159074220345</c:v>
                </c:pt>
                <c:pt idx="417">
                  <c:v>3.3693846223944774</c:v>
                </c:pt>
                <c:pt idx="418">
                  <c:v>3.1986094595436754</c:v>
                </c:pt>
                <c:pt idx="419">
                  <c:v>-3.8592720019153148E-2</c:v>
                </c:pt>
                <c:pt idx="420">
                  <c:v>-3.5898687417510615</c:v>
                </c:pt>
                <c:pt idx="421">
                  <c:v>1.4800083650806357</c:v>
                </c:pt>
                <c:pt idx="422">
                  <c:v>1.1101219200972139</c:v>
                </c:pt>
                <c:pt idx="423">
                  <c:v>-2.9658488997366561</c:v>
                </c:pt>
                <c:pt idx="424">
                  <c:v>2.5265716611146587</c:v>
                </c:pt>
                <c:pt idx="425">
                  <c:v>-0.20866581449107002</c:v>
                </c:pt>
                <c:pt idx="426">
                  <c:v>-7.5047137460327207</c:v>
                </c:pt>
                <c:pt idx="427">
                  <c:v>0.42290734876993952</c:v>
                </c:pt>
                <c:pt idx="428">
                  <c:v>4.5565194180269941</c:v>
                </c:pt>
                <c:pt idx="429">
                  <c:v>6.612342485435704</c:v>
                </c:pt>
                <c:pt idx="430">
                  <c:v>0.93938999518113064</c:v>
                </c:pt>
                <c:pt idx="431">
                  <c:v>-2.4986234905376392</c:v>
                </c:pt>
                <c:pt idx="432">
                  <c:v>-2.4851636938942363</c:v>
                </c:pt>
                <c:pt idx="433">
                  <c:v>-4.7452794665721143</c:v>
                </c:pt>
                <c:pt idx="434">
                  <c:v>1.3808874755587937</c:v>
                </c:pt>
                <c:pt idx="435">
                  <c:v>-0.36640341641042085</c:v>
                </c:pt>
                <c:pt idx="436">
                  <c:v>1.1397973168566011</c:v>
                </c:pt>
                <c:pt idx="437">
                  <c:v>-2.7284807709152119</c:v>
                </c:pt>
                <c:pt idx="438">
                  <c:v>2.0129409533054883</c:v>
                </c:pt>
                <c:pt idx="439">
                  <c:v>-2.1699035885834661</c:v>
                </c:pt>
                <c:pt idx="440">
                  <c:v>1.2367285627128268</c:v>
                </c:pt>
                <c:pt idx="441">
                  <c:v>-1.038688753635995</c:v>
                </c:pt>
                <c:pt idx="442">
                  <c:v>2.5890677182487281</c:v>
                </c:pt>
                <c:pt idx="443">
                  <c:v>3.3259747307162115</c:v>
                </c:pt>
                <c:pt idx="444">
                  <c:v>0.29575670133864662</c:v>
                </c:pt>
                <c:pt idx="445">
                  <c:v>4.2004602991172817</c:v>
                </c:pt>
                <c:pt idx="446">
                  <c:v>1.6160380690226219</c:v>
                </c:pt>
                <c:pt idx="447">
                  <c:v>1.7473470388049606</c:v>
                </c:pt>
                <c:pt idx="448">
                  <c:v>-1.9732730621516339</c:v>
                </c:pt>
                <c:pt idx="449">
                  <c:v>-0.55418508991404281</c:v>
                </c:pt>
                <c:pt idx="450">
                  <c:v>2.8307487707941164</c:v>
                </c:pt>
                <c:pt idx="451">
                  <c:v>4.7282621958318742</c:v>
                </c:pt>
                <c:pt idx="452">
                  <c:v>1.9233263016848952</c:v>
                </c:pt>
                <c:pt idx="453">
                  <c:v>1.3360202571316506</c:v>
                </c:pt>
                <c:pt idx="454">
                  <c:v>1.4381234745696219</c:v>
                </c:pt>
                <c:pt idx="455">
                  <c:v>-5.6471956873303952</c:v>
                </c:pt>
                <c:pt idx="456">
                  <c:v>0.30498984940430773</c:v>
                </c:pt>
                <c:pt idx="457">
                  <c:v>3.3327076555627144</c:v>
                </c:pt>
                <c:pt idx="458">
                  <c:v>-2.7315921938287033</c:v>
                </c:pt>
                <c:pt idx="459">
                  <c:v>-2.6869320984661158</c:v>
                </c:pt>
                <c:pt idx="460">
                  <c:v>-3.56169855983741</c:v>
                </c:pt>
                <c:pt idx="461">
                  <c:v>-0.4202978547259022</c:v>
                </c:pt>
                <c:pt idx="462">
                  <c:v>0.29720851120461589</c:v>
                </c:pt>
                <c:pt idx="463">
                  <c:v>-1.3502878553328372</c:v>
                </c:pt>
                <c:pt idx="464">
                  <c:v>-4.4967011459071813</c:v>
                </c:pt>
                <c:pt idx="465">
                  <c:v>-0.12489635703158797</c:v>
                </c:pt>
                <c:pt idx="466">
                  <c:v>3.2537468582867461</c:v>
                </c:pt>
                <c:pt idx="467">
                  <c:v>0.17121787435603153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9-455D-9286-0F2CE3CDA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536"/>
        <c:axId val="3104096"/>
      </c:scatterChart>
      <c:valAx>
        <c:axId val="309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04096"/>
        <c:crosses val="autoZero"/>
        <c:crossBetween val="midCat"/>
      </c:valAx>
      <c:valAx>
        <c:axId val="31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остатков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'AR(1) со вр.'!$H$28:$H$496</c:f>
              <c:numCache>
                <c:formatCode>General</c:formatCode>
                <c:ptCount val="469"/>
                <c:pt idx="0">
                  <c:v>4.8722940553079823</c:v>
                </c:pt>
                <c:pt idx="1">
                  <c:v>1.8632161956048634</c:v>
                </c:pt>
                <c:pt idx="2">
                  <c:v>0.75805309758062833</c:v>
                </c:pt>
                <c:pt idx="3">
                  <c:v>1.2612617209418886</c:v>
                </c:pt>
                <c:pt idx="4">
                  <c:v>-5.0251127063895638</c:v>
                </c:pt>
                <c:pt idx="5">
                  <c:v>-0.3146058308685511</c:v>
                </c:pt>
                <c:pt idx="6">
                  <c:v>-0.29431835683083563</c:v>
                </c:pt>
                <c:pt idx="7">
                  <c:v>2.7283934603527484</c:v>
                </c:pt>
                <c:pt idx="8">
                  <c:v>-0.99661916622893187</c:v>
                </c:pt>
                <c:pt idx="9">
                  <c:v>2.8525822272219727</c:v>
                </c:pt>
                <c:pt idx="10">
                  <c:v>3.3884001301920108</c:v>
                </c:pt>
                <c:pt idx="11">
                  <c:v>-4.1092562410188194</c:v>
                </c:pt>
                <c:pt idx="12">
                  <c:v>-4.5989614446462213E-2</c:v>
                </c:pt>
                <c:pt idx="13">
                  <c:v>-2.6248009962848684</c:v>
                </c:pt>
                <c:pt idx="14">
                  <c:v>-2.6907601588404404</c:v>
                </c:pt>
                <c:pt idx="15">
                  <c:v>-1.02270116465602</c:v>
                </c:pt>
                <c:pt idx="16">
                  <c:v>-1.4641108992735496</c:v>
                </c:pt>
                <c:pt idx="17">
                  <c:v>-1.3374952472407173</c:v>
                </c:pt>
                <c:pt idx="18">
                  <c:v>0.1368683867480911</c:v>
                </c:pt>
                <c:pt idx="19">
                  <c:v>1.4518322219756854</c:v>
                </c:pt>
                <c:pt idx="20">
                  <c:v>1.1333781017020712</c:v>
                </c:pt>
                <c:pt idx="21">
                  <c:v>-1.0661494877972899</c:v>
                </c:pt>
                <c:pt idx="22">
                  <c:v>1.0663654743225948E-3</c:v>
                </c:pt>
                <c:pt idx="23">
                  <c:v>0.58533753123167998</c:v>
                </c:pt>
                <c:pt idx="24">
                  <c:v>0.28619074148782175</c:v>
                </c:pt>
                <c:pt idx="25">
                  <c:v>2.448556223936265</c:v>
                </c:pt>
                <c:pt idx="26">
                  <c:v>5.7752281946487685</c:v>
                </c:pt>
                <c:pt idx="27">
                  <c:v>0.91809048327490217</c:v>
                </c:pt>
                <c:pt idx="28">
                  <c:v>2.6321187093582381</c:v>
                </c:pt>
                <c:pt idx="29">
                  <c:v>1.4318169089868178</c:v>
                </c:pt>
                <c:pt idx="30">
                  <c:v>3.0348750609055202</c:v>
                </c:pt>
                <c:pt idx="31">
                  <c:v>1.7649195952692125</c:v>
                </c:pt>
                <c:pt idx="32">
                  <c:v>1.842331311833405</c:v>
                </c:pt>
                <c:pt idx="33">
                  <c:v>0.57716821380918049</c:v>
                </c:pt>
                <c:pt idx="34">
                  <c:v>-5.9029705037586169</c:v>
                </c:pt>
                <c:pt idx="35">
                  <c:v>1.6308038558210569</c:v>
                </c:pt>
                <c:pt idx="36">
                  <c:v>-0.25395490425695755</c:v>
                </c:pt>
                <c:pt idx="37">
                  <c:v>-2.3759898450705919E-2</c:v>
                </c:pt>
                <c:pt idx="38">
                  <c:v>0.62195460945823555</c:v>
                </c:pt>
                <c:pt idx="39">
                  <c:v>-3.2361060996988158</c:v>
                </c:pt>
                <c:pt idx="40">
                  <c:v>1.6283264643307405</c:v>
                </c:pt>
                <c:pt idx="41">
                  <c:v>1.7101262105607802</c:v>
                </c:pt>
                <c:pt idx="42">
                  <c:v>0.21461677780142452</c:v>
                </c:pt>
                <c:pt idx="43">
                  <c:v>-0.92544208289597663</c:v>
                </c:pt>
                <c:pt idx="44">
                  <c:v>3.2708146230406427</c:v>
                </c:pt>
                <c:pt idx="45">
                  <c:v>2.0233995069724031</c:v>
                </c:pt>
                <c:pt idx="46">
                  <c:v>6.8767680146208932E-2</c:v>
                </c:pt>
                <c:pt idx="47">
                  <c:v>2.5013459253202086E-2</c:v>
                </c:pt>
                <c:pt idx="48">
                  <c:v>3.3271015370072732</c:v>
                </c:pt>
                <c:pt idx="49">
                  <c:v>0.98009075888523967</c:v>
                </c:pt>
                <c:pt idx="50">
                  <c:v>-0.64115757746009194</c:v>
                </c:pt>
                <c:pt idx="51">
                  <c:v>-0.87692087672311203</c:v>
                </c:pt>
                <c:pt idx="52">
                  <c:v>2.1399595686430359</c:v>
                </c:pt>
                <c:pt idx="53">
                  <c:v>3.76910295888284</c:v>
                </c:pt>
                <c:pt idx="54">
                  <c:v>1.076607143678487</c:v>
                </c:pt>
                <c:pt idx="55">
                  <c:v>-2.8876892752422201</c:v>
                </c:pt>
                <c:pt idx="56">
                  <c:v>0.26846403563330412</c:v>
                </c:pt>
                <c:pt idx="57">
                  <c:v>2.7682311653026233</c:v>
                </c:pt>
                <c:pt idx="58">
                  <c:v>-2.1923009633817401</c:v>
                </c:pt>
                <c:pt idx="59">
                  <c:v>-1.5855583780970797</c:v>
                </c:pt>
                <c:pt idx="60">
                  <c:v>-3.329104124336439</c:v>
                </c:pt>
                <c:pt idx="61">
                  <c:v>-3.4093588483264199</c:v>
                </c:pt>
                <c:pt idx="62">
                  <c:v>-0.767316162422361</c:v>
                </c:pt>
                <c:pt idx="63">
                  <c:v>-1.2443034023536796</c:v>
                </c:pt>
                <c:pt idx="64">
                  <c:v>2.4562143999969877</c:v>
                </c:pt>
                <c:pt idx="65">
                  <c:v>-7.7759222379320647E-2</c:v>
                </c:pt>
                <c:pt idx="66">
                  <c:v>-4.5905887609577221</c:v>
                </c:pt>
                <c:pt idx="67">
                  <c:v>-0.69854607505366317</c:v>
                </c:pt>
                <c:pt idx="68">
                  <c:v>-2.4567917206736354</c:v>
                </c:pt>
                <c:pt idx="69">
                  <c:v>5.9673459916645299E-2</c:v>
                </c:pt>
                <c:pt idx="70">
                  <c:v>-1.2153391666650322</c:v>
                </c:pt>
                <c:pt idx="71">
                  <c:v>-2.4911713959687916</c:v>
                </c:pt>
                <c:pt idx="72">
                  <c:v>-0.65693469523180426</c:v>
                </c:pt>
                <c:pt idx="73">
                  <c:v>-0.20257106124299185</c:v>
                </c:pt>
                <c:pt idx="74">
                  <c:v>-1.0784612937578331</c:v>
                </c:pt>
                <c:pt idx="75">
                  <c:v>2.3395161590247682</c:v>
                </c:pt>
                <c:pt idx="76">
                  <c:v>-0.75427252688861302</c:v>
                </c:pt>
                <c:pt idx="77">
                  <c:v>0.59210018547020127</c:v>
                </c:pt>
                <c:pt idx="78">
                  <c:v>2.0064402812682971</c:v>
                </c:pt>
                <c:pt idx="79">
                  <c:v>0.56215478917722805</c:v>
                </c:pt>
                <c:pt idx="80">
                  <c:v>1.124924609571913</c:v>
                </c:pt>
                <c:pt idx="81">
                  <c:v>2.5158812148891414</c:v>
                </c:pt>
                <c:pt idx="82">
                  <c:v>0.89194205753320688</c:v>
                </c:pt>
                <c:pt idx="83">
                  <c:v>-2.3595946103361527</c:v>
                </c:pt>
                <c:pt idx="84">
                  <c:v>-4.0325166171460083</c:v>
                </c:pt>
                <c:pt idx="85">
                  <c:v>0.12329035899438878</c:v>
                </c:pt>
                <c:pt idx="86">
                  <c:v>1.9089468636922291</c:v>
                </c:pt>
                <c:pt idx="87">
                  <c:v>-0.86418361777126762</c:v>
                </c:pt>
                <c:pt idx="88">
                  <c:v>1.5684937343919358</c:v>
                </c:pt>
                <c:pt idx="89">
                  <c:v>-0.297800836069122</c:v>
                </c:pt>
                <c:pt idx="90">
                  <c:v>-1.9665777528871331</c:v>
                </c:pt>
                <c:pt idx="91">
                  <c:v>-2.8740727258257763</c:v>
                </c:pt>
                <c:pt idx="92">
                  <c:v>-0.738080813222453</c:v>
                </c:pt>
                <c:pt idx="93">
                  <c:v>-0.19393658071693665</c:v>
                </c:pt>
                <c:pt idx="94">
                  <c:v>1.2479556337445814</c:v>
                </c:pt>
                <c:pt idx="95">
                  <c:v>3.8117064551335247</c:v>
                </c:pt>
                <c:pt idx="96">
                  <c:v>0.84018071409380468</c:v>
                </c:pt>
                <c:pt idx="97">
                  <c:v>-0.58975121335177505</c:v>
                </c:pt>
                <c:pt idx="98">
                  <c:v>-2.1054565094036946</c:v>
                </c:pt>
                <c:pt idx="99">
                  <c:v>-1.3569587122526841</c:v>
                </c:pt>
                <c:pt idx="100">
                  <c:v>-2.2673983727055855</c:v>
                </c:pt>
                <c:pt idx="101">
                  <c:v>-0.8485542408194533</c:v>
                </c:pt>
                <c:pt idx="102">
                  <c:v>5.0543757570324033E-2</c:v>
                </c:pt>
                <c:pt idx="103">
                  <c:v>-1.5250346052297559</c:v>
                </c:pt>
                <c:pt idx="104">
                  <c:v>0.37748134866124872</c:v>
                </c:pt>
                <c:pt idx="105">
                  <c:v>1.3578377527397123</c:v>
                </c:pt>
                <c:pt idx="106">
                  <c:v>0.33057310811400953</c:v>
                </c:pt>
                <c:pt idx="107">
                  <c:v>-0.82102156296645035</c:v>
                </c:pt>
                <c:pt idx="108">
                  <c:v>-0.47985648299555095</c:v>
                </c:pt>
                <c:pt idx="109">
                  <c:v>0.54849084271288717</c:v>
                </c:pt>
                <c:pt idx="110">
                  <c:v>-0.23582911439853405</c:v>
                </c:pt>
                <c:pt idx="111">
                  <c:v>-0.68983720179521413</c:v>
                </c:pt>
                <c:pt idx="112">
                  <c:v>0.57807132094665548</c:v>
                </c:pt>
                <c:pt idx="113">
                  <c:v>3.0991548595157212</c:v>
                </c:pt>
                <c:pt idx="114">
                  <c:v>2.4531830855990577</c:v>
                </c:pt>
                <c:pt idx="115">
                  <c:v>0.71494836680873419</c:v>
                </c:pt>
                <c:pt idx="116">
                  <c:v>-1.8560225648422133</c:v>
                </c:pt>
                <c:pt idx="117">
                  <c:v>-2.0712890579275509</c:v>
                </c:pt>
                <c:pt idx="118">
                  <c:v>-1.8407241791954547</c:v>
                </c:pt>
                <c:pt idx="119">
                  <c:v>2.1414219017697107</c:v>
                </c:pt>
                <c:pt idx="120">
                  <c:v>1.9664202020176873</c:v>
                </c:pt>
                <c:pt idx="121">
                  <c:v>1.8627349111654041</c:v>
                </c:pt>
                <c:pt idx="122">
                  <c:v>0.11722547840604847</c:v>
                </c:pt>
                <c:pt idx="123">
                  <c:v>-2.2062858028129497</c:v>
                </c:pt>
                <c:pt idx="124">
                  <c:v>-0.95678346647693502</c:v>
                </c:pt>
                <c:pt idx="125">
                  <c:v>1.7034804693700565</c:v>
                </c:pt>
                <c:pt idx="126">
                  <c:v>1.8397951785177753</c:v>
                </c:pt>
                <c:pt idx="127">
                  <c:v>1.1701515825962332</c:v>
                </c:pt>
                <c:pt idx="128">
                  <c:v>2.0598842472451722</c:v>
                </c:pt>
                <c:pt idx="129">
                  <c:v>-1.6581075318711385</c:v>
                </c:pt>
                <c:pt idx="130">
                  <c:v>-0.44264689046585204</c:v>
                </c:pt>
                <c:pt idx="131">
                  <c:v>-0.65235941642814055</c:v>
                </c:pt>
                <c:pt idx="132">
                  <c:v>-0.98439289047517775</c:v>
                </c:pt>
                <c:pt idx="133">
                  <c:v>-1.9053638221261338</c:v>
                </c:pt>
                <c:pt idx="134">
                  <c:v>-1.2697182442579305</c:v>
                </c:pt>
                <c:pt idx="135">
                  <c:v>0.40884848293381992</c:v>
                </c:pt>
                <c:pt idx="136">
                  <c:v>1.4928422439967761</c:v>
                </c:pt>
                <c:pt idx="137">
                  <c:v>-0.22542693981390727</c:v>
                </c:pt>
                <c:pt idx="138">
                  <c:v>0.91085330431344147</c:v>
                </c:pt>
                <c:pt idx="139">
                  <c:v>-1.9492400214043357</c:v>
                </c:pt>
                <c:pt idx="140">
                  <c:v>-0.53026895626637582</c:v>
                </c:pt>
                <c:pt idx="141">
                  <c:v>-1.0690114080640214</c:v>
                </c:pt>
                <c:pt idx="142">
                  <c:v>-1.6345897708641246</c:v>
                </c:pt>
                <c:pt idx="143">
                  <c:v>1.5198427931654379</c:v>
                </c:pt>
                <c:pt idx="144">
                  <c:v>-0.55008913428014949</c:v>
                </c:pt>
                <c:pt idx="145">
                  <c:v>-0.96058679794413848</c:v>
                </c:pt>
                <c:pt idx="146">
                  <c:v>-0.74547249127397919</c:v>
                </c:pt>
                <c:pt idx="147">
                  <c:v>-2.0116165902924976</c:v>
                </c:pt>
                <c:pt idx="148">
                  <c:v>-2.3394234329458712</c:v>
                </c:pt>
                <c:pt idx="149">
                  <c:v>1.331591175582453</c:v>
                </c:pt>
                <c:pt idx="150">
                  <c:v>-1.5337677857343479</c:v>
                </c:pt>
                <c:pt idx="151">
                  <c:v>-0.2080877428457768</c:v>
                </c:pt>
                <c:pt idx="152">
                  <c:v>1.0006059175977953</c:v>
                </c:pt>
                <c:pt idx="153">
                  <c:v>-0.1356886528632657</c:v>
                </c:pt>
                <c:pt idx="154">
                  <c:v>-0.5721101565761586</c:v>
                </c:pt>
                <c:pt idx="155">
                  <c:v>-1.8397900659777235</c:v>
                </c:pt>
                <c:pt idx="156">
                  <c:v>-1.2790982539937872</c:v>
                </c:pt>
                <c:pt idx="157">
                  <c:v>-1.6591915797115604</c:v>
                </c:pt>
                <c:pt idx="158">
                  <c:v>-0.25978171160701891</c:v>
                </c:pt>
                <c:pt idx="159">
                  <c:v>-1.0915033159392991</c:v>
                </c:pt>
                <c:pt idx="160">
                  <c:v>0.10066630321658465</c:v>
                </c:pt>
                <c:pt idx="161">
                  <c:v>3.5162648047033329</c:v>
                </c:pt>
                <c:pt idx="162">
                  <c:v>1.6226719820825224</c:v>
                </c:pt>
                <c:pt idx="163">
                  <c:v>-1.6972019421519562</c:v>
                </c:pt>
                <c:pt idx="164">
                  <c:v>0.60224239097295396</c:v>
                </c:pt>
                <c:pt idx="165">
                  <c:v>0.61124792113128734</c:v>
                </c:pt>
                <c:pt idx="166">
                  <c:v>0.55135045870607513</c:v>
                </c:pt>
                <c:pt idx="167">
                  <c:v>-2.5883385290654815</c:v>
                </c:pt>
                <c:pt idx="168">
                  <c:v>-0.60124960904569491</c:v>
                </c:pt>
                <c:pt idx="169">
                  <c:v>2.1152845015853217</c:v>
                </c:pt>
                <c:pt idx="170">
                  <c:v>-2.6717716683867323</c:v>
                </c:pt>
                <c:pt idx="171">
                  <c:v>-1.2199828489863478</c:v>
                </c:pt>
                <c:pt idx="172">
                  <c:v>-4.3864003131176332E-2</c:v>
                </c:pt>
                <c:pt idx="173">
                  <c:v>-0.14533174095980428</c:v>
                </c:pt>
                <c:pt idx="174">
                  <c:v>-1.8092818251454048</c:v>
                </c:pt>
                <c:pt idx="175">
                  <c:v>-0.35482572292509929</c:v>
                </c:pt>
                <c:pt idx="176">
                  <c:v>0.69637382206613552</c:v>
                </c:pt>
                <c:pt idx="177">
                  <c:v>4.3063948182391272</c:v>
                </c:pt>
                <c:pt idx="178">
                  <c:v>1.8592915718856204</c:v>
                </c:pt>
                <c:pt idx="179">
                  <c:v>-0.59361950809459074</c:v>
                </c:pt>
                <c:pt idx="180">
                  <c:v>0.15701430067825584</c:v>
                </c:pt>
                <c:pt idx="181">
                  <c:v>-7.2756067632465147</c:v>
                </c:pt>
                <c:pt idx="182">
                  <c:v>0.72603158471135032</c:v>
                </c:pt>
                <c:pt idx="183">
                  <c:v>2.1554179146251755</c:v>
                </c:pt>
                <c:pt idx="184">
                  <c:v>3.3275984606106874</c:v>
                </c:pt>
                <c:pt idx="185">
                  <c:v>-0.7209245897036709</c:v>
                </c:pt>
                <c:pt idx="186">
                  <c:v>0.87522872117187944</c:v>
                </c:pt>
                <c:pt idx="187">
                  <c:v>1.849222482234822</c:v>
                </c:pt>
                <c:pt idx="188">
                  <c:v>1.9990476151152308</c:v>
                </c:pt>
                <c:pt idx="189">
                  <c:v>-1.6599487031860747</c:v>
                </c:pt>
                <c:pt idx="190">
                  <c:v>-1.2375016793358071</c:v>
                </c:pt>
                <c:pt idx="191">
                  <c:v>1.4454875425421534</c:v>
                </c:pt>
                <c:pt idx="192">
                  <c:v>-0.14641899825303994</c:v>
                </c:pt>
                <c:pt idx="193">
                  <c:v>-0.98923761000179411</c:v>
                </c:pt>
                <c:pt idx="194">
                  <c:v>-2.1748504378222577</c:v>
                </c:pt>
                <c:pt idx="195">
                  <c:v>-1.8563871056916099</c:v>
                </c:pt>
                <c:pt idx="196">
                  <c:v>2.5542231648904874</c:v>
                </c:pt>
                <c:pt idx="197">
                  <c:v>3.0427663538915226</c:v>
                </c:pt>
                <c:pt idx="198">
                  <c:v>3.0693349295428902</c:v>
                </c:pt>
                <c:pt idx="199">
                  <c:v>2.5755571704591631</c:v>
                </c:pt>
                <c:pt idx="200">
                  <c:v>3.6172064452466586</c:v>
                </c:pt>
                <c:pt idx="201">
                  <c:v>4.673405147972197</c:v>
                </c:pt>
                <c:pt idx="202">
                  <c:v>1.9092810541533325</c:v>
                </c:pt>
                <c:pt idx="203">
                  <c:v>3.8701796562594879</c:v>
                </c:pt>
                <c:pt idx="204">
                  <c:v>-1.6960569109904924</c:v>
                </c:pt>
                <c:pt idx="205">
                  <c:v>0.9882487197872365</c:v>
                </c:pt>
                <c:pt idx="206">
                  <c:v>4.3564220358624155</c:v>
                </c:pt>
                <c:pt idx="207">
                  <c:v>1.5160277672595228</c:v>
                </c:pt>
                <c:pt idx="208">
                  <c:v>-1.9866983762577632</c:v>
                </c:pt>
                <c:pt idx="209">
                  <c:v>-3.9055442231165287</c:v>
                </c:pt>
                <c:pt idx="210">
                  <c:v>-1.2423120615645402</c:v>
                </c:pt>
                <c:pt idx="211">
                  <c:v>-1.0430291267118292</c:v>
                </c:pt>
                <c:pt idx="212">
                  <c:v>-0.81835362300825665</c:v>
                </c:pt>
                <c:pt idx="213">
                  <c:v>2.7672754615430506E-2</c:v>
                </c:pt>
                <c:pt idx="214">
                  <c:v>-0.41642780101270205</c:v>
                </c:pt>
                <c:pt idx="215">
                  <c:v>-2.8654585843343767</c:v>
                </c:pt>
                <c:pt idx="216">
                  <c:v>0.59915891615809613</c:v>
                </c:pt>
                <c:pt idx="217">
                  <c:v>-0.24757445726955751</c:v>
                </c:pt>
                <c:pt idx="218">
                  <c:v>-1.447321448252211</c:v>
                </c:pt>
                <c:pt idx="219">
                  <c:v>-1.583338614018885</c:v>
                </c:pt>
                <c:pt idx="220">
                  <c:v>-4.0212141458084716E-3</c:v>
                </c:pt>
                <c:pt idx="221">
                  <c:v>-2.7628325959841931</c:v>
                </c:pt>
                <c:pt idx="222">
                  <c:v>-1.596436345434654</c:v>
                </c:pt>
                <c:pt idx="223">
                  <c:v>0.43520200252318375</c:v>
                </c:pt>
                <c:pt idx="224">
                  <c:v>-1.3141061854928893</c:v>
                </c:pt>
                <c:pt idx="225">
                  <c:v>2.4918966539400955</c:v>
                </c:pt>
                <c:pt idx="226">
                  <c:v>1.1762022847178102</c:v>
                </c:pt>
                <c:pt idx="227">
                  <c:v>-0.19921467981008334</c:v>
                </c:pt>
                <c:pt idx="228">
                  <c:v>1.4387283079521609</c:v>
                </c:pt>
                <c:pt idx="229">
                  <c:v>3.7637955382408563</c:v>
                </c:pt>
                <c:pt idx="230">
                  <c:v>3.8451329433135939</c:v>
                </c:pt>
                <c:pt idx="231">
                  <c:v>0.32348026902204197</c:v>
                </c:pt>
                <c:pt idx="232">
                  <c:v>-2.3093728077470743</c:v>
                </c:pt>
                <c:pt idx="233">
                  <c:v>-3.6315096768552237</c:v>
                </c:pt>
                <c:pt idx="234">
                  <c:v>1.0334541583723791</c:v>
                </c:pt>
                <c:pt idx="235">
                  <c:v>-1.6910271970112518</c:v>
                </c:pt>
                <c:pt idx="236">
                  <c:v>2.2371696572546469</c:v>
                </c:pt>
                <c:pt idx="237">
                  <c:v>0.63025134736408006</c:v>
                </c:pt>
                <c:pt idx="238">
                  <c:v>-0.55055818601467621</c:v>
                </c:pt>
                <c:pt idx="239">
                  <c:v>3.1459179214052426</c:v>
                </c:pt>
                <c:pt idx="240">
                  <c:v>-2.1113231850297183</c:v>
                </c:pt>
                <c:pt idx="241">
                  <c:v>-0.26893416439054363</c:v>
                </c:pt>
                <c:pt idx="242">
                  <c:v>0.20292358505059127</c:v>
                </c:pt>
                <c:pt idx="243">
                  <c:v>-0.59744714536157062</c:v>
                </c:pt>
                <c:pt idx="244">
                  <c:v>-0.49979248912336516</c:v>
                </c:pt>
                <c:pt idx="245">
                  <c:v>-3.1720218264629807</c:v>
                </c:pt>
                <c:pt idx="246">
                  <c:v>2.3728840055535301</c:v>
                </c:pt>
                <c:pt idx="247">
                  <c:v>3.6381706373255298</c:v>
                </c:pt>
                <c:pt idx="248">
                  <c:v>-0.2903179479684681</c:v>
                </c:pt>
                <c:pt idx="249">
                  <c:v>-0.35727072287939876</c:v>
                </c:pt>
                <c:pt idx="250">
                  <c:v>-1.8115326767797413</c:v>
                </c:pt>
                <c:pt idx="251">
                  <c:v>-7.3970488772992837E-2</c:v>
                </c:pt>
                <c:pt idx="252">
                  <c:v>-1.5924010708558924</c:v>
                </c:pt>
                <c:pt idx="253">
                  <c:v>-0.23067025466659175</c:v>
                </c:pt>
                <c:pt idx="254">
                  <c:v>-0.12135285479350699</c:v>
                </c:pt>
                <c:pt idx="255">
                  <c:v>-1.2174624887916465</c:v>
                </c:pt>
                <c:pt idx="256">
                  <c:v>0.37132363988339279</c:v>
                </c:pt>
                <c:pt idx="257">
                  <c:v>-1.6351323288498705</c:v>
                </c:pt>
                <c:pt idx="258">
                  <c:v>-1.4940017138993511</c:v>
                </c:pt>
                <c:pt idx="259">
                  <c:v>-0.52393364134493225</c:v>
                </c:pt>
                <c:pt idx="260">
                  <c:v>-0.76816113022490384</c:v>
                </c:pt>
                <c:pt idx="261">
                  <c:v>1.2526340768201365</c:v>
                </c:pt>
                <c:pt idx="262">
                  <c:v>2.4949070910371418</c:v>
                </c:pt>
                <c:pt idx="263">
                  <c:v>2.0361755660691259</c:v>
                </c:pt>
                <c:pt idx="264">
                  <c:v>3.2687024467897814</c:v>
                </c:pt>
                <c:pt idx="265">
                  <c:v>2.1055828921559367</c:v>
                </c:pt>
                <c:pt idx="266">
                  <c:v>-0.69588484567270115</c:v>
                </c:pt>
                <c:pt idx="267">
                  <c:v>-2.4869827105754752</c:v>
                </c:pt>
                <c:pt idx="268">
                  <c:v>4.4963637728672552</c:v>
                </c:pt>
                <c:pt idx="269">
                  <c:v>2.4433711514852305</c:v>
                </c:pt>
                <c:pt idx="270">
                  <c:v>12.542420388962135</c:v>
                </c:pt>
                <c:pt idx="271">
                  <c:v>7.3807315651187935</c:v>
                </c:pt>
                <c:pt idx="272">
                  <c:v>3.8247362530114053</c:v>
                </c:pt>
                <c:pt idx="273">
                  <c:v>-3.1276780207911301</c:v>
                </c:pt>
                <c:pt idx="274">
                  <c:v>-3.5397804248789093</c:v>
                </c:pt>
                <c:pt idx="275">
                  <c:v>3.3743167312451625</c:v>
                </c:pt>
                <c:pt idx="276">
                  <c:v>15.513942631770139</c:v>
                </c:pt>
                <c:pt idx="277">
                  <c:v>-13.405998537973652</c:v>
                </c:pt>
                <c:pt idx="278">
                  <c:v>-8.5977419959652259</c:v>
                </c:pt>
                <c:pt idx="279">
                  <c:v>-3.7250175674205686</c:v>
                </c:pt>
                <c:pt idx="280">
                  <c:v>-7.3397981811578816</c:v>
                </c:pt>
                <c:pt idx="281">
                  <c:v>-1.7076630270223561</c:v>
                </c:pt>
                <c:pt idx="282">
                  <c:v>-3.6807699702951382</c:v>
                </c:pt>
                <c:pt idx="283">
                  <c:v>-1.0904824962574153</c:v>
                </c:pt>
                <c:pt idx="284">
                  <c:v>-1.0117308326027583</c:v>
                </c:pt>
                <c:pt idx="285">
                  <c:v>-1.3844225110996717</c:v>
                </c:pt>
                <c:pt idx="286">
                  <c:v>-1.1323798251956205</c:v>
                </c:pt>
                <c:pt idx="287">
                  <c:v>-1.0812147452247274</c:v>
                </c:pt>
                <c:pt idx="288">
                  <c:v>-0.62014213348530944</c:v>
                </c:pt>
                <c:pt idx="289">
                  <c:v>-1.2450278268151536</c:v>
                </c:pt>
                <c:pt idx="290">
                  <c:v>0.15893146922745416</c:v>
                </c:pt>
                <c:pt idx="291">
                  <c:v>-1.3535408077861817</c:v>
                </c:pt>
                <c:pt idx="292">
                  <c:v>-0.97413093968162912</c:v>
                </c:pt>
                <c:pt idx="293">
                  <c:v>-1.1016494508109886</c:v>
                </c:pt>
                <c:pt idx="294">
                  <c:v>-0.6490410286885222</c:v>
                </c:pt>
                <c:pt idx="295">
                  <c:v>0.61526460208919787</c:v>
                </c:pt>
                <c:pt idx="296">
                  <c:v>3.8856319329973061</c:v>
                </c:pt>
                <c:pt idx="297">
                  <c:v>-2.6985375526715671</c:v>
                </c:pt>
                <c:pt idx="298">
                  <c:v>-0.75527092609922164</c:v>
                </c:pt>
                <c:pt idx="299">
                  <c:v>0.24561674917728027</c:v>
                </c:pt>
                <c:pt idx="300">
                  <c:v>-1.7198346803709796</c:v>
                </c:pt>
                <c:pt idx="301">
                  <c:v>-0.65854266714826082</c:v>
                </c:pt>
                <c:pt idx="302">
                  <c:v>-0.61812825985872166</c:v>
                </c:pt>
                <c:pt idx="303">
                  <c:v>2.5218582712938939</c:v>
                </c:pt>
                <c:pt idx="304">
                  <c:v>-0.97136467840108054</c:v>
                </c:pt>
                <c:pt idx="305">
                  <c:v>-3.4684208483731211</c:v>
                </c:pt>
                <c:pt idx="306">
                  <c:v>-1.3613319283533372</c:v>
                </c:pt>
                <c:pt idx="307">
                  <c:v>-3.3199239087084322</c:v>
                </c:pt>
                <c:pt idx="308">
                  <c:v>-1.3904215723724249</c:v>
                </c:pt>
                <c:pt idx="309">
                  <c:v>-1.077501280535202</c:v>
                </c:pt>
                <c:pt idx="310">
                  <c:v>-2.2969364018030944</c:v>
                </c:pt>
                <c:pt idx="311">
                  <c:v>-0.13398164494550002</c:v>
                </c:pt>
                <c:pt idx="312">
                  <c:v>-0.62027621540656241</c:v>
                </c:pt>
                <c:pt idx="313">
                  <c:v>-2.4357621099752009</c:v>
                </c:pt>
                <c:pt idx="314">
                  <c:v>-2.929180922962729</c:v>
                </c:pt>
                <c:pt idx="315">
                  <c:v>-0.33942472012305558</c:v>
                </c:pt>
                <c:pt idx="316">
                  <c:v>2.221362783477332E-2</c:v>
                </c:pt>
                <c:pt idx="317">
                  <c:v>-3.0865977540036056</c:v>
                </c:pt>
                <c:pt idx="318">
                  <c:v>-3.299265894309805</c:v>
                </c:pt>
                <c:pt idx="319">
                  <c:v>-1.7452830600764884</c:v>
                </c:pt>
                <c:pt idx="320">
                  <c:v>-2.2003301516785285</c:v>
                </c:pt>
                <c:pt idx="321">
                  <c:v>-6.232916070520389E-2</c:v>
                </c:pt>
                <c:pt idx="322">
                  <c:v>-2.7442121633096903</c:v>
                </c:pt>
                <c:pt idx="323">
                  <c:v>1.744515962154253</c:v>
                </c:pt>
                <c:pt idx="324">
                  <c:v>3.1409920695741818</c:v>
                </c:pt>
                <c:pt idx="325">
                  <c:v>-0.82521003265541992</c:v>
                </c:pt>
                <c:pt idx="326">
                  <c:v>1.164268765489858</c:v>
                </c:pt>
                <c:pt idx="327">
                  <c:v>-2.6709052593640124</c:v>
                </c:pt>
                <c:pt idx="328">
                  <c:v>-0.33719982982507446</c:v>
                </c:pt>
                <c:pt idx="329">
                  <c:v>-1.3506766460237074</c:v>
                </c:pt>
                <c:pt idx="330">
                  <c:v>-1.6566938117903902</c:v>
                </c:pt>
                <c:pt idx="331">
                  <c:v>8.6837621634572315E-4</c:v>
                </c:pt>
                <c:pt idx="332">
                  <c:v>0.90802622627687413</c:v>
                </c:pt>
                <c:pt idx="333">
                  <c:v>-2.2935104415924883</c:v>
                </c:pt>
                <c:pt idx="334">
                  <c:v>-2.2939501020453719</c:v>
                </c:pt>
                <c:pt idx="335">
                  <c:v>-1.2956717063776892</c:v>
                </c:pt>
                <c:pt idx="336">
                  <c:v>-1.3358575003269095</c:v>
                </c:pt>
                <c:pt idx="337">
                  <c:v>-1.7852926215948202</c:v>
                </c:pt>
                <c:pt idx="338">
                  <c:v>-0.43412754162392275</c:v>
                </c:pt>
                <c:pt idx="339">
                  <c:v>0.85829594403561771</c:v>
                </c:pt>
                <c:pt idx="340">
                  <c:v>0.29300591275956833</c:v>
                </c:pt>
                <c:pt idx="341">
                  <c:v>3.5642163845804617</c:v>
                </c:pt>
                <c:pt idx="342">
                  <c:v>-2.9502069675920666</c:v>
                </c:pt>
                <c:pt idx="343">
                  <c:v>3.2967079427944412</c:v>
                </c:pt>
                <c:pt idx="344">
                  <c:v>1.189258361705825</c:v>
                </c:pt>
                <c:pt idx="345">
                  <c:v>3.2255150676424478</c:v>
                </c:pt>
                <c:pt idx="346">
                  <c:v>-2.5405365631446131</c:v>
                </c:pt>
                <c:pt idx="347">
                  <c:v>-1.5280895392943279</c:v>
                </c:pt>
                <c:pt idx="348">
                  <c:v>0.19640102794632242</c:v>
                </c:pt>
                <c:pt idx="349">
                  <c:v>-2.6259207776247422</c:v>
                </c:pt>
                <c:pt idx="350">
                  <c:v>-0.39694971248678712</c:v>
                </c:pt>
                <c:pt idx="351">
                  <c:v>-3.1069850349934711</c:v>
                </c:pt>
                <c:pt idx="352">
                  <c:v>-2.8218471901326012</c:v>
                </c:pt>
                <c:pt idx="353">
                  <c:v>-2.3948272001535571</c:v>
                </c:pt>
                <c:pt idx="354">
                  <c:v>-1.9661444665396033</c:v>
                </c:pt>
                <c:pt idx="355">
                  <c:v>-2.0025620684464229E-2</c:v>
                </c:pt>
                <c:pt idx="356">
                  <c:v>2.3432174676971584</c:v>
                </c:pt>
                <c:pt idx="357">
                  <c:v>0.15450948091988437</c:v>
                </c:pt>
                <c:pt idx="358">
                  <c:v>3.1682258372884746</c:v>
                </c:pt>
                <c:pt idx="359">
                  <c:v>1.4001180517499563</c:v>
                </c:pt>
                <c:pt idx="360">
                  <c:v>10.859190827417606</c:v>
                </c:pt>
                <c:pt idx="361">
                  <c:v>-4.3656133245104201</c:v>
                </c:pt>
                <c:pt idx="362">
                  <c:v>0.17975484866339286</c:v>
                </c:pt>
                <c:pt idx="363">
                  <c:v>-0.39215169213181866</c:v>
                </c:pt>
                <c:pt idx="364">
                  <c:v>-4.2669558440598507</c:v>
                </c:pt>
                <c:pt idx="365">
                  <c:v>-1.6190237831272611</c:v>
                </c:pt>
                <c:pt idx="366">
                  <c:v>-3.3905024477855221</c:v>
                </c:pt>
                <c:pt idx="367">
                  <c:v>-4.0455260011968619</c:v>
                </c:pt>
                <c:pt idx="368">
                  <c:v>-0.62514605892765474</c:v>
                </c:pt>
                <c:pt idx="369">
                  <c:v>-2.2185648719152056</c:v>
                </c:pt>
                <c:pt idx="370">
                  <c:v>-0.54818492964604104</c:v>
                </c:pt>
                <c:pt idx="371">
                  <c:v>-1.7699409989986918</c:v>
                </c:pt>
                <c:pt idx="372">
                  <c:v>1.2027018881441478</c:v>
                </c:pt>
                <c:pt idx="373">
                  <c:v>-13.808312750825365</c:v>
                </c:pt>
                <c:pt idx="374">
                  <c:v>-5.635506780878913</c:v>
                </c:pt>
                <c:pt idx="375">
                  <c:v>13.628369289230449</c:v>
                </c:pt>
                <c:pt idx="376">
                  <c:v>-12.302483951466868</c:v>
                </c:pt>
                <c:pt idx="377">
                  <c:v>10.54072298736294</c:v>
                </c:pt>
                <c:pt idx="378">
                  <c:v>5.3162634856386148</c:v>
                </c:pt>
                <c:pt idx="379">
                  <c:v>-1.5661507881639238</c:v>
                </c:pt>
                <c:pt idx="380">
                  <c:v>-1.8217636159843948</c:v>
                </c:pt>
                <c:pt idx="381">
                  <c:v>1.8807868029269912</c:v>
                </c:pt>
                <c:pt idx="382">
                  <c:v>-3.0467426350320039</c:v>
                </c:pt>
                <c:pt idx="383">
                  <c:v>2.4443989067481482</c:v>
                </c:pt>
                <c:pt idx="384">
                  <c:v>-6.2698504357911133</c:v>
                </c:pt>
                <c:pt idx="385">
                  <c:v>-0.26530186533936728</c:v>
                </c:pt>
                <c:pt idx="386">
                  <c:v>-1.9914804293782566</c:v>
                </c:pt>
                <c:pt idx="387">
                  <c:v>-2.9741830347048079</c:v>
                </c:pt>
                <c:pt idx="388">
                  <c:v>4.9669349688846438</c:v>
                </c:pt>
                <c:pt idx="389">
                  <c:v>9.3869088886761602</c:v>
                </c:pt>
                <c:pt idx="390">
                  <c:v>-2.2072950620130882</c:v>
                </c:pt>
                <c:pt idx="391">
                  <c:v>8.343302597207952</c:v>
                </c:pt>
                <c:pt idx="392">
                  <c:v>4.0269264853450579</c:v>
                </c:pt>
                <c:pt idx="393">
                  <c:v>-1.6439519780743979</c:v>
                </c:pt>
                <c:pt idx="394">
                  <c:v>3.2563464227929444</c:v>
                </c:pt>
                <c:pt idx="395">
                  <c:v>6.0819213860889647</c:v>
                </c:pt>
                <c:pt idx="396">
                  <c:v>-0.13581652652368348</c:v>
                </c:pt>
                <c:pt idx="397">
                  <c:v>3.280093844677836</c:v>
                </c:pt>
                <c:pt idx="398">
                  <c:v>-2.1633249683096949</c:v>
                </c:pt>
                <c:pt idx="399">
                  <c:v>4.0941556782952091</c:v>
                </c:pt>
                <c:pt idx="400">
                  <c:v>5.7917052549408936</c:v>
                </c:pt>
                <c:pt idx="401">
                  <c:v>-1.6172910633604118</c:v>
                </c:pt>
                <c:pt idx="402">
                  <c:v>4.0279955684115833</c:v>
                </c:pt>
                <c:pt idx="403">
                  <c:v>3.5520582595152774</c:v>
                </c:pt>
                <c:pt idx="404">
                  <c:v>-7.7911285406278807</c:v>
                </c:pt>
                <c:pt idx="405">
                  <c:v>-0.38645303692430844</c:v>
                </c:pt>
                <c:pt idx="406">
                  <c:v>3.8925634200636523</c:v>
                </c:pt>
                <c:pt idx="407">
                  <c:v>-2.1741464151732686</c:v>
                </c:pt>
                <c:pt idx="408">
                  <c:v>-0.90806203433847088</c:v>
                </c:pt>
                <c:pt idx="409">
                  <c:v>1.0741420498377892</c:v>
                </c:pt>
                <c:pt idx="410">
                  <c:v>4.6360451911289289</c:v>
                </c:pt>
                <c:pt idx="411">
                  <c:v>5.4084216004070385</c:v>
                </c:pt>
                <c:pt idx="412">
                  <c:v>-0.4112909255552637</c:v>
                </c:pt>
                <c:pt idx="413">
                  <c:v>6.230242342810044</c:v>
                </c:pt>
                <c:pt idx="414">
                  <c:v>-2.0163405591750347</c:v>
                </c:pt>
                <c:pt idx="415">
                  <c:v>-2.0707294463272063</c:v>
                </c:pt>
                <c:pt idx="416">
                  <c:v>-1.8197257646285294</c:v>
                </c:pt>
                <c:pt idx="417">
                  <c:v>4.9796714921149459</c:v>
                </c:pt>
                <c:pt idx="418">
                  <c:v>-2.750017495656607</c:v>
                </c:pt>
                <c:pt idx="419">
                  <c:v>-3.090711022613192</c:v>
                </c:pt>
                <c:pt idx="420">
                  <c:v>0.1572899683601463</c:v>
                </c:pt>
                <c:pt idx="421">
                  <c:v>3.8816989941989561</c:v>
                </c:pt>
                <c:pt idx="422">
                  <c:v>-0.91814046501514213</c:v>
                </c:pt>
                <c:pt idx="423">
                  <c:v>-0.89797992422926143</c:v>
                </c:pt>
                <c:pt idx="424">
                  <c:v>3.1224454098899344</c:v>
                </c:pt>
                <c:pt idx="425">
                  <c:v>-2.0428210831953919</c:v>
                </c:pt>
                <c:pt idx="426">
                  <c:v>0.30035307514549459</c:v>
                </c:pt>
                <c:pt idx="427">
                  <c:v>7.6094149239834792</c:v>
                </c:pt>
                <c:pt idx="428">
                  <c:v>0.16171147639118999</c:v>
                </c:pt>
                <c:pt idx="429">
                  <c:v>-4.4722150696036636</c:v>
                </c:pt>
                <c:pt idx="430">
                  <c:v>-6.6941434640581576</c:v>
                </c:pt>
                <c:pt idx="431">
                  <c:v>-1.0884978861899697</c:v>
                </c:pt>
                <c:pt idx="432">
                  <c:v>2.7515811131941206</c:v>
                </c:pt>
                <c:pt idx="433">
                  <c:v>2.9459556740125663</c:v>
                </c:pt>
                <c:pt idx="434">
                  <c:v>5.0711843025734851</c:v>
                </c:pt>
                <c:pt idx="435">
                  <c:v>-0.93150737592345934</c:v>
                </c:pt>
                <c:pt idx="436">
                  <c:v>0.33771755571817152</c:v>
                </c:pt>
                <c:pt idx="437">
                  <c:v>-1.0521219034959302</c:v>
                </c:pt>
                <c:pt idx="438">
                  <c:v>2.6553242780886279</c:v>
                </c:pt>
                <c:pt idx="439">
                  <c:v>-1.7889376758117237</c:v>
                </c:pt>
                <c:pt idx="440">
                  <c:v>2.0123307992202797</c:v>
                </c:pt>
                <c:pt idx="441">
                  <c:v>-1.0977280614771274</c:v>
                </c:pt>
                <c:pt idx="442">
                  <c:v>0.91745517523375497</c:v>
                </c:pt>
                <c:pt idx="443">
                  <c:v>-2.5110098718695042</c:v>
                </c:pt>
                <c:pt idx="444">
                  <c:v>-3.4179735736100838</c:v>
                </c:pt>
                <c:pt idx="445">
                  <c:v>-0.41075772033846647</c:v>
                </c:pt>
                <c:pt idx="446">
                  <c:v>-3.9832409241817572</c:v>
                </c:pt>
                <c:pt idx="447">
                  <c:v>-1.5972834765987898</c:v>
                </c:pt>
                <c:pt idx="448">
                  <c:v>-1.4830812408821714</c:v>
                </c:pt>
                <c:pt idx="449">
                  <c:v>2.2188454385996863</c:v>
                </c:pt>
                <c:pt idx="450">
                  <c:v>1.0460032886602306</c:v>
                </c:pt>
                <c:pt idx="451">
                  <c:v>-2.3902677436101101</c:v>
                </c:pt>
                <c:pt idx="452">
                  <c:v>-4.4295868584558349</c:v>
                </c:pt>
                <c:pt idx="453">
                  <c:v>-1.6881443737905641</c:v>
                </c:pt>
                <c:pt idx="454">
                  <c:v>-0.83491221223857792</c:v>
                </c:pt>
                <c:pt idx="455">
                  <c:v>-0.8312412477200013</c:v>
                </c:pt>
                <c:pt idx="456">
                  <c:v>6.1366546636607779</c:v>
                </c:pt>
                <c:pt idx="457">
                  <c:v>0.65456318640265465</c:v>
                </c:pt>
                <c:pt idx="458">
                  <c:v>-2.751395976152935</c:v>
                </c:pt>
                <c:pt idx="459">
                  <c:v>3.014733796531857</c:v>
                </c:pt>
                <c:pt idx="460">
                  <c:v>3.3225263128515508</c:v>
                </c:pt>
                <c:pt idx="461">
                  <c:v>4.0914503016080488</c:v>
                </c:pt>
                <c:pt idx="462">
                  <c:v>0.93904695463515964</c:v>
                </c:pt>
                <c:pt idx="463">
                  <c:v>-4.1855046975044274E-2</c:v>
                </c:pt>
                <c:pt idx="464">
                  <c:v>1.4927969185377918</c:v>
                </c:pt>
                <c:pt idx="465">
                  <c:v>4.6361434019805472</c:v>
                </c:pt>
                <c:pt idx="466">
                  <c:v>0.44119970543958686</c:v>
                </c:pt>
                <c:pt idx="467">
                  <c:v>-3.2121266393164802</c:v>
                </c:pt>
                <c:pt idx="468">
                  <c:v>-0.3775436038443587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5-4CCC-A891-85118C137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064"/>
        <c:axId val="1980292048"/>
      </c:scatterChart>
      <c:valAx>
        <c:axId val="6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292048"/>
        <c:crosses val="autoZero"/>
        <c:crossBetween val="midCat"/>
      </c:valAx>
      <c:valAx>
        <c:axId val="19802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187157</xdr:colOff>
      <xdr:row>6</xdr:row>
      <xdr:rowOff>0</xdr:rowOff>
    </xdr:from>
    <xdr:to>
      <xdr:col>16</xdr:col>
      <xdr:colOff>227263</xdr:colOff>
      <xdr:row>19</xdr:row>
      <xdr:rowOff>173790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295275F-5906-4CD1-8AF2-43558155C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25</xdr:row>
      <xdr:rowOff>0</xdr:rowOff>
    </xdr:from>
    <xdr:to>
      <xdr:col>18</xdr:col>
      <xdr:colOff>438727</xdr:colOff>
      <xdr:row>36</xdr:row>
      <xdr:rowOff>33131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0C536B8-7274-427C-8896-EC47D4E8B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76200</xdr:rowOff>
    </xdr:to>
    <xdr:sp macro="" textlink="">
      <xdr:nvSpPr>
        <xdr:cNvPr id="6145" name="AutoShape 1" descr="{\displaystyle h=\left(1-{\frac {1}{2}}DW\right){\sqrt {\frac {n}{1-n\cdot \mathop {\mathrm {Var} } ({\hat {\gamma }})}}},}">
          <a:extLst>
            <a:ext uri="{FF2B5EF4-FFF2-40B4-BE49-F238E27FC236}">
              <a16:creationId xmlns:a16="http://schemas.microsoft.com/office/drawing/2014/main" id="{193AA42D-D176-587E-445A-07DA5BFFACCF}"/>
            </a:ext>
          </a:extLst>
        </xdr:cNvPr>
        <xdr:cNvSpPr>
          <a:spLocks noChangeAspect="1" noChangeArrowheads="1"/>
        </xdr:cNvSpPr>
      </xdr:nvSpPr>
      <xdr:spPr bwMode="auto">
        <a:xfrm>
          <a:off x="68580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579120</xdr:colOff>
      <xdr:row>5</xdr:row>
      <xdr:rowOff>114552</xdr:rowOff>
    </xdr:from>
    <xdr:to>
      <xdr:col>11</xdr:col>
      <xdr:colOff>483870</xdr:colOff>
      <xdr:row>8</xdr:row>
      <xdr:rowOff>100965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8B5CBCB-C35A-3214-757D-B94DCAC23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7920" y="1257552"/>
          <a:ext cx="3562350" cy="6722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26</xdr:row>
      <xdr:rowOff>0</xdr:rowOff>
    </xdr:from>
    <xdr:to>
      <xdr:col>20</xdr:col>
      <xdr:colOff>220825</xdr:colOff>
      <xdr:row>38</xdr:row>
      <xdr:rowOff>79656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C1DF22-6D74-4B54-8C58-444A9383D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26</xdr:row>
      <xdr:rowOff>0</xdr:rowOff>
    </xdr:from>
    <xdr:to>
      <xdr:col>19</xdr:col>
      <xdr:colOff>304800</xdr:colOff>
      <xdr:row>37</xdr:row>
      <xdr:rowOff>83820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07B5B0E-8077-414C-97C9-3ABD5977E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7859-AC4C-42FF-8202-9D5E1BA2C4A5}">
  <sheetPr>
    <tabColor theme="4" tint="0.79998168889431442"/>
  </sheetPr>
  <dimension ref="A1:C573"/>
  <sheetViews>
    <sheetView zoomScale="57" workbookViewId="0">
      <selection activeCell="V6" sqref="V6"/>
    </sheetView>
  </sheetViews>
  <sheetFormatPr defaultRowHeight="14.4" x14ac:dyDescent="0.3"/>
  <cols>
    <col min="1" max="1" width="18.88671875" customWidth="1"/>
    <col min="2" max="2" width="13" customWidth="1"/>
    <col min="3" max="3" width="22.33203125" customWidth="1"/>
  </cols>
  <sheetData>
    <row r="1" spans="1:3" x14ac:dyDescent="0.3">
      <c r="A1" s="2"/>
    </row>
    <row r="2" spans="1:3" x14ac:dyDescent="0.3">
      <c r="A2" s="31"/>
    </row>
    <row r="3" spans="1:3" ht="157.80000000000001" customHeight="1" x14ac:dyDescent="0.3">
      <c r="A3" s="34" t="s">
        <v>41</v>
      </c>
      <c r="B3" s="5" t="s">
        <v>40</v>
      </c>
      <c r="C3" s="32" t="s">
        <v>47</v>
      </c>
    </row>
    <row r="4" spans="1:3" ht="18" x14ac:dyDescent="0.35">
      <c r="A4" s="33">
        <v>42006</v>
      </c>
      <c r="B4" s="4">
        <v>1</v>
      </c>
      <c r="C4" s="4">
        <v>53.44</v>
      </c>
    </row>
    <row r="5" spans="1:3" ht="18" x14ac:dyDescent="0.35">
      <c r="A5" s="33">
        <v>42013</v>
      </c>
      <c r="B5" s="4">
        <v>2</v>
      </c>
      <c r="C5" s="4">
        <v>48.77</v>
      </c>
    </row>
    <row r="6" spans="1:3" ht="18" x14ac:dyDescent="0.35">
      <c r="A6" s="33">
        <v>42020</v>
      </c>
      <c r="B6" s="4">
        <v>3</v>
      </c>
      <c r="C6" s="4">
        <v>47.07</v>
      </c>
    </row>
    <row r="7" spans="1:3" ht="18" x14ac:dyDescent="0.35">
      <c r="A7" s="33">
        <v>42027</v>
      </c>
      <c r="B7" s="4">
        <v>4</v>
      </c>
      <c r="C7" s="4">
        <v>46.46</v>
      </c>
    </row>
    <row r="8" spans="1:3" ht="18" x14ac:dyDescent="0.35">
      <c r="A8" s="33">
        <v>42034</v>
      </c>
      <c r="B8" s="4">
        <v>5</v>
      </c>
      <c r="C8" s="4">
        <v>45.32</v>
      </c>
    </row>
    <row r="9" spans="1:3" ht="18" x14ac:dyDescent="0.35">
      <c r="A9" s="33">
        <v>42041</v>
      </c>
      <c r="B9" s="4">
        <v>6</v>
      </c>
      <c r="C9" s="4">
        <v>50.58</v>
      </c>
    </row>
    <row r="10" spans="1:3" ht="18" x14ac:dyDescent="0.35">
      <c r="A10" s="33">
        <v>42048</v>
      </c>
      <c r="B10" s="4">
        <v>7</v>
      </c>
      <c r="C10" s="4">
        <v>51.14</v>
      </c>
    </row>
    <row r="11" spans="1:3" ht="18" x14ac:dyDescent="0.35">
      <c r="A11" s="33">
        <v>42055</v>
      </c>
      <c r="B11" s="4">
        <v>8</v>
      </c>
      <c r="C11" s="4">
        <v>51.69</v>
      </c>
    </row>
    <row r="12" spans="1:3" ht="18" x14ac:dyDescent="0.35">
      <c r="A12" s="33">
        <v>42062</v>
      </c>
      <c r="B12" s="4">
        <v>9</v>
      </c>
      <c r="C12" s="4">
        <v>49.16</v>
      </c>
    </row>
    <row r="13" spans="1:3" ht="18" x14ac:dyDescent="0.35">
      <c r="A13" s="33">
        <v>42069</v>
      </c>
      <c r="B13" s="4">
        <v>10</v>
      </c>
      <c r="C13" s="4">
        <v>50.38</v>
      </c>
    </row>
    <row r="14" spans="1:3" ht="18" x14ac:dyDescent="0.35">
      <c r="A14" s="33">
        <v>42076</v>
      </c>
      <c r="B14" s="4">
        <v>11</v>
      </c>
      <c r="C14" s="4">
        <v>47.69</v>
      </c>
    </row>
    <row r="15" spans="1:3" ht="18" x14ac:dyDescent="0.35">
      <c r="A15" s="33">
        <v>42083</v>
      </c>
      <c r="B15" s="4">
        <v>12</v>
      </c>
      <c r="C15" s="4">
        <v>44.39</v>
      </c>
    </row>
    <row r="16" spans="1:3" ht="18" x14ac:dyDescent="0.35">
      <c r="A16" s="33">
        <v>42090</v>
      </c>
      <c r="B16" s="4">
        <v>13</v>
      </c>
      <c r="C16" s="4">
        <v>48.68</v>
      </c>
    </row>
    <row r="17" spans="1:3" ht="18" x14ac:dyDescent="0.35">
      <c r="A17" s="33">
        <v>42097</v>
      </c>
      <c r="B17" s="4">
        <v>14</v>
      </c>
      <c r="C17" s="4">
        <v>48.91</v>
      </c>
    </row>
    <row r="18" spans="1:3" ht="18" x14ac:dyDescent="0.35">
      <c r="A18" s="33">
        <v>42104</v>
      </c>
      <c r="B18" s="4">
        <v>15</v>
      </c>
      <c r="C18" s="4">
        <v>51.78</v>
      </c>
    </row>
    <row r="19" spans="1:3" ht="18" x14ac:dyDescent="0.35">
      <c r="A19" s="33">
        <v>42111</v>
      </c>
      <c r="B19" s="4">
        <v>16</v>
      </c>
      <c r="C19" s="4">
        <v>54.78</v>
      </c>
    </row>
    <row r="20" spans="1:3" ht="18" x14ac:dyDescent="0.35">
      <c r="A20" s="33">
        <v>42118</v>
      </c>
      <c r="B20" s="4">
        <v>17</v>
      </c>
      <c r="C20" s="4">
        <v>56.14</v>
      </c>
    </row>
    <row r="21" spans="1:3" ht="18" x14ac:dyDescent="0.35">
      <c r="A21" s="33">
        <v>42125</v>
      </c>
      <c r="B21" s="4">
        <v>18</v>
      </c>
      <c r="C21" s="4">
        <v>57.98</v>
      </c>
    </row>
    <row r="22" spans="1:3" ht="18" x14ac:dyDescent="0.35">
      <c r="A22" s="33">
        <v>42132</v>
      </c>
      <c r="B22" s="4">
        <v>19</v>
      </c>
      <c r="C22" s="4">
        <v>59.73</v>
      </c>
    </row>
    <row r="23" spans="1:3" ht="18" x14ac:dyDescent="0.35">
      <c r="A23" s="33">
        <v>42139</v>
      </c>
      <c r="B23" s="4">
        <v>20</v>
      </c>
      <c r="C23" s="4">
        <v>60.01</v>
      </c>
    </row>
    <row r="24" spans="1:3" ht="18" x14ac:dyDescent="0.35">
      <c r="A24" s="33">
        <v>42146</v>
      </c>
      <c r="B24" s="4">
        <v>21</v>
      </c>
      <c r="C24" s="4">
        <v>58.95</v>
      </c>
    </row>
    <row r="25" spans="1:3" ht="18" x14ac:dyDescent="0.35">
      <c r="A25" s="33">
        <v>42153</v>
      </c>
      <c r="B25" s="4">
        <v>22</v>
      </c>
      <c r="C25" s="4">
        <v>58.19</v>
      </c>
    </row>
    <row r="26" spans="1:3" ht="18" x14ac:dyDescent="0.35">
      <c r="A26" s="33">
        <v>42160</v>
      </c>
      <c r="B26" s="4">
        <v>23</v>
      </c>
      <c r="C26" s="4">
        <v>59.66</v>
      </c>
    </row>
    <row r="27" spans="1:3" ht="18" x14ac:dyDescent="0.35">
      <c r="A27" s="33">
        <v>42167</v>
      </c>
      <c r="B27" s="4">
        <v>24</v>
      </c>
      <c r="C27" s="4">
        <v>60.07</v>
      </c>
    </row>
    <row r="28" spans="1:3" ht="18" x14ac:dyDescent="0.35">
      <c r="A28" s="33">
        <v>42174</v>
      </c>
      <c r="B28" s="4">
        <v>25</v>
      </c>
      <c r="C28" s="4">
        <v>59.89</v>
      </c>
    </row>
    <row r="29" spans="1:3" ht="18" x14ac:dyDescent="0.35">
      <c r="A29" s="33">
        <v>42181</v>
      </c>
      <c r="B29" s="4">
        <v>26</v>
      </c>
      <c r="C29" s="4">
        <v>60.01</v>
      </c>
    </row>
    <row r="30" spans="1:3" ht="18" x14ac:dyDescent="0.35">
      <c r="A30" s="33">
        <v>42188</v>
      </c>
      <c r="B30" s="4">
        <v>27</v>
      </c>
      <c r="C30" s="4">
        <v>57.92</v>
      </c>
    </row>
    <row r="31" spans="1:3" ht="18" x14ac:dyDescent="0.35">
      <c r="A31" s="33">
        <v>42195</v>
      </c>
      <c r="B31" s="4">
        <v>28</v>
      </c>
      <c r="C31" s="4">
        <v>52.38</v>
      </c>
    </row>
    <row r="32" spans="1:3" ht="18" x14ac:dyDescent="0.35">
      <c r="A32" s="33">
        <v>42202</v>
      </c>
      <c r="B32" s="4">
        <v>29</v>
      </c>
      <c r="C32" s="4">
        <v>51.68</v>
      </c>
    </row>
    <row r="33" spans="1:3" ht="18" x14ac:dyDescent="0.35">
      <c r="A33" s="33">
        <v>42209</v>
      </c>
      <c r="B33" s="4">
        <v>30</v>
      </c>
      <c r="C33" s="4">
        <v>49.21</v>
      </c>
    </row>
    <row r="34" spans="1:3" ht="18" x14ac:dyDescent="0.35">
      <c r="A34" s="33">
        <v>42216</v>
      </c>
      <c r="B34" s="4">
        <v>31</v>
      </c>
      <c r="C34" s="4">
        <v>47.91</v>
      </c>
    </row>
    <row r="35" spans="1:3" ht="18" x14ac:dyDescent="0.35">
      <c r="A35" s="33">
        <v>42223</v>
      </c>
      <c r="B35" s="4">
        <v>32</v>
      </c>
      <c r="C35" s="4">
        <v>44.94</v>
      </c>
    </row>
    <row r="36" spans="1:3" ht="18" x14ac:dyDescent="0.35">
      <c r="A36" s="33">
        <v>42230</v>
      </c>
      <c r="B36" s="4">
        <v>33</v>
      </c>
      <c r="C36" s="4">
        <v>43.2</v>
      </c>
    </row>
    <row r="37" spans="1:3" ht="18" x14ac:dyDescent="0.35">
      <c r="A37" s="33">
        <v>42237</v>
      </c>
      <c r="B37" s="4">
        <v>34</v>
      </c>
      <c r="C37" s="4">
        <v>41.34</v>
      </c>
    </row>
    <row r="38" spans="1:3" ht="18" x14ac:dyDescent="0.35">
      <c r="A38" s="33">
        <v>42244</v>
      </c>
      <c r="B38" s="4">
        <v>35</v>
      </c>
      <c r="C38" s="4">
        <v>40.729999999999997</v>
      </c>
    </row>
    <row r="39" spans="1:3" ht="18" x14ac:dyDescent="0.35">
      <c r="A39" s="33">
        <v>42251</v>
      </c>
      <c r="B39" s="4">
        <v>36</v>
      </c>
      <c r="C39" s="4">
        <v>46.73</v>
      </c>
    </row>
    <row r="40" spans="1:3" ht="18" x14ac:dyDescent="0.35">
      <c r="A40" s="33">
        <v>42258</v>
      </c>
      <c r="B40" s="4">
        <v>37</v>
      </c>
      <c r="C40" s="4">
        <v>45.16</v>
      </c>
    </row>
    <row r="41" spans="1:3" ht="18" x14ac:dyDescent="0.35">
      <c r="A41" s="33">
        <v>42265</v>
      </c>
      <c r="B41" s="4">
        <v>38</v>
      </c>
      <c r="C41" s="4">
        <v>45.48</v>
      </c>
    </row>
    <row r="42" spans="1:3" ht="18" x14ac:dyDescent="0.35">
      <c r="A42" s="33">
        <v>42272</v>
      </c>
      <c r="B42" s="4">
        <v>39</v>
      </c>
      <c r="C42" s="4">
        <v>45.57</v>
      </c>
    </row>
    <row r="43" spans="1:3" ht="18" x14ac:dyDescent="0.35">
      <c r="A43" s="33">
        <v>42279</v>
      </c>
      <c r="B43" s="4">
        <v>40</v>
      </c>
      <c r="C43" s="4">
        <v>45</v>
      </c>
    </row>
    <row r="44" spans="1:3" ht="18" x14ac:dyDescent="0.35">
      <c r="A44" s="33">
        <v>42286</v>
      </c>
      <c r="B44" s="4">
        <v>41</v>
      </c>
      <c r="C44" s="4">
        <v>48.36</v>
      </c>
    </row>
    <row r="45" spans="1:3" ht="18" x14ac:dyDescent="0.35">
      <c r="A45" s="33">
        <v>42293</v>
      </c>
      <c r="B45" s="4">
        <v>42</v>
      </c>
      <c r="C45" s="4">
        <v>46.82</v>
      </c>
    </row>
    <row r="46" spans="1:3" ht="18" x14ac:dyDescent="0.35">
      <c r="A46" s="33">
        <v>42300</v>
      </c>
      <c r="B46" s="4">
        <v>43</v>
      </c>
      <c r="C46" s="4">
        <v>45.16</v>
      </c>
    </row>
    <row r="47" spans="1:3" ht="18" x14ac:dyDescent="0.35">
      <c r="A47" s="33">
        <v>42307</v>
      </c>
      <c r="B47" s="4">
        <v>44</v>
      </c>
      <c r="C47" s="4">
        <v>44.99</v>
      </c>
    </row>
    <row r="48" spans="1:3" ht="18" x14ac:dyDescent="0.35">
      <c r="A48" s="33">
        <v>42314</v>
      </c>
      <c r="B48" s="4">
        <v>45</v>
      </c>
      <c r="C48" s="4">
        <v>45.98</v>
      </c>
    </row>
    <row r="49" spans="1:3" ht="18" x14ac:dyDescent="0.35">
      <c r="A49" s="33">
        <v>42321</v>
      </c>
      <c r="B49" s="4">
        <v>46</v>
      </c>
      <c r="C49" s="4">
        <v>42.7</v>
      </c>
    </row>
    <row r="50" spans="1:3" ht="18" x14ac:dyDescent="0.35">
      <c r="A50" s="33">
        <v>42328</v>
      </c>
      <c r="B50" s="4">
        <v>47</v>
      </c>
      <c r="C50" s="4">
        <v>40.619999999999997</v>
      </c>
    </row>
    <row r="51" spans="1:3" ht="18" x14ac:dyDescent="0.35">
      <c r="A51" s="33">
        <v>42335</v>
      </c>
      <c r="B51" s="4">
        <v>48</v>
      </c>
      <c r="C51" s="4">
        <v>40.49</v>
      </c>
    </row>
    <row r="52" spans="1:3" ht="18" x14ac:dyDescent="0.35">
      <c r="A52" s="33">
        <v>42342</v>
      </c>
      <c r="B52" s="4">
        <v>49</v>
      </c>
      <c r="C52" s="4">
        <v>40.4</v>
      </c>
    </row>
    <row r="53" spans="1:3" ht="18" x14ac:dyDescent="0.35">
      <c r="A53" s="33">
        <v>42349</v>
      </c>
      <c r="B53" s="4">
        <v>50</v>
      </c>
      <c r="C53" s="4">
        <v>36.93</v>
      </c>
    </row>
    <row r="54" spans="1:3" ht="18" x14ac:dyDescent="0.35">
      <c r="A54" s="33">
        <v>42356</v>
      </c>
      <c r="B54" s="4">
        <v>51</v>
      </c>
      <c r="C54" s="4">
        <v>35.78</v>
      </c>
    </row>
    <row r="55" spans="1:3" ht="18" x14ac:dyDescent="0.35">
      <c r="A55" s="33">
        <v>42363</v>
      </c>
      <c r="B55" s="4">
        <v>52</v>
      </c>
      <c r="C55" s="4">
        <v>36.26</v>
      </c>
    </row>
    <row r="56" spans="1:3" ht="18" x14ac:dyDescent="0.35">
      <c r="A56" s="33">
        <v>42370</v>
      </c>
      <c r="B56" s="4">
        <v>53</v>
      </c>
      <c r="C56" s="4">
        <v>36.99</v>
      </c>
    </row>
    <row r="57" spans="1:3" ht="18" x14ac:dyDescent="0.35">
      <c r="A57" s="33">
        <v>42377</v>
      </c>
      <c r="B57" s="4">
        <v>54</v>
      </c>
      <c r="C57" s="4">
        <v>34.65</v>
      </c>
    </row>
    <row r="58" spans="1:3" ht="18" x14ac:dyDescent="0.35">
      <c r="A58" s="33">
        <v>42384</v>
      </c>
      <c r="B58" s="4">
        <v>55</v>
      </c>
      <c r="C58" s="4">
        <v>30.59</v>
      </c>
    </row>
    <row r="59" spans="1:3" ht="18" x14ac:dyDescent="0.35">
      <c r="A59" s="33">
        <v>42391</v>
      </c>
      <c r="B59" s="4">
        <v>56</v>
      </c>
      <c r="C59" s="4">
        <v>29.19</v>
      </c>
    </row>
    <row r="60" spans="1:3" ht="18" x14ac:dyDescent="0.35">
      <c r="A60" s="33">
        <v>42398</v>
      </c>
      <c r="B60" s="4">
        <v>57</v>
      </c>
      <c r="C60" s="4">
        <v>31.81</v>
      </c>
    </row>
    <row r="61" spans="1:3" ht="18" x14ac:dyDescent="0.35">
      <c r="A61" s="33">
        <v>42405</v>
      </c>
      <c r="B61" s="4">
        <v>58</v>
      </c>
      <c r="C61" s="4">
        <v>31.26</v>
      </c>
    </row>
    <row r="62" spans="1:3" ht="18" x14ac:dyDescent="0.35">
      <c r="A62" s="33">
        <v>42412</v>
      </c>
      <c r="B62" s="4">
        <v>59</v>
      </c>
      <c r="C62" s="4">
        <v>28.14</v>
      </c>
    </row>
    <row r="63" spans="1:3" ht="18" x14ac:dyDescent="0.35">
      <c r="A63" s="33">
        <v>42419</v>
      </c>
      <c r="B63" s="4">
        <v>60</v>
      </c>
      <c r="C63" s="4">
        <v>30.02</v>
      </c>
    </row>
    <row r="64" spans="1:3" ht="18" x14ac:dyDescent="0.35">
      <c r="A64" s="33">
        <v>42426</v>
      </c>
      <c r="B64" s="4">
        <v>61</v>
      </c>
      <c r="C64" s="4">
        <v>31.32</v>
      </c>
    </row>
    <row r="65" spans="1:3" ht="18" x14ac:dyDescent="0.35">
      <c r="A65" s="33">
        <v>42433</v>
      </c>
      <c r="B65" s="4">
        <v>62</v>
      </c>
      <c r="C65" s="4">
        <v>34.43</v>
      </c>
    </row>
    <row r="66" spans="1:3" ht="18" x14ac:dyDescent="0.35">
      <c r="A66" s="33">
        <v>42440</v>
      </c>
      <c r="B66" s="4">
        <v>63</v>
      </c>
      <c r="C66" s="4">
        <v>37.69</v>
      </c>
    </row>
    <row r="67" spans="1:3" ht="18" x14ac:dyDescent="0.35">
      <c r="A67" s="33">
        <v>42447</v>
      </c>
      <c r="B67" s="4">
        <v>64</v>
      </c>
      <c r="C67" s="4">
        <v>38.32</v>
      </c>
    </row>
    <row r="68" spans="1:3" ht="18" x14ac:dyDescent="0.35">
      <c r="A68" s="33">
        <v>42454</v>
      </c>
      <c r="B68" s="4">
        <v>65</v>
      </c>
      <c r="C68" s="4">
        <v>39.450000000000003</v>
      </c>
    </row>
    <row r="69" spans="1:3" ht="18" x14ac:dyDescent="0.35">
      <c r="A69" s="33">
        <v>42461</v>
      </c>
      <c r="B69" s="4">
        <v>66</v>
      </c>
      <c r="C69" s="4">
        <v>36.82</v>
      </c>
    </row>
    <row r="70" spans="1:3" ht="18" x14ac:dyDescent="0.35">
      <c r="A70" s="33">
        <v>42468</v>
      </c>
      <c r="B70" s="4">
        <v>67</v>
      </c>
      <c r="C70" s="4">
        <v>36.72</v>
      </c>
    </row>
    <row r="71" spans="1:3" ht="18" x14ac:dyDescent="0.35">
      <c r="A71" s="33">
        <v>42475</v>
      </c>
      <c r="B71" s="4">
        <v>68</v>
      </c>
      <c r="C71" s="4">
        <v>41.23</v>
      </c>
    </row>
    <row r="72" spans="1:3" ht="18" x14ac:dyDescent="0.35">
      <c r="A72" s="33">
        <v>42482</v>
      </c>
      <c r="B72" s="4">
        <v>69</v>
      </c>
      <c r="C72" s="4">
        <v>41.86</v>
      </c>
    </row>
    <row r="73" spans="1:3" ht="18" x14ac:dyDescent="0.35">
      <c r="A73" s="33">
        <v>42489</v>
      </c>
      <c r="B73" s="4">
        <v>70</v>
      </c>
      <c r="C73" s="4">
        <v>44.3</v>
      </c>
    </row>
    <row r="74" spans="1:3" ht="18" x14ac:dyDescent="0.35">
      <c r="A74" s="33">
        <v>42496</v>
      </c>
      <c r="B74" s="4">
        <v>71</v>
      </c>
      <c r="C74" s="4">
        <v>44.22</v>
      </c>
    </row>
    <row r="75" spans="1:3" ht="18" x14ac:dyDescent="0.35">
      <c r="A75" s="33">
        <v>42503</v>
      </c>
      <c r="B75" s="4">
        <v>72</v>
      </c>
      <c r="C75" s="4">
        <v>45.44</v>
      </c>
    </row>
    <row r="76" spans="1:3" ht="18" x14ac:dyDescent="0.35">
      <c r="A76" s="33">
        <v>42510</v>
      </c>
      <c r="B76" s="4">
        <v>73</v>
      </c>
      <c r="C76" s="4">
        <v>47.99</v>
      </c>
    </row>
    <row r="77" spans="1:3" ht="18" x14ac:dyDescent="0.35">
      <c r="A77" s="33">
        <v>42517</v>
      </c>
      <c r="B77" s="4">
        <v>74</v>
      </c>
      <c r="C77" s="4">
        <v>48.72</v>
      </c>
    </row>
    <row r="78" spans="1:3" ht="18" x14ac:dyDescent="0.35">
      <c r="A78" s="33">
        <v>42524</v>
      </c>
      <c r="B78" s="4">
        <v>75</v>
      </c>
      <c r="C78" s="4">
        <v>49</v>
      </c>
    </row>
    <row r="79" spans="1:3" ht="18" x14ac:dyDescent="0.35">
      <c r="A79" s="33">
        <v>42531</v>
      </c>
      <c r="B79" s="4">
        <v>76</v>
      </c>
      <c r="C79" s="4">
        <v>50.18</v>
      </c>
    </row>
    <row r="80" spans="1:3" ht="18" x14ac:dyDescent="0.35">
      <c r="A80" s="33">
        <v>42538</v>
      </c>
      <c r="B80" s="4">
        <v>77</v>
      </c>
      <c r="C80" s="4">
        <v>47.89</v>
      </c>
    </row>
    <row r="81" spans="1:3" ht="18" x14ac:dyDescent="0.35">
      <c r="A81" s="33">
        <v>42545</v>
      </c>
      <c r="B81" s="4">
        <v>78</v>
      </c>
      <c r="C81" s="4">
        <v>48.71</v>
      </c>
    </row>
    <row r="82" spans="1:3" ht="18" x14ac:dyDescent="0.35">
      <c r="A82" s="33">
        <v>42552</v>
      </c>
      <c r="B82" s="4">
        <v>79</v>
      </c>
      <c r="C82" s="4">
        <v>48.17</v>
      </c>
    </row>
    <row r="83" spans="1:3" ht="18" x14ac:dyDescent="0.35">
      <c r="A83" s="33">
        <v>42559</v>
      </c>
      <c r="B83" s="4">
        <v>80</v>
      </c>
      <c r="C83" s="4">
        <v>46.17</v>
      </c>
    </row>
    <row r="84" spans="1:3" ht="18" x14ac:dyDescent="0.35">
      <c r="A84" s="33">
        <v>42566</v>
      </c>
      <c r="B84" s="4">
        <v>81</v>
      </c>
      <c r="C84" s="4">
        <v>45.6</v>
      </c>
    </row>
    <row r="85" spans="1:3" ht="18" x14ac:dyDescent="0.35">
      <c r="A85" s="33">
        <v>42573</v>
      </c>
      <c r="B85" s="4">
        <v>82</v>
      </c>
      <c r="C85" s="4">
        <v>44.44</v>
      </c>
    </row>
    <row r="86" spans="1:3" ht="18" x14ac:dyDescent="0.35">
      <c r="A86" s="33">
        <v>42580</v>
      </c>
      <c r="B86" s="4">
        <v>83</v>
      </c>
      <c r="C86" s="4">
        <v>41.83</v>
      </c>
    </row>
    <row r="87" spans="1:3" ht="18" x14ac:dyDescent="0.35">
      <c r="A87" s="33">
        <v>42587</v>
      </c>
      <c r="B87" s="4">
        <v>84</v>
      </c>
      <c r="C87" s="4">
        <v>40.82</v>
      </c>
    </row>
    <row r="88" spans="1:3" ht="18" x14ac:dyDescent="0.35">
      <c r="A88" s="33">
        <v>42594</v>
      </c>
      <c r="B88" s="4">
        <v>85</v>
      </c>
      <c r="C88" s="4">
        <v>43.11</v>
      </c>
    </row>
    <row r="89" spans="1:3" ht="18" x14ac:dyDescent="0.35">
      <c r="A89" s="33">
        <v>42601</v>
      </c>
      <c r="B89" s="4">
        <v>86</v>
      </c>
      <c r="C89" s="4">
        <v>47.16</v>
      </c>
    </row>
    <row r="90" spans="1:3" ht="18" x14ac:dyDescent="0.35">
      <c r="A90" s="33">
        <v>42608</v>
      </c>
      <c r="B90" s="4">
        <v>87</v>
      </c>
      <c r="C90" s="4">
        <v>47.05</v>
      </c>
    </row>
    <row r="91" spans="1:3" ht="18" x14ac:dyDescent="0.35">
      <c r="A91" s="33">
        <v>42615</v>
      </c>
      <c r="B91" s="4">
        <v>88</v>
      </c>
      <c r="C91" s="4">
        <v>45.11</v>
      </c>
    </row>
    <row r="92" spans="1:3" ht="18" x14ac:dyDescent="0.35">
      <c r="A92" s="33">
        <v>42622</v>
      </c>
      <c r="B92" s="4">
        <v>89</v>
      </c>
      <c r="C92" s="4">
        <v>45.96</v>
      </c>
    </row>
    <row r="93" spans="1:3" ht="18" x14ac:dyDescent="0.35">
      <c r="A93" s="33">
        <v>42629</v>
      </c>
      <c r="B93" s="4">
        <v>90</v>
      </c>
      <c r="C93" s="4">
        <v>44.34</v>
      </c>
    </row>
    <row r="94" spans="1:3" ht="18" x14ac:dyDescent="0.35">
      <c r="A94" s="33">
        <v>42636</v>
      </c>
      <c r="B94" s="4">
        <v>91</v>
      </c>
      <c r="C94" s="4">
        <v>44.59</v>
      </c>
    </row>
    <row r="95" spans="1:3" ht="18" x14ac:dyDescent="0.35">
      <c r="A95" s="33">
        <v>42643</v>
      </c>
      <c r="B95" s="4">
        <v>92</v>
      </c>
      <c r="C95" s="4">
        <v>46.55</v>
      </c>
    </row>
    <row r="96" spans="1:3" ht="18" x14ac:dyDescent="0.35">
      <c r="A96" s="33">
        <v>42650</v>
      </c>
      <c r="B96" s="4">
        <v>93</v>
      </c>
      <c r="C96" s="4">
        <v>49.48</v>
      </c>
    </row>
    <row r="97" spans="1:3" ht="18" x14ac:dyDescent="0.35">
      <c r="A97" s="33">
        <v>42657</v>
      </c>
      <c r="B97" s="4">
        <v>94</v>
      </c>
      <c r="C97" s="4">
        <v>50.29</v>
      </c>
    </row>
    <row r="98" spans="1:3" ht="18" x14ac:dyDescent="0.35">
      <c r="A98" s="33">
        <v>42664</v>
      </c>
      <c r="B98" s="4">
        <v>95</v>
      </c>
      <c r="C98" s="4">
        <v>50.56</v>
      </c>
    </row>
    <row r="99" spans="1:3" ht="18" x14ac:dyDescent="0.35">
      <c r="A99" s="33">
        <v>42671</v>
      </c>
      <c r="B99" s="4">
        <v>96</v>
      </c>
      <c r="C99" s="4">
        <v>49.36</v>
      </c>
    </row>
    <row r="100" spans="1:3" ht="18" x14ac:dyDescent="0.35">
      <c r="A100" s="33">
        <v>42678</v>
      </c>
      <c r="B100" s="4">
        <v>97</v>
      </c>
      <c r="C100" s="4">
        <v>45.51</v>
      </c>
    </row>
    <row r="101" spans="1:3" ht="18" x14ac:dyDescent="0.35">
      <c r="A101" s="33">
        <v>42685</v>
      </c>
      <c r="B101" s="4">
        <v>98</v>
      </c>
      <c r="C101" s="4">
        <v>44.61</v>
      </c>
    </row>
    <row r="102" spans="1:3" ht="18" x14ac:dyDescent="0.35">
      <c r="A102" s="33">
        <v>42692</v>
      </c>
      <c r="B102" s="4">
        <v>99</v>
      </c>
      <c r="C102" s="4">
        <v>45.15</v>
      </c>
    </row>
    <row r="103" spans="1:3" ht="18" x14ac:dyDescent="0.35">
      <c r="A103" s="33">
        <v>42699</v>
      </c>
      <c r="B103" s="4">
        <v>100</v>
      </c>
      <c r="C103" s="4">
        <v>47.25</v>
      </c>
    </row>
    <row r="104" spans="1:3" ht="18" x14ac:dyDescent="0.35">
      <c r="A104" s="33">
        <v>42706</v>
      </c>
      <c r="B104" s="4">
        <v>101</v>
      </c>
      <c r="C104" s="4">
        <v>48.63</v>
      </c>
    </row>
    <row r="105" spans="1:3" ht="18" x14ac:dyDescent="0.35">
      <c r="A105" s="33">
        <v>42713</v>
      </c>
      <c r="B105" s="4">
        <v>102</v>
      </c>
      <c r="C105" s="4">
        <v>50.97</v>
      </c>
    </row>
    <row r="106" spans="1:3" ht="18" x14ac:dyDescent="0.35">
      <c r="A106" s="33">
        <v>42720</v>
      </c>
      <c r="B106" s="4">
        <v>103</v>
      </c>
      <c r="C106" s="4">
        <v>51.91</v>
      </c>
    </row>
    <row r="107" spans="1:3" ht="18" x14ac:dyDescent="0.35">
      <c r="A107" s="33">
        <v>42727</v>
      </c>
      <c r="B107" s="4">
        <v>104</v>
      </c>
      <c r="C107" s="4">
        <v>51.95</v>
      </c>
    </row>
    <row r="108" spans="1:3" ht="18" x14ac:dyDescent="0.35">
      <c r="A108" s="33">
        <v>42734</v>
      </c>
      <c r="B108" s="4">
        <v>105</v>
      </c>
      <c r="C108" s="4">
        <v>53.6</v>
      </c>
    </row>
    <row r="109" spans="1:3" ht="18" x14ac:dyDescent="0.35">
      <c r="A109" s="33">
        <v>42741</v>
      </c>
      <c r="B109" s="4">
        <v>106</v>
      </c>
      <c r="C109" s="4">
        <v>53.34</v>
      </c>
    </row>
    <row r="110" spans="1:3" ht="18" x14ac:dyDescent="0.35">
      <c r="A110" s="33">
        <v>42748</v>
      </c>
      <c r="B110" s="4">
        <v>107</v>
      </c>
      <c r="C110" s="4">
        <v>52.07</v>
      </c>
    </row>
    <row r="111" spans="1:3" ht="18" x14ac:dyDescent="0.35">
      <c r="A111" s="33">
        <v>42755</v>
      </c>
      <c r="B111" s="4">
        <v>108</v>
      </c>
      <c r="C111" s="4">
        <v>51.82</v>
      </c>
    </row>
    <row r="112" spans="1:3" ht="18" x14ac:dyDescent="0.35">
      <c r="A112" s="33">
        <v>42762</v>
      </c>
      <c r="B112" s="4">
        <v>109</v>
      </c>
      <c r="C112" s="4">
        <v>52.74</v>
      </c>
    </row>
    <row r="113" spans="1:3" ht="18" x14ac:dyDescent="0.35">
      <c r="A113" s="33">
        <v>42769</v>
      </c>
      <c r="B113" s="4">
        <v>110</v>
      </c>
      <c r="C113" s="4">
        <v>53.33</v>
      </c>
    </row>
    <row r="114" spans="1:3" ht="18" x14ac:dyDescent="0.35">
      <c r="A114" s="33">
        <v>42776</v>
      </c>
      <c r="B114" s="4">
        <v>111</v>
      </c>
      <c r="C114" s="4">
        <v>52.88</v>
      </c>
    </row>
    <row r="115" spans="1:3" ht="18" x14ac:dyDescent="0.35">
      <c r="A115" s="33">
        <v>42783</v>
      </c>
      <c r="B115" s="4">
        <v>112</v>
      </c>
      <c r="C115" s="4">
        <v>53.22</v>
      </c>
    </row>
    <row r="116" spans="1:3" ht="18" x14ac:dyDescent="0.35">
      <c r="A116" s="33">
        <v>42790</v>
      </c>
      <c r="B116" s="4">
        <v>113</v>
      </c>
      <c r="C116" s="4">
        <v>54.03</v>
      </c>
    </row>
    <row r="117" spans="1:3" ht="18" x14ac:dyDescent="0.35">
      <c r="A117" s="33">
        <v>42797</v>
      </c>
      <c r="B117" s="4">
        <v>114</v>
      </c>
      <c r="C117" s="4">
        <v>53.56</v>
      </c>
    </row>
    <row r="118" spans="1:3" ht="18" x14ac:dyDescent="0.35">
      <c r="A118" s="33">
        <v>42804</v>
      </c>
      <c r="B118" s="4">
        <v>115</v>
      </c>
      <c r="C118" s="4">
        <v>50.5</v>
      </c>
    </row>
    <row r="119" spans="1:3" ht="18" x14ac:dyDescent="0.35">
      <c r="A119" s="33">
        <v>42811</v>
      </c>
      <c r="B119" s="4">
        <v>116</v>
      </c>
      <c r="C119" s="4">
        <v>48.03</v>
      </c>
    </row>
    <row r="120" spans="1:3" ht="18" x14ac:dyDescent="0.35">
      <c r="A120" s="33">
        <v>42818</v>
      </c>
      <c r="B120" s="4">
        <v>117</v>
      </c>
      <c r="C120" s="4">
        <v>47.28</v>
      </c>
    </row>
    <row r="121" spans="1:3" ht="18" x14ac:dyDescent="0.35">
      <c r="A121" s="33">
        <v>42825</v>
      </c>
      <c r="B121" s="4">
        <v>118</v>
      </c>
      <c r="C121" s="4">
        <v>49.14</v>
      </c>
    </row>
    <row r="122" spans="1:3" ht="18" x14ac:dyDescent="0.35">
      <c r="A122" s="33">
        <v>42832</v>
      </c>
      <c r="B122" s="4">
        <v>119</v>
      </c>
      <c r="C122" s="4">
        <v>51.26</v>
      </c>
    </row>
    <row r="123" spans="1:3" ht="18" x14ac:dyDescent="0.35">
      <c r="A123" s="33">
        <v>42839</v>
      </c>
      <c r="B123" s="4">
        <v>120</v>
      </c>
      <c r="C123" s="4">
        <v>53.19</v>
      </c>
    </row>
    <row r="124" spans="1:3" ht="18" x14ac:dyDescent="0.35">
      <c r="A124" s="33">
        <v>42846</v>
      </c>
      <c r="B124" s="4">
        <v>121</v>
      </c>
      <c r="C124" s="4">
        <v>51.09</v>
      </c>
    </row>
    <row r="125" spans="1:3" ht="18" x14ac:dyDescent="0.35">
      <c r="A125" s="33">
        <v>42853</v>
      </c>
      <c r="B125" s="4">
        <v>122</v>
      </c>
      <c r="C125" s="4">
        <v>49.12</v>
      </c>
    </row>
    <row r="126" spans="1:3" ht="18" x14ac:dyDescent="0.35">
      <c r="A126" s="33">
        <v>42860</v>
      </c>
      <c r="B126" s="4">
        <v>123</v>
      </c>
      <c r="C126" s="4">
        <v>47.21</v>
      </c>
    </row>
    <row r="127" spans="1:3" ht="18" x14ac:dyDescent="0.35">
      <c r="A127" s="33">
        <v>42867</v>
      </c>
      <c r="B127" s="4">
        <v>124</v>
      </c>
      <c r="C127" s="4">
        <v>47.04</v>
      </c>
    </row>
    <row r="128" spans="1:3" ht="18" x14ac:dyDescent="0.35">
      <c r="A128" s="33">
        <v>42874</v>
      </c>
      <c r="B128" s="4">
        <v>125</v>
      </c>
      <c r="C128" s="4">
        <v>49.24</v>
      </c>
    </row>
    <row r="129" spans="1:3" ht="18" x14ac:dyDescent="0.35">
      <c r="A129" s="33">
        <v>42881</v>
      </c>
      <c r="B129" s="4">
        <v>126</v>
      </c>
      <c r="C129" s="4">
        <v>50.21</v>
      </c>
    </row>
    <row r="130" spans="1:3" ht="18" x14ac:dyDescent="0.35">
      <c r="A130" s="33">
        <v>42888</v>
      </c>
      <c r="B130" s="4">
        <v>127</v>
      </c>
      <c r="C130" s="4">
        <v>48.48</v>
      </c>
    </row>
    <row r="131" spans="1:3" ht="18" x14ac:dyDescent="0.35">
      <c r="A131" s="33">
        <v>42895</v>
      </c>
      <c r="B131" s="4">
        <v>128</v>
      </c>
      <c r="C131" s="4">
        <v>46.57</v>
      </c>
    </row>
    <row r="132" spans="1:3" ht="18" x14ac:dyDescent="0.35">
      <c r="A132" s="33">
        <v>42902</v>
      </c>
      <c r="B132" s="4">
        <v>129</v>
      </c>
      <c r="C132" s="4">
        <v>45.3</v>
      </c>
    </row>
    <row r="133" spans="1:3" ht="18" x14ac:dyDescent="0.35">
      <c r="A133" s="33">
        <v>42909</v>
      </c>
      <c r="B133" s="4">
        <v>130</v>
      </c>
      <c r="C133" s="4">
        <v>43.09</v>
      </c>
    </row>
    <row r="134" spans="1:3" ht="18" x14ac:dyDescent="0.35">
      <c r="A134" s="33">
        <v>42916</v>
      </c>
      <c r="B134" s="4">
        <v>131</v>
      </c>
      <c r="C134" s="4">
        <v>44.63</v>
      </c>
    </row>
    <row r="135" spans="1:3" ht="18" x14ac:dyDescent="0.35">
      <c r="A135" s="33">
        <v>42923</v>
      </c>
      <c r="B135" s="4">
        <v>132</v>
      </c>
      <c r="C135" s="4">
        <v>44.96</v>
      </c>
    </row>
    <row r="136" spans="1:3" ht="18" x14ac:dyDescent="0.35">
      <c r="A136" s="33">
        <v>42930</v>
      </c>
      <c r="B136" s="4">
        <v>133</v>
      </c>
      <c r="C136" s="4">
        <v>45.51</v>
      </c>
    </row>
    <row r="137" spans="1:3" ht="18" x14ac:dyDescent="0.35">
      <c r="A137" s="33">
        <v>42937</v>
      </c>
      <c r="B137" s="4">
        <v>134</v>
      </c>
      <c r="C137" s="4">
        <v>46.41</v>
      </c>
    </row>
    <row r="138" spans="1:3" ht="18" x14ac:dyDescent="0.35">
      <c r="A138" s="33">
        <v>42944</v>
      </c>
      <c r="B138" s="4">
        <v>135</v>
      </c>
      <c r="C138" s="4">
        <v>48.27</v>
      </c>
    </row>
    <row r="139" spans="1:3" ht="18" x14ac:dyDescent="0.35">
      <c r="A139" s="33">
        <v>42951</v>
      </c>
      <c r="B139" s="4">
        <v>136</v>
      </c>
      <c r="C139" s="4">
        <v>49.52</v>
      </c>
    </row>
    <row r="140" spans="1:3" ht="18" x14ac:dyDescent="0.35">
      <c r="A140" s="33">
        <v>42958</v>
      </c>
      <c r="B140" s="4">
        <v>137</v>
      </c>
      <c r="C140" s="4">
        <v>49.08</v>
      </c>
    </row>
    <row r="141" spans="1:3" ht="18" x14ac:dyDescent="0.35">
      <c r="A141" s="33">
        <v>42965</v>
      </c>
      <c r="B141" s="4">
        <v>138</v>
      </c>
      <c r="C141" s="4">
        <v>47.52</v>
      </c>
    </row>
    <row r="142" spans="1:3" ht="18" x14ac:dyDescent="0.35">
      <c r="A142" s="33">
        <v>42972</v>
      </c>
      <c r="B142" s="4">
        <v>139</v>
      </c>
      <c r="C142" s="4">
        <v>47.68</v>
      </c>
    </row>
    <row r="143" spans="1:3" ht="18" x14ac:dyDescent="0.35">
      <c r="A143" s="33">
        <v>42979</v>
      </c>
      <c r="B143" s="4">
        <v>140</v>
      </c>
      <c r="C143" s="4">
        <v>46.68</v>
      </c>
    </row>
    <row r="144" spans="1:3" ht="18" x14ac:dyDescent="0.35">
      <c r="A144" s="33">
        <v>42986</v>
      </c>
      <c r="B144" s="4">
        <v>141</v>
      </c>
      <c r="C144" s="4">
        <v>48.58</v>
      </c>
    </row>
    <row r="145" spans="1:3" ht="18" x14ac:dyDescent="0.35">
      <c r="A145" s="33">
        <v>42993</v>
      </c>
      <c r="B145" s="4">
        <v>142</v>
      </c>
      <c r="C145" s="4">
        <v>49.07</v>
      </c>
    </row>
    <row r="146" spans="1:3" ht="18" x14ac:dyDescent="0.35">
      <c r="A146" s="33">
        <v>43000</v>
      </c>
      <c r="B146" s="4">
        <v>143</v>
      </c>
      <c r="C146" s="4">
        <v>50.12</v>
      </c>
    </row>
    <row r="147" spans="1:3" ht="18" x14ac:dyDescent="0.35">
      <c r="A147" s="33">
        <v>43007</v>
      </c>
      <c r="B147" s="4">
        <v>144</v>
      </c>
      <c r="C147" s="4">
        <v>51.77</v>
      </c>
    </row>
    <row r="148" spans="1:3" ht="18" x14ac:dyDescent="0.35">
      <c r="A148" s="33">
        <v>43014</v>
      </c>
      <c r="B148" s="4">
        <v>145</v>
      </c>
      <c r="C148" s="4">
        <v>50.23</v>
      </c>
    </row>
    <row r="149" spans="1:3" ht="18" x14ac:dyDescent="0.35">
      <c r="A149" s="33">
        <v>43021</v>
      </c>
      <c r="B149" s="4">
        <v>146</v>
      </c>
      <c r="C149" s="4">
        <v>50.77</v>
      </c>
    </row>
    <row r="150" spans="1:3" ht="18" x14ac:dyDescent="0.35">
      <c r="A150" s="33">
        <v>43028</v>
      </c>
      <c r="B150" s="4">
        <v>147</v>
      </c>
      <c r="C150" s="4">
        <v>51.74</v>
      </c>
    </row>
    <row r="151" spans="1:3" ht="18" x14ac:dyDescent="0.35">
      <c r="A151" s="33">
        <v>43035</v>
      </c>
      <c r="B151" s="4">
        <v>148</v>
      </c>
      <c r="C151" s="4">
        <v>52.51</v>
      </c>
    </row>
    <row r="152" spans="1:3" ht="18" x14ac:dyDescent="0.35">
      <c r="A152" s="33">
        <v>43042</v>
      </c>
      <c r="B152" s="4">
        <v>149</v>
      </c>
      <c r="C152" s="4">
        <v>54.59</v>
      </c>
    </row>
    <row r="153" spans="1:3" ht="18" x14ac:dyDescent="0.35">
      <c r="A153" s="33">
        <v>43049</v>
      </c>
      <c r="B153" s="4">
        <v>150</v>
      </c>
      <c r="C153" s="4">
        <v>57.05</v>
      </c>
    </row>
    <row r="154" spans="1:3" ht="18" x14ac:dyDescent="0.35">
      <c r="A154" s="33">
        <v>43056</v>
      </c>
      <c r="B154" s="4">
        <v>151</v>
      </c>
      <c r="C154" s="4">
        <v>55.81</v>
      </c>
    </row>
    <row r="155" spans="1:3" ht="18" x14ac:dyDescent="0.35">
      <c r="A155" s="33">
        <v>43063</v>
      </c>
      <c r="B155" s="4">
        <v>152</v>
      </c>
      <c r="C155" s="4">
        <v>57.47</v>
      </c>
    </row>
    <row r="156" spans="1:3" ht="18" x14ac:dyDescent="0.35">
      <c r="A156" s="33">
        <v>43070</v>
      </c>
      <c r="B156" s="4">
        <v>153</v>
      </c>
      <c r="C156" s="4">
        <v>57.81</v>
      </c>
    </row>
    <row r="157" spans="1:3" ht="18" x14ac:dyDescent="0.35">
      <c r="A157" s="33">
        <v>43077</v>
      </c>
      <c r="B157" s="4">
        <v>154</v>
      </c>
      <c r="C157" s="4">
        <v>56.92</v>
      </c>
    </row>
    <row r="158" spans="1:3" ht="18" x14ac:dyDescent="0.35">
      <c r="A158" s="33">
        <v>43084</v>
      </c>
      <c r="B158" s="4">
        <v>155</v>
      </c>
      <c r="C158" s="4">
        <v>57.17</v>
      </c>
    </row>
    <row r="159" spans="1:3" ht="18" x14ac:dyDescent="0.35">
      <c r="A159" s="33">
        <v>43091</v>
      </c>
      <c r="B159" s="4">
        <v>156</v>
      </c>
      <c r="C159" s="4">
        <v>57.87</v>
      </c>
    </row>
    <row r="160" spans="1:3" ht="18" x14ac:dyDescent="0.35">
      <c r="A160" s="33">
        <v>43098</v>
      </c>
      <c r="B160" s="4">
        <v>157</v>
      </c>
      <c r="C160" s="4">
        <v>59.88</v>
      </c>
    </row>
    <row r="161" spans="1:3" ht="18" x14ac:dyDescent="0.35">
      <c r="A161" s="33">
        <v>43105</v>
      </c>
      <c r="B161" s="4">
        <v>158</v>
      </c>
      <c r="C161" s="4">
        <v>61.36</v>
      </c>
    </row>
    <row r="162" spans="1:3" ht="18" x14ac:dyDescent="0.35">
      <c r="A162" s="33">
        <v>43112</v>
      </c>
      <c r="B162" s="4">
        <v>159</v>
      </c>
      <c r="C162" s="4">
        <v>63.26</v>
      </c>
    </row>
    <row r="163" spans="1:3" ht="18" x14ac:dyDescent="0.35">
      <c r="A163" s="33">
        <v>43119</v>
      </c>
      <c r="B163" s="4">
        <v>160</v>
      </c>
      <c r="C163" s="4">
        <v>63.77</v>
      </c>
    </row>
    <row r="164" spans="1:3" ht="18" x14ac:dyDescent="0.35">
      <c r="A164" s="33">
        <v>43126</v>
      </c>
      <c r="B164" s="4">
        <v>161</v>
      </c>
      <c r="C164" s="4">
        <v>65.14</v>
      </c>
    </row>
    <row r="165" spans="1:3" ht="18" x14ac:dyDescent="0.35">
      <c r="A165" s="33">
        <v>43133</v>
      </c>
      <c r="B165" s="4">
        <v>162</v>
      </c>
      <c r="C165" s="4">
        <v>65.319999999999993</v>
      </c>
    </row>
    <row r="166" spans="1:3" ht="18" x14ac:dyDescent="0.35">
      <c r="A166" s="33">
        <v>43140</v>
      </c>
      <c r="B166" s="4">
        <v>163</v>
      </c>
      <c r="C166" s="4">
        <v>62.01</v>
      </c>
    </row>
    <row r="167" spans="1:3" ht="18" x14ac:dyDescent="0.35">
      <c r="A167" s="33">
        <v>43147</v>
      </c>
      <c r="B167" s="4">
        <v>164</v>
      </c>
      <c r="C167" s="4">
        <v>60.56</v>
      </c>
    </row>
    <row r="168" spans="1:3" ht="18" x14ac:dyDescent="0.35">
      <c r="A168" s="33">
        <v>43154</v>
      </c>
      <c r="B168" s="4">
        <v>165</v>
      </c>
      <c r="C168" s="4">
        <v>62.47</v>
      </c>
    </row>
    <row r="169" spans="1:3" ht="18" x14ac:dyDescent="0.35">
      <c r="A169" s="33">
        <v>43161</v>
      </c>
      <c r="B169" s="4">
        <v>166</v>
      </c>
      <c r="C169" s="4">
        <v>62.07</v>
      </c>
    </row>
    <row r="170" spans="1:3" ht="18" x14ac:dyDescent="0.35">
      <c r="A170" s="33">
        <v>43168</v>
      </c>
      <c r="B170" s="4">
        <v>167</v>
      </c>
      <c r="C170" s="4">
        <v>61.65</v>
      </c>
    </row>
    <row r="171" spans="1:3" ht="18" x14ac:dyDescent="0.35">
      <c r="A171" s="33">
        <v>43175</v>
      </c>
      <c r="B171" s="4">
        <v>168</v>
      </c>
      <c r="C171" s="4">
        <v>61.28</v>
      </c>
    </row>
    <row r="172" spans="1:3" ht="18" x14ac:dyDescent="0.35">
      <c r="A172" s="33">
        <v>43182</v>
      </c>
      <c r="B172" s="4">
        <v>169</v>
      </c>
      <c r="C172" s="4">
        <v>64.11</v>
      </c>
    </row>
    <row r="173" spans="1:3" ht="18" x14ac:dyDescent="0.35">
      <c r="A173" s="33">
        <v>43189</v>
      </c>
      <c r="B173" s="4">
        <v>170</v>
      </c>
      <c r="C173" s="4">
        <v>64.97</v>
      </c>
    </row>
    <row r="174" spans="1:3" ht="18" x14ac:dyDescent="0.35">
      <c r="A174" s="33">
        <v>43196</v>
      </c>
      <c r="B174" s="4">
        <v>171</v>
      </c>
      <c r="C174" s="4">
        <v>63.07</v>
      </c>
    </row>
    <row r="175" spans="1:3" ht="18" x14ac:dyDescent="0.35">
      <c r="A175" s="33">
        <v>43203</v>
      </c>
      <c r="B175" s="4">
        <v>172</v>
      </c>
      <c r="C175" s="4">
        <v>66.02</v>
      </c>
    </row>
    <row r="176" spans="1:3" ht="18" x14ac:dyDescent="0.35">
      <c r="A176" s="33">
        <v>43210</v>
      </c>
      <c r="B176" s="4">
        <v>173</v>
      </c>
      <c r="C176" s="4">
        <v>67.55</v>
      </c>
    </row>
    <row r="177" spans="1:3" ht="18" x14ac:dyDescent="0.35">
      <c r="A177" s="33">
        <v>43217</v>
      </c>
      <c r="B177" s="4">
        <v>174</v>
      </c>
      <c r="C177" s="4">
        <v>67.91</v>
      </c>
    </row>
    <row r="178" spans="1:3" ht="18" x14ac:dyDescent="0.35">
      <c r="A178" s="33">
        <v>43224</v>
      </c>
      <c r="B178" s="4">
        <v>175</v>
      </c>
      <c r="C178" s="4">
        <v>68.38</v>
      </c>
    </row>
    <row r="179" spans="1:3" ht="18" x14ac:dyDescent="0.35">
      <c r="A179" s="33">
        <v>43231</v>
      </c>
      <c r="B179" s="4">
        <v>176</v>
      </c>
      <c r="C179" s="4">
        <v>70.56</v>
      </c>
    </row>
    <row r="180" spans="1:3" ht="18" x14ac:dyDescent="0.35">
      <c r="A180" s="33">
        <v>43238</v>
      </c>
      <c r="B180" s="4">
        <v>177</v>
      </c>
      <c r="C180" s="4">
        <v>71.3</v>
      </c>
    </row>
    <row r="181" spans="1:3" ht="18" x14ac:dyDescent="0.35">
      <c r="A181" s="33">
        <v>43245</v>
      </c>
      <c r="B181" s="4">
        <v>178</v>
      </c>
      <c r="C181" s="4">
        <v>70.98</v>
      </c>
    </row>
    <row r="182" spans="1:3" ht="18" x14ac:dyDescent="0.35">
      <c r="A182" s="33">
        <v>43252</v>
      </c>
      <c r="B182" s="4">
        <v>179</v>
      </c>
      <c r="C182" s="4">
        <v>66.959999999999994</v>
      </c>
    </row>
    <row r="183" spans="1:3" ht="18" x14ac:dyDescent="0.35">
      <c r="A183" s="33">
        <v>43259</v>
      </c>
      <c r="B183" s="4">
        <v>180</v>
      </c>
      <c r="C183" s="4">
        <v>65.349999999999994</v>
      </c>
    </row>
    <row r="184" spans="1:3" ht="18" x14ac:dyDescent="0.35">
      <c r="A184" s="33">
        <v>43266</v>
      </c>
      <c r="B184" s="4">
        <v>181</v>
      </c>
      <c r="C184" s="4">
        <v>66.209999999999994</v>
      </c>
    </row>
    <row r="185" spans="1:3" ht="18" x14ac:dyDescent="0.35">
      <c r="A185" s="33">
        <v>43273</v>
      </c>
      <c r="B185" s="4">
        <v>182</v>
      </c>
      <c r="C185" s="4">
        <v>66.319999999999993</v>
      </c>
    </row>
    <row r="186" spans="1:3" ht="18" x14ac:dyDescent="0.35">
      <c r="A186" s="33">
        <v>43280</v>
      </c>
      <c r="B186" s="4">
        <v>183</v>
      </c>
      <c r="C186" s="4">
        <v>74.03</v>
      </c>
    </row>
    <row r="187" spans="1:3" ht="18" x14ac:dyDescent="0.35">
      <c r="A187" s="33">
        <v>43287</v>
      </c>
      <c r="B187" s="4">
        <v>184</v>
      </c>
      <c r="C187" s="4">
        <v>73.73</v>
      </c>
    </row>
    <row r="188" spans="1:3" ht="18" x14ac:dyDescent="0.35">
      <c r="A188" s="33">
        <v>43294</v>
      </c>
      <c r="B188" s="4">
        <v>185</v>
      </c>
      <c r="C188" s="4">
        <v>71.959999999999994</v>
      </c>
    </row>
    <row r="189" spans="1:3" ht="18" x14ac:dyDescent="0.35">
      <c r="A189" s="33">
        <v>43301</v>
      </c>
      <c r="B189" s="4">
        <v>186</v>
      </c>
      <c r="C189" s="4">
        <v>68.95</v>
      </c>
    </row>
    <row r="190" spans="1:3" ht="18" x14ac:dyDescent="0.35">
      <c r="A190" s="33">
        <v>43308</v>
      </c>
      <c r="B190" s="4">
        <v>187</v>
      </c>
      <c r="C190" s="4">
        <v>70.010000000000005</v>
      </c>
    </row>
    <row r="191" spans="1:3" ht="18" x14ac:dyDescent="0.35">
      <c r="A191" s="33">
        <v>43315</v>
      </c>
      <c r="B191" s="4">
        <v>188</v>
      </c>
      <c r="C191" s="4">
        <v>69.459999999999994</v>
      </c>
    </row>
    <row r="192" spans="1:3" ht="18" x14ac:dyDescent="0.35">
      <c r="A192" s="33">
        <v>43322</v>
      </c>
      <c r="B192" s="4">
        <v>189</v>
      </c>
      <c r="C192" s="4">
        <v>67.900000000000006</v>
      </c>
    </row>
    <row r="193" spans="1:3" ht="18" x14ac:dyDescent="0.35">
      <c r="A193" s="33">
        <v>43329</v>
      </c>
      <c r="B193" s="4">
        <v>190</v>
      </c>
      <c r="C193" s="4">
        <v>66.150000000000006</v>
      </c>
    </row>
    <row r="194" spans="1:3" ht="18" x14ac:dyDescent="0.35">
      <c r="A194" s="33">
        <v>43336</v>
      </c>
      <c r="B194" s="4">
        <v>191</v>
      </c>
      <c r="C194" s="4">
        <v>68.099999999999994</v>
      </c>
    </row>
    <row r="195" spans="1:3" ht="18" x14ac:dyDescent="0.35">
      <c r="A195" s="33">
        <v>43343</v>
      </c>
      <c r="B195" s="4">
        <v>192</v>
      </c>
      <c r="C195" s="4">
        <v>69.66</v>
      </c>
    </row>
    <row r="196" spans="1:3" ht="18" x14ac:dyDescent="0.35">
      <c r="A196" s="33">
        <v>43350</v>
      </c>
      <c r="B196" s="4">
        <v>193</v>
      </c>
      <c r="C196" s="4">
        <v>68.510000000000005</v>
      </c>
    </row>
    <row r="197" spans="1:3" ht="18" x14ac:dyDescent="0.35">
      <c r="A197" s="33">
        <v>43357</v>
      </c>
      <c r="B197" s="4">
        <v>194</v>
      </c>
      <c r="C197" s="4">
        <v>68.959999999999994</v>
      </c>
    </row>
    <row r="198" spans="1:3" ht="18" x14ac:dyDescent="0.35">
      <c r="A198" s="33">
        <v>43364</v>
      </c>
      <c r="B198" s="4">
        <v>195</v>
      </c>
      <c r="C198" s="4">
        <v>70.28</v>
      </c>
    </row>
    <row r="199" spans="1:3" ht="18" x14ac:dyDescent="0.35">
      <c r="A199" s="33">
        <v>43371</v>
      </c>
      <c r="B199" s="4">
        <v>196</v>
      </c>
      <c r="C199" s="4">
        <v>72.84</v>
      </c>
    </row>
    <row r="200" spans="1:3" ht="18" x14ac:dyDescent="0.35">
      <c r="A200" s="33">
        <v>43378</v>
      </c>
      <c r="B200" s="4">
        <v>197</v>
      </c>
      <c r="C200" s="4">
        <v>75.13</v>
      </c>
    </row>
    <row r="201" spans="1:3" ht="18" x14ac:dyDescent="0.35">
      <c r="A201" s="33">
        <v>43385</v>
      </c>
      <c r="B201" s="4">
        <v>198</v>
      </c>
      <c r="C201" s="4">
        <v>72.959999999999994</v>
      </c>
    </row>
    <row r="202" spans="1:3" ht="18" x14ac:dyDescent="0.35">
      <c r="A202" s="33">
        <v>43392</v>
      </c>
      <c r="B202" s="4">
        <v>199</v>
      </c>
      <c r="C202" s="4">
        <v>70.239999999999995</v>
      </c>
    </row>
    <row r="203" spans="1:3" ht="18" x14ac:dyDescent="0.35">
      <c r="A203" s="33">
        <v>43399</v>
      </c>
      <c r="B203" s="4">
        <v>200</v>
      </c>
      <c r="C203" s="4">
        <v>67.430000000000007</v>
      </c>
    </row>
    <row r="204" spans="1:3" ht="18" x14ac:dyDescent="0.35">
      <c r="A204" s="33">
        <v>43406</v>
      </c>
      <c r="B204" s="4">
        <v>201</v>
      </c>
      <c r="C204" s="4">
        <v>65.06</v>
      </c>
    </row>
    <row r="205" spans="1:3" ht="18" x14ac:dyDescent="0.35">
      <c r="A205" s="33">
        <v>43413</v>
      </c>
      <c r="B205" s="4">
        <v>202</v>
      </c>
      <c r="C205" s="4">
        <v>61.57</v>
      </c>
    </row>
    <row r="206" spans="1:3" ht="18" x14ac:dyDescent="0.35">
      <c r="A206" s="33">
        <v>43420</v>
      </c>
      <c r="B206" s="4">
        <v>203</v>
      </c>
      <c r="C206" s="4">
        <v>56.92</v>
      </c>
    </row>
    <row r="207" spans="1:3" ht="18" x14ac:dyDescent="0.35">
      <c r="A207" s="33">
        <v>43427</v>
      </c>
      <c r="B207" s="4">
        <v>204</v>
      </c>
      <c r="C207" s="4">
        <v>54.99</v>
      </c>
    </row>
    <row r="208" spans="1:3" ht="18" x14ac:dyDescent="0.35">
      <c r="A208" s="33">
        <v>43434</v>
      </c>
      <c r="B208" s="4">
        <v>205</v>
      </c>
      <c r="C208" s="4">
        <v>51.01</v>
      </c>
    </row>
    <row r="209" spans="1:3" ht="18" x14ac:dyDescent="0.35">
      <c r="A209" s="33">
        <v>43441</v>
      </c>
      <c r="B209" s="4">
        <v>206</v>
      </c>
      <c r="C209" s="4">
        <v>52.63</v>
      </c>
    </row>
    <row r="210" spans="1:3" ht="18" x14ac:dyDescent="0.35">
      <c r="A210" s="33">
        <v>43448</v>
      </c>
      <c r="B210" s="4">
        <v>207</v>
      </c>
      <c r="C210" s="4">
        <v>51.54</v>
      </c>
    </row>
    <row r="211" spans="1:3" ht="18" x14ac:dyDescent="0.35">
      <c r="A211" s="33">
        <v>43455</v>
      </c>
      <c r="B211" s="4">
        <v>208</v>
      </c>
      <c r="C211" s="4">
        <v>46.98</v>
      </c>
    </row>
    <row r="212" spans="1:3" ht="18" x14ac:dyDescent="0.35">
      <c r="A212" s="33">
        <v>43462</v>
      </c>
      <c r="B212" s="4">
        <v>209</v>
      </c>
      <c r="C212" s="4">
        <v>45.22</v>
      </c>
    </row>
    <row r="213" spans="1:3" ht="18" x14ac:dyDescent="0.35">
      <c r="A213" s="33">
        <v>43469</v>
      </c>
      <c r="B213" s="4">
        <v>210</v>
      </c>
      <c r="C213" s="4">
        <v>47</v>
      </c>
    </row>
    <row r="214" spans="1:3" ht="18" x14ac:dyDescent="0.35">
      <c r="A214" s="33">
        <v>43476</v>
      </c>
      <c r="B214" s="4">
        <v>211</v>
      </c>
      <c r="C214" s="4">
        <v>50.78</v>
      </c>
    </row>
    <row r="215" spans="1:3" ht="18" x14ac:dyDescent="0.35">
      <c r="A215" s="33">
        <v>43483</v>
      </c>
      <c r="B215" s="4">
        <v>212</v>
      </c>
      <c r="C215" s="4">
        <v>51.92</v>
      </c>
    </row>
    <row r="216" spans="1:3" ht="18" x14ac:dyDescent="0.35">
      <c r="A216" s="33">
        <v>43490</v>
      </c>
      <c r="B216" s="4">
        <v>213</v>
      </c>
      <c r="C216" s="4">
        <v>52.88</v>
      </c>
    </row>
    <row r="217" spans="1:3" ht="18" x14ac:dyDescent="0.35">
      <c r="A217" s="33">
        <v>43497</v>
      </c>
      <c r="B217" s="4">
        <v>214</v>
      </c>
      <c r="C217" s="4">
        <v>53.63</v>
      </c>
    </row>
    <row r="218" spans="1:3" ht="18" x14ac:dyDescent="0.35">
      <c r="A218" s="33">
        <v>43504</v>
      </c>
      <c r="B218" s="4">
        <v>215</v>
      </c>
      <c r="C218" s="4">
        <v>53.53</v>
      </c>
    </row>
    <row r="219" spans="1:3" ht="18" x14ac:dyDescent="0.35">
      <c r="A219" s="33">
        <v>43511</v>
      </c>
      <c r="B219" s="4">
        <v>216</v>
      </c>
      <c r="C219" s="4">
        <v>53.88</v>
      </c>
    </row>
    <row r="220" spans="1:3" ht="18" x14ac:dyDescent="0.35">
      <c r="A220" s="33">
        <v>43518</v>
      </c>
      <c r="B220" s="4">
        <v>217</v>
      </c>
      <c r="C220" s="4">
        <v>56.74</v>
      </c>
    </row>
    <row r="221" spans="1:3" ht="18" x14ac:dyDescent="0.35">
      <c r="A221" s="33">
        <v>43525</v>
      </c>
      <c r="B221" s="4">
        <v>218</v>
      </c>
      <c r="C221" s="4">
        <v>56.12</v>
      </c>
    </row>
    <row r="222" spans="1:3" ht="18" x14ac:dyDescent="0.35">
      <c r="A222" s="33">
        <v>43532</v>
      </c>
      <c r="B222" s="4">
        <v>219</v>
      </c>
      <c r="C222" s="4">
        <v>56.35</v>
      </c>
    </row>
    <row r="223" spans="1:3" ht="18" x14ac:dyDescent="0.35">
      <c r="A223" s="33">
        <v>43539</v>
      </c>
      <c r="B223" s="4">
        <v>220</v>
      </c>
      <c r="C223" s="4">
        <v>57.81</v>
      </c>
    </row>
    <row r="224" spans="1:3" ht="18" x14ac:dyDescent="0.35">
      <c r="A224" s="33">
        <v>43546</v>
      </c>
      <c r="B224" s="4">
        <v>221</v>
      </c>
      <c r="C224" s="4">
        <v>59.44</v>
      </c>
    </row>
    <row r="225" spans="1:3" ht="18" x14ac:dyDescent="0.35">
      <c r="A225" s="33">
        <v>43553</v>
      </c>
      <c r="B225" s="4">
        <v>222</v>
      </c>
      <c r="C225" s="4">
        <v>59.49</v>
      </c>
    </row>
    <row r="226" spans="1:3" ht="18" x14ac:dyDescent="0.35">
      <c r="A226" s="33">
        <v>43560</v>
      </c>
      <c r="B226" s="4">
        <v>223</v>
      </c>
      <c r="C226" s="4">
        <v>62.36</v>
      </c>
    </row>
    <row r="227" spans="1:3" ht="18" x14ac:dyDescent="0.35">
      <c r="A227" s="33">
        <v>43567</v>
      </c>
      <c r="B227" s="4">
        <v>224</v>
      </c>
      <c r="C227" s="4">
        <v>64.099999999999994</v>
      </c>
    </row>
    <row r="228" spans="1:3" ht="18" x14ac:dyDescent="0.35">
      <c r="A228" s="33">
        <v>43574</v>
      </c>
      <c r="B228" s="4">
        <v>225</v>
      </c>
      <c r="C228" s="4">
        <v>63.8</v>
      </c>
    </row>
    <row r="229" spans="1:3" ht="18" x14ac:dyDescent="0.35">
      <c r="A229" s="33">
        <v>43581</v>
      </c>
      <c r="B229" s="4">
        <v>226</v>
      </c>
      <c r="C229" s="4">
        <v>65.28</v>
      </c>
    </row>
    <row r="230" spans="1:3" ht="18" x14ac:dyDescent="0.35">
      <c r="A230" s="33">
        <v>43588</v>
      </c>
      <c r="B230" s="4">
        <v>227</v>
      </c>
      <c r="C230" s="4">
        <v>62.9</v>
      </c>
    </row>
    <row r="231" spans="1:3" ht="18" x14ac:dyDescent="0.35">
      <c r="A231" s="33">
        <v>43595</v>
      </c>
      <c r="B231" s="4">
        <v>228</v>
      </c>
      <c r="C231" s="4">
        <v>61.81</v>
      </c>
    </row>
    <row r="232" spans="1:3" ht="18" x14ac:dyDescent="0.35">
      <c r="A232" s="33">
        <v>43602</v>
      </c>
      <c r="B232" s="4">
        <v>229</v>
      </c>
      <c r="C232" s="4">
        <v>62.1</v>
      </c>
    </row>
    <row r="233" spans="1:3" ht="18" x14ac:dyDescent="0.35">
      <c r="A233" s="33">
        <v>43609</v>
      </c>
      <c r="B233" s="4">
        <v>230</v>
      </c>
      <c r="C233" s="4">
        <v>60.72</v>
      </c>
    </row>
    <row r="234" spans="1:3" ht="18" x14ac:dyDescent="0.35">
      <c r="A234" s="33">
        <v>43616</v>
      </c>
      <c r="B234" s="4">
        <v>231</v>
      </c>
      <c r="C234" s="4">
        <v>56.93</v>
      </c>
    </row>
    <row r="235" spans="1:3" ht="18" x14ac:dyDescent="0.35">
      <c r="A235" s="33">
        <v>43623</v>
      </c>
      <c r="B235" s="4">
        <v>232</v>
      </c>
      <c r="C235" s="4">
        <v>52.97</v>
      </c>
    </row>
    <row r="236" spans="1:3" ht="18" x14ac:dyDescent="0.35">
      <c r="A236" s="33">
        <v>43630</v>
      </c>
      <c r="B236" s="4">
        <v>233</v>
      </c>
      <c r="C236" s="4">
        <v>52.52</v>
      </c>
    </row>
    <row r="237" spans="1:3" ht="18" x14ac:dyDescent="0.35">
      <c r="A237" s="33">
        <v>43637</v>
      </c>
      <c r="B237" s="4">
        <v>234</v>
      </c>
      <c r="C237" s="4">
        <v>54.75</v>
      </c>
    </row>
    <row r="238" spans="1:3" ht="18" x14ac:dyDescent="0.35">
      <c r="A238" s="33">
        <v>43644</v>
      </c>
      <c r="B238" s="4">
        <v>235</v>
      </c>
      <c r="C238" s="4">
        <v>58.38</v>
      </c>
    </row>
    <row r="239" spans="1:3" ht="18" x14ac:dyDescent="0.35">
      <c r="A239" s="33">
        <v>43651</v>
      </c>
      <c r="B239" s="4">
        <v>236</v>
      </c>
      <c r="C239" s="4">
        <v>57.32</v>
      </c>
    </row>
    <row r="240" spans="1:3" ht="18" x14ac:dyDescent="0.35">
      <c r="A240" s="33">
        <v>43658</v>
      </c>
      <c r="B240" s="4">
        <v>237</v>
      </c>
      <c r="C240" s="4">
        <v>59.02</v>
      </c>
    </row>
    <row r="241" spans="1:3" ht="18" x14ac:dyDescent="0.35">
      <c r="A241" s="33">
        <v>43665</v>
      </c>
      <c r="B241" s="4">
        <v>238</v>
      </c>
      <c r="C241" s="4">
        <v>56.74</v>
      </c>
    </row>
    <row r="242" spans="1:3" ht="18" x14ac:dyDescent="0.35">
      <c r="A242" s="33">
        <v>43672</v>
      </c>
      <c r="B242" s="4">
        <v>239</v>
      </c>
      <c r="C242" s="4">
        <v>56.05</v>
      </c>
    </row>
    <row r="243" spans="1:3" ht="18" x14ac:dyDescent="0.35">
      <c r="A243" s="33">
        <v>43679</v>
      </c>
      <c r="B243" s="4">
        <v>240</v>
      </c>
      <c r="C243" s="4">
        <v>56.55</v>
      </c>
    </row>
    <row r="244" spans="1:3" ht="18" x14ac:dyDescent="0.35">
      <c r="A244" s="33">
        <v>43686</v>
      </c>
      <c r="B244" s="4">
        <v>241</v>
      </c>
      <c r="C244" s="4">
        <v>53.28</v>
      </c>
    </row>
    <row r="245" spans="1:3" ht="18" x14ac:dyDescent="0.35">
      <c r="A245" s="33">
        <v>43693</v>
      </c>
      <c r="B245" s="4">
        <v>242</v>
      </c>
      <c r="C245" s="4">
        <v>55.31</v>
      </c>
    </row>
    <row r="246" spans="1:3" ht="18" x14ac:dyDescent="0.35">
      <c r="A246" s="33">
        <v>43700</v>
      </c>
      <c r="B246" s="4">
        <v>243</v>
      </c>
      <c r="C246" s="4">
        <v>55.5</v>
      </c>
    </row>
    <row r="247" spans="1:3" ht="18" x14ac:dyDescent="0.35">
      <c r="A247" s="33">
        <v>43707</v>
      </c>
      <c r="B247" s="4">
        <v>244</v>
      </c>
      <c r="C247" s="4">
        <v>55.21</v>
      </c>
    </row>
    <row r="248" spans="1:3" ht="18" x14ac:dyDescent="0.35">
      <c r="A248" s="33">
        <v>43714</v>
      </c>
      <c r="B248" s="4">
        <v>245</v>
      </c>
      <c r="C248" s="4">
        <v>55.73</v>
      </c>
    </row>
    <row r="249" spans="1:3" ht="18" x14ac:dyDescent="0.35">
      <c r="A249" s="33">
        <v>43721</v>
      </c>
      <c r="B249" s="4">
        <v>246</v>
      </c>
      <c r="C249" s="4">
        <v>56.16</v>
      </c>
    </row>
    <row r="250" spans="1:3" ht="18" x14ac:dyDescent="0.35">
      <c r="A250" s="33">
        <v>43728</v>
      </c>
      <c r="B250" s="4">
        <v>247</v>
      </c>
      <c r="C250" s="4">
        <v>59.33</v>
      </c>
    </row>
    <row r="251" spans="1:3" ht="18" x14ac:dyDescent="0.35">
      <c r="A251" s="33">
        <v>43735</v>
      </c>
      <c r="B251" s="4">
        <v>248</v>
      </c>
      <c r="C251" s="4">
        <v>56.9</v>
      </c>
    </row>
    <row r="252" spans="1:3" ht="18" x14ac:dyDescent="0.35">
      <c r="A252" s="33">
        <v>43742</v>
      </c>
      <c r="B252" s="4">
        <v>249</v>
      </c>
      <c r="C252" s="4">
        <v>53.12</v>
      </c>
    </row>
    <row r="253" spans="1:3" ht="18" x14ac:dyDescent="0.35">
      <c r="A253" s="33">
        <v>43749</v>
      </c>
      <c r="B253" s="4">
        <v>250</v>
      </c>
      <c r="C253" s="4">
        <v>53.27</v>
      </c>
    </row>
    <row r="254" spans="1:3" ht="18" x14ac:dyDescent="0.35">
      <c r="A254" s="33">
        <v>43756</v>
      </c>
      <c r="B254" s="4">
        <v>251</v>
      </c>
      <c r="C254" s="4">
        <v>53.49</v>
      </c>
    </row>
    <row r="255" spans="1:3" ht="18" x14ac:dyDescent="0.35">
      <c r="A255" s="33">
        <v>43763</v>
      </c>
      <c r="B255" s="4">
        <v>252</v>
      </c>
      <c r="C255" s="4">
        <v>55.2</v>
      </c>
    </row>
    <row r="256" spans="1:3" ht="18" x14ac:dyDescent="0.35">
      <c r="A256" s="33">
        <v>43770</v>
      </c>
      <c r="B256" s="4">
        <v>253</v>
      </c>
      <c r="C256" s="4">
        <v>55.17</v>
      </c>
    </row>
    <row r="257" spans="1:3" ht="18" x14ac:dyDescent="0.35">
      <c r="A257" s="33">
        <v>43777</v>
      </c>
      <c r="B257" s="4">
        <v>254</v>
      </c>
      <c r="C257" s="4">
        <v>56.69</v>
      </c>
    </row>
    <row r="258" spans="1:3" ht="18" x14ac:dyDescent="0.35">
      <c r="A258" s="33">
        <v>43784</v>
      </c>
      <c r="B258" s="4">
        <v>255</v>
      </c>
      <c r="C258" s="4">
        <v>56.85</v>
      </c>
    </row>
    <row r="259" spans="1:3" ht="18" x14ac:dyDescent="0.35">
      <c r="A259" s="33">
        <v>43791</v>
      </c>
      <c r="B259" s="4">
        <v>256</v>
      </c>
      <c r="C259" s="4">
        <v>56.9</v>
      </c>
    </row>
    <row r="260" spans="1:3" ht="18" x14ac:dyDescent="0.35">
      <c r="A260" s="33">
        <v>43798</v>
      </c>
      <c r="B260" s="4">
        <v>257</v>
      </c>
      <c r="C260" s="4">
        <v>58.07</v>
      </c>
    </row>
    <row r="261" spans="1:3" ht="18" x14ac:dyDescent="0.35">
      <c r="A261" s="33">
        <v>43805</v>
      </c>
      <c r="B261" s="4">
        <v>258</v>
      </c>
      <c r="C261" s="4">
        <v>57.64</v>
      </c>
    </row>
    <row r="262" spans="1:3" ht="18" x14ac:dyDescent="0.35">
      <c r="A262" s="33">
        <v>43812</v>
      </c>
      <c r="B262" s="4">
        <v>259</v>
      </c>
      <c r="C262" s="4">
        <v>59.25</v>
      </c>
    </row>
    <row r="263" spans="1:3" ht="18" x14ac:dyDescent="0.35">
      <c r="A263" s="33">
        <v>43819</v>
      </c>
      <c r="B263" s="4">
        <v>260</v>
      </c>
      <c r="C263" s="4">
        <v>60.75</v>
      </c>
    </row>
    <row r="264" spans="1:3" ht="18" x14ac:dyDescent="0.35">
      <c r="A264" s="33">
        <v>43826</v>
      </c>
      <c r="B264" s="4">
        <v>261</v>
      </c>
      <c r="C264" s="4">
        <v>61.29</v>
      </c>
    </row>
    <row r="265" spans="1:3" ht="18" x14ac:dyDescent="0.35">
      <c r="A265" s="33">
        <v>43833</v>
      </c>
      <c r="B265" s="4">
        <v>262</v>
      </c>
      <c r="C265" s="4">
        <v>62.09</v>
      </c>
    </row>
    <row r="266" spans="1:3" ht="18" x14ac:dyDescent="0.35">
      <c r="A266" s="33">
        <v>43840</v>
      </c>
      <c r="B266" s="4">
        <v>263</v>
      </c>
      <c r="C266" s="4">
        <v>60.84</v>
      </c>
    </row>
    <row r="267" spans="1:3" ht="18" x14ac:dyDescent="0.35">
      <c r="A267" s="33">
        <v>43847</v>
      </c>
      <c r="B267" s="4">
        <v>264</v>
      </c>
      <c r="C267" s="4">
        <v>58.29</v>
      </c>
    </row>
    <row r="268" spans="1:3" ht="18" x14ac:dyDescent="0.35">
      <c r="A268" s="33">
        <v>43854</v>
      </c>
      <c r="B268" s="4">
        <v>265</v>
      </c>
      <c r="C268" s="4">
        <v>56.15</v>
      </c>
    </row>
    <row r="269" spans="1:3" ht="18" x14ac:dyDescent="0.35">
      <c r="A269" s="33">
        <v>43861</v>
      </c>
      <c r="B269" s="4">
        <v>266</v>
      </c>
      <c r="C269" s="4">
        <v>52.7</v>
      </c>
    </row>
    <row r="270" spans="1:3" ht="18" x14ac:dyDescent="0.35">
      <c r="A270" s="33">
        <v>43868</v>
      </c>
      <c r="B270" s="4">
        <v>267</v>
      </c>
      <c r="C270" s="4">
        <v>50.36</v>
      </c>
    </row>
    <row r="271" spans="1:3" ht="18" x14ac:dyDescent="0.35">
      <c r="A271" s="33">
        <v>43875</v>
      </c>
      <c r="B271" s="4">
        <v>268</v>
      </c>
      <c r="C271" s="4">
        <v>50.83</v>
      </c>
    </row>
    <row r="272" spans="1:3" ht="18" x14ac:dyDescent="0.35">
      <c r="A272" s="33">
        <v>43882</v>
      </c>
      <c r="B272" s="4">
        <v>269</v>
      </c>
      <c r="C272" s="4">
        <v>53.14</v>
      </c>
    </row>
    <row r="273" spans="1:3" ht="18" x14ac:dyDescent="0.35">
      <c r="A273" s="33">
        <v>43889</v>
      </c>
      <c r="B273" s="4">
        <v>270</v>
      </c>
      <c r="C273" s="4">
        <v>48.36</v>
      </c>
    </row>
    <row r="274" spans="1:3" ht="18" x14ac:dyDescent="0.35">
      <c r="A274" s="33">
        <v>43896</v>
      </c>
      <c r="B274" s="4">
        <v>271</v>
      </c>
      <c r="C274" s="4">
        <v>45.57</v>
      </c>
    </row>
    <row r="275" spans="1:3" ht="18" x14ac:dyDescent="0.35">
      <c r="A275" s="33">
        <v>43903</v>
      </c>
      <c r="B275" s="4">
        <v>272</v>
      </c>
      <c r="C275" s="4">
        <v>32.39</v>
      </c>
    </row>
    <row r="276" spans="1:3" ht="18" x14ac:dyDescent="0.35">
      <c r="A276" s="33">
        <v>43910</v>
      </c>
      <c r="B276" s="4">
        <v>273</v>
      </c>
      <c r="C276" s="4">
        <v>24.19</v>
      </c>
    </row>
    <row r="277" spans="1:3" ht="18" x14ac:dyDescent="0.35">
      <c r="A277" s="33">
        <v>43917</v>
      </c>
      <c r="B277" s="4">
        <v>274</v>
      </c>
      <c r="C277" s="4">
        <v>19.440000000000001</v>
      </c>
    </row>
    <row r="278" spans="1:3" ht="18" x14ac:dyDescent="0.35">
      <c r="A278" s="33">
        <v>43924</v>
      </c>
      <c r="B278" s="4">
        <v>275</v>
      </c>
      <c r="C278" s="4">
        <v>21.69</v>
      </c>
    </row>
    <row r="279" spans="1:3" ht="18" x14ac:dyDescent="0.35">
      <c r="A279" s="33">
        <v>43931</v>
      </c>
      <c r="B279" s="4">
        <v>276</v>
      </c>
      <c r="C279" s="4">
        <v>24.41</v>
      </c>
    </row>
    <row r="280" spans="1:3" ht="18" x14ac:dyDescent="0.35">
      <c r="A280" s="33">
        <v>43938</v>
      </c>
      <c r="B280" s="4">
        <v>277</v>
      </c>
      <c r="C280" s="4">
        <v>20.12</v>
      </c>
    </row>
    <row r="281" spans="1:3" ht="18" x14ac:dyDescent="0.35">
      <c r="A281" s="33">
        <v>43945</v>
      </c>
      <c r="B281" s="4">
        <v>278</v>
      </c>
      <c r="C281" s="4">
        <v>3.32</v>
      </c>
    </row>
    <row r="282" spans="1:3" ht="18" x14ac:dyDescent="0.35">
      <c r="A282" s="33">
        <v>43952</v>
      </c>
      <c r="B282" s="4">
        <v>279</v>
      </c>
      <c r="C282" s="4">
        <v>15.71</v>
      </c>
    </row>
    <row r="283" spans="1:3" ht="18" x14ac:dyDescent="0.35">
      <c r="A283" s="33">
        <v>43959</v>
      </c>
      <c r="B283" s="4">
        <v>280</v>
      </c>
      <c r="C283" s="4">
        <v>23.46</v>
      </c>
    </row>
    <row r="284" spans="1:3" ht="18" x14ac:dyDescent="0.35">
      <c r="A284" s="33">
        <v>43966</v>
      </c>
      <c r="B284" s="4">
        <v>281</v>
      </c>
      <c r="C284" s="4">
        <v>26.4</v>
      </c>
    </row>
    <row r="285" spans="1:3" ht="18" x14ac:dyDescent="0.35">
      <c r="A285" s="33">
        <v>43973</v>
      </c>
      <c r="B285" s="4">
        <v>282</v>
      </c>
      <c r="C285" s="4">
        <v>33.1</v>
      </c>
    </row>
    <row r="286" spans="1:3" ht="18" x14ac:dyDescent="0.35">
      <c r="A286" s="33">
        <v>43980</v>
      </c>
      <c r="B286" s="4">
        <v>283</v>
      </c>
      <c r="C286" s="4">
        <v>34.19</v>
      </c>
    </row>
    <row r="287" spans="1:3" ht="18" x14ac:dyDescent="0.35">
      <c r="A287" s="33">
        <v>43987</v>
      </c>
      <c r="B287" s="4">
        <v>284</v>
      </c>
      <c r="C287" s="4">
        <v>37.32</v>
      </c>
    </row>
    <row r="288" spans="1:3" ht="18" x14ac:dyDescent="0.35">
      <c r="A288" s="33">
        <v>43994</v>
      </c>
      <c r="B288" s="4">
        <v>285</v>
      </c>
      <c r="C288" s="4">
        <v>37.869999999999997</v>
      </c>
    </row>
    <row r="289" spans="1:3" ht="18" x14ac:dyDescent="0.35">
      <c r="A289" s="33">
        <v>44001</v>
      </c>
      <c r="B289" s="4">
        <v>286</v>
      </c>
      <c r="C289" s="4">
        <v>38.35</v>
      </c>
    </row>
    <row r="290" spans="1:3" ht="18" x14ac:dyDescent="0.35">
      <c r="A290" s="33">
        <v>44008</v>
      </c>
      <c r="B290" s="4">
        <v>287</v>
      </c>
      <c r="C290" s="4">
        <v>39.22</v>
      </c>
    </row>
    <row r="291" spans="1:3" ht="18" x14ac:dyDescent="0.35">
      <c r="A291" s="33">
        <v>44015</v>
      </c>
      <c r="B291" s="4">
        <v>288</v>
      </c>
      <c r="C291" s="4">
        <v>39.85</v>
      </c>
    </row>
    <row r="292" spans="1:3" ht="18" x14ac:dyDescent="0.35">
      <c r="A292" s="33">
        <v>44022</v>
      </c>
      <c r="B292" s="4">
        <v>289</v>
      </c>
      <c r="C292" s="4">
        <v>40.44</v>
      </c>
    </row>
    <row r="293" spans="1:3" ht="18" x14ac:dyDescent="0.35">
      <c r="A293" s="33">
        <v>44029</v>
      </c>
      <c r="B293" s="4">
        <v>290</v>
      </c>
      <c r="C293" s="4">
        <v>40.57</v>
      </c>
    </row>
    <row r="294" spans="1:3" ht="18" x14ac:dyDescent="0.35">
      <c r="A294" s="33">
        <v>44036</v>
      </c>
      <c r="B294" s="4">
        <v>291</v>
      </c>
      <c r="C294" s="4">
        <v>41.34</v>
      </c>
    </row>
    <row r="295" spans="1:3" ht="18" x14ac:dyDescent="0.35">
      <c r="A295" s="33">
        <v>44043</v>
      </c>
      <c r="B295" s="4">
        <v>292</v>
      </c>
      <c r="C295" s="4">
        <v>40.69</v>
      </c>
    </row>
    <row r="296" spans="1:3" ht="18" x14ac:dyDescent="0.35">
      <c r="A296" s="33">
        <v>44050</v>
      </c>
      <c r="B296" s="4">
        <v>293</v>
      </c>
      <c r="C296" s="4">
        <v>41.57</v>
      </c>
    </row>
    <row r="297" spans="1:3" ht="18" x14ac:dyDescent="0.35">
      <c r="A297" s="33">
        <v>44057</v>
      </c>
      <c r="B297" s="4">
        <v>294</v>
      </c>
      <c r="C297" s="4">
        <v>42.08</v>
      </c>
    </row>
    <row r="298" spans="1:3" ht="18" x14ac:dyDescent="0.35">
      <c r="A298" s="33">
        <v>44064</v>
      </c>
      <c r="B298" s="4">
        <v>295</v>
      </c>
      <c r="C298" s="4">
        <v>42.73</v>
      </c>
    </row>
    <row r="299" spans="1:3" ht="18" x14ac:dyDescent="0.35">
      <c r="A299" s="33">
        <v>44071</v>
      </c>
      <c r="B299" s="4">
        <v>296</v>
      </c>
      <c r="C299" s="4">
        <v>42.93</v>
      </c>
    </row>
    <row r="300" spans="1:3" ht="18" x14ac:dyDescent="0.35">
      <c r="A300" s="33">
        <v>44078</v>
      </c>
      <c r="B300" s="4">
        <v>297</v>
      </c>
      <c r="C300" s="4">
        <v>41.84</v>
      </c>
    </row>
    <row r="301" spans="1:3" ht="18" x14ac:dyDescent="0.35">
      <c r="A301" s="33">
        <v>44085</v>
      </c>
      <c r="B301" s="4">
        <v>298</v>
      </c>
      <c r="C301" s="4">
        <v>37.380000000000003</v>
      </c>
    </row>
    <row r="302" spans="1:3" ht="18" x14ac:dyDescent="0.35">
      <c r="A302" s="33">
        <v>44092</v>
      </c>
      <c r="B302" s="4">
        <v>299</v>
      </c>
      <c r="C302" s="4">
        <v>39.549999999999997</v>
      </c>
    </row>
    <row r="303" spans="1:3" ht="18" x14ac:dyDescent="0.35">
      <c r="A303" s="33">
        <v>44099</v>
      </c>
      <c r="B303" s="4">
        <v>300</v>
      </c>
      <c r="C303" s="4">
        <v>39.78</v>
      </c>
    </row>
    <row r="304" spans="1:3" ht="18" x14ac:dyDescent="0.35">
      <c r="A304" s="33">
        <v>44106</v>
      </c>
      <c r="B304" s="4">
        <v>301</v>
      </c>
      <c r="C304" s="4">
        <v>38.99</v>
      </c>
    </row>
    <row r="305" spans="1:3" ht="18" x14ac:dyDescent="0.35">
      <c r="A305" s="33">
        <v>44113</v>
      </c>
      <c r="B305" s="4">
        <v>302</v>
      </c>
      <c r="C305" s="4">
        <v>40.19</v>
      </c>
    </row>
    <row r="306" spans="1:3" ht="18" x14ac:dyDescent="0.35">
      <c r="A306" s="33">
        <v>44120</v>
      </c>
      <c r="B306" s="4">
        <v>303</v>
      </c>
      <c r="C306" s="4">
        <v>40.33</v>
      </c>
    </row>
    <row r="307" spans="1:3" ht="18" x14ac:dyDescent="0.35">
      <c r="A307" s="33">
        <v>44127</v>
      </c>
      <c r="B307" s="4">
        <v>304</v>
      </c>
      <c r="C307" s="4">
        <v>40.43</v>
      </c>
    </row>
    <row r="308" spans="1:3" ht="18" x14ac:dyDescent="0.35">
      <c r="A308" s="33">
        <v>44134</v>
      </c>
      <c r="B308" s="4">
        <v>305</v>
      </c>
      <c r="C308" s="4">
        <v>37.32</v>
      </c>
    </row>
    <row r="309" spans="1:3" ht="18" x14ac:dyDescent="0.35">
      <c r="A309" s="33">
        <v>44141</v>
      </c>
      <c r="B309" s="4">
        <v>306</v>
      </c>
      <c r="C309" s="4">
        <v>37.71</v>
      </c>
    </row>
    <row r="310" spans="1:3" ht="18" x14ac:dyDescent="0.35">
      <c r="A310" s="33">
        <v>44148</v>
      </c>
      <c r="B310" s="4">
        <v>307</v>
      </c>
      <c r="C310" s="4">
        <v>40.659999999999997</v>
      </c>
    </row>
    <row r="311" spans="1:3" ht="18" x14ac:dyDescent="0.35">
      <c r="A311" s="33">
        <v>44155</v>
      </c>
      <c r="B311" s="4">
        <v>308</v>
      </c>
      <c r="C311" s="4">
        <v>41.52</v>
      </c>
    </row>
    <row r="312" spans="1:3" ht="18" x14ac:dyDescent="0.35">
      <c r="A312" s="33">
        <v>44162</v>
      </c>
      <c r="B312" s="4">
        <v>309</v>
      </c>
      <c r="C312" s="4">
        <v>44.4</v>
      </c>
    </row>
    <row r="313" spans="1:3" ht="18" x14ac:dyDescent="0.35">
      <c r="A313" s="33">
        <v>44169</v>
      </c>
      <c r="B313" s="4">
        <v>310</v>
      </c>
      <c r="C313" s="4">
        <v>45.37</v>
      </c>
    </row>
    <row r="314" spans="1:3" ht="18" x14ac:dyDescent="0.35">
      <c r="A314" s="33">
        <v>44176</v>
      </c>
      <c r="B314" s="4">
        <v>311</v>
      </c>
      <c r="C314" s="4">
        <v>46.04</v>
      </c>
    </row>
    <row r="315" spans="1:3" ht="18" x14ac:dyDescent="0.35">
      <c r="A315" s="33">
        <v>44183</v>
      </c>
      <c r="B315" s="4">
        <v>312</v>
      </c>
      <c r="C315" s="4">
        <v>47.97</v>
      </c>
    </row>
    <row r="316" spans="1:3" ht="18" x14ac:dyDescent="0.35">
      <c r="A316" s="33">
        <v>44190</v>
      </c>
      <c r="B316" s="4">
        <v>313</v>
      </c>
      <c r="C316" s="4">
        <v>47.73</v>
      </c>
    </row>
    <row r="317" spans="1:3" ht="18" x14ac:dyDescent="0.35">
      <c r="A317" s="33">
        <v>44197</v>
      </c>
      <c r="B317" s="4">
        <v>314</v>
      </c>
      <c r="C317" s="4">
        <v>47.98</v>
      </c>
    </row>
    <row r="318" spans="1:3" ht="18" x14ac:dyDescent="0.35">
      <c r="A318" s="33">
        <v>44204</v>
      </c>
      <c r="B318" s="4">
        <v>315</v>
      </c>
      <c r="C318" s="4">
        <v>50.09</v>
      </c>
    </row>
    <row r="319" spans="1:3" ht="18" x14ac:dyDescent="0.35">
      <c r="A319" s="33">
        <v>44211</v>
      </c>
      <c r="B319" s="4">
        <v>316</v>
      </c>
      <c r="C319" s="4">
        <v>52.75</v>
      </c>
    </row>
    <row r="320" spans="1:3" ht="18" x14ac:dyDescent="0.35">
      <c r="A320" s="33">
        <v>44218</v>
      </c>
      <c r="B320" s="4">
        <v>317</v>
      </c>
      <c r="C320" s="4">
        <v>52.82</v>
      </c>
    </row>
    <row r="321" spans="1:3" ht="18" x14ac:dyDescent="0.35">
      <c r="A321" s="33">
        <v>44225</v>
      </c>
      <c r="B321" s="4">
        <v>318</v>
      </c>
      <c r="C321" s="4">
        <v>52.52</v>
      </c>
    </row>
    <row r="322" spans="1:3" ht="18" x14ac:dyDescent="0.35">
      <c r="A322" s="33">
        <v>44232</v>
      </c>
      <c r="B322" s="4">
        <v>319</v>
      </c>
      <c r="C322" s="4">
        <v>55.39</v>
      </c>
    </row>
    <row r="323" spans="1:3" ht="18" x14ac:dyDescent="0.35">
      <c r="A323" s="33">
        <v>44239</v>
      </c>
      <c r="B323" s="4">
        <v>320</v>
      </c>
      <c r="C323" s="4">
        <v>58.54</v>
      </c>
    </row>
    <row r="324" spans="1:3" ht="18" x14ac:dyDescent="0.35">
      <c r="A324" s="33">
        <v>44246</v>
      </c>
      <c r="B324" s="4">
        <v>321</v>
      </c>
      <c r="C324" s="4">
        <v>60.17</v>
      </c>
    </row>
    <row r="325" spans="1:3" ht="18" x14ac:dyDescent="0.35">
      <c r="A325" s="33">
        <v>44253</v>
      </c>
      <c r="B325" s="4">
        <v>322</v>
      </c>
      <c r="C325" s="4">
        <v>62.3</v>
      </c>
    </row>
    <row r="326" spans="1:3" ht="18" x14ac:dyDescent="0.35">
      <c r="A326" s="33">
        <v>44260</v>
      </c>
      <c r="B326" s="4">
        <v>323</v>
      </c>
      <c r="C326" s="4">
        <v>62.29</v>
      </c>
    </row>
    <row r="327" spans="1:3" ht="18" x14ac:dyDescent="0.35">
      <c r="A327" s="33">
        <v>44267</v>
      </c>
      <c r="B327" s="4">
        <v>324</v>
      </c>
      <c r="C327" s="4">
        <v>65.02</v>
      </c>
    </row>
    <row r="328" spans="1:3" ht="18" x14ac:dyDescent="0.35">
      <c r="A328" s="33">
        <v>44274</v>
      </c>
      <c r="B328" s="4">
        <v>325</v>
      </c>
      <c r="C328" s="4">
        <v>63.22</v>
      </c>
    </row>
    <row r="329" spans="1:3" ht="18" x14ac:dyDescent="0.35">
      <c r="A329" s="33">
        <v>44281</v>
      </c>
      <c r="B329" s="4">
        <v>326</v>
      </c>
      <c r="C329" s="4">
        <v>59.95</v>
      </c>
    </row>
    <row r="330" spans="1:3" ht="18" x14ac:dyDescent="0.35">
      <c r="A330" s="33">
        <v>44288</v>
      </c>
      <c r="B330" s="4">
        <v>327</v>
      </c>
      <c r="C330" s="4">
        <v>60.66</v>
      </c>
    </row>
    <row r="331" spans="1:3" ht="18" x14ac:dyDescent="0.35">
      <c r="A331" s="33">
        <v>44295</v>
      </c>
      <c r="B331" s="4">
        <v>328</v>
      </c>
      <c r="C331" s="4">
        <v>59.35</v>
      </c>
    </row>
    <row r="332" spans="1:3" ht="18" x14ac:dyDescent="0.35">
      <c r="A332" s="33">
        <v>44302</v>
      </c>
      <c r="B332" s="4">
        <v>329</v>
      </c>
      <c r="C332" s="4">
        <v>61.93</v>
      </c>
    </row>
    <row r="333" spans="1:3" ht="18" x14ac:dyDescent="0.35">
      <c r="A333" s="33">
        <v>44309</v>
      </c>
      <c r="B333" s="4">
        <v>330</v>
      </c>
      <c r="C333" s="4">
        <v>62.18</v>
      </c>
    </row>
    <row r="334" spans="1:3" ht="18" x14ac:dyDescent="0.35">
      <c r="A334" s="33">
        <v>44316</v>
      </c>
      <c r="B334" s="4">
        <v>331</v>
      </c>
      <c r="C334" s="4">
        <v>63.47</v>
      </c>
    </row>
    <row r="335" spans="1:3" ht="18" x14ac:dyDescent="0.35">
      <c r="A335" s="33">
        <v>44323</v>
      </c>
      <c r="B335" s="4">
        <v>332</v>
      </c>
      <c r="C335" s="4">
        <v>65.099999999999994</v>
      </c>
    </row>
    <row r="336" spans="1:3" ht="18" x14ac:dyDescent="0.35">
      <c r="A336" s="33">
        <v>44330</v>
      </c>
      <c r="B336" s="4">
        <v>333</v>
      </c>
      <c r="C336" s="4">
        <v>65.069999999999993</v>
      </c>
    </row>
    <row r="337" spans="1:3" ht="18" x14ac:dyDescent="0.35">
      <c r="A337" s="33">
        <v>44337</v>
      </c>
      <c r="B337" s="4">
        <v>334</v>
      </c>
      <c r="C337" s="4">
        <v>64.11</v>
      </c>
    </row>
    <row r="338" spans="1:3" ht="18" x14ac:dyDescent="0.35">
      <c r="A338" s="33">
        <v>44344</v>
      </c>
      <c r="B338" s="4">
        <v>335</v>
      </c>
      <c r="C338" s="4">
        <v>66.400000000000006</v>
      </c>
    </row>
    <row r="339" spans="1:3" ht="18" x14ac:dyDescent="0.35">
      <c r="A339" s="33">
        <v>44351</v>
      </c>
      <c r="B339" s="4">
        <v>336</v>
      </c>
      <c r="C339" s="4">
        <v>68.739999999999995</v>
      </c>
    </row>
    <row r="340" spans="1:3" ht="18" x14ac:dyDescent="0.35">
      <c r="A340" s="33">
        <v>44358</v>
      </c>
      <c r="B340" s="4">
        <v>337</v>
      </c>
      <c r="C340" s="4">
        <v>70.11</v>
      </c>
    </row>
    <row r="341" spans="1:3" ht="18" x14ac:dyDescent="0.35">
      <c r="A341" s="33">
        <v>44365</v>
      </c>
      <c r="B341" s="4">
        <v>338</v>
      </c>
      <c r="C341" s="4">
        <v>71.55</v>
      </c>
    </row>
    <row r="342" spans="1:3" ht="18" x14ac:dyDescent="0.35">
      <c r="A342" s="33">
        <v>44372</v>
      </c>
      <c r="B342" s="4">
        <v>339</v>
      </c>
      <c r="C342" s="4">
        <v>73.48</v>
      </c>
    </row>
    <row r="343" spans="1:3" ht="18" x14ac:dyDescent="0.35">
      <c r="A343" s="33">
        <v>44379</v>
      </c>
      <c r="B343" s="4">
        <v>340</v>
      </c>
      <c r="C343" s="4">
        <v>74.069999999999993</v>
      </c>
    </row>
    <row r="344" spans="1:3" ht="18" x14ac:dyDescent="0.35">
      <c r="A344" s="33">
        <v>44386</v>
      </c>
      <c r="B344" s="4">
        <v>341</v>
      </c>
      <c r="C344" s="4">
        <v>73.349999999999994</v>
      </c>
    </row>
    <row r="345" spans="1:3" ht="18" x14ac:dyDescent="0.35">
      <c r="A345" s="33">
        <v>44393</v>
      </c>
      <c r="B345" s="4">
        <v>342</v>
      </c>
      <c r="C345" s="4">
        <v>73.19</v>
      </c>
    </row>
    <row r="346" spans="1:3" ht="18" x14ac:dyDescent="0.35">
      <c r="A346" s="33">
        <v>44400</v>
      </c>
      <c r="B346" s="4">
        <v>343</v>
      </c>
      <c r="C346" s="4">
        <v>69.680000000000007</v>
      </c>
    </row>
    <row r="347" spans="1:3" ht="18" x14ac:dyDescent="0.35">
      <c r="A347" s="33">
        <v>44407</v>
      </c>
      <c r="B347" s="4">
        <v>344</v>
      </c>
      <c r="C347" s="4">
        <v>72.75</v>
      </c>
    </row>
    <row r="348" spans="1:3" ht="18" x14ac:dyDescent="0.35">
      <c r="A348" s="33">
        <v>44414</v>
      </c>
      <c r="B348" s="4">
        <v>345</v>
      </c>
      <c r="C348" s="4">
        <v>69.5</v>
      </c>
    </row>
    <row r="349" spans="1:3" ht="18" x14ac:dyDescent="0.35">
      <c r="A349" s="33">
        <v>44421</v>
      </c>
      <c r="B349" s="4">
        <v>346</v>
      </c>
      <c r="C349" s="4">
        <v>68.33</v>
      </c>
    </row>
    <row r="350" spans="1:3" ht="18" x14ac:dyDescent="0.35">
      <c r="A350" s="33">
        <v>44428</v>
      </c>
      <c r="B350" s="4">
        <v>347</v>
      </c>
      <c r="C350" s="4">
        <v>65.05</v>
      </c>
    </row>
    <row r="351" spans="1:3" ht="18" x14ac:dyDescent="0.35">
      <c r="A351" s="33">
        <v>44435</v>
      </c>
      <c r="B351" s="4">
        <v>348</v>
      </c>
      <c r="C351" s="4">
        <v>67.59</v>
      </c>
    </row>
    <row r="352" spans="1:3" ht="18" x14ac:dyDescent="0.35">
      <c r="A352" s="33">
        <v>44442</v>
      </c>
      <c r="B352" s="4">
        <v>349</v>
      </c>
      <c r="C352" s="4">
        <v>69.150000000000006</v>
      </c>
    </row>
    <row r="353" spans="1:3" ht="18" x14ac:dyDescent="0.35">
      <c r="A353" s="33">
        <v>44449</v>
      </c>
      <c r="B353" s="4">
        <v>350</v>
      </c>
      <c r="C353" s="4">
        <v>68.98</v>
      </c>
    </row>
    <row r="354" spans="1:3" ht="18" x14ac:dyDescent="0.35">
      <c r="A354" s="33">
        <v>44456</v>
      </c>
      <c r="B354" s="4">
        <v>351</v>
      </c>
      <c r="C354" s="4">
        <v>71.69</v>
      </c>
    </row>
    <row r="355" spans="1:3" ht="18" x14ac:dyDescent="0.35">
      <c r="A355" s="33">
        <v>44463</v>
      </c>
      <c r="B355" s="4">
        <v>352</v>
      </c>
      <c r="C355" s="4">
        <v>72.180000000000007</v>
      </c>
    </row>
    <row r="356" spans="1:3" ht="18" x14ac:dyDescent="0.35">
      <c r="A356" s="33">
        <v>44470</v>
      </c>
      <c r="B356" s="4">
        <v>353</v>
      </c>
      <c r="C356" s="4">
        <v>75.45</v>
      </c>
    </row>
    <row r="357" spans="1:3" ht="18" x14ac:dyDescent="0.35">
      <c r="A357" s="33">
        <v>44477</v>
      </c>
      <c r="B357" s="4">
        <v>354</v>
      </c>
      <c r="C357" s="4">
        <v>78.5</v>
      </c>
    </row>
    <row r="358" spans="1:3" ht="18" x14ac:dyDescent="0.35">
      <c r="A358" s="33">
        <v>44484</v>
      </c>
      <c r="B358" s="4">
        <v>355</v>
      </c>
      <c r="C358" s="4">
        <v>81.180000000000007</v>
      </c>
    </row>
    <row r="359" spans="1:3" ht="18" x14ac:dyDescent="0.35">
      <c r="A359" s="33">
        <v>44491</v>
      </c>
      <c r="B359" s="4">
        <v>356</v>
      </c>
      <c r="C359" s="4">
        <v>83.48</v>
      </c>
    </row>
    <row r="360" spans="1:3" ht="18" x14ac:dyDescent="0.35">
      <c r="A360" s="33">
        <v>44498</v>
      </c>
      <c r="B360" s="4">
        <v>357</v>
      </c>
      <c r="C360" s="4">
        <v>83.84</v>
      </c>
    </row>
    <row r="361" spans="1:3" ht="18" x14ac:dyDescent="0.35">
      <c r="A361" s="33">
        <v>44505</v>
      </c>
      <c r="B361" s="4">
        <v>358</v>
      </c>
      <c r="C361" s="4">
        <v>81.790000000000006</v>
      </c>
    </row>
    <row r="362" spans="1:3" ht="18" x14ac:dyDescent="0.35">
      <c r="A362" s="33">
        <v>44512</v>
      </c>
      <c r="B362" s="4">
        <v>359</v>
      </c>
      <c r="C362" s="4">
        <v>81.93</v>
      </c>
    </row>
    <row r="363" spans="1:3" ht="18" x14ac:dyDescent="0.35">
      <c r="A363" s="33">
        <v>44519</v>
      </c>
      <c r="B363" s="4">
        <v>360</v>
      </c>
      <c r="C363" s="4">
        <v>78.989999999999995</v>
      </c>
    </row>
    <row r="364" spans="1:3" ht="18" x14ac:dyDescent="0.35">
      <c r="A364" s="33">
        <v>44526</v>
      </c>
      <c r="B364" s="4">
        <v>361</v>
      </c>
      <c r="C364" s="4">
        <v>77.790000000000006</v>
      </c>
    </row>
    <row r="365" spans="1:3" ht="18" x14ac:dyDescent="0.35">
      <c r="A365" s="33">
        <v>44533</v>
      </c>
      <c r="B365" s="4">
        <v>362</v>
      </c>
      <c r="C365" s="4">
        <v>66.89</v>
      </c>
    </row>
    <row r="366" spans="1:3" ht="18" x14ac:dyDescent="0.35">
      <c r="A366" s="33">
        <v>44540</v>
      </c>
      <c r="B366" s="4">
        <v>363</v>
      </c>
      <c r="C366" s="4">
        <v>71.31</v>
      </c>
    </row>
    <row r="367" spans="1:3" ht="18" x14ac:dyDescent="0.35">
      <c r="A367" s="33">
        <v>44547</v>
      </c>
      <c r="B367" s="4">
        <v>364</v>
      </c>
      <c r="C367" s="4">
        <v>71.180000000000007</v>
      </c>
    </row>
    <row r="368" spans="1:3" ht="18" x14ac:dyDescent="0.35">
      <c r="A368" s="33">
        <v>44554</v>
      </c>
      <c r="B368" s="4">
        <v>365</v>
      </c>
      <c r="C368" s="4">
        <v>71.63</v>
      </c>
    </row>
    <row r="369" spans="1:3" ht="18" x14ac:dyDescent="0.35">
      <c r="A369" s="33">
        <v>44561</v>
      </c>
      <c r="B369" s="4">
        <v>366</v>
      </c>
      <c r="C369" s="4">
        <v>76.05</v>
      </c>
    </row>
    <row r="370" spans="1:3" ht="18" x14ac:dyDescent="0.35">
      <c r="A370" s="33">
        <v>44568</v>
      </c>
      <c r="B370" s="4">
        <v>367</v>
      </c>
      <c r="C370" s="4">
        <v>77.86</v>
      </c>
    </row>
    <row r="371" spans="1:3" ht="18" x14ac:dyDescent="0.35">
      <c r="A371" s="33">
        <v>44575</v>
      </c>
      <c r="B371" s="4">
        <v>368</v>
      </c>
      <c r="C371" s="4">
        <v>81.52</v>
      </c>
    </row>
    <row r="372" spans="1:3" ht="18" x14ac:dyDescent="0.35">
      <c r="A372" s="33">
        <v>44582</v>
      </c>
      <c r="B372" s="4">
        <v>369</v>
      </c>
      <c r="C372" s="4">
        <v>85.93</v>
      </c>
    </row>
    <row r="373" spans="1:3" ht="18" x14ac:dyDescent="0.35">
      <c r="A373" s="33">
        <v>44589</v>
      </c>
      <c r="B373" s="4">
        <v>370</v>
      </c>
      <c r="C373" s="4">
        <v>86.94</v>
      </c>
    </row>
    <row r="374" spans="1:3" ht="18" x14ac:dyDescent="0.35">
      <c r="A374" s="33">
        <v>44596</v>
      </c>
      <c r="B374" s="4">
        <v>371</v>
      </c>
      <c r="C374" s="4">
        <v>89.6</v>
      </c>
    </row>
    <row r="375" spans="1:3" ht="18" x14ac:dyDescent="0.35">
      <c r="A375" s="33">
        <v>44603</v>
      </c>
      <c r="B375" s="4">
        <v>372</v>
      </c>
      <c r="C375" s="4">
        <v>90.61</v>
      </c>
    </row>
    <row r="376" spans="1:3" ht="18" x14ac:dyDescent="0.35">
      <c r="A376" s="33">
        <v>44610</v>
      </c>
      <c r="B376" s="4">
        <v>373</v>
      </c>
      <c r="C376" s="4">
        <v>92.89</v>
      </c>
    </row>
    <row r="377" spans="1:3" ht="18" x14ac:dyDescent="0.35">
      <c r="A377" s="33">
        <v>44617</v>
      </c>
      <c r="B377" s="4">
        <v>374</v>
      </c>
      <c r="C377" s="4">
        <v>92.18</v>
      </c>
    </row>
    <row r="378" spans="1:3" ht="18" x14ac:dyDescent="0.35">
      <c r="A378" s="33">
        <v>44624</v>
      </c>
      <c r="B378" s="4">
        <v>375</v>
      </c>
      <c r="C378" s="4">
        <v>106.8</v>
      </c>
    </row>
    <row r="379" spans="1:3" ht="18" x14ac:dyDescent="0.35">
      <c r="A379" s="33">
        <v>44631</v>
      </c>
      <c r="B379" s="4">
        <v>376</v>
      </c>
      <c r="C379" s="4">
        <v>113.39</v>
      </c>
    </row>
    <row r="380" spans="1:3" ht="18" x14ac:dyDescent="0.35">
      <c r="A380" s="33">
        <v>44638</v>
      </c>
      <c r="B380" s="4">
        <v>377</v>
      </c>
      <c r="C380" s="4">
        <v>100.43</v>
      </c>
    </row>
    <row r="381" spans="1:3" ht="18" x14ac:dyDescent="0.35">
      <c r="A381" s="33">
        <v>44645</v>
      </c>
      <c r="B381" s="4">
        <v>378</v>
      </c>
      <c r="C381" s="4">
        <v>113.69</v>
      </c>
    </row>
    <row r="382" spans="1:3" ht="18" x14ac:dyDescent="0.35">
      <c r="A382" s="33">
        <v>44652</v>
      </c>
      <c r="B382" s="4">
        <v>379</v>
      </c>
      <c r="C382" s="4">
        <v>103.89</v>
      </c>
    </row>
    <row r="383" spans="1:3" ht="18" x14ac:dyDescent="0.35">
      <c r="A383" s="33">
        <v>44659</v>
      </c>
      <c r="B383" s="4">
        <v>380</v>
      </c>
      <c r="C383" s="4">
        <v>99.21</v>
      </c>
    </row>
    <row r="384" spans="1:3" ht="18" x14ac:dyDescent="0.35">
      <c r="A384" s="33">
        <v>44666</v>
      </c>
      <c r="B384" s="4">
        <v>381</v>
      </c>
      <c r="C384" s="4">
        <v>101.46</v>
      </c>
    </row>
    <row r="385" spans="1:3" ht="18" x14ac:dyDescent="0.35">
      <c r="A385" s="33">
        <v>44673</v>
      </c>
      <c r="B385" s="4">
        <v>382</v>
      </c>
      <c r="C385" s="4">
        <v>104.02</v>
      </c>
    </row>
    <row r="386" spans="1:3" ht="18" x14ac:dyDescent="0.35">
      <c r="A386" s="33">
        <v>44680</v>
      </c>
      <c r="B386" s="4">
        <v>383</v>
      </c>
      <c r="C386" s="4">
        <v>102.85</v>
      </c>
    </row>
    <row r="387" spans="1:3" ht="18" x14ac:dyDescent="0.35">
      <c r="A387" s="33">
        <v>44687</v>
      </c>
      <c r="B387" s="4">
        <v>384</v>
      </c>
      <c r="C387" s="4">
        <v>106.69</v>
      </c>
    </row>
    <row r="388" spans="1:3" ht="18" x14ac:dyDescent="0.35">
      <c r="A388" s="33">
        <v>44694</v>
      </c>
      <c r="B388" s="4">
        <v>385</v>
      </c>
      <c r="C388" s="4">
        <v>105</v>
      </c>
    </row>
    <row r="389" spans="1:3" ht="18" x14ac:dyDescent="0.35">
      <c r="A389" s="33">
        <v>44701</v>
      </c>
      <c r="B389" s="4">
        <v>386</v>
      </c>
      <c r="C389" s="4">
        <v>112.18</v>
      </c>
    </row>
    <row r="390" spans="1:3" ht="18" x14ac:dyDescent="0.35">
      <c r="A390" s="33">
        <v>44708</v>
      </c>
      <c r="B390" s="4">
        <v>387</v>
      </c>
      <c r="C390" s="4">
        <v>113.38</v>
      </c>
    </row>
    <row r="391" spans="1:3" ht="18" x14ac:dyDescent="0.35">
      <c r="A391" s="33">
        <v>44715</v>
      </c>
      <c r="B391" s="4">
        <v>388</v>
      </c>
      <c r="C391" s="4">
        <v>116.37</v>
      </c>
    </row>
    <row r="392" spans="1:3" ht="18" x14ac:dyDescent="0.35">
      <c r="A392" s="33">
        <v>44722</v>
      </c>
      <c r="B392" s="4">
        <v>389</v>
      </c>
      <c r="C392" s="4">
        <v>120.43</v>
      </c>
    </row>
    <row r="393" spans="1:3" ht="18" x14ac:dyDescent="0.35">
      <c r="A393" s="33">
        <v>44729</v>
      </c>
      <c r="B393" s="4">
        <v>390</v>
      </c>
      <c r="C393" s="4">
        <v>116.46</v>
      </c>
    </row>
    <row r="394" spans="1:3" ht="18" x14ac:dyDescent="0.35">
      <c r="A394" s="33">
        <v>44736</v>
      </c>
      <c r="B394" s="4">
        <v>391</v>
      </c>
      <c r="C394" s="4">
        <v>107.88</v>
      </c>
    </row>
    <row r="395" spans="1:3" ht="18" x14ac:dyDescent="0.35">
      <c r="A395" s="33">
        <v>44743</v>
      </c>
      <c r="B395" s="4">
        <v>392</v>
      </c>
      <c r="C395" s="4">
        <v>110.96</v>
      </c>
    </row>
    <row r="396" spans="1:3" ht="18" x14ac:dyDescent="0.35">
      <c r="A396" s="33">
        <v>44750</v>
      </c>
      <c r="B396" s="4">
        <v>393</v>
      </c>
      <c r="C396" s="4">
        <v>103.32</v>
      </c>
    </row>
    <row r="397" spans="1:3" ht="18" x14ac:dyDescent="0.35">
      <c r="A397" s="33">
        <v>44757</v>
      </c>
      <c r="B397" s="4">
        <v>394</v>
      </c>
      <c r="C397" s="4">
        <v>99.92</v>
      </c>
    </row>
    <row r="398" spans="1:3" ht="18" x14ac:dyDescent="0.35">
      <c r="A398" s="33">
        <v>44764</v>
      </c>
      <c r="B398" s="4">
        <v>395</v>
      </c>
      <c r="C398" s="4">
        <v>102.24</v>
      </c>
    </row>
    <row r="399" spans="1:3" ht="18" x14ac:dyDescent="0.35">
      <c r="A399" s="33">
        <v>44771</v>
      </c>
      <c r="B399" s="4">
        <v>396</v>
      </c>
      <c r="C399" s="4">
        <v>99.6</v>
      </c>
    </row>
    <row r="400" spans="1:3" ht="18" x14ac:dyDescent="0.35">
      <c r="A400" s="33">
        <v>44778</v>
      </c>
      <c r="B400" s="4">
        <v>397</v>
      </c>
      <c r="C400" s="4">
        <v>94.01</v>
      </c>
    </row>
    <row r="401" spans="1:3" ht="18" x14ac:dyDescent="0.35">
      <c r="A401" s="33">
        <v>44785</v>
      </c>
      <c r="B401" s="4">
        <v>398</v>
      </c>
      <c r="C401" s="4">
        <v>94.65</v>
      </c>
    </row>
    <row r="402" spans="1:3" ht="18" x14ac:dyDescent="0.35">
      <c r="A402" s="33">
        <v>44792</v>
      </c>
      <c r="B402" s="4">
        <v>399</v>
      </c>
      <c r="C402" s="4">
        <v>91.81</v>
      </c>
    </row>
    <row r="403" spans="1:3" ht="18" x14ac:dyDescent="0.35">
      <c r="A403" s="33">
        <v>44799</v>
      </c>
      <c r="B403" s="4">
        <v>400</v>
      </c>
      <c r="C403" s="4">
        <v>94.47</v>
      </c>
    </row>
    <row r="404" spans="1:3" ht="18" x14ac:dyDescent="0.35">
      <c r="A404" s="33">
        <v>44806</v>
      </c>
      <c r="B404" s="4">
        <v>401</v>
      </c>
      <c r="C404" s="4">
        <v>90.79</v>
      </c>
    </row>
    <row r="405" spans="1:3" ht="18" x14ac:dyDescent="0.35">
      <c r="A405" s="33">
        <v>44813</v>
      </c>
      <c r="B405" s="4">
        <v>402</v>
      </c>
      <c r="C405" s="4">
        <v>85.29</v>
      </c>
    </row>
    <row r="406" spans="1:3" ht="18" x14ac:dyDescent="0.35">
      <c r="A406" s="33">
        <v>44820</v>
      </c>
      <c r="B406" s="4">
        <v>403</v>
      </c>
      <c r="C406" s="4">
        <v>87.24</v>
      </c>
    </row>
    <row r="407" spans="1:3" ht="18" x14ac:dyDescent="0.35">
      <c r="A407" s="33">
        <v>44827</v>
      </c>
      <c r="B407" s="4">
        <v>404</v>
      </c>
      <c r="C407" s="4">
        <v>83.46</v>
      </c>
    </row>
    <row r="408" spans="1:3" ht="18" x14ac:dyDescent="0.35">
      <c r="A408" s="33">
        <v>44834</v>
      </c>
      <c r="B408" s="4">
        <v>405</v>
      </c>
      <c r="C408" s="4">
        <v>80.08</v>
      </c>
    </row>
    <row r="409" spans="1:3" ht="18" x14ac:dyDescent="0.35">
      <c r="A409" s="33">
        <v>44841</v>
      </c>
      <c r="B409" s="4">
        <v>406</v>
      </c>
      <c r="C409" s="4">
        <v>88.22</v>
      </c>
    </row>
    <row r="410" spans="1:3" ht="18" x14ac:dyDescent="0.35">
      <c r="A410" s="33">
        <v>44848</v>
      </c>
      <c r="B410" s="4">
        <v>407</v>
      </c>
      <c r="C410" s="4">
        <v>88.97</v>
      </c>
    </row>
    <row r="411" spans="1:3" ht="18" x14ac:dyDescent="0.35">
      <c r="A411" s="33">
        <v>44855</v>
      </c>
      <c r="B411" s="4">
        <v>408</v>
      </c>
      <c r="C411" s="4">
        <v>85.36</v>
      </c>
    </row>
    <row r="412" spans="1:3" ht="18" x14ac:dyDescent="0.35">
      <c r="A412" s="33">
        <v>44862</v>
      </c>
      <c r="B412" s="4">
        <v>409</v>
      </c>
      <c r="C412" s="4">
        <v>87.87</v>
      </c>
    </row>
    <row r="413" spans="1:3" ht="18" x14ac:dyDescent="0.35">
      <c r="A413" s="33">
        <v>44869</v>
      </c>
      <c r="B413" s="4">
        <v>410</v>
      </c>
      <c r="C413" s="4">
        <v>89.14</v>
      </c>
    </row>
    <row r="414" spans="1:3" ht="18" x14ac:dyDescent="0.35">
      <c r="A414" s="33">
        <v>44876</v>
      </c>
      <c r="B414" s="4">
        <v>411</v>
      </c>
      <c r="C414" s="4">
        <v>88.41</v>
      </c>
    </row>
    <row r="415" spans="1:3" ht="18" x14ac:dyDescent="0.35">
      <c r="A415" s="33">
        <v>44883</v>
      </c>
      <c r="B415" s="4">
        <v>412</v>
      </c>
      <c r="C415" s="4">
        <v>84.02</v>
      </c>
    </row>
    <row r="416" spans="1:3" ht="18" x14ac:dyDescent="0.35">
      <c r="A416" s="33">
        <v>44890</v>
      </c>
      <c r="B416" s="4">
        <v>413</v>
      </c>
      <c r="C416" s="4">
        <v>78.739999999999995</v>
      </c>
    </row>
    <row r="417" spans="1:3" ht="18" x14ac:dyDescent="0.35">
      <c r="A417" s="33">
        <v>44897</v>
      </c>
      <c r="B417" s="4">
        <v>414</v>
      </c>
      <c r="C417" s="4">
        <v>79.290000000000006</v>
      </c>
    </row>
    <row r="418" spans="1:3" ht="18" x14ac:dyDescent="0.35">
      <c r="A418" s="33">
        <v>44904</v>
      </c>
      <c r="B418" s="4">
        <v>415</v>
      </c>
      <c r="C418" s="4">
        <v>73.06</v>
      </c>
    </row>
    <row r="419" spans="1:3" ht="18" x14ac:dyDescent="0.35">
      <c r="A419" s="33">
        <v>44911</v>
      </c>
      <c r="B419" s="4">
        <v>416</v>
      </c>
      <c r="C419" s="4">
        <v>75.12</v>
      </c>
    </row>
    <row r="420" spans="1:3" ht="18" x14ac:dyDescent="0.35">
      <c r="A420" s="33">
        <v>44918</v>
      </c>
      <c r="B420" s="4">
        <v>417</v>
      </c>
      <c r="C420" s="4">
        <v>77.28</v>
      </c>
    </row>
    <row r="421" spans="1:3" ht="18" x14ac:dyDescent="0.35">
      <c r="A421" s="33">
        <v>44925</v>
      </c>
      <c r="B421" s="4">
        <v>418</v>
      </c>
      <c r="C421" s="4">
        <v>79.23</v>
      </c>
    </row>
    <row r="422" spans="1:3" ht="18" x14ac:dyDescent="0.35">
      <c r="A422" s="33">
        <v>44932</v>
      </c>
      <c r="B422" s="4">
        <v>419</v>
      </c>
      <c r="C422" s="4">
        <v>74.27</v>
      </c>
    </row>
    <row r="423" spans="1:3" ht="18" x14ac:dyDescent="0.35">
      <c r="A423" s="33">
        <v>44939</v>
      </c>
      <c r="B423" s="4">
        <v>420</v>
      </c>
      <c r="C423" s="4">
        <v>77.099999999999994</v>
      </c>
    </row>
    <row r="424" spans="1:3" ht="18" x14ac:dyDescent="0.35">
      <c r="A424" s="33">
        <v>44946</v>
      </c>
      <c r="B424" s="4">
        <v>421</v>
      </c>
      <c r="C424" s="4">
        <v>80.34</v>
      </c>
    </row>
    <row r="425" spans="1:3" ht="18" x14ac:dyDescent="0.35">
      <c r="A425" s="33">
        <v>44953</v>
      </c>
      <c r="B425" s="4">
        <v>422</v>
      </c>
      <c r="C425" s="4">
        <v>80.33</v>
      </c>
    </row>
    <row r="426" spans="1:3" ht="18" x14ac:dyDescent="0.35">
      <c r="A426" s="33">
        <v>44960</v>
      </c>
      <c r="B426" s="4">
        <v>423</v>
      </c>
      <c r="C426" s="4">
        <v>76.510000000000005</v>
      </c>
    </row>
    <row r="427" spans="1:3" ht="18" x14ac:dyDescent="0.35">
      <c r="A427" s="33">
        <v>44967</v>
      </c>
      <c r="B427" s="4">
        <v>424</v>
      </c>
      <c r="C427" s="4">
        <v>77.510000000000005</v>
      </c>
    </row>
    <row r="428" spans="1:3" ht="18" x14ac:dyDescent="0.35">
      <c r="A428" s="33">
        <v>44974</v>
      </c>
      <c r="B428" s="4">
        <v>425</v>
      </c>
      <c r="C428" s="4">
        <v>78.510000000000005</v>
      </c>
    </row>
    <row r="429" spans="1:3" ht="18" x14ac:dyDescent="0.35">
      <c r="A429" s="33">
        <v>44981</v>
      </c>
      <c r="B429" s="4">
        <v>426</v>
      </c>
      <c r="C429" s="4">
        <v>75.42</v>
      </c>
    </row>
    <row r="430" spans="1:3" ht="18" x14ac:dyDescent="0.35">
      <c r="A430" s="33">
        <v>44988</v>
      </c>
      <c r="B430" s="4">
        <v>427</v>
      </c>
      <c r="C430" s="4">
        <v>77.540000000000006</v>
      </c>
    </row>
    <row r="431" spans="1:3" ht="18" x14ac:dyDescent="0.35">
      <c r="A431" s="33">
        <v>44995</v>
      </c>
      <c r="B431" s="4">
        <v>428</v>
      </c>
      <c r="C431" s="4">
        <v>77.31</v>
      </c>
    </row>
    <row r="432" spans="1:3" ht="18" x14ac:dyDescent="0.35">
      <c r="A432" s="33">
        <v>45002</v>
      </c>
      <c r="B432" s="4">
        <v>429</v>
      </c>
      <c r="C432" s="4">
        <v>69.599999999999994</v>
      </c>
    </row>
    <row r="433" spans="1:3" ht="18" x14ac:dyDescent="0.35">
      <c r="A433" s="33">
        <v>45009</v>
      </c>
      <c r="B433" s="4">
        <v>430</v>
      </c>
      <c r="C433" s="4">
        <v>69.33</v>
      </c>
    </row>
    <row r="434" spans="1:3" ht="18" x14ac:dyDescent="0.35">
      <c r="A434" s="33">
        <v>45016</v>
      </c>
      <c r="B434" s="4">
        <v>431</v>
      </c>
      <c r="C434" s="4">
        <v>73.790000000000006</v>
      </c>
    </row>
    <row r="435" spans="1:3" ht="18" x14ac:dyDescent="0.35">
      <c r="A435" s="33">
        <v>45023</v>
      </c>
      <c r="B435" s="4">
        <v>432</v>
      </c>
      <c r="C435" s="4">
        <v>80.62</v>
      </c>
    </row>
    <row r="436" spans="1:3" ht="18" x14ac:dyDescent="0.35">
      <c r="A436" s="33">
        <v>45030</v>
      </c>
      <c r="B436" s="4">
        <v>433</v>
      </c>
      <c r="C436" s="4">
        <v>81.87</v>
      </c>
    </row>
    <row r="437" spans="1:3" ht="18" x14ac:dyDescent="0.35">
      <c r="A437" s="33">
        <v>45037</v>
      </c>
      <c r="B437" s="4">
        <v>434</v>
      </c>
      <c r="C437" s="4">
        <v>79.22</v>
      </c>
    </row>
    <row r="438" spans="1:3" ht="18" x14ac:dyDescent="0.35">
      <c r="A438" s="33">
        <v>45044</v>
      </c>
      <c r="B438" s="4">
        <v>435</v>
      </c>
      <c r="C438" s="4">
        <v>76.31</v>
      </c>
    </row>
    <row r="439" spans="1:3" ht="18" x14ac:dyDescent="0.35">
      <c r="A439" s="33">
        <v>45051</v>
      </c>
      <c r="B439" s="4">
        <v>436</v>
      </c>
      <c r="C439" s="4">
        <v>71.16</v>
      </c>
    </row>
    <row r="440" spans="1:3" ht="18" x14ac:dyDescent="0.35">
      <c r="A440" s="33">
        <v>45058</v>
      </c>
      <c r="B440" s="4">
        <v>437</v>
      </c>
      <c r="C440" s="4">
        <v>72.03</v>
      </c>
    </row>
    <row r="441" spans="1:3" ht="18" x14ac:dyDescent="0.35">
      <c r="A441" s="33">
        <v>45065</v>
      </c>
      <c r="B441" s="4">
        <v>438</v>
      </c>
      <c r="C441" s="4">
        <v>71.62</v>
      </c>
    </row>
    <row r="442" spans="1:3" ht="18" x14ac:dyDescent="0.35">
      <c r="A442" s="33">
        <v>45072</v>
      </c>
      <c r="B442" s="4">
        <v>439</v>
      </c>
      <c r="C442" s="4">
        <v>72.62</v>
      </c>
    </row>
    <row r="443" spans="1:3" ht="18" x14ac:dyDescent="0.35">
      <c r="A443" s="33">
        <v>45079</v>
      </c>
      <c r="B443" s="4">
        <v>440</v>
      </c>
      <c r="C443" s="4">
        <v>69.849999999999994</v>
      </c>
    </row>
    <row r="444" spans="1:3" ht="18" x14ac:dyDescent="0.35">
      <c r="A444" s="33">
        <v>45086</v>
      </c>
      <c r="B444" s="4">
        <v>441</v>
      </c>
      <c r="C444" s="4">
        <v>71.56</v>
      </c>
    </row>
    <row r="445" spans="1:3" ht="18" x14ac:dyDescent="0.35">
      <c r="A445" s="33">
        <v>45093</v>
      </c>
      <c r="B445" s="4">
        <v>442</v>
      </c>
      <c r="C445" s="4">
        <v>69.42</v>
      </c>
    </row>
    <row r="446" spans="1:3" ht="18" x14ac:dyDescent="0.35">
      <c r="A446" s="33">
        <v>45100</v>
      </c>
      <c r="B446" s="4">
        <v>443</v>
      </c>
      <c r="C446" s="4">
        <v>70.41</v>
      </c>
    </row>
    <row r="447" spans="1:3" ht="18" x14ac:dyDescent="0.35">
      <c r="A447" s="33">
        <v>45107</v>
      </c>
      <c r="B447" s="4">
        <v>444</v>
      </c>
      <c r="C447" s="4">
        <v>69.36</v>
      </c>
    </row>
    <row r="448" spans="1:3" ht="18" x14ac:dyDescent="0.35">
      <c r="A448" s="33">
        <v>45114</v>
      </c>
      <c r="B448" s="4">
        <v>445</v>
      </c>
      <c r="C448" s="4">
        <v>71.790000000000006</v>
      </c>
    </row>
    <row r="449" spans="1:3" ht="18" x14ac:dyDescent="0.35">
      <c r="A449" s="33">
        <v>45121</v>
      </c>
      <c r="B449" s="4">
        <v>446</v>
      </c>
      <c r="C449" s="4">
        <v>75.2</v>
      </c>
    </row>
    <row r="450" spans="1:3" ht="18" x14ac:dyDescent="0.35">
      <c r="A450" s="33">
        <v>45128</v>
      </c>
      <c r="B450" s="4">
        <v>447</v>
      </c>
      <c r="C450" s="4">
        <v>75.61</v>
      </c>
    </row>
    <row r="451" spans="1:3" ht="18" x14ac:dyDescent="0.35">
      <c r="A451" s="33">
        <v>45135</v>
      </c>
      <c r="B451" s="4">
        <v>448</v>
      </c>
      <c r="C451" s="4">
        <v>79.680000000000007</v>
      </c>
    </row>
    <row r="452" spans="1:3" ht="18" x14ac:dyDescent="0.35">
      <c r="A452" s="33">
        <v>45142</v>
      </c>
      <c r="B452" s="4">
        <v>449</v>
      </c>
      <c r="C452" s="4">
        <v>81.400000000000006</v>
      </c>
    </row>
    <row r="453" spans="1:3" ht="18" x14ac:dyDescent="0.35">
      <c r="A453" s="33">
        <v>45149</v>
      </c>
      <c r="B453" s="4">
        <v>450</v>
      </c>
      <c r="C453" s="4">
        <v>83.04</v>
      </c>
    </row>
    <row r="454" spans="1:3" ht="18" x14ac:dyDescent="0.35">
      <c r="A454" s="33">
        <v>45156</v>
      </c>
      <c r="B454" s="4">
        <v>451</v>
      </c>
      <c r="C454" s="4">
        <v>80.930000000000007</v>
      </c>
    </row>
    <row r="455" spans="1:3" ht="18" x14ac:dyDescent="0.35">
      <c r="A455" s="33">
        <v>45163</v>
      </c>
      <c r="B455" s="4">
        <v>452</v>
      </c>
      <c r="C455" s="4">
        <v>79.97</v>
      </c>
    </row>
    <row r="456" spans="1:3" ht="18" x14ac:dyDescent="0.35">
      <c r="A456" s="33">
        <v>45170</v>
      </c>
      <c r="B456" s="4">
        <v>453</v>
      </c>
      <c r="C456" s="4">
        <v>82.5</v>
      </c>
    </row>
    <row r="457" spans="1:3" ht="18" x14ac:dyDescent="0.35">
      <c r="A457" s="33">
        <v>45177</v>
      </c>
      <c r="B457" s="4">
        <v>454</v>
      </c>
      <c r="C457" s="4">
        <v>87.17</v>
      </c>
    </row>
    <row r="458" spans="1:3" ht="18" x14ac:dyDescent="0.35">
      <c r="A458" s="33">
        <v>45184</v>
      </c>
      <c r="B458" s="4">
        <v>455</v>
      </c>
      <c r="C458" s="4">
        <v>89.14</v>
      </c>
    </row>
    <row r="459" spans="1:3" ht="18" x14ac:dyDescent="0.35">
      <c r="A459" s="33">
        <v>45191</v>
      </c>
      <c r="B459" s="4">
        <v>456</v>
      </c>
      <c r="C459" s="4">
        <v>90.28</v>
      </c>
    </row>
    <row r="460" spans="1:3" ht="18" x14ac:dyDescent="0.35">
      <c r="A460" s="33">
        <v>45198</v>
      </c>
      <c r="B460" s="4">
        <v>457</v>
      </c>
      <c r="C460" s="4">
        <v>91.44</v>
      </c>
    </row>
    <row r="461" spans="1:3" ht="18" x14ac:dyDescent="0.35">
      <c r="A461" s="33">
        <v>45205</v>
      </c>
      <c r="B461" s="4">
        <v>458</v>
      </c>
      <c r="C461" s="4">
        <v>85.5</v>
      </c>
    </row>
    <row r="462" spans="1:3" ht="18" x14ac:dyDescent="0.35">
      <c r="A462" s="33">
        <v>45212</v>
      </c>
      <c r="B462" s="4">
        <v>459</v>
      </c>
      <c r="C462" s="4">
        <v>85.03</v>
      </c>
    </row>
    <row r="463" spans="1:3" ht="18" x14ac:dyDescent="0.35">
      <c r="A463" s="33">
        <v>45219</v>
      </c>
      <c r="B463" s="4">
        <v>460</v>
      </c>
      <c r="C463" s="4">
        <v>88.03</v>
      </c>
    </row>
    <row r="464" spans="1:3" ht="18" x14ac:dyDescent="0.35">
      <c r="A464" s="33">
        <v>45226</v>
      </c>
      <c r="B464" s="4">
        <v>461</v>
      </c>
      <c r="C464" s="4">
        <v>85.2</v>
      </c>
    </row>
    <row r="465" spans="1:3" ht="18" x14ac:dyDescent="0.35">
      <c r="A465" s="33">
        <v>45233</v>
      </c>
      <c r="B465" s="4">
        <v>462</v>
      </c>
      <c r="C465" s="4">
        <v>81.99</v>
      </c>
    </row>
    <row r="466" spans="1:3" ht="18" x14ac:dyDescent="0.35">
      <c r="A466" s="33">
        <v>45240</v>
      </c>
      <c r="B466" s="4">
        <v>463</v>
      </c>
      <c r="C466" s="4">
        <v>77.92</v>
      </c>
    </row>
    <row r="467" spans="1:3" ht="18" x14ac:dyDescent="0.35">
      <c r="A467" s="33">
        <v>45247</v>
      </c>
      <c r="B467" s="4">
        <v>464</v>
      </c>
      <c r="C467" s="4">
        <v>76.98</v>
      </c>
    </row>
    <row r="468" spans="1:3" ht="18" x14ac:dyDescent="0.35">
      <c r="A468" s="33">
        <v>45254</v>
      </c>
      <c r="B468" s="4">
        <v>465</v>
      </c>
      <c r="C468" s="4">
        <v>77.02</v>
      </c>
    </row>
    <row r="469" spans="1:3" ht="18" x14ac:dyDescent="0.35">
      <c r="A469" s="33">
        <v>45261</v>
      </c>
      <c r="B469" s="4">
        <v>466</v>
      </c>
      <c r="C469" s="4">
        <v>75.489999999999995</v>
      </c>
    </row>
    <row r="470" spans="1:3" ht="18" x14ac:dyDescent="0.35">
      <c r="A470" s="33">
        <v>45268</v>
      </c>
      <c r="B470" s="4">
        <v>467</v>
      </c>
      <c r="C470" s="4">
        <v>70.709999999999994</v>
      </c>
    </row>
    <row r="471" spans="1:3" ht="18" x14ac:dyDescent="0.35">
      <c r="A471" s="33">
        <v>45275</v>
      </c>
      <c r="B471" s="4">
        <v>468</v>
      </c>
      <c r="C471" s="4">
        <v>70.11</v>
      </c>
    </row>
    <row r="472" spans="1:3" ht="18" x14ac:dyDescent="0.35">
      <c r="A472" s="33">
        <v>45282</v>
      </c>
      <c r="B472" s="4">
        <v>469</v>
      </c>
      <c r="C472" s="4">
        <v>73.23</v>
      </c>
    </row>
    <row r="473" spans="1:3" ht="18" x14ac:dyDescent="0.35">
      <c r="A473" s="33">
        <v>45289</v>
      </c>
      <c r="B473" s="4">
        <v>470</v>
      </c>
      <c r="C473" s="4">
        <v>73.52</v>
      </c>
    </row>
    <row r="474" spans="1:3" x14ac:dyDescent="0.3">
      <c r="A474" s="1"/>
    </row>
    <row r="475" spans="1:3" x14ac:dyDescent="0.3">
      <c r="A475" s="1"/>
    </row>
    <row r="476" spans="1:3" x14ac:dyDescent="0.3">
      <c r="A476" s="1"/>
    </row>
    <row r="477" spans="1:3" x14ac:dyDescent="0.3">
      <c r="A477" s="1"/>
    </row>
    <row r="478" spans="1:3" x14ac:dyDescent="0.3">
      <c r="A478" s="1"/>
    </row>
    <row r="479" spans="1:3" x14ac:dyDescent="0.3">
      <c r="A479" s="1"/>
    </row>
    <row r="480" spans="1:3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9501-54F5-4E6A-9AA6-5C7434B32DD2}">
  <sheetPr>
    <tabColor theme="5" tint="0.79998168889431442"/>
  </sheetPr>
  <dimension ref="A1:S496"/>
  <sheetViews>
    <sheetView tabSelected="1" zoomScale="73" workbookViewId="0">
      <selection activeCell="K7" sqref="K7"/>
    </sheetView>
  </sheetViews>
  <sheetFormatPr defaultRowHeight="14.4" x14ac:dyDescent="0.3"/>
  <cols>
    <col min="1" max="1" width="15.77734375" customWidth="1"/>
    <col min="2" max="2" width="32.88671875" customWidth="1"/>
    <col min="6" max="6" width="37.5546875" customWidth="1"/>
    <col min="7" max="7" width="21.88671875" customWidth="1"/>
    <col min="8" max="8" width="19.6640625" customWidth="1"/>
    <col min="9" max="9" width="21.5546875" customWidth="1"/>
    <col min="10" max="10" width="18.44140625" customWidth="1"/>
    <col min="11" max="11" width="26.88671875" customWidth="1"/>
    <col min="12" max="12" width="20.5546875" customWidth="1"/>
    <col min="13" max="13" width="18.109375" customWidth="1"/>
    <col min="14" max="14" width="31.77734375" customWidth="1"/>
  </cols>
  <sheetData>
    <row r="1" spans="1:19" ht="72" x14ac:dyDescent="0.35">
      <c r="A1" s="6" t="s">
        <v>31</v>
      </c>
      <c r="B1" s="6" t="s">
        <v>30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8" x14ac:dyDescent="0.35">
      <c r="A2" s="4">
        <v>1</v>
      </c>
      <c r="B2" s="4">
        <v>53.44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8" x14ac:dyDescent="0.35">
      <c r="A3" s="4">
        <v>2</v>
      </c>
      <c r="B3" s="4">
        <v>48.77</v>
      </c>
      <c r="E3" s="13"/>
      <c r="F3" s="13" t="s">
        <v>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8.600000000000001" thickBot="1" x14ac:dyDescent="0.4">
      <c r="A4" s="7">
        <v>3</v>
      </c>
      <c r="B4" s="7">
        <v>47.07</v>
      </c>
      <c r="C4" s="8"/>
      <c r="D4" s="8"/>
      <c r="E4" s="18"/>
      <c r="F4" s="18"/>
      <c r="G4" s="1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8" x14ac:dyDescent="0.35">
      <c r="A5" s="7">
        <v>4</v>
      </c>
      <c r="B5" s="7">
        <v>46.46</v>
      </c>
      <c r="C5" s="8"/>
      <c r="D5" s="8"/>
      <c r="E5" s="18"/>
      <c r="F5" s="19" t="s">
        <v>1</v>
      </c>
      <c r="G5" s="19"/>
      <c r="H5" s="13"/>
      <c r="I5" s="39" t="s">
        <v>37</v>
      </c>
      <c r="J5" s="39"/>
      <c r="K5" s="13"/>
      <c r="L5" s="13"/>
      <c r="M5" s="13"/>
      <c r="N5" s="13"/>
      <c r="O5" s="13"/>
      <c r="P5" s="13"/>
      <c r="Q5" s="13"/>
      <c r="R5" s="13"/>
      <c r="S5" s="13"/>
    </row>
    <row r="6" spans="1:19" ht="18" x14ac:dyDescent="0.35">
      <c r="A6" s="7">
        <v>5</v>
      </c>
      <c r="B6" s="7">
        <v>45.32</v>
      </c>
      <c r="C6" s="8"/>
      <c r="D6" s="8"/>
      <c r="E6" s="18"/>
      <c r="F6" s="20" t="s">
        <v>2</v>
      </c>
      <c r="G6" s="20">
        <v>0.64788175060393849</v>
      </c>
      <c r="H6" s="13"/>
      <c r="I6" s="21">
        <f>G20*471+G19</f>
        <v>81.248731116454209</v>
      </c>
      <c r="J6" s="21" t="s">
        <v>38</v>
      </c>
      <c r="K6" s="13"/>
      <c r="L6" s="13"/>
      <c r="M6" s="13"/>
      <c r="N6" s="13"/>
      <c r="O6" s="13"/>
      <c r="P6" s="13"/>
      <c r="Q6" s="13"/>
      <c r="R6" s="13"/>
      <c r="S6" s="13"/>
    </row>
    <row r="7" spans="1:19" ht="18" x14ac:dyDescent="0.35">
      <c r="A7" s="7">
        <v>6</v>
      </c>
      <c r="B7" s="7">
        <v>50.58</v>
      </c>
      <c r="C7" s="8"/>
      <c r="D7" s="8"/>
      <c r="E7" s="18"/>
      <c r="F7" s="20" t="s">
        <v>3</v>
      </c>
      <c r="G7" s="20">
        <v>0.41975076276562401</v>
      </c>
      <c r="H7" s="13"/>
      <c r="I7" s="21">
        <f>G20*472+G19</f>
        <v>81.336978969593602</v>
      </c>
      <c r="J7" s="21" t="s">
        <v>39</v>
      </c>
      <c r="K7" s="13"/>
      <c r="L7" s="13"/>
      <c r="M7" s="13"/>
      <c r="N7" s="13"/>
      <c r="O7" s="13"/>
      <c r="P7" s="13"/>
      <c r="Q7" s="13"/>
      <c r="R7" s="13"/>
      <c r="S7" s="13"/>
    </row>
    <row r="8" spans="1:19" ht="18" x14ac:dyDescent="0.35">
      <c r="A8" s="7">
        <v>7</v>
      </c>
      <c r="B8" s="7">
        <v>51.14</v>
      </c>
      <c r="C8" s="8"/>
      <c r="D8" s="8"/>
      <c r="E8" s="18"/>
      <c r="F8" s="20" t="s">
        <v>4</v>
      </c>
      <c r="G8" s="20">
        <v>0.41851091396811463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ht="18" x14ac:dyDescent="0.35">
      <c r="A9" s="7">
        <v>8</v>
      </c>
      <c r="B9" s="7">
        <v>51.69</v>
      </c>
      <c r="C9" s="8"/>
      <c r="D9" s="8"/>
      <c r="E9" s="18"/>
      <c r="F9" s="20" t="s">
        <v>5</v>
      </c>
      <c r="G9" s="20">
        <v>14.107431340415058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ht="18.600000000000001" thickBot="1" x14ac:dyDescent="0.4">
      <c r="A10" s="7">
        <v>9</v>
      </c>
      <c r="B10" s="7">
        <v>49.16</v>
      </c>
      <c r="C10" s="8"/>
      <c r="D10" s="8"/>
      <c r="E10" s="18"/>
      <c r="F10" s="22" t="s">
        <v>6</v>
      </c>
      <c r="G10" s="22">
        <v>470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ht="18" x14ac:dyDescent="0.35">
      <c r="A11" s="4">
        <v>10</v>
      </c>
      <c r="B11" s="4">
        <v>50.38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ht="18.600000000000001" thickBot="1" x14ac:dyDescent="0.4">
      <c r="A12" s="4">
        <v>11</v>
      </c>
      <c r="B12" s="4">
        <v>47.69</v>
      </c>
      <c r="E12" s="13"/>
      <c r="F12" s="13" t="s">
        <v>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ht="18" x14ac:dyDescent="0.35">
      <c r="A13" s="4">
        <v>12</v>
      </c>
      <c r="B13" s="4">
        <v>44.39</v>
      </c>
      <c r="E13" s="13"/>
      <c r="F13" s="23"/>
      <c r="G13" s="23" t="s">
        <v>12</v>
      </c>
      <c r="H13" s="23" t="s">
        <v>13</v>
      </c>
      <c r="I13" s="23" t="s">
        <v>14</v>
      </c>
      <c r="J13" s="23" t="s">
        <v>15</v>
      </c>
      <c r="K13" s="23" t="s">
        <v>16</v>
      </c>
      <c r="L13" s="13"/>
      <c r="M13" s="13"/>
      <c r="N13" s="13"/>
      <c r="O13" s="13"/>
      <c r="P13" s="13"/>
      <c r="Q13" s="13"/>
      <c r="R13" s="13"/>
      <c r="S13" s="13"/>
    </row>
    <row r="14" spans="1:19" ht="18" x14ac:dyDescent="0.35">
      <c r="A14" s="4">
        <v>13</v>
      </c>
      <c r="B14" s="4">
        <v>48.68</v>
      </c>
      <c r="E14" s="13"/>
      <c r="F14" s="13" t="s">
        <v>8</v>
      </c>
      <c r="G14" s="13">
        <v>1</v>
      </c>
      <c r="H14" s="13">
        <v>67378.084375033039</v>
      </c>
      <c r="I14" s="13">
        <v>67378.084375033039</v>
      </c>
      <c r="J14" s="13">
        <v>338.54996158308444</v>
      </c>
      <c r="K14" s="13">
        <v>2.7518994566862769E-57</v>
      </c>
      <c r="L14" s="13"/>
      <c r="M14" s="13"/>
      <c r="N14" s="13"/>
      <c r="O14" s="13"/>
      <c r="P14" s="13"/>
      <c r="Q14" s="13"/>
      <c r="R14" s="13"/>
      <c r="S14" s="13"/>
    </row>
    <row r="15" spans="1:19" ht="18" x14ac:dyDescent="0.35">
      <c r="A15" s="4">
        <v>14</v>
      </c>
      <c r="B15" s="4">
        <v>48.91</v>
      </c>
      <c r="E15" s="13"/>
      <c r="F15" s="13" t="s">
        <v>9</v>
      </c>
      <c r="G15" s="13">
        <v>468</v>
      </c>
      <c r="H15" s="13">
        <v>93141.18170347769</v>
      </c>
      <c r="I15" s="13">
        <v>199.01961902452499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600000000000001" thickBot="1" x14ac:dyDescent="0.4">
      <c r="A16" s="4">
        <v>15</v>
      </c>
      <c r="B16" s="4">
        <v>51.78</v>
      </c>
      <c r="E16" s="13"/>
      <c r="F16" s="24" t="s">
        <v>10</v>
      </c>
      <c r="G16" s="24">
        <v>469</v>
      </c>
      <c r="H16" s="24">
        <v>160519.26607851073</v>
      </c>
      <c r="I16" s="24"/>
      <c r="J16" s="24"/>
      <c r="K16" s="24"/>
      <c r="L16" s="13"/>
      <c r="M16" s="13"/>
      <c r="N16" s="13"/>
      <c r="O16" s="13"/>
      <c r="P16" s="13"/>
      <c r="Q16" s="13"/>
      <c r="R16" s="13"/>
      <c r="S16" s="13"/>
    </row>
    <row r="17" spans="1:19" ht="18.600000000000001" thickBot="1" x14ac:dyDescent="0.4">
      <c r="A17" s="4">
        <v>16</v>
      </c>
      <c r="B17" s="4">
        <v>54.78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8" x14ac:dyDescent="0.35">
      <c r="A18" s="4">
        <v>17</v>
      </c>
      <c r="B18" s="4">
        <v>56.14</v>
      </c>
      <c r="E18" s="13"/>
      <c r="F18" s="23"/>
      <c r="G18" s="23" t="s">
        <v>17</v>
      </c>
      <c r="H18" s="23" t="s">
        <v>5</v>
      </c>
      <c r="I18" s="23" t="s">
        <v>18</v>
      </c>
      <c r="J18" s="23" t="s">
        <v>19</v>
      </c>
      <c r="K18" s="23" t="s">
        <v>20</v>
      </c>
      <c r="L18" s="23" t="s">
        <v>21</v>
      </c>
      <c r="M18" s="23" t="s">
        <v>22</v>
      </c>
      <c r="N18" s="23" t="s">
        <v>23</v>
      </c>
      <c r="O18" s="13"/>
      <c r="P18" s="13"/>
      <c r="Q18" s="13"/>
      <c r="R18" s="13"/>
      <c r="S18" s="13"/>
    </row>
    <row r="19" spans="1:19" ht="18" x14ac:dyDescent="0.35">
      <c r="A19" s="4">
        <v>18</v>
      </c>
      <c r="B19" s="4">
        <v>57.98</v>
      </c>
      <c r="E19" s="13"/>
      <c r="F19" s="13" t="s">
        <v>11</v>
      </c>
      <c r="G19" s="13">
        <v>39.683992287801097</v>
      </c>
      <c r="H19" s="13">
        <v>1.3035341235609206</v>
      </c>
      <c r="I19" s="13">
        <v>30.443385846620277</v>
      </c>
      <c r="J19" s="25">
        <v>4.7493866865817298E-113</v>
      </c>
      <c r="K19" s="13">
        <v>37.122487965569533</v>
      </c>
      <c r="L19" s="13">
        <v>42.24549661003266</v>
      </c>
      <c r="M19" s="13">
        <v>37.122487965569533</v>
      </c>
      <c r="N19" s="13">
        <v>42.24549661003266</v>
      </c>
      <c r="O19" s="13"/>
      <c r="P19" s="13"/>
      <c r="Q19" s="13"/>
      <c r="R19" s="13"/>
      <c r="S19" s="13"/>
    </row>
    <row r="20" spans="1:19" ht="18.600000000000001" thickBot="1" x14ac:dyDescent="0.4">
      <c r="A20" s="4">
        <v>19</v>
      </c>
      <c r="B20" s="4">
        <v>59.73</v>
      </c>
      <c r="E20" s="13"/>
      <c r="F20" s="24" t="s">
        <v>24</v>
      </c>
      <c r="G20" s="24">
        <v>8.8247853139390903E-2</v>
      </c>
      <c r="H20" s="24">
        <v>4.796150079218694E-3</v>
      </c>
      <c r="I20" s="24">
        <v>18.399727214909564</v>
      </c>
      <c r="J20" s="26">
        <v>2.7518994566868299E-57</v>
      </c>
      <c r="K20" s="24">
        <v>7.8823198321433766E-2</v>
      </c>
      <c r="L20" s="24">
        <v>9.7672507957347984E-2</v>
      </c>
      <c r="M20" s="24">
        <v>7.8823198321433766E-2</v>
      </c>
      <c r="N20" s="24">
        <v>9.7672507957347984E-2</v>
      </c>
      <c r="O20" s="13"/>
      <c r="P20" s="13"/>
      <c r="Q20" s="13"/>
      <c r="R20" s="13"/>
      <c r="S20" s="13"/>
    </row>
    <row r="21" spans="1:19" ht="18" x14ac:dyDescent="0.35">
      <c r="A21" s="4">
        <v>20</v>
      </c>
      <c r="B21" s="4">
        <v>60.01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ht="18" x14ac:dyDescent="0.35">
      <c r="A22" s="4">
        <v>21</v>
      </c>
      <c r="B22" s="4">
        <v>58.95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ht="18" x14ac:dyDescent="0.35">
      <c r="A23" s="4">
        <v>22</v>
      </c>
      <c r="B23" s="4">
        <v>58.19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18" x14ac:dyDescent="0.35">
      <c r="A24" s="4">
        <v>23</v>
      </c>
      <c r="B24" s="4">
        <v>59.66</v>
      </c>
      <c r="E24" s="13"/>
      <c r="F24" s="13" t="s">
        <v>25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18.600000000000001" thickBot="1" x14ac:dyDescent="0.4">
      <c r="A25" s="4">
        <v>24</v>
      </c>
      <c r="B25" s="4">
        <v>60.07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ht="18" x14ac:dyDescent="0.35">
      <c r="A26" s="4">
        <v>25</v>
      </c>
      <c r="B26" s="4">
        <v>59.89</v>
      </c>
      <c r="E26" s="13"/>
      <c r="F26" s="23" t="s">
        <v>26</v>
      </c>
      <c r="G26" s="23" t="s">
        <v>27</v>
      </c>
      <c r="H26" s="23" t="s">
        <v>28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18" x14ac:dyDescent="0.35">
      <c r="A27" s="4">
        <v>26</v>
      </c>
      <c r="B27" s="4">
        <v>60.01</v>
      </c>
      <c r="E27" s="13"/>
      <c r="F27" s="13">
        <v>1</v>
      </c>
      <c r="G27" s="13">
        <v>39.77224014094049</v>
      </c>
      <c r="H27" s="13">
        <v>13.667759859059508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18" x14ac:dyDescent="0.35">
      <c r="A28" s="4">
        <v>27</v>
      </c>
      <c r="B28" s="4">
        <v>57.92</v>
      </c>
      <c r="E28" s="13"/>
      <c r="F28" s="13">
        <v>2</v>
      </c>
      <c r="G28" s="13">
        <v>39.860487994079875</v>
      </c>
      <c r="H28" s="13">
        <v>8.9095120059201278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ht="18" x14ac:dyDescent="0.35">
      <c r="A29" s="4">
        <v>28</v>
      </c>
      <c r="B29" s="4">
        <v>52.38</v>
      </c>
      <c r="E29" s="13"/>
      <c r="F29" s="13">
        <v>3</v>
      </c>
      <c r="G29" s="13">
        <v>39.948735847219268</v>
      </c>
      <c r="H29" s="13">
        <v>7.1212641527807321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ht="18" x14ac:dyDescent="0.35">
      <c r="A30" s="4">
        <v>29</v>
      </c>
      <c r="B30" s="4">
        <v>51.68</v>
      </c>
      <c r="E30" s="13"/>
      <c r="F30" s="13">
        <v>4</v>
      </c>
      <c r="G30" s="13">
        <v>40.036983700358661</v>
      </c>
      <c r="H30" s="13">
        <v>6.4230162996413398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18" x14ac:dyDescent="0.35">
      <c r="A31" s="4">
        <v>30</v>
      </c>
      <c r="B31" s="4">
        <v>49.21</v>
      </c>
      <c r="E31" s="13"/>
      <c r="F31" s="13">
        <v>5</v>
      </c>
      <c r="G31" s="13">
        <v>40.125231553498054</v>
      </c>
      <c r="H31" s="13">
        <v>5.1947684465019464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18" x14ac:dyDescent="0.35">
      <c r="A32" s="4">
        <v>31</v>
      </c>
      <c r="B32" s="4">
        <v>47.91</v>
      </c>
      <c r="E32" s="13"/>
      <c r="F32" s="13">
        <v>6</v>
      </c>
      <c r="G32" s="13">
        <v>40.21347940663744</v>
      </c>
      <c r="H32" s="13">
        <v>10.366520593362559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ht="18" x14ac:dyDescent="0.35">
      <c r="A33" s="4">
        <v>32</v>
      </c>
      <c r="B33" s="4">
        <v>44.94</v>
      </c>
      <c r="E33" s="13"/>
      <c r="F33" s="13">
        <v>7</v>
      </c>
      <c r="G33" s="13">
        <v>40.301727259776833</v>
      </c>
      <c r="H33" s="13">
        <v>10.838272740223168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18" x14ac:dyDescent="0.35">
      <c r="A34" s="4">
        <v>33</v>
      </c>
      <c r="B34" s="4">
        <v>43.2</v>
      </c>
      <c r="E34" s="13"/>
      <c r="F34" s="13">
        <v>8</v>
      </c>
      <c r="G34" s="13">
        <v>40.389975112916225</v>
      </c>
      <c r="H34" s="13">
        <v>11.300024887083772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ht="18" x14ac:dyDescent="0.35">
      <c r="A35" s="4">
        <v>34</v>
      </c>
      <c r="B35" s="4">
        <v>41.34</v>
      </c>
      <c r="E35" s="13"/>
      <c r="F35" s="13">
        <v>9</v>
      </c>
      <c r="G35" s="13">
        <v>40.478222966055611</v>
      </c>
      <c r="H35" s="13">
        <v>8.6817770339443854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ht="18" x14ac:dyDescent="0.35">
      <c r="A36" s="4">
        <v>35</v>
      </c>
      <c r="B36" s="4">
        <v>40.729999999999997</v>
      </c>
      <c r="E36" s="13"/>
      <c r="F36" s="13">
        <v>10</v>
      </c>
      <c r="G36" s="13">
        <v>40.566470819195004</v>
      </c>
      <c r="H36" s="13">
        <v>9.8135291808049985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8" x14ac:dyDescent="0.35">
      <c r="A37" s="4">
        <v>36</v>
      </c>
      <c r="B37" s="4">
        <v>46.73</v>
      </c>
      <c r="E37" s="13"/>
      <c r="F37" s="13">
        <v>11</v>
      </c>
      <c r="G37" s="13">
        <v>40.654718672334397</v>
      </c>
      <c r="H37" s="13">
        <v>7.0352813276656008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ht="18" x14ac:dyDescent="0.35">
      <c r="A38" s="4">
        <v>37</v>
      </c>
      <c r="B38" s="4">
        <v>45.16</v>
      </c>
      <c r="E38" s="13"/>
      <c r="F38" s="13">
        <v>12</v>
      </c>
      <c r="G38" s="13">
        <v>40.74296652547379</v>
      </c>
      <c r="H38" s="13">
        <v>3.6470334745262107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ht="18" x14ac:dyDescent="0.35">
      <c r="A39" s="4">
        <v>38</v>
      </c>
      <c r="B39" s="4">
        <v>45.48</v>
      </c>
      <c r="E39" s="13"/>
      <c r="F39" s="13">
        <v>13</v>
      </c>
      <c r="G39" s="13">
        <v>40.831214378613176</v>
      </c>
      <c r="H39" s="13">
        <v>7.8487856213868241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ht="18" x14ac:dyDescent="0.35">
      <c r="A40" s="4">
        <v>39</v>
      </c>
      <c r="B40" s="4">
        <v>45.57</v>
      </c>
      <c r="E40" s="13"/>
      <c r="F40" s="13">
        <v>14</v>
      </c>
      <c r="G40" s="13">
        <v>40.919462231752568</v>
      </c>
      <c r="H40" s="13">
        <v>7.9905377682474281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ht="18" x14ac:dyDescent="0.35">
      <c r="A41" s="4">
        <v>40</v>
      </c>
      <c r="B41" s="4">
        <v>45</v>
      </c>
      <c r="E41" s="13"/>
      <c r="F41" s="13">
        <v>15</v>
      </c>
      <c r="G41" s="13">
        <v>41.007710084891961</v>
      </c>
      <c r="H41" s="13">
        <v>10.77228991510804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ht="18" x14ac:dyDescent="0.35">
      <c r="A42" s="4">
        <v>41</v>
      </c>
      <c r="B42" s="4">
        <v>48.36</v>
      </c>
      <c r="E42" s="13"/>
      <c r="F42" s="13">
        <v>16</v>
      </c>
      <c r="G42" s="13">
        <v>41.095957938031347</v>
      </c>
      <c r="H42" s="13">
        <v>13.684042061968654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ht="18" x14ac:dyDescent="0.35">
      <c r="A43" s="4">
        <v>42</v>
      </c>
      <c r="B43" s="4">
        <v>46.82</v>
      </c>
      <c r="E43" s="13"/>
      <c r="F43" s="13">
        <v>17</v>
      </c>
      <c r="G43" s="13">
        <v>41.18420579117074</v>
      </c>
      <c r="H43" s="13">
        <v>14.955794208829261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ht="18" x14ac:dyDescent="0.35">
      <c r="A44" s="4">
        <v>43</v>
      </c>
      <c r="B44" s="4">
        <v>45.16</v>
      </c>
      <c r="E44" s="13"/>
      <c r="F44" s="13">
        <v>18</v>
      </c>
      <c r="G44" s="13">
        <v>41.272453644310133</v>
      </c>
      <c r="H44" s="13">
        <v>16.707546355689864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 ht="18" x14ac:dyDescent="0.35">
      <c r="A45" s="4">
        <v>44</v>
      </c>
      <c r="B45" s="4">
        <v>44.99</v>
      </c>
      <c r="E45" s="13"/>
      <c r="F45" s="13">
        <v>19</v>
      </c>
      <c r="G45" s="13">
        <v>41.360701497449526</v>
      </c>
      <c r="H45" s="13">
        <v>18.369298502550471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ht="18" x14ac:dyDescent="0.35">
      <c r="A46" s="4">
        <v>45</v>
      </c>
      <c r="B46" s="4">
        <v>45.98</v>
      </c>
      <c r="E46" s="13"/>
      <c r="F46" s="13">
        <v>20</v>
      </c>
      <c r="G46" s="13">
        <v>41.448949350588911</v>
      </c>
      <c r="H46" s="13">
        <v>18.561050649411087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ht="18" x14ac:dyDescent="0.35">
      <c r="A47" s="4">
        <v>46</v>
      </c>
      <c r="B47" s="4">
        <v>42.7</v>
      </c>
      <c r="E47" s="13"/>
      <c r="F47" s="13">
        <v>21</v>
      </c>
      <c r="G47" s="13">
        <v>41.537197203728304</v>
      </c>
      <c r="H47" s="13">
        <v>17.412802796271698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ht="18" x14ac:dyDescent="0.35">
      <c r="A48" s="4">
        <v>47</v>
      </c>
      <c r="B48" s="4">
        <v>40.619999999999997</v>
      </c>
      <c r="E48" s="13"/>
      <c r="F48" s="13">
        <v>22</v>
      </c>
      <c r="G48" s="13">
        <v>41.625445056867697</v>
      </c>
      <c r="H48" s="13">
        <v>16.5645549431323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ht="18" x14ac:dyDescent="0.35">
      <c r="A49" s="4">
        <v>48</v>
      </c>
      <c r="B49" s="4">
        <v>40.49</v>
      </c>
      <c r="E49" s="13"/>
      <c r="F49" s="13">
        <v>23</v>
      </c>
      <c r="G49" s="13">
        <v>41.713692910007083</v>
      </c>
      <c r="H49" s="13">
        <v>17.946307089992914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ht="18" x14ac:dyDescent="0.35">
      <c r="A50" s="4">
        <v>49</v>
      </c>
      <c r="B50" s="4">
        <v>40.4</v>
      </c>
      <c r="E50" s="13"/>
      <c r="F50" s="13">
        <v>24</v>
      </c>
      <c r="G50" s="13">
        <v>41.801940763146476</v>
      </c>
      <c r="H50" s="13">
        <v>18.268059236853524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ht="18" x14ac:dyDescent="0.35">
      <c r="A51" s="4">
        <v>50</v>
      </c>
      <c r="B51" s="4">
        <v>36.93</v>
      </c>
      <c r="E51" s="13"/>
      <c r="F51" s="13">
        <v>25</v>
      </c>
      <c r="G51" s="13">
        <v>41.890188616285869</v>
      </c>
      <c r="H51" s="13">
        <v>17.999811383714132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ht="18" x14ac:dyDescent="0.35">
      <c r="A52" s="4">
        <v>51</v>
      </c>
      <c r="B52" s="4">
        <v>35.78</v>
      </c>
      <c r="E52" s="13"/>
      <c r="F52" s="13">
        <v>26</v>
      </c>
      <c r="G52" s="13">
        <v>41.978436469425262</v>
      </c>
      <c r="H52" s="13">
        <v>18.031563530574736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ht="18" x14ac:dyDescent="0.35">
      <c r="A53" s="4">
        <v>52</v>
      </c>
      <c r="B53" s="4">
        <v>36.26</v>
      </c>
      <c r="E53" s="13"/>
      <c r="F53" s="13">
        <v>27</v>
      </c>
      <c r="G53" s="13">
        <v>42.066684322564647</v>
      </c>
      <c r="H53" s="13">
        <v>15.853315677435354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ht="18" x14ac:dyDescent="0.35">
      <c r="A54" s="4">
        <v>53</v>
      </c>
      <c r="B54" s="4">
        <v>36.99</v>
      </c>
      <c r="E54" s="13"/>
      <c r="F54" s="13">
        <v>28</v>
      </c>
      <c r="G54" s="13">
        <v>42.15493217570404</v>
      </c>
      <c r="H54" s="13">
        <v>10.225067824295962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ht="18" x14ac:dyDescent="0.35">
      <c r="A55" s="4">
        <v>54</v>
      </c>
      <c r="B55" s="4">
        <v>34.65</v>
      </c>
      <c r="E55" s="13"/>
      <c r="F55" s="13">
        <v>29</v>
      </c>
      <c r="G55" s="13">
        <v>42.243180028843433</v>
      </c>
      <c r="H55" s="13">
        <v>9.4368199711565666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ht="18" x14ac:dyDescent="0.35">
      <c r="A56" s="4">
        <v>55</v>
      </c>
      <c r="B56" s="4">
        <v>30.59</v>
      </c>
      <c r="E56" s="13"/>
      <c r="F56" s="13">
        <v>30</v>
      </c>
      <c r="G56" s="13">
        <v>42.331427881982826</v>
      </c>
      <c r="H56" s="13">
        <v>6.8785721180171748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ht="18" x14ac:dyDescent="0.35">
      <c r="A57" s="4">
        <v>56</v>
      </c>
      <c r="B57" s="4">
        <v>29.19</v>
      </c>
      <c r="E57" s="13"/>
      <c r="F57" s="13">
        <v>31</v>
      </c>
      <c r="G57" s="13">
        <v>42.419675735122212</v>
      </c>
      <c r="H57" s="13">
        <v>5.4903242648777848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ht="18" x14ac:dyDescent="0.35">
      <c r="A58" s="4">
        <v>57</v>
      </c>
      <c r="B58" s="4">
        <v>31.81</v>
      </c>
      <c r="E58" s="13"/>
      <c r="F58" s="13">
        <v>32</v>
      </c>
      <c r="G58" s="13">
        <v>42.507923588261605</v>
      </c>
      <c r="H58" s="13">
        <v>2.4320764117383931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ht="18" x14ac:dyDescent="0.35">
      <c r="A59" s="4">
        <v>58</v>
      </c>
      <c r="B59" s="4">
        <v>31.26</v>
      </c>
      <c r="E59" s="13"/>
      <c r="F59" s="13">
        <v>33</v>
      </c>
      <c r="G59" s="13">
        <v>42.596171441400998</v>
      </c>
      <c r="H59" s="13">
        <v>0.60382855859900531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ht="18" x14ac:dyDescent="0.35">
      <c r="A60" s="4">
        <v>59</v>
      </c>
      <c r="B60" s="4">
        <v>28.14</v>
      </c>
      <c r="E60" s="13"/>
      <c r="F60" s="13">
        <v>34</v>
      </c>
      <c r="G60" s="13">
        <v>42.684419294540383</v>
      </c>
      <c r="H60" s="13">
        <v>-1.3444192945403799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ht="18" x14ac:dyDescent="0.35">
      <c r="A61" s="4">
        <v>60</v>
      </c>
      <c r="B61" s="4">
        <v>30.02</v>
      </c>
      <c r="E61" s="13"/>
      <c r="F61" s="13">
        <v>35</v>
      </c>
      <c r="G61" s="13">
        <v>42.772667147679776</v>
      </c>
      <c r="H61" s="13">
        <v>-2.0426671476797793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ht="18" x14ac:dyDescent="0.35">
      <c r="A62" s="4">
        <v>61</v>
      </c>
      <c r="B62" s="4">
        <v>31.32</v>
      </c>
      <c r="E62" s="13"/>
      <c r="F62" s="13">
        <v>36</v>
      </c>
      <c r="G62" s="13">
        <v>42.860915000819169</v>
      </c>
      <c r="H62" s="13">
        <v>3.8690849991808278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18" x14ac:dyDescent="0.35">
      <c r="A63" s="4">
        <v>62</v>
      </c>
      <c r="B63" s="4">
        <v>34.43</v>
      </c>
      <c r="E63" s="13"/>
      <c r="F63" s="13">
        <v>37</v>
      </c>
      <c r="G63" s="13">
        <v>42.949162853958562</v>
      </c>
      <c r="H63" s="13">
        <v>2.2108371460414347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18" x14ac:dyDescent="0.35">
      <c r="A64" s="4">
        <v>63</v>
      </c>
      <c r="B64" s="4">
        <v>37.69</v>
      </c>
      <c r="E64" s="13"/>
      <c r="F64" s="13">
        <v>38</v>
      </c>
      <c r="G64" s="13">
        <v>43.037410707097948</v>
      </c>
      <c r="H64" s="13">
        <v>2.4425892929020492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 ht="18" x14ac:dyDescent="0.35">
      <c r="A65" s="4">
        <v>64</v>
      </c>
      <c r="B65" s="4">
        <v>38.32</v>
      </c>
      <c r="E65" s="13"/>
      <c r="F65" s="13">
        <v>39</v>
      </c>
      <c r="G65" s="13">
        <v>43.125658560237341</v>
      </c>
      <c r="H65" s="13">
        <v>2.4443414397626597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 ht="18" x14ac:dyDescent="0.35">
      <c r="A66" s="4">
        <v>65</v>
      </c>
      <c r="B66" s="4">
        <v>39.450000000000003</v>
      </c>
      <c r="E66" s="13"/>
      <c r="F66" s="13">
        <v>40</v>
      </c>
      <c r="G66" s="13">
        <v>43.213906413376733</v>
      </c>
      <c r="H66" s="13">
        <v>1.7860935866232666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ht="18" x14ac:dyDescent="0.35">
      <c r="A67" s="4">
        <v>66</v>
      </c>
      <c r="B67" s="4">
        <v>36.82</v>
      </c>
      <c r="E67" s="13"/>
      <c r="F67" s="13">
        <v>41</v>
      </c>
      <c r="G67" s="13">
        <v>43.302154266516126</v>
      </c>
      <c r="H67" s="13">
        <v>5.0578457334838731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18" x14ac:dyDescent="0.35">
      <c r="A68" s="4">
        <v>67</v>
      </c>
      <c r="B68" s="4">
        <v>36.72</v>
      </c>
      <c r="E68" s="13"/>
      <c r="F68" s="13">
        <v>42</v>
      </c>
      <c r="G68" s="13">
        <v>43.390402119655512</v>
      </c>
      <c r="H68" s="13">
        <v>3.4295978803444882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ht="18" x14ac:dyDescent="0.35">
      <c r="A69" s="4">
        <v>68</v>
      </c>
      <c r="B69" s="4">
        <v>41.23</v>
      </c>
      <c r="E69" s="13"/>
      <c r="F69" s="13">
        <v>43</v>
      </c>
      <c r="G69" s="13">
        <v>43.478649972794905</v>
      </c>
      <c r="H69" s="13">
        <v>1.6813500272050916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ht="18" x14ac:dyDescent="0.35">
      <c r="A70" s="4">
        <v>69</v>
      </c>
      <c r="B70" s="4">
        <v>41.86</v>
      </c>
      <c r="E70" s="13"/>
      <c r="F70" s="13">
        <v>44</v>
      </c>
      <c r="G70" s="13">
        <v>43.566897825934298</v>
      </c>
      <c r="H70" s="13">
        <v>1.4231021740657042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 ht="18" x14ac:dyDescent="0.35">
      <c r="A71" s="4">
        <v>70</v>
      </c>
      <c r="B71" s="4">
        <v>44.3</v>
      </c>
      <c r="E71" s="13"/>
      <c r="F71" s="13">
        <v>45</v>
      </c>
      <c r="G71" s="13">
        <v>43.655145679073684</v>
      </c>
      <c r="H71" s="13">
        <v>2.3248543209263133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ht="18" x14ac:dyDescent="0.35">
      <c r="A72" s="4">
        <v>71</v>
      </c>
      <c r="B72" s="4">
        <v>44.22</v>
      </c>
      <c r="E72" s="13"/>
      <c r="F72" s="13">
        <v>46</v>
      </c>
      <c r="G72" s="13">
        <v>43.743393532213076</v>
      </c>
      <c r="H72" s="13">
        <v>-1.0433935322130736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ht="18" x14ac:dyDescent="0.35">
      <c r="A73" s="4">
        <v>72</v>
      </c>
      <c r="B73" s="4">
        <v>45.44</v>
      </c>
      <c r="E73" s="13"/>
      <c r="F73" s="13">
        <v>47</v>
      </c>
      <c r="G73" s="13">
        <v>43.831641385352469</v>
      </c>
      <c r="H73" s="13">
        <v>-3.2116413853524719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ht="18" x14ac:dyDescent="0.35">
      <c r="A74" s="4">
        <v>73</v>
      </c>
      <c r="B74" s="4">
        <v>47.99</v>
      </c>
      <c r="E74" s="13"/>
      <c r="F74" s="13">
        <v>48</v>
      </c>
      <c r="G74" s="13">
        <v>43.919889238491862</v>
      </c>
      <c r="H74" s="13">
        <v>-3.4298892384918602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18" x14ac:dyDescent="0.35">
      <c r="A75" s="4">
        <v>74</v>
      </c>
      <c r="B75" s="4">
        <v>48.72</v>
      </c>
      <c r="E75" s="13"/>
      <c r="F75" s="13">
        <v>49</v>
      </c>
      <c r="G75" s="13">
        <v>44.008137091631248</v>
      </c>
      <c r="H75" s="13">
        <v>-3.6081370916312494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ht="18" x14ac:dyDescent="0.35">
      <c r="A76" s="4">
        <v>75</v>
      </c>
      <c r="B76" s="4">
        <v>49</v>
      </c>
      <c r="E76" s="13"/>
      <c r="F76" s="13">
        <v>50</v>
      </c>
      <c r="G76" s="13">
        <v>44.096384944770641</v>
      </c>
      <c r="H76" s="13">
        <v>-7.1663849447706411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ht="18" x14ac:dyDescent="0.35">
      <c r="A77" s="4">
        <v>76</v>
      </c>
      <c r="B77" s="4">
        <v>50.18</v>
      </c>
      <c r="E77" s="13"/>
      <c r="F77" s="13">
        <v>51</v>
      </c>
      <c r="G77" s="13">
        <v>44.184632797910034</v>
      </c>
      <c r="H77" s="13">
        <v>-8.4046327979100326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18" x14ac:dyDescent="0.35">
      <c r="A78" s="4">
        <v>77</v>
      </c>
      <c r="B78" s="4">
        <v>47.89</v>
      </c>
      <c r="E78" s="13"/>
      <c r="F78" s="13">
        <v>52</v>
      </c>
      <c r="G78" s="13">
        <v>44.272880651049419</v>
      </c>
      <c r="H78" s="13">
        <v>-8.0128806510494215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18" x14ac:dyDescent="0.35">
      <c r="A79" s="4">
        <v>78</v>
      </c>
      <c r="B79" s="4">
        <v>48.71</v>
      </c>
      <c r="E79" s="13"/>
      <c r="F79" s="13">
        <v>53</v>
      </c>
      <c r="G79" s="13">
        <v>44.361128504188812</v>
      </c>
      <c r="H79" s="13">
        <v>-7.3711285041888104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18" x14ac:dyDescent="0.35">
      <c r="A80" s="4">
        <v>79</v>
      </c>
      <c r="B80" s="4">
        <v>48.17</v>
      </c>
      <c r="E80" s="13"/>
      <c r="F80" s="13">
        <v>54</v>
      </c>
      <c r="G80" s="13">
        <v>44.449376357328205</v>
      </c>
      <c r="H80" s="13">
        <v>-9.7993763573282067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18" x14ac:dyDescent="0.35">
      <c r="A81" s="4">
        <v>80</v>
      </c>
      <c r="B81" s="4">
        <v>46.17</v>
      </c>
      <c r="E81" s="13"/>
      <c r="F81" s="13">
        <v>55</v>
      </c>
      <c r="G81" s="13">
        <v>44.537624210467598</v>
      </c>
      <c r="H81" s="13">
        <v>-13.947624210467598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18" x14ac:dyDescent="0.35">
      <c r="A82" s="4">
        <v>81</v>
      </c>
      <c r="B82" s="4">
        <v>45.6</v>
      </c>
      <c r="E82" s="13"/>
      <c r="F82" s="13">
        <v>56</v>
      </c>
      <c r="G82" s="13">
        <v>44.625872063606984</v>
      </c>
      <c r="H82" s="13">
        <v>-15.435872063606983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18" x14ac:dyDescent="0.35">
      <c r="A83" s="4">
        <v>82</v>
      </c>
      <c r="B83" s="4">
        <v>44.44</v>
      </c>
      <c r="E83" s="13"/>
      <c r="F83" s="13">
        <v>57</v>
      </c>
      <c r="G83" s="13">
        <v>44.714119916746377</v>
      </c>
      <c r="H83" s="13">
        <v>-12.904119916746378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8" x14ac:dyDescent="0.35">
      <c r="A84" s="4">
        <v>83</v>
      </c>
      <c r="B84" s="4">
        <v>41.83</v>
      </c>
      <c r="E84" s="13"/>
      <c r="F84" s="13">
        <v>58</v>
      </c>
      <c r="G84" s="13">
        <v>44.80236776988577</v>
      </c>
      <c r="H84" s="13">
        <v>-13.542367769885768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8" x14ac:dyDescent="0.35">
      <c r="A85" s="4">
        <v>84</v>
      </c>
      <c r="B85" s="4">
        <v>40.82</v>
      </c>
      <c r="E85" s="13"/>
      <c r="F85" s="13">
        <v>59</v>
      </c>
      <c r="G85" s="13">
        <v>44.890615623025155</v>
      </c>
      <c r="H85" s="13">
        <v>-16.750615623025155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18" x14ac:dyDescent="0.35">
      <c r="A86" s="4">
        <v>85</v>
      </c>
      <c r="B86" s="4">
        <v>43.11</v>
      </c>
      <c r="E86" s="13"/>
      <c r="F86" s="13">
        <v>60</v>
      </c>
      <c r="G86" s="13">
        <v>44.978863476164548</v>
      </c>
      <c r="H86" s="13">
        <v>-14.958863476164549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18" x14ac:dyDescent="0.35">
      <c r="A87" s="4">
        <v>86</v>
      </c>
      <c r="B87" s="4">
        <v>47.16</v>
      </c>
      <c r="E87" s="13"/>
      <c r="F87" s="13">
        <v>61</v>
      </c>
      <c r="G87" s="13">
        <v>45.067111329303941</v>
      </c>
      <c r="H87" s="13">
        <v>-13.747111329303941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18" x14ac:dyDescent="0.35">
      <c r="A88" s="4">
        <v>87</v>
      </c>
      <c r="B88" s="4">
        <v>47.05</v>
      </c>
      <c r="E88" s="13"/>
      <c r="F88" s="13">
        <v>62</v>
      </c>
      <c r="G88" s="13">
        <v>45.155359182443334</v>
      </c>
      <c r="H88" s="13">
        <v>-10.725359182443334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18" x14ac:dyDescent="0.35">
      <c r="A89" s="4">
        <v>88</v>
      </c>
      <c r="B89" s="4">
        <v>45.11</v>
      </c>
      <c r="E89" s="13"/>
      <c r="F89" s="13">
        <v>63</v>
      </c>
      <c r="G89" s="13">
        <v>45.24360703558272</v>
      </c>
      <c r="H89" s="13">
        <v>-7.5536070355827221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18" x14ac:dyDescent="0.35">
      <c r="A90" s="4">
        <v>89</v>
      </c>
      <c r="B90" s="4">
        <v>45.96</v>
      </c>
      <c r="E90" s="13"/>
      <c r="F90" s="13">
        <v>64</v>
      </c>
      <c r="G90" s="13">
        <v>45.331854888722113</v>
      </c>
      <c r="H90" s="13">
        <v>-7.0118548887221124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ht="18" x14ac:dyDescent="0.35">
      <c r="A91" s="4">
        <v>90</v>
      </c>
      <c r="B91" s="4">
        <v>44.34</v>
      </c>
      <c r="E91" s="13"/>
      <c r="F91" s="13">
        <v>65</v>
      </c>
      <c r="G91" s="13">
        <v>45.420102741861506</v>
      </c>
      <c r="H91" s="13">
        <v>-5.9701027418615027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 ht="18" x14ac:dyDescent="0.35">
      <c r="A92" s="4">
        <v>91</v>
      </c>
      <c r="B92" s="4">
        <v>44.59</v>
      </c>
      <c r="E92" s="13"/>
      <c r="F92" s="13">
        <v>66</v>
      </c>
      <c r="G92" s="13">
        <v>45.508350595000891</v>
      </c>
      <c r="H92" s="13">
        <v>-8.688350595000891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ht="18" x14ac:dyDescent="0.35">
      <c r="A93" s="4">
        <v>92</v>
      </c>
      <c r="B93" s="4">
        <v>46.55</v>
      </c>
      <c r="E93" s="13"/>
      <c r="F93" s="13">
        <v>67</v>
      </c>
      <c r="G93" s="13">
        <v>45.596598448140284</v>
      </c>
      <c r="H93" s="13">
        <v>-8.8765984481402853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18" x14ac:dyDescent="0.35">
      <c r="A94" s="4">
        <v>93</v>
      </c>
      <c r="B94" s="4">
        <v>49.48</v>
      </c>
      <c r="E94" s="13"/>
      <c r="F94" s="13">
        <v>68</v>
      </c>
      <c r="G94" s="13">
        <v>45.684846301279677</v>
      </c>
      <c r="H94" s="13">
        <v>-4.4548463012796802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8" x14ac:dyDescent="0.35">
      <c r="A95" s="4">
        <v>94</v>
      </c>
      <c r="B95" s="4">
        <v>50.29</v>
      </c>
      <c r="E95" s="13"/>
      <c r="F95" s="13">
        <v>69</v>
      </c>
      <c r="G95" s="13">
        <v>45.77309415441907</v>
      </c>
      <c r="H95" s="13">
        <v>-3.9130941544190705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ht="18" x14ac:dyDescent="0.35">
      <c r="A96" s="4">
        <v>95</v>
      </c>
      <c r="B96" s="4">
        <v>50.56</v>
      </c>
      <c r="E96" s="13"/>
      <c r="F96" s="13">
        <v>70</v>
      </c>
      <c r="G96" s="13">
        <v>45.861342007558456</v>
      </c>
      <c r="H96" s="13">
        <v>-1.5613420075584585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 ht="18" x14ac:dyDescent="0.35">
      <c r="A97" s="4">
        <v>96</v>
      </c>
      <c r="B97" s="4">
        <v>49.36</v>
      </c>
      <c r="E97" s="13"/>
      <c r="F97" s="13">
        <v>71</v>
      </c>
      <c r="G97" s="13">
        <v>45.949589860697849</v>
      </c>
      <c r="H97" s="13">
        <v>-1.7295898606978497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ht="18" x14ac:dyDescent="0.35">
      <c r="A98" s="4">
        <v>97</v>
      </c>
      <c r="B98" s="4">
        <v>45.51</v>
      </c>
      <c r="E98" s="13"/>
      <c r="F98" s="13">
        <v>72</v>
      </c>
      <c r="G98" s="13">
        <v>46.037837713837241</v>
      </c>
      <c r="H98" s="13">
        <v>-0.59783771383724371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18" x14ac:dyDescent="0.35">
      <c r="A99" s="4">
        <v>98</v>
      </c>
      <c r="B99" s="4">
        <v>44.61</v>
      </c>
      <c r="E99" s="13"/>
      <c r="F99" s="13">
        <v>73</v>
      </c>
      <c r="G99" s="13">
        <v>46.126085566976627</v>
      </c>
      <c r="H99" s="13">
        <v>1.8639144330233748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ht="18" x14ac:dyDescent="0.35">
      <c r="A100" s="4">
        <v>99</v>
      </c>
      <c r="B100" s="4">
        <v>45.15</v>
      </c>
      <c r="E100" s="13"/>
      <c r="F100" s="13">
        <v>74</v>
      </c>
      <c r="G100" s="13">
        <v>46.21433342011602</v>
      </c>
      <c r="H100" s="13">
        <v>2.5056665798839788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ht="18" x14ac:dyDescent="0.35">
      <c r="A101" s="4">
        <v>100</v>
      </c>
      <c r="B101" s="4">
        <v>47.25</v>
      </c>
      <c r="E101" s="13"/>
      <c r="F101" s="13">
        <v>75</v>
      </c>
      <c r="G101" s="13">
        <v>46.302581273255413</v>
      </c>
      <c r="H101" s="13">
        <v>2.697418726744587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18" x14ac:dyDescent="0.35">
      <c r="A102" s="4">
        <v>101</v>
      </c>
      <c r="B102" s="4">
        <v>48.63</v>
      </c>
      <c r="E102" s="13"/>
      <c r="F102" s="13">
        <v>76</v>
      </c>
      <c r="G102" s="13">
        <v>46.390829126394806</v>
      </c>
      <c r="H102" s="13">
        <v>3.7891708736051939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ht="18" x14ac:dyDescent="0.35">
      <c r="A103" s="4">
        <v>102</v>
      </c>
      <c r="B103" s="4">
        <v>50.97</v>
      </c>
      <c r="E103" s="13"/>
      <c r="F103" s="13">
        <v>77</v>
      </c>
      <c r="G103" s="13">
        <v>46.479076979534192</v>
      </c>
      <c r="H103" s="13">
        <v>1.410923020465809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 ht="18" x14ac:dyDescent="0.35">
      <c r="A104" s="4">
        <v>103</v>
      </c>
      <c r="B104" s="4">
        <v>51.91</v>
      </c>
      <c r="E104" s="13"/>
      <c r="F104" s="13">
        <v>78</v>
      </c>
      <c r="G104" s="13">
        <v>46.567324832673584</v>
      </c>
      <c r="H104" s="13">
        <v>2.1426751673264164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ht="18" x14ac:dyDescent="0.35">
      <c r="A105" s="4">
        <v>104</v>
      </c>
      <c r="B105" s="4">
        <v>51.95</v>
      </c>
      <c r="E105" s="13"/>
      <c r="F105" s="13">
        <v>79</v>
      </c>
      <c r="G105" s="13">
        <v>46.655572685812977</v>
      </c>
      <c r="H105" s="13">
        <v>1.5144273141870244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8" x14ac:dyDescent="0.35">
      <c r="A106" s="4">
        <v>105</v>
      </c>
      <c r="B106" s="4">
        <v>53.6</v>
      </c>
      <c r="E106" s="13"/>
      <c r="F106" s="13">
        <v>80</v>
      </c>
      <c r="G106" s="13">
        <v>46.743820538952363</v>
      </c>
      <c r="H106" s="13">
        <v>-0.5738205389523614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18" x14ac:dyDescent="0.35">
      <c r="A107" s="4">
        <v>106</v>
      </c>
      <c r="B107" s="4">
        <v>53.34</v>
      </c>
      <c r="E107" s="13"/>
      <c r="F107" s="13">
        <v>81</v>
      </c>
      <c r="G107" s="13">
        <v>46.832068392091756</v>
      </c>
      <c r="H107" s="13">
        <v>-1.2320683920917546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 ht="18" x14ac:dyDescent="0.35">
      <c r="A108" s="4">
        <v>107</v>
      </c>
      <c r="B108" s="4">
        <v>52.07</v>
      </c>
      <c r="E108" s="13"/>
      <c r="F108" s="13">
        <v>82</v>
      </c>
      <c r="G108" s="13">
        <v>46.920316245231149</v>
      </c>
      <c r="H108" s="13">
        <v>-2.4803162452311511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 ht="18" x14ac:dyDescent="0.35">
      <c r="A109" s="4">
        <v>108</v>
      </c>
      <c r="B109" s="4">
        <v>51.82</v>
      </c>
      <c r="E109" s="13"/>
      <c r="F109" s="13">
        <v>83</v>
      </c>
      <c r="G109" s="13">
        <v>47.008564098370542</v>
      </c>
      <c r="H109" s="13">
        <v>-5.1785640983705434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8" x14ac:dyDescent="0.35">
      <c r="A110" s="4">
        <v>109</v>
      </c>
      <c r="B110" s="4">
        <v>52.74</v>
      </c>
      <c r="E110" s="13"/>
      <c r="F110" s="13">
        <v>84</v>
      </c>
      <c r="G110" s="13">
        <v>47.096811951509927</v>
      </c>
      <c r="H110" s="13">
        <v>-6.2768119515099272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18" x14ac:dyDescent="0.35">
      <c r="A111" s="4">
        <v>110</v>
      </c>
      <c r="B111" s="4">
        <v>53.33</v>
      </c>
      <c r="E111" s="13"/>
      <c r="F111" s="13">
        <v>85</v>
      </c>
      <c r="G111" s="13">
        <v>47.18505980464932</v>
      </c>
      <c r="H111" s="13">
        <v>-4.0750598046493209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18" x14ac:dyDescent="0.35">
      <c r="A112" s="4">
        <v>111</v>
      </c>
      <c r="B112" s="4">
        <v>52.88</v>
      </c>
      <c r="E112" s="13"/>
      <c r="F112" s="13">
        <v>86</v>
      </c>
      <c r="G112" s="13">
        <v>47.273307657788713</v>
      </c>
      <c r="H112" s="13">
        <v>-0.11330765778871665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18" x14ac:dyDescent="0.35">
      <c r="A113" s="4">
        <v>112</v>
      </c>
      <c r="B113" s="4">
        <v>53.22</v>
      </c>
      <c r="E113" s="13"/>
      <c r="F113" s="13">
        <v>87</v>
      </c>
      <c r="G113" s="13">
        <v>47.361555510928099</v>
      </c>
      <c r="H113" s="13">
        <v>-0.31155551092810185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18" x14ac:dyDescent="0.35">
      <c r="A114" s="4">
        <v>113</v>
      </c>
      <c r="B114" s="4">
        <v>54.03</v>
      </c>
      <c r="E114" s="13"/>
      <c r="F114" s="13">
        <v>88</v>
      </c>
      <c r="G114" s="13">
        <v>47.449803364067492</v>
      </c>
      <c r="H114" s="13">
        <v>-2.3398033640674925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 ht="18" x14ac:dyDescent="0.35">
      <c r="A115" s="4">
        <v>114</v>
      </c>
      <c r="B115" s="4">
        <v>53.56</v>
      </c>
      <c r="E115" s="13"/>
      <c r="F115" s="13">
        <v>89</v>
      </c>
      <c r="G115" s="13">
        <v>47.538051217206885</v>
      </c>
      <c r="H115" s="13">
        <v>-1.5780512172068839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 ht="18" x14ac:dyDescent="0.35">
      <c r="A116" s="4">
        <v>115</v>
      </c>
      <c r="B116" s="4">
        <v>50.5</v>
      </c>
      <c r="E116" s="13"/>
      <c r="F116" s="13">
        <v>90</v>
      </c>
      <c r="G116" s="13">
        <v>47.626299070346278</v>
      </c>
      <c r="H116" s="13">
        <v>-3.2862990703462742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ht="18" x14ac:dyDescent="0.35">
      <c r="A117" s="4">
        <v>116</v>
      </c>
      <c r="B117" s="4">
        <v>48.03</v>
      </c>
      <c r="E117" s="13"/>
      <c r="F117" s="13">
        <v>91</v>
      </c>
      <c r="G117" s="13">
        <v>47.714546923485671</v>
      </c>
      <c r="H117" s="13">
        <v>-3.1245469234856671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ht="18" x14ac:dyDescent="0.35">
      <c r="A118" s="4">
        <v>117</v>
      </c>
      <c r="B118" s="4">
        <v>47.28</v>
      </c>
      <c r="E118" s="13"/>
      <c r="F118" s="13">
        <v>92</v>
      </c>
      <c r="G118" s="13">
        <v>47.802794776625056</v>
      </c>
      <c r="H118" s="13">
        <v>-1.2527947766250591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ht="18" x14ac:dyDescent="0.35">
      <c r="A119" s="4">
        <v>118</v>
      </c>
      <c r="B119" s="4">
        <v>49.14</v>
      </c>
      <c r="E119" s="13"/>
      <c r="F119" s="13">
        <v>93</v>
      </c>
      <c r="G119" s="13">
        <v>47.891042629764449</v>
      </c>
      <c r="H119" s="13">
        <v>1.5889573702355477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 ht="18" x14ac:dyDescent="0.35">
      <c r="A120" s="4">
        <v>119</v>
      </c>
      <c r="B120" s="4">
        <v>51.26</v>
      </c>
      <c r="E120" s="13"/>
      <c r="F120" s="13">
        <v>94</v>
      </c>
      <c r="G120" s="13">
        <v>47.979290482903835</v>
      </c>
      <c r="H120" s="13">
        <v>2.3107095170961642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 ht="18" x14ac:dyDescent="0.35">
      <c r="A121" s="4">
        <v>120</v>
      </c>
      <c r="B121" s="4">
        <v>53.19</v>
      </c>
      <c r="E121" s="13"/>
      <c r="F121" s="13">
        <v>95</v>
      </c>
      <c r="G121" s="13">
        <v>48.067538336043228</v>
      </c>
      <c r="H121" s="13">
        <v>2.4924616639567745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 ht="18" x14ac:dyDescent="0.35">
      <c r="A122" s="4">
        <v>121</v>
      </c>
      <c r="B122" s="4">
        <v>51.09</v>
      </c>
      <c r="E122" s="13"/>
      <c r="F122" s="13">
        <v>96</v>
      </c>
      <c r="G122" s="13">
        <v>48.155786189182621</v>
      </c>
      <c r="H122" s="13">
        <v>1.2042138108173788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ht="18" x14ac:dyDescent="0.35">
      <c r="A123" s="4">
        <v>122</v>
      </c>
      <c r="B123" s="4">
        <v>49.12</v>
      </c>
      <c r="E123" s="13"/>
      <c r="F123" s="13">
        <v>97</v>
      </c>
      <c r="G123" s="13">
        <v>48.244034042322014</v>
      </c>
      <c r="H123" s="13">
        <v>-2.7340340423220155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ht="18" x14ac:dyDescent="0.35">
      <c r="A124" s="4">
        <v>123</v>
      </c>
      <c r="B124" s="4">
        <v>47.21</v>
      </c>
      <c r="E124" s="13"/>
      <c r="F124" s="13">
        <v>98</v>
      </c>
      <c r="G124" s="13">
        <v>48.332281895461406</v>
      </c>
      <c r="H124" s="13">
        <v>-3.722281895461407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ht="18" x14ac:dyDescent="0.35">
      <c r="A125" s="4">
        <v>124</v>
      </c>
      <c r="B125" s="4">
        <v>47.04</v>
      </c>
      <c r="E125" s="13"/>
      <c r="F125" s="13">
        <v>99</v>
      </c>
      <c r="G125" s="13">
        <v>48.420529748600792</v>
      </c>
      <c r="H125" s="13">
        <v>-3.2705297486007936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ht="18" x14ac:dyDescent="0.35">
      <c r="A126" s="4">
        <v>125</v>
      </c>
      <c r="B126" s="4">
        <v>49.24</v>
      </c>
      <c r="E126" s="13"/>
      <c r="F126" s="13">
        <v>100</v>
      </c>
      <c r="G126" s="13">
        <v>48.508777601740185</v>
      </c>
      <c r="H126" s="13">
        <v>-1.258777601740185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 ht="18" x14ac:dyDescent="0.35">
      <c r="A127" s="4">
        <v>126</v>
      </c>
      <c r="B127" s="4">
        <v>50.21</v>
      </c>
      <c r="E127" s="13"/>
      <c r="F127" s="13">
        <v>101</v>
      </c>
      <c r="G127" s="13">
        <v>48.597025454879571</v>
      </c>
      <c r="H127" s="13">
        <v>3.2974545120431742E-2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 ht="18" x14ac:dyDescent="0.35">
      <c r="A128" s="4">
        <v>127</v>
      </c>
      <c r="B128" s="4">
        <v>48.48</v>
      </c>
      <c r="E128" s="13"/>
      <c r="F128" s="13">
        <v>102</v>
      </c>
      <c r="G128" s="13">
        <v>48.685273308018964</v>
      </c>
      <c r="H128" s="13">
        <v>2.2847266919810352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ht="18" x14ac:dyDescent="0.35">
      <c r="A129" s="4">
        <v>128</v>
      </c>
      <c r="B129" s="4">
        <v>46.57</v>
      </c>
      <c r="E129" s="13"/>
      <c r="F129" s="13">
        <v>103</v>
      </c>
      <c r="G129" s="13">
        <v>48.773521161158357</v>
      </c>
      <c r="H129" s="13">
        <v>3.13647883884164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ht="18" x14ac:dyDescent="0.35">
      <c r="A130" s="4">
        <v>129</v>
      </c>
      <c r="B130" s="4">
        <v>45.3</v>
      </c>
      <c r="E130" s="13"/>
      <c r="F130" s="13">
        <v>104</v>
      </c>
      <c r="G130" s="13">
        <v>48.861769014297749</v>
      </c>
      <c r="H130" s="13">
        <v>3.0882309857022534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18" x14ac:dyDescent="0.35">
      <c r="A131" s="4">
        <v>130</v>
      </c>
      <c r="B131" s="4">
        <v>43.09</v>
      </c>
      <c r="E131" s="13"/>
      <c r="F131" s="13">
        <v>105</v>
      </c>
      <c r="G131" s="13">
        <v>48.950016867437142</v>
      </c>
      <c r="H131" s="13">
        <v>4.6499831325628591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 ht="18" x14ac:dyDescent="0.35">
      <c r="A132" s="4">
        <v>131</v>
      </c>
      <c r="B132" s="4">
        <v>44.63</v>
      </c>
      <c r="E132" s="13"/>
      <c r="F132" s="13">
        <v>106</v>
      </c>
      <c r="G132" s="13">
        <v>49.038264720576528</v>
      </c>
      <c r="H132" s="13">
        <v>4.3017352794234753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 ht="18" x14ac:dyDescent="0.35">
      <c r="A133" s="4">
        <v>132</v>
      </c>
      <c r="B133" s="4">
        <v>44.96</v>
      </c>
      <c r="E133" s="13"/>
      <c r="F133" s="13">
        <v>107</v>
      </c>
      <c r="G133" s="13">
        <v>49.126512573715921</v>
      </c>
      <c r="H133" s="13">
        <v>2.9434874262840793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18" x14ac:dyDescent="0.35">
      <c r="A134" s="4">
        <v>133</v>
      </c>
      <c r="B134" s="4">
        <v>45.51</v>
      </c>
      <c r="E134" s="13"/>
      <c r="F134" s="13">
        <v>108</v>
      </c>
      <c r="G134" s="13">
        <v>49.214760426855307</v>
      </c>
      <c r="H134" s="13">
        <v>2.6052395731446936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18" x14ac:dyDescent="0.35">
      <c r="A135" s="4">
        <v>134</v>
      </c>
      <c r="B135" s="4">
        <v>46.41</v>
      </c>
      <c r="E135" s="13"/>
      <c r="F135" s="13">
        <v>109</v>
      </c>
      <c r="G135" s="13">
        <v>49.3030082799947</v>
      </c>
      <c r="H135" s="13">
        <v>3.4369917200053024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18" x14ac:dyDescent="0.35">
      <c r="A136" s="4">
        <v>135</v>
      </c>
      <c r="B136" s="4">
        <v>48.27</v>
      </c>
      <c r="E136" s="13"/>
      <c r="F136" s="13">
        <v>110</v>
      </c>
      <c r="G136" s="13">
        <v>49.391256133134092</v>
      </c>
      <c r="H136" s="13">
        <v>3.9387438668659058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ht="18" x14ac:dyDescent="0.35">
      <c r="A137" s="4">
        <v>136</v>
      </c>
      <c r="B137" s="4">
        <v>49.52</v>
      </c>
      <c r="E137" s="13"/>
      <c r="F137" s="13">
        <v>111</v>
      </c>
      <c r="G137" s="13">
        <v>49.479503986273485</v>
      </c>
      <c r="H137" s="13">
        <v>3.4004960137265172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 ht="18" x14ac:dyDescent="0.35">
      <c r="A138" s="4">
        <v>137</v>
      </c>
      <c r="B138" s="4">
        <v>49.08</v>
      </c>
      <c r="E138" s="13"/>
      <c r="F138" s="13">
        <v>112</v>
      </c>
      <c r="G138" s="13">
        <v>49.567751839412878</v>
      </c>
      <c r="H138" s="13">
        <v>3.6522481605871207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ht="18" x14ac:dyDescent="0.35">
      <c r="A139" s="4">
        <v>138</v>
      </c>
      <c r="B139" s="4">
        <v>47.52</v>
      </c>
      <c r="E139" s="13"/>
      <c r="F139" s="13">
        <v>113</v>
      </c>
      <c r="G139" s="13">
        <v>49.655999692552264</v>
      </c>
      <c r="H139" s="13">
        <v>4.3740003074477372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ht="18" x14ac:dyDescent="0.35">
      <c r="A140" s="4">
        <v>139</v>
      </c>
      <c r="B140" s="4">
        <v>47.68</v>
      </c>
      <c r="E140" s="13"/>
      <c r="F140" s="13">
        <v>114</v>
      </c>
      <c r="G140" s="13">
        <v>49.744247545691657</v>
      </c>
      <c r="H140" s="13">
        <v>3.8157524543083454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ht="18" x14ac:dyDescent="0.35">
      <c r="A141" s="4">
        <v>140</v>
      </c>
      <c r="B141" s="4">
        <v>46.68</v>
      </c>
      <c r="E141" s="13"/>
      <c r="F141" s="13">
        <v>115</v>
      </c>
      <c r="G141" s="13">
        <v>49.83249539883105</v>
      </c>
      <c r="H141" s="13">
        <v>0.66750460116895027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ht="18" x14ac:dyDescent="0.35">
      <c r="A142" s="4">
        <v>141</v>
      </c>
      <c r="B142" s="4">
        <v>48.58</v>
      </c>
      <c r="E142" s="13"/>
      <c r="F142" s="13">
        <v>116</v>
      </c>
      <c r="G142" s="13">
        <v>49.920743251970435</v>
      </c>
      <c r="H142" s="13">
        <v>-1.8907432519704344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 ht="18" x14ac:dyDescent="0.35">
      <c r="A143" s="4">
        <v>142</v>
      </c>
      <c r="B143" s="4">
        <v>49.07</v>
      </c>
      <c r="E143" s="13"/>
      <c r="F143" s="13">
        <v>117</v>
      </c>
      <c r="G143" s="13">
        <v>50.008991105109828</v>
      </c>
      <c r="H143" s="13">
        <v>-2.7289911051098272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 ht="18" x14ac:dyDescent="0.35">
      <c r="A144" s="4">
        <v>143</v>
      </c>
      <c r="B144" s="4">
        <v>50.12</v>
      </c>
      <c r="E144" s="13"/>
      <c r="F144" s="13">
        <v>118</v>
      </c>
      <c r="G144" s="13">
        <v>50.097238958249221</v>
      </c>
      <c r="H144" s="13">
        <v>-0.95723895824922067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 ht="18" x14ac:dyDescent="0.35">
      <c r="A145" s="4">
        <v>144</v>
      </c>
      <c r="B145" s="4">
        <v>51.77</v>
      </c>
      <c r="E145" s="13"/>
      <c r="F145" s="13">
        <v>119</v>
      </c>
      <c r="G145" s="13">
        <v>50.185486811388614</v>
      </c>
      <c r="H145" s="13">
        <v>1.0745131886113839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ht="18" x14ac:dyDescent="0.35">
      <c r="A146" s="4">
        <v>145</v>
      </c>
      <c r="B146" s="4">
        <v>50.23</v>
      </c>
      <c r="E146" s="13"/>
      <c r="F146" s="13">
        <v>120</v>
      </c>
      <c r="G146" s="13">
        <v>50.273734664528</v>
      </c>
      <c r="H146" s="13">
        <v>2.9162653354719978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ht="18" x14ac:dyDescent="0.35">
      <c r="A147" s="4">
        <v>146</v>
      </c>
      <c r="B147" s="4">
        <v>50.77</v>
      </c>
      <c r="E147" s="13"/>
      <c r="F147" s="13">
        <v>121</v>
      </c>
      <c r="G147" s="13">
        <v>50.361982517667393</v>
      </c>
      <c r="H147" s="13">
        <v>0.72801748233261065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 ht="18" x14ac:dyDescent="0.35">
      <c r="A148" s="4">
        <v>147</v>
      </c>
      <c r="B148" s="4">
        <v>51.74</v>
      </c>
      <c r="E148" s="13"/>
      <c r="F148" s="13">
        <v>122</v>
      </c>
      <c r="G148" s="13">
        <v>50.450230370806786</v>
      </c>
      <c r="H148" s="13">
        <v>-1.3302303708067882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 ht="18" x14ac:dyDescent="0.35">
      <c r="A149" s="4">
        <v>148</v>
      </c>
      <c r="B149" s="4">
        <v>52.51</v>
      </c>
      <c r="E149" s="13"/>
      <c r="F149" s="13">
        <v>123</v>
      </c>
      <c r="G149" s="13">
        <v>50.538478223946171</v>
      </c>
      <c r="H149" s="13">
        <v>-3.3284782239461705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 ht="18" x14ac:dyDescent="0.35">
      <c r="A150" s="4">
        <v>149</v>
      </c>
      <c r="B150" s="4">
        <v>54.59</v>
      </c>
      <c r="E150" s="13"/>
      <c r="F150" s="13">
        <v>124</v>
      </c>
      <c r="G150" s="13">
        <v>50.626726077085564</v>
      </c>
      <c r="H150" s="13">
        <v>-3.5867260770855651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 ht="18" x14ac:dyDescent="0.35">
      <c r="A151" s="4">
        <v>150</v>
      </c>
      <c r="B151" s="4">
        <v>57.05</v>
      </c>
      <c r="E151" s="13"/>
      <c r="F151" s="13">
        <v>125</v>
      </c>
      <c r="G151" s="13">
        <v>50.714973930224957</v>
      </c>
      <c r="H151" s="13">
        <v>-1.4749739302249552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ht="18" x14ac:dyDescent="0.35">
      <c r="A152" s="4">
        <v>151</v>
      </c>
      <c r="B152" s="4">
        <v>55.81</v>
      </c>
      <c r="E152" s="13"/>
      <c r="F152" s="13">
        <v>126</v>
      </c>
      <c r="G152" s="13">
        <v>50.80322178336435</v>
      </c>
      <c r="H152" s="13">
        <v>-0.59322178336434916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 ht="18" x14ac:dyDescent="0.35">
      <c r="A153" s="4">
        <v>152</v>
      </c>
      <c r="B153" s="4">
        <v>57.47</v>
      </c>
      <c r="E153" s="13"/>
      <c r="F153" s="13">
        <v>127</v>
      </c>
      <c r="G153" s="13">
        <v>50.891469636503736</v>
      </c>
      <c r="H153" s="13">
        <v>-2.4114696365037389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 ht="18" x14ac:dyDescent="0.35">
      <c r="A154" s="4">
        <v>153</v>
      </c>
      <c r="B154" s="4">
        <v>57.81</v>
      </c>
      <c r="E154" s="13"/>
      <c r="F154" s="13">
        <v>128</v>
      </c>
      <c r="G154" s="13">
        <v>50.979717489643129</v>
      </c>
      <c r="H154" s="13">
        <v>-4.4097174896431284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ht="18" x14ac:dyDescent="0.35">
      <c r="A155" s="4">
        <v>154</v>
      </c>
      <c r="B155" s="4">
        <v>56.92</v>
      </c>
      <c r="E155" s="13"/>
      <c r="F155" s="13">
        <v>129</v>
      </c>
      <c r="G155" s="13">
        <v>51.067965342782522</v>
      </c>
      <c r="H155" s="13">
        <v>-5.7679653427825244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ht="18" x14ac:dyDescent="0.35">
      <c r="A156" s="4">
        <v>155</v>
      </c>
      <c r="B156" s="4">
        <v>57.17</v>
      </c>
      <c r="E156" s="13"/>
      <c r="F156" s="13">
        <v>130</v>
      </c>
      <c r="G156" s="13">
        <v>51.156213195921907</v>
      </c>
      <c r="H156" s="13">
        <v>-8.0662131959219039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ht="18" x14ac:dyDescent="0.35">
      <c r="A157" s="4">
        <v>156</v>
      </c>
      <c r="B157" s="4">
        <v>57.87</v>
      </c>
      <c r="E157" s="13"/>
      <c r="F157" s="13">
        <v>131</v>
      </c>
      <c r="G157" s="13">
        <v>51.2444610490613</v>
      </c>
      <c r="H157" s="13">
        <v>-6.6144610490612976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 ht="18" x14ac:dyDescent="0.35">
      <c r="A158" s="4">
        <v>157</v>
      </c>
      <c r="B158" s="4">
        <v>59.88</v>
      </c>
      <c r="E158" s="13"/>
      <c r="F158" s="13">
        <v>132</v>
      </c>
      <c r="G158" s="13">
        <v>51.332708902200693</v>
      </c>
      <c r="H158" s="13">
        <v>-6.3727089022006922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ht="18" x14ac:dyDescent="0.35">
      <c r="A159" s="4">
        <v>158</v>
      </c>
      <c r="B159" s="4">
        <v>61.36</v>
      </c>
      <c r="E159" s="13"/>
      <c r="F159" s="13">
        <v>133</v>
      </c>
      <c r="G159" s="13">
        <v>51.420956755340086</v>
      </c>
      <c r="H159" s="13">
        <v>-5.9109567553400879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18" x14ac:dyDescent="0.35">
      <c r="A160" s="4">
        <v>159</v>
      </c>
      <c r="B160" s="4">
        <v>63.26</v>
      </c>
      <c r="E160" s="13"/>
      <c r="F160" s="13">
        <v>134</v>
      </c>
      <c r="G160" s="13">
        <v>51.509204608479472</v>
      </c>
      <c r="H160" s="13">
        <v>-5.0992046084794751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ht="18" x14ac:dyDescent="0.35">
      <c r="A161" s="4">
        <v>160</v>
      </c>
      <c r="B161" s="4">
        <v>63.77</v>
      </c>
      <c r="E161" s="13"/>
      <c r="F161" s="13">
        <v>135</v>
      </c>
      <c r="G161" s="13">
        <v>51.597452461618865</v>
      </c>
      <c r="H161" s="13">
        <v>-3.3274524616188614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ht="18" x14ac:dyDescent="0.35">
      <c r="A162" s="4">
        <v>161</v>
      </c>
      <c r="B162" s="4">
        <v>65.14</v>
      </c>
      <c r="E162" s="13"/>
      <c r="F162" s="13">
        <v>136</v>
      </c>
      <c r="G162" s="13">
        <v>51.685700314758257</v>
      </c>
      <c r="H162" s="13">
        <v>-2.1657003147582543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ht="18" x14ac:dyDescent="0.35">
      <c r="A163" s="4">
        <v>162</v>
      </c>
      <c r="B163" s="4">
        <v>65.319999999999993</v>
      </c>
      <c r="E163" s="13"/>
      <c r="F163" s="13">
        <v>137</v>
      </c>
      <c r="G163" s="13">
        <v>51.773948167897643</v>
      </c>
      <c r="H163" s="13">
        <v>-2.6939481678976449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ht="18" x14ac:dyDescent="0.35">
      <c r="A164" s="4">
        <v>163</v>
      </c>
      <c r="B164" s="4">
        <v>62.01</v>
      </c>
      <c r="E164" s="13"/>
      <c r="F164" s="13">
        <v>138</v>
      </c>
      <c r="G164" s="13">
        <v>51.862196021037036</v>
      </c>
      <c r="H164" s="13">
        <v>-4.3421960210370329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ht="18" x14ac:dyDescent="0.35">
      <c r="A165" s="4">
        <v>164</v>
      </c>
      <c r="B165" s="4">
        <v>60.56</v>
      </c>
      <c r="E165" s="13"/>
      <c r="F165" s="13">
        <v>139</v>
      </c>
      <c r="G165" s="13">
        <v>51.950443874176429</v>
      </c>
      <c r="H165" s="13">
        <v>-4.2704438741764292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ht="18" x14ac:dyDescent="0.35">
      <c r="A166" s="4">
        <v>165</v>
      </c>
      <c r="B166" s="4">
        <v>62.47</v>
      </c>
      <c r="E166" s="13"/>
      <c r="F166" s="13">
        <v>140</v>
      </c>
      <c r="G166" s="13">
        <v>52.038691727315822</v>
      </c>
      <c r="H166" s="13">
        <v>-5.3586917273158221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ht="18" x14ac:dyDescent="0.35">
      <c r="A167" s="4">
        <v>166</v>
      </c>
      <c r="B167" s="4">
        <v>62.07</v>
      </c>
      <c r="E167" s="13"/>
      <c r="F167" s="13">
        <v>141</v>
      </c>
      <c r="G167" s="13">
        <v>52.126939580455208</v>
      </c>
      <c r="H167" s="13">
        <v>-3.5469395804552093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 ht="18" x14ac:dyDescent="0.35">
      <c r="A168" s="4">
        <v>167</v>
      </c>
      <c r="B168" s="4">
        <v>61.65</v>
      </c>
      <c r="E168" s="13"/>
      <c r="F168" s="13">
        <v>142</v>
      </c>
      <c r="G168" s="13">
        <v>52.2151874335946</v>
      </c>
      <c r="H168" s="13">
        <v>-3.1451874335946002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 ht="18" x14ac:dyDescent="0.35">
      <c r="A169" s="4">
        <v>168</v>
      </c>
      <c r="B169" s="4">
        <v>61.28</v>
      </c>
      <c r="E169" s="13"/>
      <c r="F169" s="13">
        <v>143</v>
      </c>
      <c r="G169" s="13">
        <v>52.303435286733993</v>
      </c>
      <c r="H169" s="13">
        <v>-2.1834352867339959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 ht="18" x14ac:dyDescent="0.35">
      <c r="A170" s="4">
        <v>169</v>
      </c>
      <c r="B170" s="4">
        <v>64.11</v>
      </c>
      <c r="E170" s="13"/>
      <c r="F170" s="13">
        <v>144</v>
      </c>
      <c r="G170" s="13">
        <v>52.391683139873379</v>
      </c>
      <c r="H170" s="13">
        <v>-0.62168313987337598</v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 ht="18" x14ac:dyDescent="0.35">
      <c r="A171" s="4">
        <v>170</v>
      </c>
      <c r="B171" s="4">
        <v>64.97</v>
      </c>
      <c r="E171" s="13"/>
      <c r="F171" s="13">
        <v>145</v>
      </c>
      <c r="G171" s="13">
        <v>52.479930993012772</v>
      </c>
      <c r="H171" s="13">
        <v>-2.2499309930127751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 ht="18" x14ac:dyDescent="0.35">
      <c r="A172" s="4">
        <v>171</v>
      </c>
      <c r="B172" s="4">
        <v>63.07</v>
      </c>
      <c r="E172" s="13"/>
      <c r="F172" s="13">
        <v>146</v>
      </c>
      <c r="G172" s="13">
        <v>52.568178846152165</v>
      </c>
      <c r="H172" s="13">
        <v>-1.7981788461521617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 ht="18" x14ac:dyDescent="0.35">
      <c r="A173" s="4">
        <v>172</v>
      </c>
      <c r="B173" s="4">
        <v>66.02</v>
      </c>
      <c r="E173" s="13"/>
      <c r="F173" s="13">
        <v>147</v>
      </c>
      <c r="G173" s="13">
        <v>52.656426699291558</v>
      </c>
      <c r="H173" s="13">
        <v>-0.91642669929155574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 ht="18" x14ac:dyDescent="0.35">
      <c r="A174" s="4">
        <v>173</v>
      </c>
      <c r="B174" s="4">
        <v>67.55</v>
      </c>
      <c r="E174" s="13"/>
      <c r="F174" s="13">
        <v>148</v>
      </c>
      <c r="G174" s="13">
        <v>52.744674552430951</v>
      </c>
      <c r="H174" s="13">
        <v>-0.23467455243095259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 ht="18" x14ac:dyDescent="0.35">
      <c r="A175" s="4">
        <v>174</v>
      </c>
      <c r="B175" s="4">
        <v>67.91</v>
      </c>
      <c r="E175" s="13"/>
      <c r="F175" s="13">
        <v>149</v>
      </c>
      <c r="G175" s="13">
        <v>52.832922405570336</v>
      </c>
      <c r="H175" s="13">
        <v>1.757077594429667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 ht="18" x14ac:dyDescent="0.35">
      <c r="A176" s="4">
        <v>175</v>
      </c>
      <c r="B176" s="4">
        <v>68.38</v>
      </c>
      <c r="E176" s="13"/>
      <c r="F176" s="13">
        <v>150</v>
      </c>
      <c r="G176" s="13">
        <v>52.921170258709729</v>
      </c>
      <c r="H176" s="13">
        <v>4.1288297412902679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 ht="18" x14ac:dyDescent="0.35">
      <c r="A177" s="4">
        <v>176</v>
      </c>
      <c r="B177" s="4">
        <v>70.56</v>
      </c>
      <c r="E177" s="13"/>
      <c r="F177" s="13">
        <v>151</v>
      </c>
      <c r="G177" s="13">
        <v>53.009418111849115</v>
      </c>
      <c r="H177" s="13">
        <v>2.8005818881508873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 ht="18" x14ac:dyDescent="0.35">
      <c r="A178" s="4">
        <v>177</v>
      </c>
      <c r="B178" s="4">
        <v>71.3</v>
      </c>
      <c r="E178" s="13"/>
      <c r="F178" s="13">
        <v>152</v>
      </c>
      <c r="G178" s="13">
        <v>53.097665964988508</v>
      </c>
      <c r="H178" s="13">
        <v>4.372334035011491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 ht="18" x14ac:dyDescent="0.35">
      <c r="A179" s="4">
        <v>178</v>
      </c>
      <c r="B179" s="4">
        <v>70.98</v>
      </c>
      <c r="E179" s="13"/>
      <c r="F179" s="13">
        <v>153</v>
      </c>
      <c r="G179" s="13">
        <v>53.185913818127901</v>
      </c>
      <c r="H179" s="13">
        <v>4.6240861818721015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 ht="18" x14ac:dyDescent="0.35">
      <c r="A180" s="4">
        <v>179</v>
      </c>
      <c r="B180" s="4">
        <v>66.959999999999994</v>
      </c>
      <c r="E180" s="13"/>
      <c r="F180" s="13">
        <v>154</v>
      </c>
      <c r="G180" s="13">
        <v>53.274161671267294</v>
      </c>
      <c r="H180" s="13">
        <v>3.6458383287327081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ht="18" x14ac:dyDescent="0.35">
      <c r="A181" s="4">
        <v>180</v>
      </c>
      <c r="B181" s="4">
        <v>65.349999999999994</v>
      </c>
      <c r="E181" s="13"/>
      <c r="F181" s="13">
        <v>155</v>
      </c>
      <c r="G181" s="13">
        <v>53.362409524406687</v>
      </c>
      <c r="H181" s="13">
        <v>3.8075904755933152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ht="18" x14ac:dyDescent="0.35">
      <c r="A182" s="4">
        <v>181</v>
      </c>
      <c r="B182" s="4">
        <v>66.209999999999994</v>
      </c>
      <c r="E182" s="13"/>
      <c r="F182" s="13">
        <v>156</v>
      </c>
      <c r="G182" s="13">
        <v>53.450657377546072</v>
      </c>
      <c r="H182" s="13">
        <v>4.4193426224539252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 ht="18" x14ac:dyDescent="0.35">
      <c r="A183" s="4">
        <v>182</v>
      </c>
      <c r="B183" s="4">
        <v>66.319999999999993</v>
      </c>
      <c r="E183" s="13"/>
      <c r="F183" s="13">
        <v>157</v>
      </c>
      <c r="G183" s="13">
        <v>53.538905230685465</v>
      </c>
      <c r="H183" s="13">
        <v>6.3410947693145374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 ht="18" x14ac:dyDescent="0.35">
      <c r="A184" s="4">
        <v>183</v>
      </c>
      <c r="B184" s="4">
        <v>74.03</v>
      </c>
      <c r="E184" s="13"/>
      <c r="F184" s="13">
        <v>158</v>
      </c>
      <c r="G184" s="13">
        <v>53.627153083824851</v>
      </c>
      <c r="H184" s="13">
        <v>7.7328469161751485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 ht="18" x14ac:dyDescent="0.35">
      <c r="A185" s="4">
        <v>184</v>
      </c>
      <c r="B185" s="4">
        <v>73.73</v>
      </c>
      <c r="E185" s="13"/>
      <c r="F185" s="13">
        <v>159</v>
      </c>
      <c r="G185" s="13">
        <v>53.715400936964244</v>
      </c>
      <c r="H185" s="13">
        <v>9.5445990630357542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ht="18" x14ac:dyDescent="0.35">
      <c r="A186" s="4">
        <v>185</v>
      </c>
      <c r="B186" s="4">
        <v>71.959999999999994</v>
      </c>
      <c r="E186" s="13"/>
      <c r="F186" s="13">
        <v>160</v>
      </c>
      <c r="G186" s="13">
        <v>53.803648790103637</v>
      </c>
      <c r="H186" s="13">
        <v>9.9663512098963665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ht="18" x14ac:dyDescent="0.35">
      <c r="A187" s="4">
        <v>186</v>
      </c>
      <c r="B187" s="4">
        <v>68.95</v>
      </c>
      <c r="E187" s="13"/>
      <c r="F187" s="13">
        <v>161</v>
      </c>
      <c r="G187" s="13">
        <v>53.89189664324303</v>
      </c>
      <c r="H187" s="13">
        <v>11.248103356756971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ht="18" x14ac:dyDescent="0.35">
      <c r="A188" s="4">
        <v>187</v>
      </c>
      <c r="B188" s="4">
        <v>70.010000000000005</v>
      </c>
      <c r="E188" s="13"/>
      <c r="F188" s="13">
        <v>162</v>
      </c>
      <c r="G188" s="13">
        <v>53.980144496382422</v>
      </c>
      <c r="H188" s="13">
        <v>11.339855503617571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ht="18" x14ac:dyDescent="0.35">
      <c r="A189" s="4">
        <v>188</v>
      </c>
      <c r="B189" s="4">
        <v>69.459999999999994</v>
      </c>
      <c r="E189" s="13"/>
      <c r="F189" s="13">
        <v>163</v>
      </c>
      <c r="G189" s="13">
        <v>54.068392349521808</v>
      </c>
      <c r="H189" s="13">
        <v>7.9416076504781898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 ht="18" x14ac:dyDescent="0.35">
      <c r="A190" s="4">
        <v>189</v>
      </c>
      <c r="B190" s="4">
        <v>67.900000000000006</v>
      </c>
      <c r="E190" s="13"/>
      <c r="F190" s="13">
        <v>164</v>
      </c>
      <c r="G190" s="13">
        <v>54.156640202661201</v>
      </c>
      <c r="H190" s="13">
        <v>6.4033597973388012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 ht="18" x14ac:dyDescent="0.35">
      <c r="A191" s="4">
        <v>190</v>
      </c>
      <c r="B191" s="4">
        <v>66.150000000000006</v>
      </c>
      <c r="E191" s="13"/>
      <c r="F191" s="13">
        <v>165</v>
      </c>
      <c r="G191" s="13">
        <v>54.244888055800587</v>
      </c>
      <c r="H191" s="13">
        <v>8.2251119441994121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 ht="18" x14ac:dyDescent="0.35">
      <c r="A192" s="4">
        <v>191</v>
      </c>
      <c r="B192" s="4">
        <v>68.099999999999994</v>
      </c>
      <c r="E192" s="13"/>
      <c r="F192" s="13">
        <v>166</v>
      </c>
      <c r="G192" s="13">
        <v>54.33313590893998</v>
      </c>
      <c r="H192" s="13">
        <v>7.7368640910600206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 ht="18" x14ac:dyDescent="0.35">
      <c r="A193" s="4">
        <v>192</v>
      </c>
      <c r="B193" s="4">
        <v>69.66</v>
      </c>
      <c r="E193" s="13"/>
      <c r="F193" s="13">
        <v>167</v>
      </c>
      <c r="G193" s="13">
        <v>54.421383762079373</v>
      </c>
      <c r="H193" s="13">
        <v>7.228616237920626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 ht="18" x14ac:dyDescent="0.35">
      <c r="A194" s="4">
        <v>193</v>
      </c>
      <c r="B194" s="4">
        <v>68.510000000000005</v>
      </c>
      <c r="E194" s="13"/>
      <c r="F194" s="13">
        <v>168</v>
      </c>
      <c r="G194" s="13">
        <v>54.509631615218765</v>
      </c>
      <c r="H194" s="13">
        <v>6.7703683847812357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 ht="18" x14ac:dyDescent="0.35">
      <c r="A195" s="4">
        <v>194</v>
      </c>
      <c r="B195" s="4">
        <v>68.959999999999994</v>
      </c>
      <c r="E195" s="13"/>
      <c r="F195" s="13">
        <v>169</v>
      </c>
      <c r="G195" s="13">
        <v>54.597879468358158</v>
      </c>
      <c r="H195" s="13">
        <v>9.5121205316418411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 ht="18" x14ac:dyDescent="0.35">
      <c r="A196" s="4">
        <v>195</v>
      </c>
      <c r="B196" s="4">
        <v>70.28</v>
      </c>
      <c r="E196" s="13"/>
      <c r="F196" s="13">
        <v>170</v>
      </c>
      <c r="G196" s="13">
        <v>54.686127321497544</v>
      </c>
      <c r="H196" s="13">
        <v>10.283872678502455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 ht="18" x14ac:dyDescent="0.35">
      <c r="A197" s="4">
        <v>196</v>
      </c>
      <c r="B197" s="4">
        <v>72.84</v>
      </c>
      <c r="E197" s="13"/>
      <c r="F197" s="13">
        <v>171</v>
      </c>
      <c r="G197" s="13">
        <v>54.774375174636937</v>
      </c>
      <c r="H197" s="13">
        <v>8.2956248253630633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 ht="18" x14ac:dyDescent="0.35">
      <c r="A198" s="4">
        <v>197</v>
      </c>
      <c r="B198" s="4">
        <v>75.13</v>
      </c>
      <c r="E198" s="13"/>
      <c r="F198" s="13">
        <v>172</v>
      </c>
      <c r="G198" s="13">
        <v>54.862623027776323</v>
      </c>
      <c r="H198" s="13">
        <v>11.157376972223673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 ht="18" x14ac:dyDescent="0.35">
      <c r="A199" s="4">
        <v>198</v>
      </c>
      <c r="B199" s="4">
        <v>72.959999999999994</v>
      </c>
      <c r="E199" s="13"/>
      <c r="F199" s="13">
        <v>173</v>
      </c>
      <c r="G199" s="13">
        <v>54.950870880915716</v>
      </c>
      <c r="H199" s="13">
        <v>12.599129119084282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 ht="18" x14ac:dyDescent="0.35">
      <c r="A200" s="4">
        <v>199</v>
      </c>
      <c r="B200" s="4">
        <v>70.239999999999995</v>
      </c>
      <c r="E200" s="13"/>
      <c r="F200" s="13">
        <v>174</v>
      </c>
      <c r="G200" s="13">
        <v>55.039118734055108</v>
      </c>
      <c r="H200" s="13">
        <v>12.870881265944888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 ht="18" x14ac:dyDescent="0.35">
      <c r="A201" s="4">
        <v>200</v>
      </c>
      <c r="B201" s="4">
        <v>67.430000000000007</v>
      </c>
      <c r="E201" s="13"/>
      <c r="F201" s="13">
        <v>175</v>
      </c>
      <c r="G201" s="13">
        <v>55.127366587194501</v>
      </c>
      <c r="H201" s="13">
        <v>13.252633412805494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 ht="18" x14ac:dyDescent="0.35">
      <c r="A202" s="4">
        <v>201</v>
      </c>
      <c r="B202" s="4">
        <v>65.06</v>
      </c>
      <c r="E202" s="13"/>
      <c r="F202" s="13">
        <v>176</v>
      </c>
      <c r="G202" s="13">
        <v>55.215614440333894</v>
      </c>
      <c r="H202" s="13">
        <v>15.344385559666108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 ht="18" x14ac:dyDescent="0.35">
      <c r="A203" s="4">
        <v>202</v>
      </c>
      <c r="B203" s="4">
        <v>61.57</v>
      </c>
      <c r="E203" s="13"/>
      <c r="F203" s="13">
        <v>177</v>
      </c>
      <c r="G203" s="13">
        <v>55.30386229347328</v>
      </c>
      <c r="H203" s="13">
        <v>15.996137706526717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 ht="18" x14ac:dyDescent="0.35">
      <c r="A204" s="4">
        <v>203</v>
      </c>
      <c r="B204" s="4">
        <v>56.92</v>
      </c>
      <c r="E204" s="13"/>
      <c r="F204" s="13">
        <v>178</v>
      </c>
      <c r="G204" s="13">
        <v>55.392110146612673</v>
      </c>
      <c r="H204" s="13">
        <v>15.587889853387331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 ht="18" x14ac:dyDescent="0.35">
      <c r="A205" s="4">
        <v>204</v>
      </c>
      <c r="B205" s="4">
        <v>54.99</v>
      </c>
      <c r="E205" s="13"/>
      <c r="F205" s="13">
        <v>179</v>
      </c>
      <c r="G205" s="13">
        <v>55.480357999752066</v>
      </c>
      <c r="H205" s="13">
        <v>11.479642000247928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 ht="18" x14ac:dyDescent="0.35">
      <c r="A206" s="4">
        <v>205</v>
      </c>
      <c r="B206" s="4">
        <v>51.01</v>
      </c>
      <c r="E206" s="13"/>
      <c r="F206" s="13">
        <v>180</v>
      </c>
      <c r="G206" s="13">
        <v>55.568605852891451</v>
      </c>
      <c r="H206" s="13">
        <v>9.7813941471085428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 ht="18" x14ac:dyDescent="0.35">
      <c r="A207" s="4">
        <v>206</v>
      </c>
      <c r="B207" s="4">
        <v>52.63</v>
      </c>
      <c r="E207" s="13"/>
      <c r="F207" s="13">
        <v>181</v>
      </c>
      <c r="G207" s="13">
        <v>55.656853706030844</v>
      </c>
      <c r="H207" s="13">
        <v>10.553146293969149</v>
      </c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 ht="18" x14ac:dyDescent="0.35">
      <c r="A208" s="4">
        <v>207</v>
      </c>
      <c r="B208" s="4">
        <v>51.54</v>
      </c>
      <c r="E208" s="13"/>
      <c r="F208" s="13">
        <v>182</v>
      </c>
      <c r="G208" s="13">
        <v>55.745101559170237</v>
      </c>
      <c r="H208" s="13">
        <v>10.574898440829756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ht="18" x14ac:dyDescent="0.35">
      <c r="A209" s="4">
        <v>208</v>
      </c>
      <c r="B209" s="4">
        <v>46.98</v>
      </c>
      <c r="E209" s="13"/>
      <c r="F209" s="13">
        <v>183</v>
      </c>
      <c r="G209" s="13">
        <v>55.83334941230963</v>
      </c>
      <c r="H209" s="13">
        <v>18.196650587690371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 ht="18" x14ac:dyDescent="0.35">
      <c r="A210" s="4">
        <v>209</v>
      </c>
      <c r="B210" s="4">
        <v>45.22</v>
      </c>
      <c r="E210" s="13"/>
      <c r="F210" s="13">
        <v>184</v>
      </c>
      <c r="G210" s="13">
        <v>55.921597265449016</v>
      </c>
      <c r="H210" s="13">
        <v>17.808402734550988</v>
      </c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 ht="18" x14ac:dyDescent="0.35">
      <c r="A211" s="4">
        <v>210</v>
      </c>
      <c r="B211" s="4">
        <v>47</v>
      </c>
      <c r="E211" s="13"/>
      <c r="F211" s="13">
        <v>185</v>
      </c>
      <c r="G211" s="13">
        <v>56.009845118588409</v>
      </c>
      <c r="H211" s="13">
        <v>15.950154881411585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ht="18" x14ac:dyDescent="0.35">
      <c r="A212" s="4">
        <v>211</v>
      </c>
      <c r="B212" s="4">
        <v>50.78</v>
      </c>
      <c r="E212" s="13"/>
      <c r="F212" s="13">
        <v>186</v>
      </c>
      <c r="G212" s="13">
        <v>56.098092971727795</v>
      </c>
      <c r="H212" s="13">
        <v>12.851907028272208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ht="18" x14ac:dyDescent="0.35">
      <c r="A213" s="4">
        <v>212</v>
      </c>
      <c r="B213" s="4">
        <v>51.92</v>
      </c>
      <c r="E213" s="13"/>
      <c r="F213" s="13">
        <v>187</v>
      </c>
      <c r="G213" s="13">
        <v>56.186340824867187</v>
      </c>
      <c r="H213" s="13">
        <v>13.823659175132818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ht="18" x14ac:dyDescent="0.35">
      <c r="A214" s="4">
        <v>213</v>
      </c>
      <c r="B214" s="4">
        <v>52.88</v>
      </c>
      <c r="E214" s="13"/>
      <c r="F214" s="13">
        <v>188</v>
      </c>
      <c r="G214" s="13">
        <v>56.27458867800658</v>
      </c>
      <c r="H214" s="13">
        <v>13.185411321993413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 ht="18" x14ac:dyDescent="0.35">
      <c r="A215" s="4">
        <v>214</v>
      </c>
      <c r="B215" s="4">
        <v>53.63</v>
      </c>
      <c r="E215" s="13"/>
      <c r="F215" s="13">
        <v>189</v>
      </c>
      <c r="G215" s="13">
        <v>56.362836531145973</v>
      </c>
      <c r="H215" s="13">
        <v>11.537163468854033</v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 ht="18" x14ac:dyDescent="0.35">
      <c r="A216" s="4">
        <v>215</v>
      </c>
      <c r="B216" s="4">
        <v>53.53</v>
      </c>
      <c r="E216" s="13"/>
      <c r="F216" s="13">
        <v>190</v>
      </c>
      <c r="G216" s="13">
        <v>56.451084384285366</v>
      </c>
      <c r="H216" s="13">
        <v>9.6989156157146397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 ht="18" x14ac:dyDescent="0.35">
      <c r="A217" s="4">
        <v>216</v>
      </c>
      <c r="B217" s="4">
        <v>53.88</v>
      </c>
      <c r="E217" s="13"/>
      <c r="F217" s="13">
        <v>191</v>
      </c>
      <c r="G217" s="13">
        <v>56.539332237424759</v>
      </c>
      <c r="H217" s="13">
        <v>11.560667762575235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 ht="18" x14ac:dyDescent="0.35">
      <c r="A218" s="4">
        <v>217</v>
      </c>
      <c r="B218" s="4">
        <v>56.74</v>
      </c>
      <c r="E218" s="13"/>
      <c r="F218" s="13">
        <v>192</v>
      </c>
      <c r="G218" s="13">
        <v>56.627580090564145</v>
      </c>
      <c r="H218" s="13">
        <v>13.032419909435852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 ht="18" x14ac:dyDescent="0.35">
      <c r="A219" s="4">
        <v>218</v>
      </c>
      <c r="B219" s="4">
        <v>56.12</v>
      </c>
      <c r="E219" s="13"/>
      <c r="F219" s="13">
        <v>193</v>
      </c>
      <c r="G219" s="13">
        <v>56.71582794370353</v>
      </c>
      <c r="H219" s="13">
        <v>11.794172056296475</v>
      </c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 ht="18" x14ac:dyDescent="0.35">
      <c r="A220" s="4">
        <v>219</v>
      </c>
      <c r="B220" s="4">
        <v>56.35</v>
      </c>
      <c r="E220" s="13"/>
      <c r="F220" s="13">
        <v>194</v>
      </c>
      <c r="G220" s="13">
        <v>56.804075796842923</v>
      </c>
      <c r="H220" s="13">
        <v>12.15592420315707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 ht="18" x14ac:dyDescent="0.35">
      <c r="A221" s="4">
        <v>220</v>
      </c>
      <c r="B221" s="4">
        <v>57.81</v>
      </c>
      <c r="E221" s="13"/>
      <c r="F221" s="13">
        <v>195</v>
      </c>
      <c r="G221" s="13">
        <v>56.892323649982316</v>
      </c>
      <c r="H221" s="13">
        <v>13.387676350017685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 ht="18" x14ac:dyDescent="0.35">
      <c r="A222" s="4">
        <v>221</v>
      </c>
      <c r="B222" s="4">
        <v>59.44</v>
      </c>
      <c r="E222" s="13"/>
      <c r="F222" s="13">
        <v>196</v>
      </c>
      <c r="G222" s="13">
        <v>56.980571503121709</v>
      </c>
      <c r="H222" s="13">
        <v>15.859428496878294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 ht="18" x14ac:dyDescent="0.35">
      <c r="A223" s="4">
        <v>222</v>
      </c>
      <c r="B223" s="4">
        <v>59.49</v>
      </c>
      <c r="E223" s="13"/>
      <c r="F223" s="13">
        <v>197</v>
      </c>
      <c r="G223" s="13">
        <v>57.068819356261102</v>
      </c>
      <c r="H223" s="13">
        <v>18.061180643738894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 ht="18" x14ac:dyDescent="0.35">
      <c r="A224" s="4">
        <v>223</v>
      </c>
      <c r="B224" s="4">
        <v>62.36</v>
      </c>
      <c r="E224" s="13"/>
      <c r="F224" s="13">
        <v>198</v>
      </c>
      <c r="G224" s="13">
        <v>57.157067209400495</v>
      </c>
      <c r="H224" s="13">
        <v>15.802932790599499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 ht="18" x14ac:dyDescent="0.35">
      <c r="A225" s="4">
        <v>224</v>
      </c>
      <c r="B225" s="4">
        <v>64.099999999999994</v>
      </c>
      <c r="E225" s="13"/>
      <c r="F225" s="13">
        <v>199</v>
      </c>
      <c r="G225" s="13">
        <v>57.245315062539881</v>
      </c>
      <c r="H225" s="13">
        <v>12.994684937460114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 ht="18" x14ac:dyDescent="0.35">
      <c r="A226" s="4">
        <v>225</v>
      </c>
      <c r="B226" s="4">
        <v>63.8</v>
      </c>
      <c r="E226" s="13"/>
      <c r="F226" s="13">
        <v>200</v>
      </c>
      <c r="G226" s="13">
        <v>57.333562915679273</v>
      </c>
      <c r="H226" s="13">
        <v>10.096437084320733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 ht="18" x14ac:dyDescent="0.35">
      <c r="A227" s="4">
        <v>226</v>
      </c>
      <c r="B227" s="4">
        <v>65.28</v>
      </c>
      <c r="E227" s="13"/>
      <c r="F227" s="13">
        <v>201</v>
      </c>
      <c r="G227" s="13">
        <v>57.421810768818659</v>
      </c>
      <c r="H227" s="13">
        <v>7.6381892311813431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 ht="18" x14ac:dyDescent="0.35">
      <c r="A228" s="4">
        <v>227</v>
      </c>
      <c r="B228" s="4">
        <v>62.9</v>
      </c>
      <c r="E228" s="13"/>
      <c r="F228" s="13">
        <v>202</v>
      </c>
      <c r="G228" s="13">
        <v>57.510058621958052</v>
      </c>
      <c r="H228" s="13">
        <v>4.0599413780419482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 ht="18" x14ac:dyDescent="0.35">
      <c r="A229" s="4">
        <v>228</v>
      </c>
      <c r="B229" s="4">
        <v>61.81</v>
      </c>
      <c r="E229" s="13"/>
      <c r="F229" s="13">
        <v>203</v>
      </c>
      <c r="G229" s="13">
        <v>57.598306475097445</v>
      </c>
      <c r="H229" s="13">
        <v>-0.67830647509744324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 ht="18" x14ac:dyDescent="0.35">
      <c r="A230" s="4">
        <v>229</v>
      </c>
      <c r="B230" s="4">
        <v>62.1</v>
      </c>
      <c r="E230" s="13"/>
      <c r="F230" s="13">
        <v>204</v>
      </c>
      <c r="G230" s="13">
        <v>57.686554328236838</v>
      </c>
      <c r="H230" s="13">
        <v>-2.6965543282368358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 ht="18" x14ac:dyDescent="0.35">
      <c r="A231" s="4">
        <v>230</v>
      </c>
      <c r="B231" s="4">
        <v>60.72</v>
      </c>
      <c r="E231" s="13"/>
      <c r="F231" s="13">
        <v>205</v>
      </c>
      <c r="G231" s="13">
        <v>57.774802181376231</v>
      </c>
      <c r="H231" s="13">
        <v>-6.7648021813762327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 ht="18" x14ac:dyDescent="0.35">
      <c r="A232" s="4">
        <v>231</v>
      </c>
      <c r="B232" s="4">
        <v>56.93</v>
      </c>
      <c r="E232" s="13"/>
      <c r="F232" s="13">
        <v>206</v>
      </c>
      <c r="G232" s="13">
        <v>57.863050034515616</v>
      </c>
      <c r="H232" s="13">
        <v>-5.2330500345156139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 ht="18" x14ac:dyDescent="0.35">
      <c r="A233" s="4">
        <v>232</v>
      </c>
      <c r="B233" s="4">
        <v>52.97</v>
      </c>
      <c r="E233" s="13"/>
      <c r="F233" s="13">
        <v>207</v>
      </c>
      <c r="G233" s="13">
        <v>57.951297887655009</v>
      </c>
      <c r="H233" s="13">
        <v>-6.4112978876550102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ht="18" x14ac:dyDescent="0.35">
      <c r="A234" s="4">
        <v>233</v>
      </c>
      <c r="B234" s="4">
        <v>52.52</v>
      </c>
      <c r="E234" s="13"/>
      <c r="F234" s="13">
        <v>208</v>
      </c>
      <c r="G234" s="13">
        <v>58.039545740794395</v>
      </c>
      <c r="H234" s="13">
        <v>-11.059545740794398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ht="18" x14ac:dyDescent="0.35">
      <c r="A235" s="4">
        <v>234</v>
      </c>
      <c r="B235" s="4">
        <v>54.75</v>
      </c>
      <c r="E235" s="13"/>
      <c r="F235" s="13">
        <v>209</v>
      </c>
      <c r="G235" s="13">
        <v>58.127793593933788</v>
      </c>
      <c r="H235" s="13">
        <v>-12.907793593933789</v>
      </c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 ht="18" x14ac:dyDescent="0.35">
      <c r="A236" s="4">
        <v>235</v>
      </c>
      <c r="B236" s="4">
        <v>58.38</v>
      </c>
      <c r="E236" s="13"/>
      <c r="F236" s="13">
        <v>210</v>
      </c>
      <c r="G236" s="13">
        <v>58.216041447073181</v>
      </c>
      <c r="H236" s="13">
        <v>-11.216041447073181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 ht="18" x14ac:dyDescent="0.35">
      <c r="A237" s="4">
        <v>236</v>
      </c>
      <c r="B237" s="4">
        <v>57.32</v>
      </c>
      <c r="E237" s="13"/>
      <c r="F237" s="13">
        <v>211</v>
      </c>
      <c r="G237" s="13">
        <v>58.304289300212574</v>
      </c>
      <c r="H237" s="13">
        <v>-7.5242893002125726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ht="18" x14ac:dyDescent="0.35">
      <c r="A238" s="4">
        <v>237</v>
      </c>
      <c r="B238" s="4">
        <v>59.02</v>
      </c>
      <c r="E238" s="13"/>
      <c r="F238" s="13">
        <v>212</v>
      </c>
      <c r="G238" s="13">
        <v>58.392537153351967</v>
      </c>
      <c r="H238" s="13">
        <v>-6.4725371533519649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ht="18" x14ac:dyDescent="0.35">
      <c r="A239" s="4">
        <v>238</v>
      </c>
      <c r="B239" s="4">
        <v>56.74</v>
      </c>
      <c r="E239" s="13"/>
      <c r="F239" s="13">
        <v>213</v>
      </c>
      <c r="G239" s="13">
        <v>58.480785006491352</v>
      </c>
      <c r="H239" s="13">
        <v>-5.6007850064913498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 ht="18" x14ac:dyDescent="0.35">
      <c r="A240" s="4">
        <v>239</v>
      </c>
      <c r="B240" s="4">
        <v>56.05</v>
      </c>
      <c r="E240" s="13"/>
      <c r="F240" s="13">
        <v>214</v>
      </c>
      <c r="G240" s="13">
        <v>58.569032859630745</v>
      </c>
      <c r="H240" s="13">
        <v>-4.9390328596307427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 ht="18" x14ac:dyDescent="0.35">
      <c r="A241" s="4">
        <v>240</v>
      </c>
      <c r="B241" s="4">
        <v>56.55</v>
      </c>
      <c r="E241" s="13"/>
      <c r="F241" s="13">
        <v>215</v>
      </c>
      <c r="G241" s="13">
        <v>58.657280712770131</v>
      </c>
      <c r="H241" s="13">
        <v>-5.1272807127701299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 ht="18" x14ac:dyDescent="0.35">
      <c r="A242" s="4">
        <v>241</v>
      </c>
      <c r="B242" s="4">
        <v>53.28</v>
      </c>
      <c r="E242" s="13"/>
      <c r="F242" s="13">
        <v>216</v>
      </c>
      <c r="G242" s="13">
        <v>58.745528565909524</v>
      </c>
      <c r="H242" s="13">
        <v>-4.8655285659095213</v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 ht="18" x14ac:dyDescent="0.35">
      <c r="A243" s="4">
        <v>242</v>
      </c>
      <c r="B243" s="4">
        <v>55.31</v>
      </c>
      <c r="E243" s="13"/>
      <c r="F243" s="13">
        <v>217</v>
      </c>
      <c r="G243" s="13">
        <v>58.833776419048917</v>
      </c>
      <c r="H243" s="13">
        <v>-2.0937764190489148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 ht="18" x14ac:dyDescent="0.35">
      <c r="A244" s="4">
        <v>243</v>
      </c>
      <c r="B244" s="4">
        <v>55.5</v>
      </c>
      <c r="E244" s="13"/>
      <c r="F244" s="13">
        <v>218</v>
      </c>
      <c r="G244" s="13">
        <v>58.92202427218831</v>
      </c>
      <c r="H244" s="13">
        <v>-2.8020242721883122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 ht="18" x14ac:dyDescent="0.35">
      <c r="A245" s="4">
        <v>244</v>
      </c>
      <c r="B245" s="4">
        <v>55.21</v>
      </c>
      <c r="E245" s="13"/>
      <c r="F245" s="13">
        <v>219</v>
      </c>
      <c r="G245" s="13">
        <v>59.010272125327702</v>
      </c>
      <c r="H245" s="13">
        <v>-2.6602721253277011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 ht="18" x14ac:dyDescent="0.35">
      <c r="A246" s="4">
        <v>245</v>
      </c>
      <c r="B246" s="4">
        <v>55.73</v>
      </c>
      <c r="E246" s="13"/>
      <c r="F246" s="13">
        <v>220</v>
      </c>
      <c r="G246" s="13">
        <v>59.098519978467088</v>
      </c>
      <c r="H246" s="13">
        <v>-1.288519978467086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 ht="18" x14ac:dyDescent="0.35">
      <c r="A247" s="4">
        <v>246</v>
      </c>
      <c r="B247" s="4">
        <v>56.16</v>
      </c>
      <c r="E247" s="13"/>
      <c r="F247" s="13">
        <v>221</v>
      </c>
      <c r="G247" s="13">
        <v>59.186767831606481</v>
      </c>
      <c r="H247" s="13">
        <v>0.25323216839351659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 ht="18" x14ac:dyDescent="0.35">
      <c r="A248" s="4">
        <v>247</v>
      </c>
      <c r="B248" s="4">
        <v>59.33</v>
      </c>
      <c r="E248" s="13"/>
      <c r="F248" s="13">
        <v>222</v>
      </c>
      <c r="G248" s="13">
        <v>59.275015684745867</v>
      </c>
      <c r="H248" s="13">
        <v>0.21498431525413508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 ht="18" x14ac:dyDescent="0.35">
      <c r="A249" s="4">
        <v>248</v>
      </c>
      <c r="B249" s="4">
        <v>56.9</v>
      </c>
      <c r="E249" s="13"/>
      <c r="F249" s="13">
        <v>223</v>
      </c>
      <c r="G249" s="13">
        <v>59.36326353788526</v>
      </c>
      <c r="H249" s="13">
        <v>2.9967364621147397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 ht="18" x14ac:dyDescent="0.35">
      <c r="A250" s="4">
        <v>249</v>
      </c>
      <c r="B250" s="4">
        <v>53.12</v>
      </c>
      <c r="E250" s="13"/>
      <c r="F250" s="13">
        <v>224</v>
      </c>
      <c r="G250" s="13">
        <v>59.451511391024653</v>
      </c>
      <c r="H250" s="13">
        <v>4.6484886089753417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 ht="18" x14ac:dyDescent="0.35">
      <c r="A251" s="4">
        <v>250</v>
      </c>
      <c r="B251" s="4">
        <v>53.27</v>
      </c>
      <c r="E251" s="13"/>
      <c r="F251" s="13">
        <v>225</v>
      </c>
      <c r="G251" s="13">
        <v>59.539759244164046</v>
      </c>
      <c r="H251" s="13">
        <v>4.2602407558359516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 ht="18" x14ac:dyDescent="0.35">
      <c r="A252" s="4">
        <v>251</v>
      </c>
      <c r="B252" s="4">
        <v>53.49</v>
      </c>
      <c r="E252" s="13"/>
      <c r="F252" s="13">
        <v>226</v>
      </c>
      <c r="G252" s="13">
        <v>59.628007097303438</v>
      </c>
      <c r="H252" s="13">
        <v>5.6519929026965627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 ht="18" x14ac:dyDescent="0.35">
      <c r="A253" s="4">
        <v>252</v>
      </c>
      <c r="B253" s="4">
        <v>55.2</v>
      </c>
      <c r="E253" s="13"/>
      <c r="F253" s="13">
        <v>227</v>
      </c>
      <c r="G253" s="13">
        <v>59.716254950442824</v>
      </c>
      <c r="H253" s="13">
        <v>3.1837450495571744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 ht="18" x14ac:dyDescent="0.35">
      <c r="A254" s="4">
        <v>253</v>
      </c>
      <c r="B254" s="4">
        <v>55.17</v>
      </c>
      <c r="E254" s="13"/>
      <c r="F254" s="13">
        <v>228</v>
      </c>
      <c r="G254" s="13">
        <v>59.804502803582217</v>
      </c>
      <c r="H254" s="13">
        <v>2.0054971964177852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 ht="18" x14ac:dyDescent="0.35">
      <c r="A255" s="4">
        <v>254</v>
      </c>
      <c r="B255" s="4">
        <v>56.69</v>
      </c>
      <c r="E255" s="13"/>
      <c r="F255" s="13">
        <v>229</v>
      </c>
      <c r="G255" s="13">
        <v>59.892750656721603</v>
      </c>
      <c r="H255" s="13">
        <v>2.2072493432783986</v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 ht="18" x14ac:dyDescent="0.35">
      <c r="A256" s="4">
        <v>255</v>
      </c>
      <c r="B256" s="4">
        <v>56.85</v>
      </c>
      <c r="E256" s="13"/>
      <c r="F256" s="13">
        <v>230</v>
      </c>
      <c r="G256" s="13">
        <v>59.980998509860996</v>
      </c>
      <c r="H256" s="13">
        <v>0.73900149013900318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ht="18" x14ac:dyDescent="0.35">
      <c r="A257" s="4">
        <v>256</v>
      </c>
      <c r="B257" s="4">
        <v>56.9</v>
      </c>
      <c r="E257" s="13"/>
      <c r="F257" s="13">
        <v>231</v>
      </c>
      <c r="G257" s="13">
        <v>60.069246363000389</v>
      </c>
      <c r="H257" s="13">
        <v>-3.1392463630003888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 ht="18" x14ac:dyDescent="0.35">
      <c r="A258" s="4">
        <v>257</v>
      </c>
      <c r="B258" s="4">
        <v>58.07</v>
      </c>
      <c r="E258" s="13"/>
      <c r="F258" s="13">
        <v>232</v>
      </c>
      <c r="G258" s="13">
        <v>60.157494216139781</v>
      </c>
      <c r="H258" s="13">
        <v>-7.1874942161397826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 ht="18" x14ac:dyDescent="0.35">
      <c r="A259" s="4">
        <v>258</v>
      </c>
      <c r="B259" s="4">
        <v>57.64</v>
      </c>
      <c r="E259" s="13"/>
      <c r="F259" s="13">
        <v>233</v>
      </c>
      <c r="G259" s="13">
        <v>60.245742069279174</v>
      </c>
      <c r="H259" s="13">
        <v>-7.7257420692791712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ht="18" x14ac:dyDescent="0.35">
      <c r="A260" s="4">
        <v>259</v>
      </c>
      <c r="B260" s="4">
        <v>59.25</v>
      </c>
      <c r="E260" s="13"/>
      <c r="F260" s="13">
        <v>234</v>
      </c>
      <c r="G260" s="13">
        <v>60.33398992241856</v>
      </c>
      <c r="H260" s="13">
        <v>-5.5839899224185601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ht="18" x14ac:dyDescent="0.35">
      <c r="A261" s="4">
        <v>260</v>
      </c>
      <c r="B261" s="4">
        <v>60.75</v>
      </c>
      <c r="E261" s="13"/>
      <c r="F261" s="13">
        <v>235</v>
      </c>
      <c r="G261" s="13">
        <v>60.422237775557953</v>
      </c>
      <c r="H261" s="13">
        <v>-2.0422377755579504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ht="18" x14ac:dyDescent="0.35">
      <c r="A262" s="4">
        <v>261</v>
      </c>
      <c r="B262" s="4">
        <v>61.29</v>
      </c>
      <c r="E262" s="13"/>
      <c r="F262" s="13">
        <v>236</v>
      </c>
      <c r="G262" s="13">
        <v>60.510485628697339</v>
      </c>
      <c r="H262" s="13">
        <v>-3.1904856286973384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ht="18" x14ac:dyDescent="0.35">
      <c r="A263" s="4">
        <v>262</v>
      </c>
      <c r="B263" s="4">
        <v>62.09</v>
      </c>
      <c r="E263" s="13"/>
      <c r="F263" s="13">
        <v>237</v>
      </c>
      <c r="G263" s="13">
        <v>60.598733481836732</v>
      </c>
      <c r="H263" s="13">
        <v>-1.5787334818367285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ht="18" x14ac:dyDescent="0.35">
      <c r="A264" s="4">
        <v>263</v>
      </c>
      <c r="B264" s="4">
        <v>60.84</v>
      </c>
      <c r="E264" s="13"/>
      <c r="F264" s="13">
        <v>238</v>
      </c>
      <c r="G264" s="13">
        <v>60.686981334976124</v>
      </c>
      <c r="H264" s="13">
        <v>-3.9469813349761225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 ht="18" x14ac:dyDescent="0.35">
      <c r="A265" s="4">
        <v>264</v>
      </c>
      <c r="B265" s="4">
        <v>58.29</v>
      </c>
      <c r="E265" s="13"/>
      <c r="F265" s="13">
        <v>239</v>
      </c>
      <c r="G265" s="13">
        <v>60.775229188115517</v>
      </c>
      <c r="H265" s="13">
        <v>-4.7252291881155202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 ht="18" x14ac:dyDescent="0.35">
      <c r="A266" s="4">
        <v>265</v>
      </c>
      <c r="B266" s="4">
        <v>56.15</v>
      </c>
      <c r="E266" s="13"/>
      <c r="F266" s="13">
        <v>240</v>
      </c>
      <c r="G266" s="13">
        <v>60.86347704125491</v>
      </c>
      <c r="H266" s="13">
        <v>-4.313477041254913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 ht="18" x14ac:dyDescent="0.35">
      <c r="A267" s="4">
        <v>266</v>
      </c>
      <c r="B267" s="4">
        <v>52.7</v>
      </c>
      <c r="E267" s="13"/>
      <c r="F267" s="13">
        <v>241</v>
      </c>
      <c r="G267" s="13">
        <v>60.951724894394296</v>
      </c>
      <c r="H267" s="13">
        <v>-7.6717248943942948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 ht="18" x14ac:dyDescent="0.35">
      <c r="A268" s="4">
        <v>267</v>
      </c>
      <c r="B268" s="4">
        <v>50.36</v>
      </c>
      <c r="E268" s="13"/>
      <c r="F268" s="13">
        <v>242</v>
      </c>
      <c r="G268" s="13">
        <v>61.039972747533689</v>
      </c>
      <c r="H268" s="13">
        <v>-5.7299727475336866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 ht="18" x14ac:dyDescent="0.35">
      <c r="A269" s="4">
        <v>268</v>
      </c>
      <c r="B269" s="4">
        <v>50.83</v>
      </c>
      <c r="E269" s="13"/>
      <c r="F269" s="13">
        <v>243</v>
      </c>
      <c r="G269" s="13">
        <v>61.128220600673075</v>
      </c>
      <c r="H269" s="13">
        <v>-5.6282206006730746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 ht="18" x14ac:dyDescent="0.35">
      <c r="A270" s="4">
        <v>269</v>
      </c>
      <c r="B270" s="4">
        <v>53.14</v>
      </c>
      <c r="E270" s="13"/>
      <c r="F270" s="13">
        <v>244</v>
      </c>
      <c r="G270" s="13">
        <v>61.216468453812467</v>
      </c>
      <c r="H270" s="13">
        <v>-6.0064684538124666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 ht="18" x14ac:dyDescent="0.35">
      <c r="A271" s="4">
        <v>270</v>
      </c>
      <c r="B271" s="4">
        <v>48.36</v>
      </c>
      <c r="E271" s="13"/>
      <c r="F271" s="13">
        <v>245</v>
      </c>
      <c r="G271" s="13">
        <v>61.30471630695186</v>
      </c>
      <c r="H271" s="13">
        <v>-5.5747163069518635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 ht="18" x14ac:dyDescent="0.35">
      <c r="A272" s="4">
        <v>271</v>
      </c>
      <c r="B272" s="4">
        <v>45.57</v>
      </c>
      <c r="E272" s="13"/>
      <c r="F272" s="13">
        <v>246</v>
      </c>
      <c r="G272" s="13">
        <v>61.392964160091253</v>
      </c>
      <c r="H272" s="13">
        <v>-5.2329641600912566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 ht="18" x14ac:dyDescent="0.35">
      <c r="A273" s="4">
        <v>272</v>
      </c>
      <c r="B273" s="4">
        <v>32.39</v>
      </c>
      <c r="E273" s="13"/>
      <c r="F273" s="13">
        <v>247</v>
      </c>
      <c r="G273" s="13">
        <v>61.481212013230646</v>
      </c>
      <c r="H273" s="13">
        <v>-2.1512120132306478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 ht="18" x14ac:dyDescent="0.35">
      <c r="A274" s="4">
        <v>273</v>
      </c>
      <c r="B274" s="4">
        <v>24.19</v>
      </c>
      <c r="E274" s="13"/>
      <c r="F274" s="13">
        <v>248</v>
      </c>
      <c r="G274" s="13">
        <v>61.569459866370032</v>
      </c>
      <c r="H274" s="13">
        <v>-4.6694598663700333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 ht="18" x14ac:dyDescent="0.35">
      <c r="A275" s="4">
        <v>274</v>
      </c>
      <c r="B275" s="4">
        <v>19.440000000000001</v>
      </c>
      <c r="E275" s="13"/>
      <c r="F275" s="13">
        <v>249</v>
      </c>
      <c r="G275" s="13">
        <v>61.657707719509425</v>
      </c>
      <c r="H275" s="13">
        <v>-8.5377077195094273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 ht="18" x14ac:dyDescent="0.35">
      <c r="A276" s="4">
        <v>275</v>
      </c>
      <c r="B276" s="4">
        <v>21.69</v>
      </c>
      <c r="E276" s="13"/>
      <c r="F276" s="13">
        <v>250</v>
      </c>
      <c r="G276" s="13">
        <v>61.745955572648811</v>
      </c>
      <c r="H276" s="13">
        <v>-8.4759555726488074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 ht="18" x14ac:dyDescent="0.35">
      <c r="A277" s="4">
        <v>276</v>
      </c>
      <c r="B277" s="4">
        <v>24.41</v>
      </c>
      <c r="E277" s="13"/>
      <c r="F277" s="13">
        <v>251</v>
      </c>
      <c r="G277" s="13">
        <v>61.834203425788203</v>
      </c>
      <c r="H277" s="13">
        <v>-8.3442034257882014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 ht="18" x14ac:dyDescent="0.35">
      <c r="A278" s="4">
        <v>277</v>
      </c>
      <c r="B278" s="4">
        <v>20.12</v>
      </c>
      <c r="E278" s="13"/>
      <c r="F278" s="13">
        <v>252</v>
      </c>
      <c r="G278" s="13">
        <v>61.922451278927596</v>
      </c>
      <c r="H278" s="13">
        <v>-6.7224512789275934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 ht="18" x14ac:dyDescent="0.35">
      <c r="A279" s="4">
        <v>278</v>
      </c>
      <c r="B279" s="4">
        <v>3.32</v>
      </c>
      <c r="E279" s="13"/>
      <c r="F279" s="13">
        <v>253</v>
      </c>
      <c r="G279" s="13">
        <v>62.010699132066989</v>
      </c>
      <c r="H279" s="13">
        <v>-6.8406991320669874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 ht="18" x14ac:dyDescent="0.35">
      <c r="A280" s="4">
        <v>279</v>
      </c>
      <c r="B280" s="4">
        <v>15.71</v>
      </c>
      <c r="E280" s="13"/>
      <c r="F280" s="13">
        <v>254</v>
      </c>
      <c r="G280" s="13">
        <v>62.098946985206382</v>
      </c>
      <c r="H280" s="13">
        <v>-5.4089469852063843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 ht="18" x14ac:dyDescent="0.35">
      <c r="A281" s="4">
        <v>280</v>
      </c>
      <c r="B281" s="4">
        <v>23.46</v>
      </c>
      <c r="E281" s="13"/>
      <c r="F281" s="13">
        <v>255</v>
      </c>
      <c r="G281" s="13">
        <v>62.187194838345775</v>
      </c>
      <c r="H281" s="13">
        <v>-5.3371948383457735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ht="18" x14ac:dyDescent="0.35">
      <c r="A282" s="4">
        <v>281</v>
      </c>
      <c r="B282" s="4">
        <v>26.4</v>
      </c>
      <c r="E282" s="13"/>
      <c r="F282" s="13">
        <v>256</v>
      </c>
      <c r="G282" s="13">
        <v>62.275442691485161</v>
      </c>
      <c r="H282" s="13">
        <v>-5.3754426914851621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ht="18" x14ac:dyDescent="0.35">
      <c r="A283" s="4">
        <v>282</v>
      </c>
      <c r="B283" s="4">
        <v>33.1</v>
      </c>
      <c r="E283" s="13"/>
      <c r="F283" s="13">
        <v>257</v>
      </c>
      <c r="G283" s="13">
        <v>62.363690544624546</v>
      </c>
      <c r="H283" s="13">
        <v>-4.2936905446245461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 ht="18" x14ac:dyDescent="0.35">
      <c r="A284" s="4">
        <v>283</v>
      </c>
      <c r="B284" s="4">
        <v>34.19</v>
      </c>
      <c r="E284" s="13"/>
      <c r="F284" s="13">
        <v>258</v>
      </c>
      <c r="G284" s="13">
        <v>62.451938397763939</v>
      </c>
      <c r="H284" s="13">
        <v>-4.8119383977639387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 ht="18" x14ac:dyDescent="0.35">
      <c r="A285" s="4">
        <v>284</v>
      </c>
      <c r="B285" s="4">
        <v>37.32</v>
      </c>
      <c r="E285" s="13"/>
      <c r="F285" s="13">
        <v>259</v>
      </c>
      <c r="G285" s="13">
        <v>62.540186250903332</v>
      </c>
      <c r="H285" s="13">
        <v>-3.2901862509033322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 ht="18" x14ac:dyDescent="0.35">
      <c r="A286" s="4">
        <v>285</v>
      </c>
      <c r="B286" s="4">
        <v>37.869999999999997</v>
      </c>
      <c r="E286" s="13"/>
      <c r="F286" s="13">
        <v>260</v>
      </c>
      <c r="G286" s="13">
        <v>62.628434104042725</v>
      </c>
      <c r="H286" s="13">
        <v>-1.878434104042725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ht="18" x14ac:dyDescent="0.35">
      <c r="A287" s="4">
        <v>286</v>
      </c>
      <c r="B287" s="4">
        <v>38.35</v>
      </c>
      <c r="E287" s="13"/>
      <c r="F287" s="13">
        <v>261</v>
      </c>
      <c r="G287" s="13">
        <v>62.716681957182118</v>
      </c>
      <c r="H287" s="13">
        <v>-1.4266819571821188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ht="18" x14ac:dyDescent="0.35">
      <c r="A288" s="4">
        <v>287</v>
      </c>
      <c r="B288" s="4">
        <v>39.22</v>
      </c>
      <c r="E288" s="13"/>
      <c r="F288" s="13">
        <v>262</v>
      </c>
      <c r="G288" s="13">
        <v>62.804929810321511</v>
      </c>
      <c r="H288" s="13">
        <v>-0.71492981032150738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ht="18" x14ac:dyDescent="0.35">
      <c r="A289" s="4">
        <v>288</v>
      </c>
      <c r="B289" s="4">
        <v>39.85</v>
      </c>
      <c r="E289" s="13"/>
      <c r="F289" s="13">
        <v>263</v>
      </c>
      <c r="G289" s="13">
        <v>62.893177663460897</v>
      </c>
      <c r="H289" s="13">
        <v>-2.0531776634608931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 ht="18" x14ac:dyDescent="0.35">
      <c r="A290" s="4">
        <v>289</v>
      </c>
      <c r="B290" s="4">
        <v>40.44</v>
      </c>
      <c r="E290" s="13"/>
      <c r="F290" s="13">
        <v>264</v>
      </c>
      <c r="G290" s="13">
        <v>62.981425516600289</v>
      </c>
      <c r="H290" s="13">
        <v>-4.6914255166002903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 ht="18" x14ac:dyDescent="0.35">
      <c r="A291" s="4">
        <v>290</v>
      </c>
      <c r="B291" s="4">
        <v>40.57</v>
      </c>
      <c r="E291" s="13"/>
      <c r="F291" s="13">
        <v>265</v>
      </c>
      <c r="G291" s="13">
        <v>63.069673369739675</v>
      </c>
      <c r="H291" s="13">
        <v>-6.9196733697396766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 ht="18" x14ac:dyDescent="0.35">
      <c r="A292" s="4">
        <v>291</v>
      </c>
      <c r="B292" s="4">
        <v>41.34</v>
      </c>
      <c r="E292" s="13"/>
      <c r="F292" s="13">
        <v>266</v>
      </c>
      <c r="G292" s="13">
        <v>63.157921222879068</v>
      </c>
      <c r="H292" s="13">
        <v>-10.457921222879065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 ht="18" x14ac:dyDescent="0.35">
      <c r="A293" s="4">
        <v>292</v>
      </c>
      <c r="B293" s="4">
        <v>40.69</v>
      </c>
      <c r="E293" s="13"/>
      <c r="F293" s="13">
        <v>267</v>
      </c>
      <c r="G293" s="13">
        <v>63.246169076018461</v>
      </c>
      <c r="H293" s="13">
        <v>-12.886169076018462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 ht="18" x14ac:dyDescent="0.35">
      <c r="A294" s="4">
        <v>293</v>
      </c>
      <c r="B294" s="4">
        <v>41.57</v>
      </c>
      <c r="E294" s="13"/>
      <c r="F294" s="13">
        <v>268</v>
      </c>
      <c r="G294" s="13">
        <v>63.334416929157854</v>
      </c>
      <c r="H294" s="13">
        <v>-12.504416929157856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 ht="18" x14ac:dyDescent="0.35">
      <c r="A295" s="4">
        <v>294</v>
      </c>
      <c r="B295" s="4">
        <v>42.08</v>
      </c>
      <c r="E295" s="13"/>
      <c r="F295" s="13">
        <v>269</v>
      </c>
      <c r="G295" s="13">
        <v>63.422664782297247</v>
      </c>
      <c r="H295" s="13">
        <v>-10.282664782297246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 ht="18" x14ac:dyDescent="0.35">
      <c r="A296" s="4">
        <v>295</v>
      </c>
      <c r="B296" s="4">
        <v>42.73</v>
      </c>
      <c r="E296" s="13"/>
      <c r="F296" s="13">
        <v>270</v>
      </c>
      <c r="G296" s="13">
        <v>63.510912635436632</v>
      </c>
      <c r="H296" s="13">
        <v>-15.150912635436633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 ht="18" x14ac:dyDescent="0.35">
      <c r="A297" s="4">
        <v>296</v>
      </c>
      <c r="B297" s="4">
        <v>42.93</v>
      </c>
      <c r="E297" s="13"/>
      <c r="F297" s="13">
        <v>271</v>
      </c>
      <c r="G297" s="13">
        <v>63.599160488576025</v>
      </c>
      <c r="H297" s="13">
        <v>-18.029160488576025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 ht="18" x14ac:dyDescent="0.35">
      <c r="A298" s="4">
        <v>297</v>
      </c>
      <c r="B298" s="4">
        <v>41.84</v>
      </c>
      <c r="E298" s="13"/>
      <c r="F298" s="13">
        <v>272</v>
      </c>
      <c r="G298" s="13">
        <v>63.687408341715411</v>
      </c>
      <c r="H298" s="13">
        <v>-31.297408341715411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 ht="18" x14ac:dyDescent="0.35">
      <c r="A299" s="4">
        <v>298</v>
      </c>
      <c r="B299" s="4">
        <v>37.380000000000003</v>
      </c>
      <c r="E299" s="13"/>
      <c r="F299" s="13">
        <v>273</v>
      </c>
      <c r="G299" s="13">
        <v>63.775656194854804</v>
      </c>
      <c r="H299" s="13">
        <v>-39.585656194854806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 ht="18" x14ac:dyDescent="0.35">
      <c r="A300" s="4">
        <v>299</v>
      </c>
      <c r="B300" s="4">
        <v>39.549999999999997</v>
      </c>
      <c r="E300" s="13"/>
      <c r="F300" s="13">
        <v>274</v>
      </c>
      <c r="G300" s="13">
        <v>63.863904047994197</v>
      </c>
      <c r="H300" s="13">
        <v>-44.423904047994199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 ht="18" x14ac:dyDescent="0.35">
      <c r="A301" s="4">
        <v>300</v>
      </c>
      <c r="B301" s="4">
        <v>39.78</v>
      </c>
      <c r="E301" s="13"/>
      <c r="F301" s="13">
        <v>275</v>
      </c>
      <c r="G301" s="13">
        <v>63.95215190113359</v>
      </c>
      <c r="H301" s="13">
        <v>-42.262151901133592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 ht="18" x14ac:dyDescent="0.35">
      <c r="A302" s="4">
        <v>301</v>
      </c>
      <c r="B302" s="4">
        <v>38.99</v>
      </c>
      <c r="E302" s="13"/>
      <c r="F302" s="13">
        <v>276</v>
      </c>
      <c r="G302" s="13">
        <v>64.040399754272983</v>
      </c>
      <c r="H302" s="13">
        <v>-39.630399754272986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 ht="18" x14ac:dyDescent="0.35">
      <c r="A303" s="4">
        <v>302</v>
      </c>
      <c r="B303" s="4">
        <v>40.19</v>
      </c>
      <c r="E303" s="13"/>
      <c r="F303" s="13">
        <v>277</v>
      </c>
      <c r="G303" s="13">
        <v>64.128647607412375</v>
      </c>
      <c r="H303" s="13">
        <v>-44.008647607412371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 ht="18" x14ac:dyDescent="0.35">
      <c r="A304" s="4">
        <v>303</v>
      </c>
      <c r="B304" s="4">
        <v>40.33</v>
      </c>
      <c r="E304" s="13"/>
      <c r="F304" s="13">
        <v>278</v>
      </c>
      <c r="G304" s="13">
        <v>64.216895460551768</v>
      </c>
      <c r="H304" s="13">
        <v>-60.896895460551768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1:19" ht="18" x14ac:dyDescent="0.35">
      <c r="A305" s="4">
        <v>304</v>
      </c>
      <c r="B305" s="4">
        <v>40.43</v>
      </c>
      <c r="E305" s="13"/>
      <c r="F305" s="13">
        <v>279</v>
      </c>
      <c r="G305" s="13">
        <v>64.305143313691147</v>
      </c>
      <c r="H305" s="13">
        <v>-48.595143313691146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1:19" ht="18" x14ac:dyDescent="0.35">
      <c r="A306" s="4">
        <v>305</v>
      </c>
      <c r="B306" s="4">
        <v>37.32</v>
      </c>
      <c r="E306" s="13"/>
      <c r="F306" s="13">
        <v>280</v>
      </c>
      <c r="G306" s="13">
        <v>64.39339116683054</v>
      </c>
      <c r="H306" s="13">
        <v>-40.933391166830539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 ht="18" x14ac:dyDescent="0.35">
      <c r="A307" s="4">
        <v>306</v>
      </c>
      <c r="B307" s="4">
        <v>37.71</v>
      </c>
      <c r="E307" s="13"/>
      <c r="F307" s="13">
        <v>281</v>
      </c>
      <c r="G307" s="13">
        <v>64.481639019969933</v>
      </c>
      <c r="H307" s="13">
        <v>-38.081639019969934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ht="18" x14ac:dyDescent="0.35">
      <c r="A308" s="4">
        <v>307</v>
      </c>
      <c r="B308" s="4">
        <v>40.659999999999997</v>
      </c>
      <c r="E308" s="13"/>
      <c r="F308" s="13">
        <v>282</v>
      </c>
      <c r="G308" s="13">
        <v>64.569886873109326</v>
      </c>
      <c r="H308" s="13">
        <v>-31.469886873109324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ht="18" x14ac:dyDescent="0.35">
      <c r="A309" s="4">
        <v>308</v>
      </c>
      <c r="B309" s="4">
        <v>41.52</v>
      </c>
      <c r="E309" s="13"/>
      <c r="F309" s="13">
        <v>283</v>
      </c>
      <c r="G309" s="13">
        <v>64.658134726248718</v>
      </c>
      <c r="H309" s="13">
        <v>-30.468134726248721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1:19" ht="18" x14ac:dyDescent="0.35">
      <c r="A310" s="4">
        <v>309</v>
      </c>
      <c r="B310" s="4">
        <v>44.4</v>
      </c>
      <c r="E310" s="13"/>
      <c r="F310" s="13">
        <v>284</v>
      </c>
      <c r="G310" s="13">
        <v>64.746382579388097</v>
      </c>
      <c r="H310" s="13">
        <v>-27.426382579388097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 ht="18" x14ac:dyDescent="0.35">
      <c r="A311" s="4">
        <v>310</v>
      </c>
      <c r="B311" s="4">
        <v>45.37</v>
      </c>
      <c r="E311" s="13"/>
      <c r="F311" s="13">
        <v>285</v>
      </c>
      <c r="G311" s="13">
        <v>64.83463043252749</v>
      </c>
      <c r="H311" s="13">
        <v>-26.964630432527493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ht="18" x14ac:dyDescent="0.35">
      <c r="A312" s="4">
        <v>311</v>
      </c>
      <c r="B312" s="4">
        <v>46.04</v>
      </c>
      <c r="E312" s="13"/>
      <c r="F312" s="13">
        <v>286</v>
      </c>
      <c r="G312" s="13">
        <v>64.922878285666883</v>
      </c>
      <c r="H312" s="13">
        <v>-26.572878285666881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ht="18" x14ac:dyDescent="0.35">
      <c r="A313" s="4">
        <v>312</v>
      </c>
      <c r="B313" s="4">
        <v>47.97</v>
      </c>
      <c r="E313" s="13"/>
      <c r="F313" s="13">
        <v>287</v>
      </c>
      <c r="G313" s="13">
        <v>65.011126138806276</v>
      </c>
      <c r="H313" s="13">
        <v>-25.791126138806277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ht="18" x14ac:dyDescent="0.35">
      <c r="A314" s="4">
        <v>313</v>
      </c>
      <c r="B314" s="4">
        <v>47.73</v>
      </c>
      <c r="E314" s="13"/>
      <c r="F314" s="13">
        <v>288</v>
      </c>
      <c r="G314" s="13">
        <v>65.099373991945669</v>
      </c>
      <c r="H314" s="13">
        <v>-25.249373991945667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 ht="18" x14ac:dyDescent="0.35">
      <c r="A315" s="4">
        <v>314</v>
      </c>
      <c r="B315" s="4">
        <v>47.98</v>
      </c>
      <c r="E315" s="13"/>
      <c r="F315" s="13">
        <v>289</v>
      </c>
      <c r="G315" s="13">
        <v>65.187621845085062</v>
      </c>
      <c r="H315" s="13">
        <v>-24.747621845085064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 ht="18" x14ac:dyDescent="0.35">
      <c r="A316" s="4">
        <v>315</v>
      </c>
      <c r="B316" s="4">
        <v>50.09</v>
      </c>
      <c r="E316" s="13"/>
      <c r="F316" s="13">
        <v>290</v>
      </c>
      <c r="G316" s="13">
        <v>65.275869698224454</v>
      </c>
      <c r="H316" s="13">
        <v>-24.705869698224454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 ht="18" x14ac:dyDescent="0.35">
      <c r="A317" s="4">
        <v>316</v>
      </c>
      <c r="B317" s="4">
        <v>52.75</v>
      </c>
      <c r="E317" s="13"/>
      <c r="F317" s="13">
        <v>291</v>
      </c>
      <c r="G317" s="13">
        <v>65.364117551363847</v>
      </c>
      <c r="H317" s="13">
        <v>-24.024117551363844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 ht="18" x14ac:dyDescent="0.35">
      <c r="A318" s="4">
        <v>317</v>
      </c>
      <c r="B318" s="4">
        <v>52.82</v>
      </c>
      <c r="E318" s="13"/>
      <c r="F318" s="13">
        <v>292</v>
      </c>
      <c r="G318" s="13">
        <v>65.45236540450324</v>
      </c>
      <c r="H318" s="13">
        <v>-24.762365404503242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 ht="18" x14ac:dyDescent="0.35">
      <c r="A319" s="4">
        <v>318</v>
      </c>
      <c r="B319" s="4">
        <v>52.52</v>
      </c>
      <c r="E319" s="13"/>
      <c r="F319" s="13">
        <v>293</v>
      </c>
      <c r="G319" s="13">
        <v>65.540613257642619</v>
      </c>
      <c r="H319" s="13">
        <v>-23.970613257642619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1:19" ht="18" x14ac:dyDescent="0.35">
      <c r="A320" s="4">
        <v>319</v>
      </c>
      <c r="B320" s="4">
        <v>55.39</v>
      </c>
      <c r="E320" s="13"/>
      <c r="F320" s="13">
        <v>294</v>
      </c>
      <c r="G320" s="13">
        <v>65.628861110782012</v>
      </c>
      <c r="H320" s="13">
        <v>-23.548861110782013</v>
      </c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1:19" ht="18" x14ac:dyDescent="0.35">
      <c r="A321" s="4">
        <v>320</v>
      </c>
      <c r="B321" s="4">
        <v>58.54</v>
      </c>
      <c r="E321" s="13"/>
      <c r="F321" s="13">
        <v>295</v>
      </c>
      <c r="G321" s="13">
        <v>65.717108963921405</v>
      </c>
      <c r="H321" s="13">
        <v>-22.987108963921408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 ht="18" x14ac:dyDescent="0.35">
      <c r="A322" s="4">
        <v>321</v>
      </c>
      <c r="B322" s="4">
        <v>60.17</v>
      </c>
      <c r="E322" s="13"/>
      <c r="F322" s="13">
        <v>296</v>
      </c>
      <c r="G322" s="13">
        <v>65.805356817060797</v>
      </c>
      <c r="H322" s="13">
        <v>-22.875356817060798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 ht="18" x14ac:dyDescent="0.35">
      <c r="A323" s="4">
        <v>322</v>
      </c>
      <c r="B323" s="4">
        <v>62.3</v>
      </c>
      <c r="E323" s="13"/>
      <c r="F323" s="13">
        <v>297</v>
      </c>
      <c r="G323" s="13">
        <v>65.89360467020019</v>
      </c>
      <c r="H323" s="13">
        <v>-24.053604670200187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 ht="18" x14ac:dyDescent="0.35">
      <c r="A324" s="4">
        <v>323</v>
      </c>
      <c r="B324" s="4">
        <v>62.29</v>
      </c>
      <c r="E324" s="13"/>
      <c r="F324" s="13">
        <v>298</v>
      </c>
      <c r="G324" s="13">
        <v>65.981852523339569</v>
      </c>
      <c r="H324" s="13">
        <v>-28.601852523339566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 ht="18" x14ac:dyDescent="0.35">
      <c r="A325" s="4">
        <v>324</v>
      </c>
      <c r="B325" s="4">
        <v>65.02</v>
      </c>
      <c r="E325" s="13"/>
      <c r="F325" s="13">
        <v>299</v>
      </c>
      <c r="G325" s="13">
        <v>66.070100376478962</v>
      </c>
      <c r="H325" s="13">
        <v>-26.520100376478965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1:19" ht="18" x14ac:dyDescent="0.35">
      <c r="A326" s="4">
        <v>325</v>
      </c>
      <c r="B326" s="4">
        <v>63.22</v>
      </c>
      <c r="E326" s="13"/>
      <c r="F326" s="13">
        <v>300</v>
      </c>
      <c r="G326" s="13">
        <v>66.158348229618355</v>
      </c>
      <c r="H326" s="13">
        <v>-26.378348229618354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1:19" ht="18" x14ac:dyDescent="0.35">
      <c r="A327" s="4">
        <v>326</v>
      </c>
      <c r="B327" s="4">
        <v>59.95</v>
      </c>
      <c r="E327" s="13"/>
      <c r="F327" s="13">
        <v>301</v>
      </c>
      <c r="G327" s="13">
        <v>66.246596082757748</v>
      </c>
      <c r="H327" s="13">
        <v>-27.256596082757746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 ht="18" x14ac:dyDescent="0.35">
      <c r="A328" s="4">
        <v>327</v>
      </c>
      <c r="B328" s="4">
        <v>60.66</v>
      </c>
      <c r="E328" s="13"/>
      <c r="F328" s="13">
        <v>302</v>
      </c>
      <c r="G328" s="13">
        <v>66.33484393589714</v>
      </c>
      <c r="H328" s="13">
        <v>-26.144843935897143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 ht="18" x14ac:dyDescent="0.35">
      <c r="A329" s="4">
        <v>328</v>
      </c>
      <c r="B329" s="4">
        <v>59.35</v>
      </c>
      <c r="E329" s="13"/>
      <c r="F329" s="13">
        <v>303</v>
      </c>
      <c r="G329" s="13">
        <v>66.423091789036533</v>
      </c>
      <c r="H329" s="13">
        <v>-26.093091789036535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 ht="18" x14ac:dyDescent="0.35">
      <c r="A330" s="4">
        <v>329</v>
      </c>
      <c r="B330" s="4">
        <v>61.93</v>
      </c>
      <c r="E330" s="13"/>
      <c r="F330" s="13">
        <v>304</v>
      </c>
      <c r="G330" s="13">
        <v>66.511339642175926</v>
      </c>
      <c r="H330" s="13">
        <v>-26.081339642175926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1:19" ht="18" x14ac:dyDescent="0.35">
      <c r="A331" s="4">
        <v>330</v>
      </c>
      <c r="B331" s="4">
        <v>62.18</v>
      </c>
      <c r="E331" s="13"/>
      <c r="F331" s="13">
        <v>305</v>
      </c>
      <c r="G331" s="13">
        <v>66.599587495315319</v>
      </c>
      <c r="H331" s="13">
        <v>-29.279587495315319</v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1:19" ht="18" x14ac:dyDescent="0.35">
      <c r="A332" s="4">
        <v>331</v>
      </c>
      <c r="B332" s="4">
        <v>63.47</v>
      </c>
      <c r="E332" s="13"/>
      <c r="F332" s="13">
        <v>306</v>
      </c>
      <c r="G332" s="13">
        <v>66.687835348454712</v>
      </c>
      <c r="H332" s="13">
        <v>-28.977835348454711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ht="18" x14ac:dyDescent="0.35">
      <c r="A333" s="4">
        <v>332</v>
      </c>
      <c r="B333" s="4">
        <v>65.099999999999994</v>
      </c>
      <c r="E333" s="13"/>
      <c r="F333" s="13">
        <v>307</v>
      </c>
      <c r="G333" s="13">
        <v>66.776083201594091</v>
      </c>
      <c r="H333" s="13">
        <v>-26.116083201594094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ht="18" x14ac:dyDescent="0.35">
      <c r="A334" s="4">
        <v>333</v>
      </c>
      <c r="B334" s="4">
        <v>65.069999999999993</v>
      </c>
      <c r="E334" s="13"/>
      <c r="F334" s="13">
        <v>308</v>
      </c>
      <c r="G334" s="13">
        <v>66.864331054733483</v>
      </c>
      <c r="H334" s="13">
        <v>-25.34433105473348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 ht="18" x14ac:dyDescent="0.35">
      <c r="A335" s="4">
        <v>334</v>
      </c>
      <c r="B335" s="4">
        <v>64.11</v>
      </c>
      <c r="E335" s="13"/>
      <c r="F335" s="13">
        <v>309</v>
      </c>
      <c r="G335" s="13">
        <v>66.952578907872876</v>
      </c>
      <c r="H335" s="13">
        <v>-22.552578907872878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ht="18" x14ac:dyDescent="0.35">
      <c r="A336" s="4">
        <v>335</v>
      </c>
      <c r="B336" s="4">
        <v>66.400000000000006</v>
      </c>
      <c r="E336" s="13"/>
      <c r="F336" s="13">
        <v>310</v>
      </c>
      <c r="G336" s="13">
        <v>67.040826761012269</v>
      </c>
      <c r="H336" s="13">
        <v>-21.670826761012272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ht="18" x14ac:dyDescent="0.35">
      <c r="A337" s="4">
        <v>336</v>
      </c>
      <c r="B337" s="4">
        <v>68.739999999999995</v>
      </c>
      <c r="E337" s="13"/>
      <c r="F337" s="13">
        <v>311</v>
      </c>
      <c r="G337" s="13">
        <v>67.129074614151662</v>
      </c>
      <c r="H337" s="13">
        <v>-21.089074614151663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ht="18" x14ac:dyDescent="0.35">
      <c r="A338" s="4">
        <v>337</v>
      </c>
      <c r="B338" s="4">
        <v>70.11</v>
      </c>
      <c r="E338" s="13"/>
      <c r="F338" s="13">
        <v>312</v>
      </c>
      <c r="G338" s="13">
        <v>67.217322467291041</v>
      </c>
      <c r="H338" s="13">
        <v>-19.247322467291042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 ht="18" x14ac:dyDescent="0.35">
      <c r="A339" s="4">
        <v>338</v>
      </c>
      <c r="B339" s="4">
        <v>71.55</v>
      </c>
      <c r="E339" s="13"/>
      <c r="F339" s="13">
        <v>313</v>
      </c>
      <c r="G339" s="13">
        <v>67.305570320430434</v>
      </c>
      <c r="H339" s="13">
        <v>-19.575570320430437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 ht="18" x14ac:dyDescent="0.35">
      <c r="A340" s="4">
        <v>339</v>
      </c>
      <c r="B340" s="4">
        <v>73.48</v>
      </c>
      <c r="E340" s="13"/>
      <c r="F340" s="13">
        <v>314</v>
      </c>
      <c r="G340" s="13">
        <v>67.393818173569827</v>
      </c>
      <c r="H340" s="13">
        <v>-19.41381817356983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ht="18" x14ac:dyDescent="0.35">
      <c r="A341" s="4">
        <v>340</v>
      </c>
      <c r="B341" s="4">
        <v>74.069999999999993</v>
      </c>
      <c r="E341" s="13"/>
      <c r="F341" s="13">
        <v>315</v>
      </c>
      <c r="G341" s="13">
        <v>67.482066026709219</v>
      </c>
      <c r="H341" s="13">
        <v>-17.392066026709216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 ht="18" x14ac:dyDescent="0.35">
      <c r="A342" s="4">
        <v>341</v>
      </c>
      <c r="B342" s="4">
        <v>73.349999999999994</v>
      </c>
      <c r="E342" s="13"/>
      <c r="F342" s="13">
        <v>316</v>
      </c>
      <c r="G342" s="13">
        <v>67.570313879848612</v>
      </c>
      <c r="H342" s="13">
        <v>-14.820313879848612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ht="18" x14ac:dyDescent="0.35">
      <c r="A343" s="4">
        <v>342</v>
      </c>
      <c r="B343" s="4">
        <v>73.19</v>
      </c>
      <c r="E343" s="13"/>
      <c r="F343" s="13">
        <v>317</v>
      </c>
      <c r="G343" s="13">
        <v>67.658561732988005</v>
      </c>
      <c r="H343" s="13">
        <v>-14.838561732988005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 ht="18" x14ac:dyDescent="0.35">
      <c r="A344" s="4">
        <v>343</v>
      </c>
      <c r="B344" s="4">
        <v>69.680000000000007</v>
      </c>
      <c r="E344" s="13"/>
      <c r="F344" s="13">
        <v>318</v>
      </c>
      <c r="G344" s="13">
        <v>67.746809586127398</v>
      </c>
      <c r="H344" s="13">
        <v>-15.226809586127395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 ht="18" x14ac:dyDescent="0.35">
      <c r="A345" s="4">
        <v>344</v>
      </c>
      <c r="B345" s="4">
        <v>72.75</v>
      </c>
      <c r="E345" s="13"/>
      <c r="F345" s="13">
        <v>319</v>
      </c>
      <c r="G345" s="13">
        <v>67.835057439266791</v>
      </c>
      <c r="H345" s="13">
        <v>-12.44505743926679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1:19" ht="18" x14ac:dyDescent="0.35">
      <c r="A346" s="4">
        <v>345</v>
      </c>
      <c r="B346" s="4">
        <v>69.5</v>
      </c>
      <c r="E346" s="13"/>
      <c r="F346" s="13">
        <v>320</v>
      </c>
      <c r="G346" s="13">
        <v>67.923305292406184</v>
      </c>
      <c r="H346" s="13">
        <v>-9.3833052924061846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1:19" ht="18" x14ac:dyDescent="0.35">
      <c r="A347" s="4">
        <v>346</v>
      </c>
      <c r="B347" s="4">
        <v>68.33</v>
      </c>
      <c r="E347" s="13"/>
      <c r="F347" s="13">
        <v>321</v>
      </c>
      <c r="G347" s="13">
        <v>68.011553145545562</v>
      </c>
      <c r="H347" s="13">
        <v>-7.8415531455455607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 ht="18" x14ac:dyDescent="0.35">
      <c r="A348" s="4">
        <v>347</v>
      </c>
      <c r="B348" s="4">
        <v>65.05</v>
      </c>
      <c r="E348" s="13"/>
      <c r="F348" s="13">
        <v>322</v>
      </c>
      <c r="G348" s="13">
        <v>68.099800998684955</v>
      </c>
      <c r="H348" s="13">
        <v>-5.7998009986849581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 ht="18" x14ac:dyDescent="0.35">
      <c r="A349" s="4">
        <v>348</v>
      </c>
      <c r="B349" s="4">
        <v>67.59</v>
      </c>
      <c r="E349" s="13"/>
      <c r="F349" s="13">
        <v>323</v>
      </c>
      <c r="G349" s="13">
        <v>68.188048851824348</v>
      </c>
      <c r="H349" s="13">
        <v>-5.898048851824349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 ht="18" x14ac:dyDescent="0.35">
      <c r="A350" s="4">
        <v>349</v>
      </c>
      <c r="B350" s="4">
        <v>69.150000000000006</v>
      </c>
      <c r="E350" s="13"/>
      <c r="F350" s="13">
        <v>324</v>
      </c>
      <c r="G350" s="13">
        <v>68.276296704963741</v>
      </c>
      <c r="H350" s="13">
        <v>-3.256296704963745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 ht="18" x14ac:dyDescent="0.35">
      <c r="A351" s="4">
        <v>350</v>
      </c>
      <c r="B351" s="4">
        <v>68.98</v>
      </c>
      <c r="E351" s="13"/>
      <c r="F351" s="13">
        <v>325</v>
      </c>
      <c r="G351" s="13">
        <v>68.364544558103134</v>
      </c>
      <c r="H351" s="13">
        <v>-5.144544558103135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 ht="18" x14ac:dyDescent="0.35">
      <c r="A352" s="4">
        <v>351</v>
      </c>
      <c r="B352" s="4">
        <v>71.69</v>
      </c>
      <c r="E352" s="13"/>
      <c r="F352" s="13">
        <v>326</v>
      </c>
      <c r="G352" s="13">
        <v>68.452792411242527</v>
      </c>
      <c r="H352" s="13">
        <v>-8.5027924112425239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spans="1:19" ht="18" x14ac:dyDescent="0.35">
      <c r="A353" s="4">
        <v>352</v>
      </c>
      <c r="B353" s="4">
        <v>72.180000000000007</v>
      </c>
      <c r="E353" s="13"/>
      <c r="F353" s="13">
        <v>327</v>
      </c>
      <c r="G353" s="13">
        <v>68.541040264381905</v>
      </c>
      <c r="H353" s="13">
        <v>-7.8810402643819089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spans="1:19" ht="18" x14ac:dyDescent="0.35">
      <c r="A354" s="4">
        <v>353</v>
      </c>
      <c r="B354" s="4">
        <v>75.45</v>
      </c>
      <c r="E354" s="13"/>
      <c r="F354" s="13">
        <v>328</v>
      </c>
      <c r="G354" s="13">
        <v>68.629288117521298</v>
      </c>
      <c r="H354" s="13">
        <v>-9.2792881175212969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 ht="18" x14ac:dyDescent="0.35">
      <c r="A355" s="4">
        <v>354</v>
      </c>
      <c r="B355" s="4">
        <v>78.5</v>
      </c>
      <c r="E355" s="13"/>
      <c r="F355" s="13">
        <v>329</v>
      </c>
      <c r="G355" s="13">
        <v>68.717535970660691</v>
      </c>
      <c r="H355" s="13">
        <v>-6.7875359706606915</v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 ht="18" x14ac:dyDescent="0.35">
      <c r="A356" s="4">
        <v>355</v>
      </c>
      <c r="B356" s="4">
        <v>81.180000000000007</v>
      </c>
      <c r="E356" s="13"/>
      <c r="F356" s="13">
        <v>330</v>
      </c>
      <c r="G356" s="13">
        <v>68.805783823800084</v>
      </c>
      <c r="H356" s="13">
        <v>-6.6257838238000843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 ht="18" x14ac:dyDescent="0.35">
      <c r="A357" s="4">
        <v>356</v>
      </c>
      <c r="B357" s="4">
        <v>83.48</v>
      </c>
      <c r="E357" s="13"/>
      <c r="F357" s="13">
        <v>331</v>
      </c>
      <c r="G357" s="13">
        <v>68.894031676939477</v>
      </c>
      <c r="H357" s="13">
        <v>-5.4240316769394781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ht="18" x14ac:dyDescent="0.35">
      <c r="A358" s="4">
        <v>357</v>
      </c>
      <c r="B358" s="4">
        <v>83.84</v>
      </c>
      <c r="E358" s="13"/>
      <c r="F358" s="13">
        <v>332</v>
      </c>
      <c r="G358" s="13">
        <v>68.98227953007887</v>
      </c>
      <c r="H358" s="13">
        <v>-3.8822795300788755</v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ht="18" x14ac:dyDescent="0.35">
      <c r="A359" s="4">
        <v>358</v>
      </c>
      <c r="B359" s="4">
        <v>81.790000000000006</v>
      </c>
      <c r="E359" s="13"/>
      <c r="F359" s="13">
        <v>333</v>
      </c>
      <c r="G359" s="13">
        <v>69.070527383218263</v>
      </c>
      <c r="H359" s="13">
        <v>-4.0005273832182695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 ht="18" x14ac:dyDescent="0.35">
      <c r="A360" s="4">
        <v>359</v>
      </c>
      <c r="B360" s="4">
        <v>81.93</v>
      </c>
      <c r="E360" s="13"/>
      <c r="F360" s="13">
        <v>334</v>
      </c>
      <c r="G360" s="13">
        <v>69.158775236357656</v>
      </c>
      <c r="H360" s="13">
        <v>-5.0487752363576561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ht="18" x14ac:dyDescent="0.35">
      <c r="A361" s="4">
        <v>360</v>
      </c>
      <c r="B361" s="4">
        <v>78.989999999999995</v>
      </c>
      <c r="E361" s="13"/>
      <c r="F361" s="13">
        <v>335</v>
      </c>
      <c r="G361" s="13">
        <v>69.247023089497048</v>
      </c>
      <c r="H361" s="13">
        <v>-2.8470230894970427</v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ht="18" x14ac:dyDescent="0.35">
      <c r="A362" s="4">
        <v>361</v>
      </c>
      <c r="B362" s="4">
        <v>77.790000000000006</v>
      </c>
      <c r="E362" s="13"/>
      <c r="F362" s="13">
        <v>336</v>
      </c>
      <c r="G362" s="13">
        <v>69.335270942636427</v>
      </c>
      <c r="H362" s="13">
        <v>-0.59527094263643221</v>
      </c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ht="18" x14ac:dyDescent="0.35">
      <c r="A363" s="4">
        <v>362</v>
      </c>
      <c r="B363" s="4">
        <v>66.89</v>
      </c>
      <c r="E363" s="13"/>
      <c r="F363" s="13">
        <v>337</v>
      </c>
      <c r="G363" s="13">
        <v>69.42351879577582</v>
      </c>
      <c r="H363" s="13">
        <v>0.68648120422417946</v>
      </c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ht="18" x14ac:dyDescent="0.35">
      <c r="A364" s="4">
        <v>363</v>
      </c>
      <c r="B364" s="4">
        <v>71.31</v>
      </c>
      <c r="E364" s="13"/>
      <c r="F364" s="13">
        <v>338</v>
      </c>
      <c r="G364" s="13">
        <v>69.511766648915213</v>
      </c>
      <c r="H364" s="13">
        <v>2.0382333510847843</v>
      </c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 ht="18" x14ac:dyDescent="0.35">
      <c r="A365" s="4">
        <v>364</v>
      </c>
      <c r="B365" s="4">
        <v>71.180000000000007</v>
      </c>
      <c r="E365" s="13"/>
      <c r="F365" s="13">
        <v>339</v>
      </c>
      <c r="G365" s="13">
        <v>69.600014502054606</v>
      </c>
      <c r="H365" s="13">
        <v>3.8799854979453983</v>
      </c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 ht="18" x14ac:dyDescent="0.35">
      <c r="A366" s="4">
        <v>365</v>
      </c>
      <c r="B366" s="4">
        <v>71.63</v>
      </c>
      <c r="E366" s="13"/>
      <c r="F366" s="13">
        <v>340</v>
      </c>
      <c r="G366" s="13">
        <v>69.688262355193999</v>
      </c>
      <c r="H366" s="13">
        <v>4.3817376448059946</v>
      </c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spans="1:19" ht="18" x14ac:dyDescent="0.35">
      <c r="A367" s="4">
        <v>366</v>
      </c>
      <c r="B367" s="4">
        <v>76.05</v>
      </c>
      <c r="E367" s="13"/>
      <c r="F367" s="13">
        <v>341</v>
      </c>
      <c r="G367" s="13">
        <v>69.776510208333377</v>
      </c>
      <c r="H367" s="13">
        <v>3.5734897916666171</v>
      </c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spans="1:19" ht="18" x14ac:dyDescent="0.35">
      <c r="A368" s="4">
        <v>367</v>
      </c>
      <c r="B368" s="4">
        <v>77.86</v>
      </c>
      <c r="E368" s="13"/>
      <c r="F368" s="13">
        <v>342</v>
      </c>
      <c r="G368" s="13">
        <v>69.86475806147277</v>
      </c>
      <c r="H368" s="13">
        <v>3.3252419385272276</v>
      </c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spans="1:19" ht="18" x14ac:dyDescent="0.35">
      <c r="A369" s="4">
        <v>368</v>
      </c>
      <c r="B369" s="4">
        <v>81.52</v>
      </c>
      <c r="E369" s="13"/>
      <c r="F369" s="13">
        <v>343</v>
      </c>
      <c r="G369" s="13">
        <v>69.953005914612163</v>
      </c>
      <c r="H369" s="13">
        <v>-0.27300591461215618</v>
      </c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spans="1:19" ht="18" x14ac:dyDescent="0.35">
      <c r="A370" s="4">
        <v>369</v>
      </c>
      <c r="B370" s="4">
        <v>85.93</v>
      </c>
      <c r="E370" s="13"/>
      <c r="F370" s="13">
        <v>344</v>
      </c>
      <c r="G370" s="13">
        <v>70.041253767751556</v>
      </c>
      <c r="H370" s="13">
        <v>2.7087462322484441</v>
      </c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1:19" ht="18" x14ac:dyDescent="0.35">
      <c r="A371" s="4">
        <v>370</v>
      </c>
      <c r="B371" s="4">
        <v>86.94</v>
      </c>
      <c r="E371" s="13"/>
      <c r="F371" s="13">
        <v>345</v>
      </c>
      <c r="G371" s="13">
        <v>70.129501620890949</v>
      </c>
      <c r="H371" s="13">
        <v>-0.62950162089094874</v>
      </c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1:19" ht="18" x14ac:dyDescent="0.35">
      <c r="A372" s="4">
        <v>371</v>
      </c>
      <c r="B372" s="4">
        <v>89.6</v>
      </c>
      <c r="E372" s="13"/>
      <c r="F372" s="13">
        <v>346</v>
      </c>
      <c r="G372" s="13">
        <v>70.217749474030342</v>
      </c>
      <c r="H372" s="13">
        <v>-1.8877494740303433</v>
      </c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1:19" ht="18" x14ac:dyDescent="0.35">
      <c r="A373" s="4">
        <v>372</v>
      </c>
      <c r="B373" s="4">
        <v>90.61</v>
      </c>
      <c r="E373" s="13"/>
      <c r="F373" s="13">
        <v>347</v>
      </c>
      <c r="G373" s="13">
        <v>70.305997327169734</v>
      </c>
      <c r="H373" s="13">
        <v>-5.2559973271697373</v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1:19" ht="18" x14ac:dyDescent="0.35">
      <c r="A374" s="4">
        <v>373</v>
      </c>
      <c r="B374" s="4">
        <v>92.89</v>
      </c>
      <c r="E374" s="13"/>
      <c r="F374" s="13">
        <v>348</v>
      </c>
      <c r="G374" s="13">
        <v>70.394245180309127</v>
      </c>
      <c r="H374" s="13">
        <v>-2.804245180309124</v>
      </c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1:19" ht="18" x14ac:dyDescent="0.35">
      <c r="A375" s="4">
        <v>374</v>
      </c>
      <c r="B375" s="4">
        <v>92.18</v>
      </c>
      <c r="E375" s="13"/>
      <c r="F375" s="13">
        <v>349</v>
      </c>
      <c r="G375" s="13">
        <v>70.48249303344852</v>
      </c>
      <c r="H375" s="13">
        <v>-1.3324930334485146</v>
      </c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1:19" ht="18" x14ac:dyDescent="0.35">
      <c r="A376" s="4">
        <v>375</v>
      </c>
      <c r="B376" s="4">
        <v>106.8</v>
      </c>
      <c r="E376" s="13"/>
      <c r="F376" s="13">
        <v>350</v>
      </c>
      <c r="G376" s="13">
        <v>70.570740886587899</v>
      </c>
      <c r="H376" s="13">
        <v>-1.5907408865878949</v>
      </c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1:19" ht="18" x14ac:dyDescent="0.35">
      <c r="A377" s="4">
        <v>376</v>
      </c>
      <c r="B377" s="4">
        <v>113.39</v>
      </c>
      <c r="E377" s="13"/>
      <c r="F377" s="13">
        <v>351</v>
      </c>
      <c r="G377" s="13">
        <v>70.658988739727292</v>
      </c>
      <c r="H377" s="13">
        <v>1.031011260272706</v>
      </c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1:19" ht="18" x14ac:dyDescent="0.35">
      <c r="A378" s="4">
        <v>377</v>
      </c>
      <c r="B378" s="4">
        <v>100.43</v>
      </c>
      <c r="E378" s="13"/>
      <c r="F378" s="13">
        <v>352</v>
      </c>
      <c r="G378" s="13">
        <v>70.747236592866685</v>
      </c>
      <c r="H378" s="13">
        <v>1.4327634071333222</v>
      </c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1:19" ht="18" x14ac:dyDescent="0.35">
      <c r="A379" s="4">
        <v>378</v>
      </c>
      <c r="B379" s="4">
        <v>113.69</v>
      </c>
      <c r="E379" s="13"/>
      <c r="F379" s="13">
        <v>353</v>
      </c>
      <c r="G379" s="13">
        <v>70.835484446006078</v>
      </c>
      <c r="H379" s="13">
        <v>4.6145155539939253</v>
      </c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1:19" ht="18" x14ac:dyDescent="0.35">
      <c r="A380" s="4">
        <v>379</v>
      </c>
      <c r="B380" s="4">
        <v>103.89</v>
      </c>
      <c r="E380" s="13"/>
      <c r="F380" s="13">
        <v>354</v>
      </c>
      <c r="G380" s="13">
        <v>70.92373229914547</v>
      </c>
      <c r="H380" s="13">
        <v>7.5762677008545296</v>
      </c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1:19" ht="18" x14ac:dyDescent="0.35">
      <c r="A381" s="4">
        <v>380</v>
      </c>
      <c r="B381" s="4">
        <v>99.21</v>
      </c>
      <c r="E381" s="13"/>
      <c r="F381" s="13">
        <v>355</v>
      </c>
      <c r="G381" s="13">
        <v>71.011980152284849</v>
      </c>
      <c r="H381" s="13">
        <v>10.168019847715158</v>
      </c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1:19" ht="18" x14ac:dyDescent="0.35">
      <c r="A382" s="4">
        <v>381</v>
      </c>
      <c r="B382" s="4">
        <v>101.46</v>
      </c>
      <c r="E382" s="13"/>
      <c r="F382" s="13">
        <v>356</v>
      </c>
      <c r="G382" s="13">
        <v>71.100228005424242</v>
      </c>
      <c r="H382" s="13">
        <v>12.379771994575762</v>
      </c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 ht="18" x14ac:dyDescent="0.35">
      <c r="A383" s="4">
        <v>382</v>
      </c>
      <c r="B383" s="4">
        <v>104.02</v>
      </c>
      <c r="E383" s="13"/>
      <c r="F383" s="13">
        <v>357</v>
      </c>
      <c r="G383" s="13">
        <v>71.188475858563635</v>
      </c>
      <c r="H383" s="13">
        <v>12.651524141436369</v>
      </c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 ht="18" x14ac:dyDescent="0.35">
      <c r="A384" s="4">
        <v>383</v>
      </c>
      <c r="B384" s="4">
        <v>102.85</v>
      </c>
      <c r="E384" s="13"/>
      <c r="F384" s="13">
        <v>358</v>
      </c>
      <c r="G384" s="13">
        <v>71.276723711703028</v>
      </c>
      <c r="H384" s="13">
        <v>10.513276288296979</v>
      </c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1:19" ht="18" x14ac:dyDescent="0.35">
      <c r="A385" s="4">
        <v>384</v>
      </c>
      <c r="B385" s="4">
        <v>106.69</v>
      </c>
      <c r="E385" s="13"/>
      <c r="F385" s="13">
        <v>359</v>
      </c>
      <c r="G385" s="13">
        <v>71.364971564842421</v>
      </c>
      <c r="H385" s="13">
        <v>10.565028435157586</v>
      </c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 ht="18" x14ac:dyDescent="0.35">
      <c r="A386" s="4">
        <v>385</v>
      </c>
      <c r="B386" s="4">
        <v>105</v>
      </c>
      <c r="E386" s="13"/>
      <c r="F386" s="13">
        <v>360</v>
      </c>
      <c r="G386" s="13">
        <v>71.453219417981813</v>
      </c>
      <c r="H386" s="13">
        <v>7.5367805820181815</v>
      </c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 ht="18" x14ac:dyDescent="0.35">
      <c r="A387" s="4">
        <v>386</v>
      </c>
      <c r="B387" s="4">
        <v>112.18</v>
      </c>
      <c r="E387" s="13"/>
      <c r="F387" s="13">
        <v>361</v>
      </c>
      <c r="G387" s="13">
        <v>71.541467271121206</v>
      </c>
      <c r="H387" s="13">
        <v>6.2485327288788</v>
      </c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 ht="18" x14ac:dyDescent="0.35">
      <c r="A388" s="4">
        <v>387</v>
      </c>
      <c r="B388" s="4">
        <v>113.38</v>
      </c>
      <c r="E388" s="13"/>
      <c r="F388" s="13">
        <v>362</v>
      </c>
      <c r="G388" s="13">
        <v>71.629715124260599</v>
      </c>
      <c r="H388" s="13">
        <v>-4.7397151242605986</v>
      </c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 ht="18" x14ac:dyDescent="0.35">
      <c r="A389" s="4">
        <v>388</v>
      </c>
      <c r="B389" s="4">
        <v>116.37</v>
      </c>
      <c r="E389" s="13"/>
      <c r="F389" s="13">
        <v>363</v>
      </c>
      <c r="G389" s="13">
        <v>71.717962977399992</v>
      </c>
      <c r="H389" s="13">
        <v>-0.40796297739998977</v>
      </c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 ht="18" x14ac:dyDescent="0.35">
      <c r="A390" s="4">
        <v>389</v>
      </c>
      <c r="B390" s="4">
        <v>120.43</v>
      </c>
      <c r="E390" s="13"/>
      <c r="F390" s="13">
        <v>364</v>
      </c>
      <c r="G390" s="13">
        <v>71.806210830539385</v>
      </c>
      <c r="H390" s="13">
        <v>-0.62621083053937809</v>
      </c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 ht="18" x14ac:dyDescent="0.35">
      <c r="A391" s="4">
        <v>390</v>
      </c>
      <c r="B391" s="4">
        <v>116.46</v>
      </c>
      <c r="E391" s="13"/>
      <c r="F391" s="13">
        <v>365</v>
      </c>
      <c r="G391" s="13">
        <v>71.894458683678764</v>
      </c>
      <c r="H391" s="13">
        <v>-0.26445868367876812</v>
      </c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spans="1:19" ht="18" x14ac:dyDescent="0.35">
      <c r="A392" s="4">
        <v>391</v>
      </c>
      <c r="B392" s="4">
        <v>107.88</v>
      </c>
      <c r="E392" s="13"/>
      <c r="F392" s="13">
        <v>366</v>
      </c>
      <c r="G392" s="13">
        <v>71.982706536818156</v>
      </c>
      <c r="H392" s="13">
        <v>4.0672934631818407</v>
      </c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spans="1:19" ht="18" x14ac:dyDescent="0.35">
      <c r="A393" s="4">
        <v>392</v>
      </c>
      <c r="B393" s="4">
        <v>110.96</v>
      </c>
      <c r="E393" s="13"/>
      <c r="F393" s="13">
        <v>367</v>
      </c>
      <c r="G393" s="13">
        <v>72.070954389957549</v>
      </c>
      <c r="H393" s="13">
        <v>5.7890456100424501</v>
      </c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spans="1:19" ht="18" x14ac:dyDescent="0.35">
      <c r="A394" s="4">
        <v>393</v>
      </c>
      <c r="B394" s="4">
        <v>103.32</v>
      </c>
      <c r="E394" s="13"/>
      <c r="F394" s="13">
        <v>368</v>
      </c>
      <c r="G394" s="13">
        <v>72.159202243096928</v>
      </c>
      <c r="H394" s="13">
        <v>9.360797756903068</v>
      </c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spans="1:19" ht="18" x14ac:dyDescent="0.35">
      <c r="A395" s="4">
        <v>394</v>
      </c>
      <c r="B395" s="4">
        <v>99.92</v>
      </c>
      <c r="E395" s="13"/>
      <c r="F395" s="13">
        <v>369</v>
      </c>
      <c r="G395" s="13">
        <v>72.247450096236321</v>
      </c>
      <c r="H395" s="13">
        <v>13.682549903763686</v>
      </c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spans="1:19" ht="18" x14ac:dyDescent="0.35">
      <c r="A396" s="4">
        <v>395</v>
      </c>
      <c r="B396" s="4">
        <v>102.24</v>
      </c>
      <c r="E396" s="13"/>
      <c r="F396" s="13">
        <v>370</v>
      </c>
      <c r="G396" s="13">
        <v>72.335697949375714</v>
      </c>
      <c r="H396" s="13">
        <v>14.604302050624284</v>
      </c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spans="1:19" ht="18" x14ac:dyDescent="0.35">
      <c r="A397" s="4">
        <v>396</v>
      </c>
      <c r="B397" s="4">
        <v>99.6</v>
      </c>
      <c r="E397" s="13"/>
      <c r="F397" s="13">
        <v>371</v>
      </c>
      <c r="G397" s="13">
        <v>72.423945802515107</v>
      </c>
      <c r="H397" s="13">
        <v>17.176054197484888</v>
      </c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spans="1:19" ht="18" x14ac:dyDescent="0.35">
      <c r="A398" s="4">
        <v>397</v>
      </c>
      <c r="B398" s="4">
        <v>94.01</v>
      </c>
      <c r="E398" s="13"/>
      <c r="F398" s="13">
        <v>372</v>
      </c>
      <c r="G398" s="13">
        <v>72.512193655654499</v>
      </c>
      <c r="H398" s="13">
        <v>18.0978063443455</v>
      </c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spans="1:19" ht="18" x14ac:dyDescent="0.35">
      <c r="A399" s="4">
        <v>398</v>
      </c>
      <c r="B399" s="4">
        <v>94.65</v>
      </c>
      <c r="E399" s="13"/>
      <c r="F399" s="13">
        <v>373</v>
      </c>
      <c r="G399" s="13">
        <v>72.600441508793892</v>
      </c>
      <c r="H399" s="13">
        <v>20.289558491206108</v>
      </c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spans="1:19" ht="18" x14ac:dyDescent="0.35">
      <c r="A400" s="4">
        <v>399</v>
      </c>
      <c r="B400" s="4">
        <v>91.81</v>
      </c>
      <c r="E400" s="13"/>
      <c r="F400" s="13">
        <v>374</v>
      </c>
      <c r="G400" s="13">
        <v>72.688689361933285</v>
      </c>
      <c r="H400" s="13">
        <v>19.491310638066722</v>
      </c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spans="1:19" ht="18" x14ac:dyDescent="0.35">
      <c r="A401" s="4">
        <v>400</v>
      </c>
      <c r="B401" s="4">
        <v>94.47</v>
      </c>
      <c r="E401" s="13"/>
      <c r="F401" s="13">
        <v>375</v>
      </c>
      <c r="G401" s="13">
        <v>72.776937215072678</v>
      </c>
      <c r="H401" s="13">
        <v>34.023062784927319</v>
      </c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spans="1:19" ht="18" x14ac:dyDescent="0.35">
      <c r="A402" s="4">
        <v>401</v>
      </c>
      <c r="B402" s="4">
        <v>90.79</v>
      </c>
      <c r="E402" s="13"/>
      <c r="F402" s="13">
        <v>376</v>
      </c>
      <c r="G402" s="13">
        <v>72.865185068212071</v>
      </c>
      <c r="H402" s="13">
        <v>40.52481493178793</v>
      </c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spans="1:19" ht="18" x14ac:dyDescent="0.35">
      <c r="A403" s="4">
        <v>402</v>
      </c>
      <c r="B403" s="4">
        <v>85.29</v>
      </c>
      <c r="E403" s="13"/>
      <c r="F403" s="13">
        <v>377</v>
      </c>
      <c r="G403" s="13">
        <v>72.953432921351464</v>
      </c>
      <c r="H403" s="13">
        <v>27.476567078648543</v>
      </c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spans="1:19" ht="18" x14ac:dyDescent="0.35">
      <c r="A404" s="4">
        <v>403</v>
      </c>
      <c r="B404" s="4">
        <v>87.24</v>
      </c>
      <c r="E404" s="13"/>
      <c r="F404" s="13">
        <v>378</v>
      </c>
      <c r="G404" s="13">
        <v>73.041680774490857</v>
      </c>
      <c r="H404" s="13">
        <v>40.648319225509141</v>
      </c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spans="1:19" ht="18" x14ac:dyDescent="0.35">
      <c r="A405" s="4">
        <v>404</v>
      </c>
      <c r="B405" s="4">
        <v>83.46</v>
      </c>
      <c r="E405" s="13"/>
      <c r="F405" s="13">
        <v>379</v>
      </c>
      <c r="G405" s="13">
        <v>73.129928627630235</v>
      </c>
      <c r="H405" s="13">
        <v>30.760071372369765</v>
      </c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spans="1:19" ht="18" x14ac:dyDescent="0.35">
      <c r="A406" s="4">
        <v>405</v>
      </c>
      <c r="B406" s="4">
        <v>80.08</v>
      </c>
      <c r="E406" s="13"/>
      <c r="F406" s="13">
        <v>380</v>
      </c>
      <c r="G406" s="13">
        <v>73.218176480769628</v>
      </c>
      <c r="H406" s="13">
        <v>25.991823519230365</v>
      </c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spans="1:19" ht="18" x14ac:dyDescent="0.35">
      <c r="A407" s="4">
        <v>406</v>
      </c>
      <c r="B407" s="4">
        <v>88.22</v>
      </c>
      <c r="E407" s="13"/>
      <c r="F407" s="13">
        <v>381</v>
      </c>
      <c r="G407" s="13">
        <v>73.306424333909021</v>
      </c>
      <c r="H407" s="13">
        <v>28.153575666090973</v>
      </c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spans="1:19" ht="18" x14ac:dyDescent="0.35">
      <c r="A408" s="4">
        <v>407</v>
      </c>
      <c r="B408" s="4">
        <v>88.97</v>
      </c>
      <c r="E408" s="13"/>
      <c r="F408" s="13">
        <v>382</v>
      </c>
      <c r="G408" s="13">
        <v>73.394672187048414</v>
      </c>
      <c r="H408" s="13">
        <v>30.625327812951582</v>
      </c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spans="1:19" ht="18" x14ac:dyDescent="0.35">
      <c r="A409" s="4">
        <v>408</v>
      </c>
      <c r="B409" s="4">
        <v>85.36</v>
      </c>
      <c r="E409" s="13"/>
      <c r="F409" s="13">
        <v>383</v>
      </c>
      <c r="G409" s="13">
        <v>73.482920040187793</v>
      </c>
      <c r="H409" s="13">
        <v>29.367079959812202</v>
      </c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spans="1:19" ht="18" x14ac:dyDescent="0.35">
      <c r="A410" s="4">
        <v>409</v>
      </c>
      <c r="B410" s="4">
        <v>87.87</v>
      </c>
      <c r="E410" s="13"/>
      <c r="F410" s="13">
        <v>384</v>
      </c>
      <c r="G410" s="13">
        <v>73.571167893327186</v>
      </c>
      <c r="H410" s="13">
        <v>33.118832106672812</v>
      </c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spans="1:19" ht="18" x14ac:dyDescent="0.35">
      <c r="A411" s="4">
        <v>410</v>
      </c>
      <c r="B411" s="4">
        <v>89.14</v>
      </c>
      <c r="E411" s="13"/>
      <c r="F411" s="13">
        <v>385</v>
      </c>
      <c r="G411" s="13">
        <v>73.659415746466578</v>
      </c>
      <c r="H411" s="13">
        <v>31.340584253533422</v>
      </c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spans="1:19" ht="18" x14ac:dyDescent="0.35">
      <c r="A412" s="4">
        <v>411</v>
      </c>
      <c r="B412" s="4">
        <v>88.41</v>
      </c>
      <c r="E412" s="13"/>
      <c r="F412" s="13">
        <v>386</v>
      </c>
      <c r="G412" s="13">
        <v>73.747663599605971</v>
      </c>
      <c r="H412" s="13">
        <v>38.432336400394036</v>
      </c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spans="1:19" ht="18" x14ac:dyDescent="0.35">
      <c r="A413" s="4">
        <v>412</v>
      </c>
      <c r="B413" s="4">
        <v>84.02</v>
      </c>
      <c r="E413" s="13"/>
      <c r="F413" s="13">
        <v>387</v>
      </c>
      <c r="G413" s="13">
        <v>73.835911452745364</v>
      </c>
      <c r="H413" s="13">
        <v>39.544088547254631</v>
      </c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spans="1:19" ht="18" x14ac:dyDescent="0.35">
      <c r="A414" s="4">
        <v>413</v>
      </c>
      <c r="B414" s="4">
        <v>78.739999999999995</v>
      </c>
      <c r="E414" s="13"/>
      <c r="F414" s="13">
        <v>388</v>
      </c>
      <c r="G414" s="13">
        <v>73.924159305884757</v>
      </c>
      <c r="H414" s="13">
        <v>42.445840694115248</v>
      </c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spans="1:19" ht="18" x14ac:dyDescent="0.35">
      <c r="A415" s="4">
        <v>414</v>
      </c>
      <c r="B415" s="4">
        <v>79.290000000000006</v>
      </c>
      <c r="E415" s="13"/>
      <c r="F415" s="13">
        <v>389</v>
      </c>
      <c r="G415" s="13">
        <v>74.01240715902415</v>
      </c>
      <c r="H415" s="13">
        <v>46.417592840975857</v>
      </c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spans="1:19" ht="18" x14ac:dyDescent="0.35">
      <c r="A416" s="4">
        <v>415</v>
      </c>
      <c r="B416" s="4">
        <v>73.06</v>
      </c>
      <c r="E416" s="13"/>
      <c r="F416" s="13">
        <v>390</v>
      </c>
      <c r="G416" s="13">
        <v>74.100655012163543</v>
      </c>
      <c r="H416" s="13">
        <v>42.359344987836451</v>
      </c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spans="1:19" ht="18" x14ac:dyDescent="0.35">
      <c r="A417" s="4">
        <v>416</v>
      </c>
      <c r="B417" s="4">
        <v>75.12</v>
      </c>
      <c r="E417" s="13"/>
      <c r="F417" s="13">
        <v>391</v>
      </c>
      <c r="G417" s="13">
        <v>74.188902865302936</v>
      </c>
      <c r="H417" s="13">
        <v>33.69109713469706</v>
      </c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spans="1:19" ht="18" x14ac:dyDescent="0.35">
      <c r="A418" s="4">
        <v>417</v>
      </c>
      <c r="B418" s="4">
        <v>77.28</v>
      </c>
      <c r="E418" s="13"/>
      <c r="F418" s="13">
        <v>392</v>
      </c>
      <c r="G418" s="13">
        <v>74.277150718442329</v>
      </c>
      <c r="H418" s="13">
        <v>36.682849281557665</v>
      </c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spans="1:19" ht="18" x14ac:dyDescent="0.35">
      <c r="A419" s="4">
        <v>418</v>
      </c>
      <c r="B419" s="4">
        <v>79.23</v>
      </c>
      <c r="E419" s="13"/>
      <c r="F419" s="13">
        <v>393</v>
      </c>
      <c r="G419" s="13">
        <v>74.365398571581707</v>
      </c>
      <c r="H419" s="13">
        <v>28.954601428418286</v>
      </c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 ht="18" x14ac:dyDescent="0.35">
      <c r="A420" s="4">
        <v>419</v>
      </c>
      <c r="B420" s="4">
        <v>74.27</v>
      </c>
      <c r="E420" s="13"/>
      <c r="F420" s="13">
        <v>394</v>
      </c>
      <c r="G420" s="13">
        <v>74.4536464247211</v>
      </c>
      <c r="H420" s="13">
        <v>25.466353575278902</v>
      </c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 ht="18" x14ac:dyDescent="0.35">
      <c r="A421" s="4">
        <v>420</v>
      </c>
      <c r="B421" s="4">
        <v>77.099999999999994</v>
      </c>
      <c r="E421" s="13"/>
      <c r="F421" s="13">
        <v>395</v>
      </c>
      <c r="G421" s="13">
        <v>74.541894277860493</v>
      </c>
      <c r="H421" s="13">
        <v>27.698105722139502</v>
      </c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spans="1:19" ht="18" x14ac:dyDescent="0.35">
      <c r="A422" s="4">
        <v>421</v>
      </c>
      <c r="B422" s="4">
        <v>80.34</v>
      </c>
      <c r="E422" s="13"/>
      <c r="F422" s="13">
        <v>396</v>
      </c>
      <c r="G422" s="13">
        <v>74.630142130999886</v>
      </c>
      <c r="H422" s="13">
        <v>24.969857869000109</v>
      </c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 ht="18" x14ac:dyDescent="0.35">
      <c r="A423" s="4">
        <v>422</v>
      </c>
      <c r="B423" s="4">
        <v>80.33</v>
      </c>
      <c r="E423" s="13"/>
      <c r="F423" s="13">
        <v>397</v>
      </c>
      <c r="G423" s="13">
        <v>74.718389984139264</v>
      </c>
      <c r="H423" s="13">
        <v>19.291610015860741</v>
      </c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 ht="18" x14ac:dyDescent="0.35">
      <c r="A424" s="4">
        <v>423</v>
      </c>
      <c r="B424" s="4">
        <v>76.510000000000005</v>
      </c>
      <c r="E424" s="13"/>
      <c r="F424" s="13">
        <v>398</v>
      </c>
      <c r="G424" s="13">
        <v>74.806637837278657</v>
      </c>
      <c r="H424" s="13">
        <v>19.843362162721348</v>
      </c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 ht="18" x14ac:dyDescent="0.35">
      <c r="A425" s="4">
        <v>424</v>
      </c>
      <c r="B425" s="4">
        <v>77.510000000000005</v>
      </c>
      <c r="E425" s="13"/>
      <c r="F425" s="13">
        <v>399</v>
      </c>
      <c r="G425" s="13">
        <v>74.89488569041805</v>
      </c>
      <c r="H425" s="13">
        <v>16.915114309581952</v>
      </c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 ht="18" x14ac:dyDescent="0.35">
      <c r="A426" s="4">
        <v>425</v>
      </c>
      <c r="B426" s="4">
        <v>78.510000000000005</v>
      </c>
      <c r="E426" s="13"/>
      <c r="F426" s="13">
        <v>400</v>
      </c>
      <c r="G426" s="13">
        <v>74.983133543557443</v>
      </c>
      <c r="H426" s="13">
        <v>19.486866456442556</v>
      </c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 ht="18" x14ac:dyDescent="0.35">
      <c r="A427" s="4">
        <v>426</v>
      </c>
      <c r="B427" s="4">
        <v>75.42</v>
      </c>
      <c r="E427" s="13"/>
      <c r="F427" s="13">
        <v>401</v>
      </c>
      <c r="G427" s="13">
        <v>75.071381396696836</v>
      </c>
      <c r="H427" s="13">
        <v>15.71861860330317</v>
      </c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 ht="18" x14ac:dyDescent="0.35">
      <c r="A428" s="4">
        <v>427</v>
      </c>
      <c r="B428" s="4">
        <v>77.540000000000006</v>
      </c>
      <c r="E428" s="13"/>
      <c r="F428" s="13">
        <v>402</v>
      </c>
      <c r="G428" s="13">
        <v>75.159629249836229</v>
      </c>
      <c r="H428" s="13">
        <v>10.130370750163777</v>
      </c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spans="1:19" ht="18" x14ac:dyDescent="0.35">
      <c r="A429" s="4">
        <v>428</v>
      </c>
      <c r="B429" s="4">
        <v>77.31</v>
      </c>
      <c r="E429" s="13"/>
      <c r="F429" s="13">
        <v>403</v>
      </c>
      <c r="G429" s="13">
        <v>75.247877102975622</v>
      </c>
      <c r="H429" s="13">
        <v>11.992122897024373</v>
      </c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spans="1:19" ht="18" x14ac:dyDescent="0.35">
      <c r="A430" s="4">
        <v>429</v>
      </c>
      <c r="B430" s="4">
        <v>69.599999999999994</v>
      </c>
      <c r="E430" s="13"/>
      <c r="F430" s="13">
        <v>404</v>
      </c>
      <c r="G430" s="13">
        <v>75.336124956115015</v>
      </c>
      <c r="H430" s="13">
        <v>8.1238750438849792</v>
      </c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spans="1:19" ht="18" x14ac:dyDescent="0.35">
      <c r="A431" s="4">
        <v>430</v>
      </c>
      <c r="B431" s="4">
        <v>69.33</v>
      </c>
      <c r="E431" s="13"/>
      <c r="F431" s="13">
        <v>405</v>
      </c>
      <c r="G431" s="13">
        <v>75.424372809254407</v>
      </c>
      <c r="H431" s="13">
        <v>4.6556271907455908</v>
      </c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spans="1:19" ht="18" x14ac:dyDescent="0.35">
      <c r="A432" s="4">
        <v>431</v>
      </c>
      <c r="B432" s="4">
        <v>73.790000000000006</v>
      </c>
      <c r="E432" s="13"/>
      <c r="F432" s="13">
        <v>406</v>
      </c>
      <c r="G432" s="13">
        <v>75.5126206623938</v>
      </c>
      <c r="H432" s="13">
        <v>12.707379337606199</v>
      </c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spans="1:19" ht="18" x14ac:dyDescent="0.35">
      <c r="A433" s="4">
        <v>432</v>
      </c>
      <c r="B433" s="4">
        <v>80.62</v>
      </c>
      <c r="E433" s="13"/>
      <c r="F433" s="13">
        <v>407</v>
      </c>
      <c r="G433" s="13">
        <v>75.600868515533193</v>
      </c>
      <c r="H433" s="13">
        <v>13.369131484466806</v>
      </c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spans="1:19" ht="18" x14ac:dyDescent="0.35">
      <c r="A434" s="4">
        <v>433</v>
      </c>
      <c r="B434" s="4">
        <v>81.87</v>
      </c>
      <c r="E434" s="13"/>
      <c r="F434" s="13">
        <v>408</v>
      </c>
      <c r="G434" s="13">
        <v>75.689116368672572</v>
      </c>
      <c r="H434" s="13">
        <v>9.6708836313274276</v>
      </c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spans="1:19" ht="18" x14ac:dyDescent="0.35">
      <c r="A435" s="4">
        <v>434</v>
      </c>
      <c r="B435" s="4">
        <v>79.22</v>
      </c>
      <c r="E435" s="13"/>
      <c r="F435" s="13">
        <v>409</v>
      </c>
      <c r="G435" s="13">
        <v>75.777364221811965</v>
      </c>
      <c r="H435" s="13">
        <v>12.09263577818804</v>
      </c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spans="1:19" ht="18" x14ac:dyDescent="0.35">
      <c r="A436" s="4">
        <v>435</v>
      </c>
      <c r="B436" s="4">
        <v>76.31</v>
      </c>
      <c r="E436" s="13"/>
      <c r="F436" s="13">
        <v>410</v>
      </c>
      <c r="G436" s="13">
        <v>75.865612074951358</v>
      </c>
      <c r="H436" s="13">
        <v>13.274387925048643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spans="1:19" ht="18" x14ac:dyDescent="0.35">
      <c r="A437" s="4">
        <v>436</v>
      </c>
      <c r="B437" s="4">
        <v>71.16</v>
      </c>
      <c r="E437" s="13"/>
      <c r="F437" s="13">
        <v>411</v>
      </c>
      <c r="G437" s="13">
        <v>75.953859928090736</v>
      </c>
      <c r="H437" s="13">
        <v>12.45614007190926</v>
      </c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spans="1:19" ht="18" x14ac:dyDescent="0.35">
      <c r="A438" s="4">
        <v>437</v>
      </c>
      <c r="B438" s="4">
        <v>72.03</v>
      </c>
      <c r="E438" s="13"/>
      <c r="F438" s="13">
        <v>412</v>
      </c>
      <c r="G438" s="13">
        <v>76.042107781230129</v>
      </c>
      <c r="H438" s="13">
        <v>7.9778922187698669</v>
      </c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spans="1:19" ht="18" x14ac:dyDescent="0.35">
      <c r="A439" s="4">
        <v>438</v>
      </c>
      <c r="B439" s="4">
        <v>71.62</v>
      </c>
      <c r="E439" s="13"/>
      <c r="F439" s="13">
        <v>413</v>
      </c>
      <c r="G439" s="13">
        <v>76.130355634369522</v>
      </c>
      <c r="H439" s="13">
        <v>2.6096443656304729</v>
      </c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spans="1:19" ht="18" x14ac:dyDescent="0.35">
      <c r="A440" s="4">
        <v>439</v>
      </c>
      <c r="B440" s="4">
        <v>72.62</v>
      </c>
      <c r="E440" s="13"/>
      <c r="F440" s="13">
        <v>414</v>
      </c>
      <c r="G440" s="13">
        <v>76.218603487508915</v>
      </c>
      <c r="H440" s="13">
        <v>3.0713965124910914</v>
      </c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spans="1:19" ht="18" x14ac:dyDescent="0.35">
      <c r="A441" s="4">
        <v>440</v>
      </c>
      <c r="B441" s="4">
        <v>69.849999999999994</v>
      </c>
      <c r="E441" s="13"/>
      <c r="F441" s="13">
        <v>415</v>
      </c>
      <c r="G441" s="13">
        <v>76.306851340648308</v>
      </c>
      <c r="H441" s="13">
        <v>-3.2468513406483055</v>
      </c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spans="1:19" ht="18" x14ac:dyDescent="0.35">
      <c r="A442" s="4">
        <v>441</v>
      </c>
      <c r="B442" s="4">
        <v>71.56</v>
      </c>
      <c r="E442" s="13"/>
      <c r="F442" s="13">
        <v>416</v>
      </c>
      <c r="G442" s="13">
        <v>76.395099193787701</v>
      </c>
      <c r="H442" s="13">
        <v>-1.2750991937876961</v>
      </c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spans="1:19" ht="18" x14ac:dyDescent="0.35">
      <c r="A443" s="4">
        <v>442</v>
      </c>
      <c r="B443" s="4">
        <v>69.42</v>
      </c>
      <c r="E443" s="13"/>
      <c r="F443" s="13">
        <v>417</v>
      </c>
      <c r="G443" s="13">
        <v>76.483347046927094</v>
      </c>
      <c r="H443" s="13">
        <v>0.79665295307290762</v>
      </c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spans="1:19" ht="18" x14ac:dyDescent="0.35">
      <c r="A444" s="4">
        <v>443</v>
      </c>
      <c r="B444" s="4">
        <v>70.41</v>
      </c>
      <c r="E444" s="13"/>
      <c r="F444" s="13">
        <v>418</v>
      </c>
      <c r="G444" s="13">
        <v>76.571594900066486</v>
      </c>
      <c r="H444" s="13">
        <v>2.6584050999335176</v>
      </c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 ht="18" x14ac:dyDescent="0.35">
      <c r="A445" s="4">
        <v>444</v>
      </c>
      <c r="B445" s="4">
        <v>69.36</v>
      </c>
      <c r="E445" s="13"/>
      <c r="F445" s="13">
        <v>419</v>
      </c>
      <c r="G445" s="13">
        <v>76.659842753205879</v>
      </c>
      <c r="H445" s="13">
        <v>-2.3898427532058832</v>
      </c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 ht="18" x14ac:dyDescent="0.35">
      <c r="A446" s="4">
        <v>445</v>
      </c>
      <c r="B446" s="4">
        <v>71.790000000000006</v>
      </c>
      <c r="E446" s="13"/>
      <c r="F446" s="13">
        <v>420</v>
      </c>
      <c r="G446" s="13">
        <v>76.748090606345272</v>
      </c>
      <c r="H446" s="13">
        <v>0.35190939365472218</v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spans="1:19" ht="18" x14ac:dyDescent="0.35">
      <c r="A447" s="4">
        <v>446</v>
      </c>
      <c r="B447" s="4">
        <v>75.2</v>
      </c>
      <c r="E447" s="13"/>
      <c r="F447" s="13">
        <v>421</v>
      </c>
      <c r="G447" s="13">
        <v>76.836338459484665</v>
      </c>
      <c r="H447" s="13">
        <v>3.5036615405153384</v>
      </c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 ht="18" x14ac:dyDescent="0.35">
      <c r="A448" s="4">
        <v>447</v>
      </c>
      <c r="B448" s="4">
        <v>75.61</v>
      </c>
      <c r="E448" s="13"/>
      <c r="F448" s="13">
        <v>422</v>
      </c>
      <c r="G448" s="13">
        <v>76.924586312624044</v>
      </c>
      <c r="H448" s="13">
        <v>3.4054136873759546</v>
      </c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 ht="18" x14ac:dyDescent="0.35">
      <c r="A449" s="4">
        <v>448</v>
      </c>
      <c r="B449" s="4">
        <v>79.680000000000007</v>
      </c>
      <c r="E449" s="13"/>
      <c r="F449" s="13">
        <v>423</v>
      </c>
      <c r="G449" s="13">
        <v>77.012834165763437</v>
      </c>
      <c r="H449" s="13">
        <v>-0.50283416576343143</v>
      </c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 ht="18" x14ac:dyDescent="0.35">
      <c r="A450" s="4">
        <v>449</v>
      </c>
      <c r="B450" s="4">
        <v>81.400000000000006</v>
      </c>
      <c r="E450" s="13"/>
      <c r="F450" s="13">
        <v>424</v>
      </c>
      <c r="G450" s="13">
        <v>77.101082018902829</v>
      </c>
      <c r="H450" s="13">
        <v>0.4089179810971757</v>
      </c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 ht="18" x14ac:dyDescent="0.35">
      <c r="A451" s="4">
        <v>450</v>
      </c>
      <c r="B451" s="4">
        <v>83.04</v>
      </c>
      <c r="E451" s="13"/>
      <c r="F451" s="13">
        <v>425</v>
      </c>
      <c r="G451" s="13">
        <v>77.189329872042208</v>
      </c>
      <c r="H451" s="13">
        <v>1.320670127957797</v>
      </c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 ht="18" x14ac:dyDescent="0.35">
      <c r="A452" s="4">
        <v>451</v>
      </c>
      <c r="B452" s="4">
        <v>80.930000000000007</v>
      </c>
      <c r="E452" s="13"/>
      <c r="F452" s="13">
        <v>426</v>
      </c>
      <c r="G452" s="13">
        <v>77.277577725181601</v>
      </c>
      <c r="H452" s="13">
        <v>-1.8575777251815992</v>
      </c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 ht="18" x14ac:dyDescent="0.35">
      <c r="A453" s="4">
        <v>452</v>
      </c>
      <c r="B453" s="4">
        <v>79.97</v>
      </c>
      <c r="E453" s="13"/>
      <c r="F453" s="13">
        <v>427</v>
      </c>
      <c r="G453" s="13">
        <v>77.365825578320994</v>
      </c>
      <c r="H453" s="13">
        <v>0.17417442167901243</v>
      </c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spans="1:19" ht="18" x14ac:dyDescent="0.35">
      <c r="A454" s="4">
        <v>453</v>
      </c>
      <c r="B454" s="4">
        <v>82.5</v>
      </c>
      <c r="E454" s="13"/>
      <c r="F454" s="13">
        <v>428</v>
      </c>
      <c r="G454" s="13">
        <v>77.454073431460387</v>
      </c>
      <c r="H454" s="13">
        <v>-0.14407343146038443</v>
      </c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spans="1:19" ht="18" x14ac:dyDescent="0.35">
      <c r="A455" s="4">
        <v>454</v>
      </c>
      <c r="B455" s="4">
        <v>87.17</v>
      </c>
      <c r="E455" s="13"/>
      <c r="F455" s="13">
        <v>429</v>
      </c>
      <c r="G455" s="13">
        <v>77.54232128459978</v>
      </c>
      <c r="H455" s="13">
        <v>-7.9423212845997853</v>
      </c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spans="1:19" ht="18" x14ac:dyDescent="0.35">
      <c r="A456" s="4">
        <v>455</v>
      </c>
      <c r="B456" s="4">
        <v>89.14</v>
      </c>
      <c r="E456" s="13"/>
      <c r="F456" s="13">
        <v>430</v>
      </c>
      <c r="G456" s="13">
        <v>77.630569137739172</v>
      </c>
      <c r="H456" s="13">
        <v>-8.3005691377391742</v>
      </c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spans="1:19" ht="18" x14ac:dyDescent="0.35">
      <c r="A457" s="4">
        <v>456</v>
      </c>
      <c r="B457" s="4">
        <v>90.28</v>
      </c>
      <c r="E457" s="13"/>
      <c r="F457" s="13">
        <v>431</v>
      </c>
      <c r="G457" s="13">
        <v>77.718816990878565</v>
      </c>
      <c r="H457" s="13">
        <v>-3.9288169908785591</v>
      </c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spans="1:19" ht="18" x14ac:dyDescent="0.35">
      <c r="A458" s="4">
        <v>457</v>
      </c>
      <c r="B458" s="4">
        <v>91.44</v>
      </c>
      <c r="E458" s="13"/>
      <c r="F458" s="13">
        <v>432</v>
      </c>
      <c r="G458" s="13">
        <v>77.807064844017958</v>
      </c>
      <c r="H458" s="13">
        <v>2.8129351559820464</v>
      </c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spans="1:19" ht="18" x14ac:dyDescent="0.35">
      <c r="A459" s="4">
        <v>458</v>
      </c>
      <c r="B459" s="4">
        <v>85.5</v>
      </c>
      <c r="E459" s="13"/>
      <c r="F459" s="13">
        <v>433</v>
      </c>
      <c r="G459" s="13">
        <v>77.895312697157351</v>
      </c>
      <c r="H459" s="13">
        <v>3.9746873028426535</v>
      </c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spans="1:19" ht="18" x14ac:dyDescent="0.35">
      <c r="A460" s="4">
        <v>459</v>
      </c>
      <c r="B460" s="4">
        <v>85.03</v>
      </c>
      <c r="E460" s="13"/>
      <c r="F460" s="13">
        <v>434</v>
      </c>
      <c r="G460" s="13">
        <v>77.983560550296744</v>
      </c>
      <c r="H460" s="13">
        <v>1.2364394497032549</v>
      </c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spans="1:19" ht="18" x14ac:dyDescent="0.35">
      <c r="A461" s="4">
        <v>460</v>
      </c>
      <c r="B461" s="4">
        <v>88.03</v>
      </c>
      <c r="E461" s="13"/>
      <c r="F461" s="13">
        <v>435</v>
      </c>
      <c r="G461" s="13">
        <v>78.071808403436137</v>
      </c>
      <c r="H461" s="13">
        <v>-1.7618084034361345</v>
      </c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spans="1:19" ht="18" x14ac:dyDescent="0.35">
      <c r="A462" s="4">
        <v>461</v>
      </c>
      <c r="B462" s="4">
        <v>85.2</v>
      </c>
      <c r="E462" s="13"/>
      <c r="F462" s="13">
        <v>436</v>
      </c>
      <c r="G462" s="13">
        <v>78.160056256575515</v>
      </c>
      <c r="H462" s="13">
        <v>-7.0000562565755189</v>
      </c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spans="1:19" ht="18" x14ac:dyDescent="0.35">
      <c r="A463" s="4">
        <v>462</v>
      </c>
      <c r="B463" s="4">
        <v>81.99</v>
      </c>
      <c r="E463" s="13"/>
      <c r="F463" s="13">
        <v>437</v>
      </c>
      <c r="G463" s="13">
        <v>78.248304109714908</v>
      </c>
      <c r="H463" s="13">
        <v>-6.2183041097149072</v>
      </c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spans="1:19" ht="18" x14ac:dyDescent="0.35">
      <c r="A464" s="4">
        <v>463</v>
      </c>
      <c r="B464" s="4">
        <v>77.92</v>
      </c>
      <c r="E464" s="13"/>
      <c r="F464" s="13">
        <v>438</v>
      </c>
      <c r="G464" s="13">
        <v>78.336551962854301</v>
      </c>
      <c r="H464" s="13">
        <v>-6.7165519628542967</v>
      </c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spans="1:19" ht="18" x14ac:dyDescent="0.35">
      <c r="A465" s="4">
        <v>464</v>
      </c>
      <c r="B465" s="4">
        <v>76.98</v>
      </c>
      <c r="E465" s="13"/>
      <c r="F465" s="13">
        <v>439</v>
      </c>
      <c r="G465" s="13">
        <v>78.424799815993694</v>
      </c>
      <c r="H465" s="13">
        <v>-5.8047998159936895</v>
      </c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spans="1:19" ht="18" x14ac:dyDescent="0.35">
      <c r="A466" s="4">
        <v>465</v>
      </c>
      <c r="B466" s="4">
        <v>77.02</v>
      </c>
      <c r="E466" s="13"/>
      <c r="F466" s="13">
        <v>440</v>
      </c>
      <c r="G466" s="13">
        <v>78.513047669133073</v>
      </c>
      <c r="H466" s="13">
        <v>-8.6630476691330784</v>
      </c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spans="1:19" ht="18" x14ac:dyDescent="0.35">
      <c r="A467" s="4">
        <v>466</v>
      </c>
      <c r="B467" s="4">
        <v>75.489999999999995</v>
      </c>
      <c r="E467" s="13"/>
      <c r="F467" s="13">
        <v>441</v>
      </c>
      <c r="G467" s="13">
        <v>78.601295522272466</v>
      </c>
      <c r="H467" s="13">
        <v>-7.0412955222724634</v>
      </c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spans="1:19" ht="18" x14ac:dyDescent="0.35">
      <c r="A468" s="4">
        <v>467</v>
      </c>
      <c r="B468" s="4">
        <v>70.709999999999994</v>
      </c>
      <c r="E468" s="13"/>
      <c r="F468" s="13">
        <v>442</v>
      </c>
      <c r="G468" s="13">
        <v>78.689543375411859</v>
      </c>
      <c r="H468" s="13">
        <v>-9.2695433754118568</v>
      </c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spans="1:19" ht="18" x14ac:dyDescent="0.35">
      <c r="A469" s="4">
        <v>468</v>
      </c>
      <c r="B469" s="4">
        <v>70.11</v>
      </c>
      <c r="E469" s="13"/>
      <c r="F469" s="13">
        <v>443</v>
      </c>
      <c r="G469" s="13">
        <v>78.777791228551251</v>
      </c>
      <c r="H469" s="13">
        <v>-8.3677912285512548</v>
      </c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 ht="18" x14ac:dyDescent="0.35">
      <c r="A470" s="4">
        <v>469</v>
      </c>
      <c r="B470" s="4">
        <v>73.23</v>
      </c>
      <c r="E470" s="13"/>
      <c r="F470" s="13">
        <v>444</v>
      </c>
      <c r="G470" s="13">
        <v>78.866039081690644</v>
      </c>
      <c r="H470" s="13">
        <v>-9.5060390816906448</v>
      </c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 ht="18" x14ac:dyDescent="0.35">
      <c r="A471" s="4">
        <v>470</v>
      </c>
      <c r="B471" s="4">
        <v>73.52</v>
      </c>
      <c r="E471" s="13"/>
      <c r="F471" s="13">
        <v>445</v>
      </c>
      <c r="G471" s="13">
        <v>78.954286934830037</v>
      </c>
      <c r="H471" s="13">
        <v>-7.1642869348300309</v>
      </c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spans="1:19" ht="18" x14ac:dyDescent="0.35">
      <c r="E472" s="13"/>
      <c r="F472" s="13">
        <v>446</v>
      </c>
      <c r="G472" s="13">
        <v>79.04253478796943</v>
      </c>
      <c r="H472" s="13">
        <v>-3.8425347879694272</v>
      </c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 ht="18" x14ac:dyDescent="0.35">
      <c r="E473" s="13"/>
      <c r="F473" s="13">
        <v>447</v>
      </c>
      <c r="G473" s="13">
        <v>79.130782641108823</v>
      </c>
      <c r="H473" s="13">
        <v>-3.5207826411088234</v>
      </c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 ht="18" x14ac:dyDescent="0.35">
      <c r="E474" s="13"/>
      <c r="F474" s="13">
        <v>448</v>
      </c>
      <c r="G474" s="13">
        <v>79.219030494248216</v>
      </c>
      <c r="H474" s="13">
        <v>0.46096950575179108</v>
      </c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 ht="18" x14ac:dyDescent="0.35">
      <c r="E475" s="13"/>
      <c r="F475" s="13">
        <v>449</v>
      </c>
      <c r="G475" s="13">
        <v>79.307278347387609</v>
      </c>
      <c r="H475" s="13">
        <v>2.0927216526123971</v>
      </c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 ht="18" x14ac:dyDescent="0.35">
      <c r="E476" s="13"/>
      <c r="F476" s="13">
        <v>450</v>
      </c>
      <c r="G476" s="13">
        <v>79.395526200526987</v>
      </c>
      <c r="H476" s="13">
        <v>3.644473799473019</v>
      </c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 ht="18" x14ac:dyDescent="0.35">
      <c r="E477" s="13"/>
      <c r="F477" s="13">
        <v>451</v>
      </c>
      <c r="G477" s="13">
        <v>79.48377405366638</v>
      </c>
      <c r="H477" s="13">
        <v>1.4462259463336267</v>
      </c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 ht="18" x14ac:dyDescent="0.35">
      <c r="E478" s="13"/>
      <c r="F478" s="13">
        <v>452</v>
      </c>
      <c r="G478" s="13">
        <v>79.572021906805773</v>
      </c>
      <c r="H478" s="13">
        <v>0.39797809319422583</v>
      </c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spans="1:19" ht="18" x14ac:dyDescent="0.35">
      <c r="E479" s="13"/>
      <c r="F479" s="13">
        <v>453</v>
      </c>
      <c r="G479" s="13">
        <v>79.660269759945166</v>
      </c>
      <c r="H479" s="13">
        <v>2.8397302400548341</v>
      </c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spans="1:19" ht="18" x14ac:dyDescent="0.35">
      <c r="E480" s="13"/>
      <c r="F480" s="13">
        <v>454</v>
      </c>
      <c r="G480" s="13">
        <v>79.748517613084545</v>
      </c>
      <c r="H480" s="13">
        <v>7.4214823869154571</v>
      </c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spans="5:19" ht="18" x14ac:dyDescent="0.35">
      <c r="E481" s="13"/>
      <c r="F481" s="13">
        <v>455</v>
      </c>
      <c r="G481" s="13">
        <v>79.836765466223937</v>
      </c>
      <c r="H481" s="13">
        <v>9.3032345337760631</v>
      </c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spans="5:19" ht="18" x14ac:dyDescent="0.35">
      <c r="E482" s="13"/>
      <c r="F482" s="13">
        <v>456</v>
      </c>
      <c r="G482" s="13">
        <v>79.92501331936333</v>
      </c>
      <c r="H482" s="13">
        <v>10.354986680636671</v>
      </c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spans="5:19" ht="18" x14ac:dyDescent="0.35">
      <c r="E483" s="13"/>
      <c r="F483" s="13">
        <v>457</v>
      </c>
      <c r="G483" s="13">
        <v>80.013261172502723</v>
      </c>
      <c r="H483" s="13">
        <v>11.426738827497275</v>
      </c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spans="5:19" ht="18" x14ac:dyDescent="0.35">
      <c r="E484" s="13"/>
      <c r="F484" s="13">
        <v>458</v>
      </c>
      <c r="G484" s="13">
        <v>80.101509025642116</v>
      </c>
      <c r="H484" s="13">
        <v>5.3984909743578839</v>
      </c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spans="5:19" ht="18" x14ac:dyDescent="0.35">
      <c r="E485" s="13"/>
      <c r="F485" s="13">
        <v>459</v>
      </c>
      <c r="G485" s="13">
        <v>80.189756878781509</v>
      </c>
      <c r="H485" s="13">
        <v>4.8402431212184922</v>
      </c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spans="5:19" ht="18" x14ac:dyDescent="0.35">
      <c r="E486" s="13"/>
      <c r="F486" s="13">
        <v>460</v>
      </c>
      <c r="G486" s="13">
        <v>80.278004731920902</v>
      </c>
      <c r="H486" s="13">
        <v>7.7519952680790993</v>
      </c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5:19" ht="18" x14ac:dyDescent="0.35">
      <c r="E487" s="13"/>
      <c r="F487" s="13">
        <v>461</v>
      </c>
      <c r="G487" s="13">
        <v>80.366252585060295</v>
      </c>
      <c r="H487" s="13">
        <v>4.8337474149397082</v>
      </c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spans="5:19" ht="18" x14ac:dyDescent="0.35">
      <c r="E488" s="13"/>
      <c r="F488" s="13">
        <v>462</v>
      </c>
      <c r="G488" s="13">
        <v>80.454500438199688</v>
      </c>
      <c r="H488" s="13">
        <v>1.5354995618003073</v>
      </c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spans="5:19" ht="18" x14ac:dyDescent="0.35">
      <c r="E489" s="13"/>
      <c r="F489" s="13">
        <v>463</v>
      </c>
      <c r="G489" s="13">
        <v>80.54274829133908</v>
      </c>
      <c r="H489" s="13">
        <v>-2.6227482913390787</v>
      </c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spans="5:19" ht="18" x14ac:dyDescent="0.35">
      <c r="E490" s="13"/>
      <c r="F490" s="13">
        <v>464</v>
      </c>
      <c r="G490" s="13">
        <v>80.630996144478473</v>
      </c>
      <c r="H490" s="13">
        <v>-3.6509961444784693</v>
      </c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spans="5:19" ht="18" x14ac:dyDescent="0.35">
      <c r="E491" s="13"/>
      <c r="F491" s="13">
        <v>465</v>
      </c>
      <c r="G491" s="13">
        <v>80.719243997617852</v>
      </c>
      <c r="H491" s="13">
        <v>-3.6992439976178559</v>
      </c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spans="5:19" ht="18" x14ac:dyDescent="0.35">
      <c r="E492" s="13"/>
      <c r="F492" s="13">
        <v>466</v>
      </c>
      <c r="G492" s="13">
        <v>80.807491850757245</v>
      </c>
      <c r="H492" s="13">
        <v>-5.3174918507572499</v>
      </c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spans="5:19" ht="18" x14ac:dyDescent="0.35">
      <c r="E493" s="13"/>
      <c r="F493" s="13">
        <v>467</v>
      </c>
      <c r="G493" s="13">
        <v>80.895739703896638</v>
      </c>
      <c r="H493" s="13">
        <v>-10.185739703896644</v>
      </c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spans="5:19" ht="18" x14ac:dyDescent="0.35">
      <c r="E494" s="13"/>
      <c r="F494" s="13">
        <v>468</v>
      </c>
      <c r="G494" s="13">
        <v>80.983987557036016</v>
      </c>
      <c r="H494" s="13">
        <v>-10.873987557036017</v>
      </c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5:19" ht="18" x14ac:dyDescent="0.35">
      <c r="E495" s="13"/>
      <c r="F495" s="13">
        <v>469</v>
      </c>
      <c r="G495" s="13">
        <v>81.072235410175409</v>
      </c>
      <c r="H495" s="13">
        <v>-7.8422354101754053</v>
      </c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5:19" ht="18.600000000000001" thickBot="1" x14ac:dyDescent="0.4">
      <c r="E496" s="13"/>
      <c r="F496" s="24">
        <v>470</v>
      </c>
      <c r="G496" s="24">
        <v>81.160483263314802</v>
      </c>
      <c r="H496" s="24">
        <v>-7.6404832633148061</v>
      </c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</sheetData>
  <mergeCells count="1">
    <mergeCell ref="I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5CF-EAB6-4222-9F71-9A0773A71DED}">
  <sheetPr>
    <tabColor theme="7" tint="0.79998168889431442"/>
  </sheetPr>
  <dimension ref="A1:R496"/>
  <sheetViews>
    <sheetView zoomScale="66" workbookViewId="0">
      <selection activeCell="L37" sqref="L37"/>
    </sheetView>
  </sheetViews>
  <sheetFormatPr defaultRowHeight="14.4" x14ac:dyDescent="0.3"/>
  <cols>
    <col min="1" max="1" width="25.109375" customWidth="1"/>
    <col min="2" max="2" width="21.88671875" customWidth="1"/>
    <col min="6" max="6" width="24.77734375" customWidth="1"/>
    <col min="7" max="7" width="17.33203125" customWidth="1"/>
    <col min="8" max="8" width="16.77734375" customWidth="1"/>
    <col min="9" max="9" width="19.77734375" customWidth="1"/>
    <col min="10" max="10" width="14.21875" customWidth="1"/>
    <col min="11" max="11" width="15.88671875" customWidth="1"/>
  </cols>
  <sheetData>
    <row r="1" spans="1:18" ht="54" x14ac:dyDescent="0.35">
      <c r="A1" s="6" t="s">
        <v>29</v>
      </c>
      <c r="B1" s="6" t="s">
        <v>30</v>
      </c>
      <c r="C1" s="11" t="s">
        <v>32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8" x14ac:dyDescent="0.35">
      <c r="A2" s="4">
        <v>1</v>
      </c>
      <c r="B2" s="30">
        <v>53.44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8" x14ac:dyDescent="0.35">
      <c r="A3" s="4">
        <v>2</v>
      </c>
      <c r="B3" s="4">
        <v>48.77</v>
      </c>
      <c r="C3" s="4">
        <v>53.44</v>
      </c>
      <c r="E3" s="13"/>
      <c r="F3" s="13" t="s">
        <v>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8.600000000000001" thickBot="1" x14ac:dyDescent="0.4">
      <c r="A4" s="7">
        <v>3</v>
      </c>
      <c r="B4" s="7">
        <v>47.07</v>
      </c>
      <c r="C4" s="4">
        <v>48.77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8" x14ac:dyDescent="0.35">
      <c r="A5" s="7">
        <v>4</v>
      </c>
      <c r="B5" s="7">
        <v>46.46</v>
      </c>
      <c r="C5" s="7">
        <v>47.07</v>
      </c>
      <c r="E5" s="13"/>
      <c r="F5" s="27" t="s">
        <v>1</v>
      </c>
      <c r="G5" s="27"/>
      <c r="H5" s="13"/>
      <c r="I5" s="39" t="s">
        <v>37</v>
      </c>
      <c r="J5" s="39"/>
      <c r="K5" s="13"/>
      <c r="L5" s="13"/>
      <c r="M5" s="13"/>
      <c r="N5" s="13"/>
      <c r="O5" s="13"/>
      <c r="P5" s="13"/>
      <c r="Q5" s="13"/>
      <c r="R5" s="13"/>
    </row>
    <row r="6" spans="1:18" ht="18" x14ac:dyDescent="0.35">
      <c r="A6" s="7">
        <v>5</v>
      </c>
      <c r="B6" s="7">
        <v>45.32</v>
      </c>
      <c r="C6" s="7">
        <v>46.46</v>
      </c>
      <c r="E6" s="13"/>
      <c r="F6" s="13" t="s">
        <v>2</v>
      </c>
      <c r="G6" s="13">
        <v>0.98688187142841022</v>
      </c>
      <c r="H6" s="13"/>
      <c r="I6" s="21">
        <f>G20*B471+G19</f>
        <v>73.396091592249292</v>
      </c>
      <c r="J6" s="21" t="s">
        <v>38</v>
      </c>
      <c r="K6" s="13"/>
      <c r="L6" s="13"/>
      <c r="M6" s="13"/>
      <c r="N6" s="13"/>
      <c r="O6" s="13"/>
      <c r="P6" s="13"/>
      <c r="Q6" s="13"/>
      <c r="R6" s="13"/>
    </row>
    <row r="7" spans="1:18" ht="18" x14ac:dyDescent="0.35">
      <c r="A7" s="7">
        <v>6</v>
      </c>
      <c r="B7" s="7">
        <v>50.58</v>
      </c>
      <c r="C7" s="7">
        <v>45.32</v>
      </c>
      <c r="E7" s="13"/>
      <c r="F7" s="13" t="s">
        <v>3</v>
      </c>
      <c r="G7" s="13">
        <v>0.97393582815404101</v>
      </c>
      <c r="H7" s="13"/>
      <c r="I7" s="21">
        <f>G20*I6+G19</f>
        <v>73.273762392950204</v>
      </c>
      <c r="J7" s="21" t="s">
        <v>39</v>
      </c>
      <c r="K7" s="13"/>
      <c r="L7" s="13"/>
      <c r="M7" s="13"/>
      <c r="N7" s="13"/>
      <c r="O7" s="13"/>
      <c r="P7" s="13"/>
      <c r="Q7" s="13"/>
      <c r="R7" s="13"/>
    </row>
    <row r="8" spans="1:18" ht="18" x14ac:dyDescent="0.35">
      <c r="A8" s="7">
        <v>7</v>
      </c>
      <c r="B8" s="7">
        <v>51.14</v>
      </c>
      <c r="C8" s="7">
        <v>50.58</v>
      </c>
      <c r="E8" s="13"/>
      <c r="F8" s="13" t="s">
        <v>4</v>
      </c>
      <c r="G8" s="13">
        <v>0.97388001622289344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ht="18" x14ac:dyDescent="0.35">
      <c r="A9" s="7">
        <v>8</v>
      </c>
      <c r="B9" s="7">
        <v>51.69</v>
      </c>
      <c r="C9" s="7">
        <v>51.14</v>
      </c>
      <c r="E9" s="13"/>
      <c r="F9" s="13" t="s">
        <v>5</v>
      </c>
      <c r="G9" s="13">
        <v>2.992679222631589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18.600000000000001" thickBot="1" x14ac:dyDescent="0.4">
      <c r="A10" s="7">
        <v>9</v>
      </c>
      <c r="B10" s="7">
        <v>49.16</v>
      </c>
      <c r="C10" s="7">
        <v>51.69</v>
      </c>
      <c r="E10" s="13"/>
      <c r="F10" s="24" t="s">
        <v>6</v>
      </c>
      <c r="G10" s="24">
        <v>469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18" x14ac:dyDescent="0.35">
      <c r="A11" s="4">
        <v>10</v>
      </c>
      <c r="B11" s="4">
        <v>50.38</v>
      </c>
      <c r="C11" s="7">
        <v>49.16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18.600000000000001" thickBot="1" x14ac:dyDescent="0.4">
      <c r="A12" s="4">
        <v>11</v>
      </c>
      <c r="B12" s="4">
        <v>47.69</v>
      </c>
      <c r="C12" s="4">
        <v>50.38</v>
      </c>
      <c r="E12" s="13"/>
      <c r="F12" s="13" t="s">
        <v>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8" x14ac:dyDescent="0.35">
      <c r="A13" s="4">
        <v>12</v>
      </c>
      <c r="B13" s="4">
        <v>44.39</v>
      </c>
      <c r="C13" s="4">
        <v>47.69</v>
      </c>
      <c r="E13" s="13"/>
      <c r="F13" s="23"/>
      <c r="G13" s="23" t="s">
        <v>12</v>
      </c>
      <c r="H13" s="23" t="s">
        <v>13</v>
      </c>
      <c r="I13" s="23" t="s">
        <v>14</v>
      </c>
      <c r="J13" s="23" t="s">
        <v>15</v>
      </c>
      <c r="K13" s="23" t="s">
        <v>16</v>
      </c>
      <c r="L13" s="13"/>
      <c r="M13" s="13"/>
      <c r="N13" s="13"/>
      <c r="O13" s="13"/>
      <c r="P13" s="13"/>
      <c r="Q13" s="13"/>
      <c r="R13" s="13"/>
    </row>
    <row r="14" spans="1:18" ht="18" x14ac:dyDescent="0.35">
      <c r="A14" s="4">
        <v>13</v>
      </c>
      <c r="B14" s="4">
        <v>48.68</v>
      </c>
      <c r="C14" s="4">
        <v>44.39</v>
      </c>
      <c r="E14" s="13"/>
      <c r="F14" s="13" t="s">
        <v>8</v>
      </c>
      <c r="G14" s="13">
        <v>1</v>
      </c>
      <c r="H14" s="13">
        <v>156287.27884362175</v>
      </c>
      <c r="I14" s="13">
        <v>156287.27884362175</v>
      </c>
      <c r="J14" s="13">
        <v>17450.315875601318</v>
      </c>
      <c r="K14" s="13">
        <v>0</v>
      </c>
      <c r="L14" s="13"/>
      <c r="M14" s="13"/>
      <c r="N14" s="13"/>
      <c r="O14" s="13"/>
      <c r="P14" s="13"/>
      <c r="Q14" s="13"/>
      <c r="R14" s="13"/>
    </row>
    <row r="15" spans="1:18" ht="18" x14ac:dyDescent="0.35">
      <c r="A15" s="4">
        <v>14</v>
      </c>
      <c r="B15" s="4">
        <v>48.91</v>
      </c>
      <c r="C15" s="4">
        <v>48.68</v>
      </c>
      <c r="E15" s="13"/>
      <c r="F15" s="13" t="s">
        <v>9</v>
      </c>
      <c r="G15" s="13">
        <v>467</v>
      </c>
      <c r="H15" s="13">
        <v>4182.5122101095685</v>
      </c>
      <c r="I15" s="13">
        <v>8.9561289295708111</v>
      </c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8.600000000000001" thickBot="1" x14ac:dyDescent="0.4">
      <c r="A16" s="4">
        <v>15</v>
      </c>
      <c r="B16" s="4">
        <v>51.78</v>
      </c>
      <c r="C16" s="4">
        <v>48.91</v>
      </c>
      <c r="E16" s="13"/>
      <c r="F16" s="24" t="s">
        <v>10</v>
      </c>
      <c r="G16" s="24">
        <v>468</v>
      </c>
      <c r="H16" s="24">
        <v>160469.79105373131</v>
      </c>
      <c r="I16" s="24"/>
      <c r="J16" s="24"/>
      <c r="K16" s="24"/>
      <c r="L16" s="13"/>
      <c r="M16" s="13"/>
      <c r="N16" s="13"/>
      <c r="O16" s="13"/>
      <c r="P16" s="13"/>
      <c r="Q16" s="13"/>
      <c r="R16" s="13"/>
    </row>
    <row r="17" spans="1:18" ht="18.600000000000001" thickBot="1" x14ac:dyDescent="0.4">
      <c r="A17" s="4">
        <v>16</v>
      </c>
      <c r="B17" s="4">
        <v>54.78</v>
      </c>
      <c r="C17" s="4">
        <v>51.78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8" x14ac:dyDescent="0.35">
      <c r="A18" s="4">
        <v>17</v>
      </c>
      <c r="B18" s="4">
        <v>56.14</v>
      </c>
      <c r="C18" s="4">
        <v>54.78</v>
      </c>
      <c r="E18" s="13"/>
      <c r="F18" s="23"/>
      <c r="G18" s="23" t="s">
        <v>17</v>
      </c>
      <c r="H18" s="23" t="s">
        <v>5</v>
      </c>
      <c r="I18" s="23" t="s">
        <v>18</v>
      </c>
      <c r="J18" s="23" t="s">
        <v>19</v>
      </c>
      <c r="K18" s="23" t="s">
        <v>20</v>
      </c>
      <c r="L18" s="23" t="s">
        <v>21</v>
      </c>
      <c r="M18" s="23" t="s">
        <v>22</v>
      </c>
      <c r="N18" s="23" t="s">
        <v>23</v>
      </c>
      <c r="O18" s="13"/>
      <c r="P18" s="13"/>
      <c r="Q18" s="13"/>
      <c r="R18" s="13"/>
    </row>
    <row r="19" spans="1:18" ht="18" x14ac:dyDescent="0.35">
      <c r="A19" s="4">
        <v>18</v>
      </c>
      <c r="B19" s="4">
        <v>57.98</v>
      </c>
      <c r="C19" s="4">
        <v>56.14</v>
      </c>
      <c r="E19" s="13"/>
      <c r="F19" s="13" t="s">
        <v>11</v>
      </c>
      <c r="G19" s="13">
        <v>0.81310149714953894</v>
      </c>
      <c r="H19" s="13">
        <v>0.47235699526272812</v>
      </c>
      <c r="I19" s="13">
        <v>1.7213707117797343</v>
      </c>
      <c r="J19" s="13">
        <v>8.5845835582286714E-2</v>
      </c>
      <c r="K19" s="13">
        <v>-0.1151068102527032</v>
      </c>
      <c r="L19" s="13">
        <v>1.741309804551781</v>
      </c>
      <c r="M19" s="13">
        <v>-0.1151068102527032</v>
      </c>
      <c r="N19" s="13">
        <v>1.741309804551781</v>
      </c>
      <c r="O19" s="13"/>
      <c r="P19" s="13"/>
      <c r="Q19" s="13"/>
      <c r="R19" s="13"/>
    </row>
    <row r="20" spans="1:18" ht="18.600000000000001" thickBot="1" x14ac:dyDescent="0.4">
      <c r="A20" s="4">
        <v>19</v>
      </c>
      <c r="B20" s="4">
        <v>59.73</v>
      </c>
      <c r="C20" s="4">
        <v>57.98</v>
      </c>
      <c r="E20" s="13"/>
      <c r="F20" s="24" t="s">
        <v>24</v>
      </c>
      <c r="G20" s="24">
        <v>0.98725503393770064</v>
      </c>
      <c r="H20" s="24">
        <v>7.4735631830979898E-3</v>
      </c>
      <c r="I20" s="24">
        <v>132.09964373760164</v>
      </c>
      <c r="J20" s="24">
        <v>0</v>
      </c>
      <c r="K20" s="24">
        <v>0.9725690580719496</v>
      </c>
      <c r="L20" s="24">
        <v>1.0019410098034516</v>
      </c>
      <c r="M20" s="24">
        <v>0.9725690580719496</v>
      </c>
      <c r="N20" s="24">
        <v>1.0019410098034516</v>
      </c>
      <c r="O20" s="13"/>
      <c r="P20" s="13"/>
      <c r="Q20" s="13"/>
      <c r="R20" s="13"/>
    </row>
    <row r="21" spans="1:18" ht="18" x14ac:dyDescent="0.35">
      <c r="A21" s="4">
        <v>20</v>
      </c>
      <c r="B21" s="4">
        <v>60.01</v>
      </c>
      <c r="C21" s="4">
        <v>59.73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8" x14ac:dyDescent="0.35">
      <c r="A22" s="4">
        <v>21</v>
      </c>
      <c r="B22" s="4">
        <v>58.95</v>
      </c>
      <c r="C22" s="4">
        <v>60.01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18" x14ac:dyDescent="0.35">
      <c r="A23" s="4">
        <v>22</v>
      </c>
      <c r="B23" s="4">
        <v>58.19</v>
      </c>
      <c r="C23" s="4">
        <v>58.95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ht="18" x14ac:dyDescent="0.35">
      <c r="A24" s="4">
        <v>23</v>
      </c>
      <c r="B24" s="4">
        <v>59.66</v>
      </c>
      <c r="C24" s="4">
        <v>58.19</v>
      </c>
      <c r="E24" s="13"/>
      <c r="F24" s="13" t="s">
        <v>25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ht="18.600000000000001" thickBot="1" x14ac:dyDescent="0.4">
      <c r="A25" s="4">
        <v>24</v>
      </c>
      <c r="B25" s="4">
        <v>60.07</v>
      </c>
      <c r="C25" s="4">
        <v>59.66</v>
      </c>
      <c r="E25" s="13"/>
      <c r="F25" s="13"/>
      <c r="G25" s="13"/>
      <c r="H25" s="13"/>
      <c r="I25" s="24"/>
      <c r="J25" s="24"/>
      <c r="K25" s="24"/>
      <c r="L25" s="13"/>
      <c r="M25" s="13"/>
      <c r="N25" s="13"/>
      <c r="O25" s="13"/>
      <c r="P25" s="13"/>
      <c r="Q25" s="13"/>
      <c r="R25" s="13"/>
    </row>
    <row r="26" spans="1:18" ht="36" x14ac:dyDescent="0.35">
      <c r="A26" s="4">
        <v>25</v>
      </c>
      <c r="B26" s="4">
        <v>59.89</v>
      </c>
      <c r="C26" s="4">
        <v>60.07</v>
      </c>
      <c r="E26" s="13"/>
      <c r="F26" s="23" t="s">
        <v>26</v>
      </c>
      <c r="G26" s="23" t="s">
        <v>27</v>
      </c>
      <c r="H26" s="23" t="s">
        <v>28</v>
      </c>
      <c r="I26" s="28" t="s">
        <v>33</v>
      </c>
      <c r="J26" s="29" t="s">
        <v>34</v>
      </c>
      <c r="K26" s="29" t="s">
        <v>35</v>
      </c>
      <c r="L26" s="13"/>
      <c r="M26" s="13"/>
      <c r="N26" s="13"/>
      <c r="O26" s="13"/>
      <c r="P26" s="13"/>
      <c r="Q26" s="13"/>
      <c r="R26" s="13"/>
    </row>
    <row r="27" spans="1:18" ht="18" x14ac:dyDescent="0.35">
      <c r="A27" s="4">
        <v>26</v>
      </c>
      <c r="B27" s="4">
        <v>60.01</v>
      </c>
      <c r="C27" s="4">
        <v>59.89</v>
      </c>
      <c r="E27" s="13"/>
      <c r="F27" s="13">
        <v>1</v>
      </c>
      <c r="G27" s="13">
        <v>53.57201051078026</v>
      </c>
      <c r="H27" s="13">
        <v>-4.8020105107802564</v>
      </c>
      <c r="I27" s="13">
        <f>ABS(H27)</f>
        <v>4.8020105107802564</v>
      </c>
      <c r="J27" s="13">
        <f>SUM(I27:I495)</f>
        <v>974.05592963423862</v>
      </c>
      <c r="K27" s="13">
        <f>J27/469</f>
        <v>2.0768783147851568</v>
      </c>
      <c r="L27" s="13"/>
      <c r="M27" s="13"/>
      <c r="N27" s="13"/>
      <c r="O27" s="13"/>
      <c r="P27" s="13"/>
      <c r="Q27" s="13"/>
      <c r="R27" s="13"/>
    </row>
    <row r="28" spans="1:18" ht="18" x14ac:dyDescent="0.35">
      <c r="A28" s="4">
        <v>27</v>
      </c>
      <c r="B28" s="4">
        <v>57.92</v>
      </c>
      <c r="C28" s="4">
        <v>60.01</v>
      </c>
      <c r="E28" s="13"/>
      <c r="F28" s="13">
        <v>2</v>
      </c>
      <c r="G28" s="13">
        <v>48.961529502291199</v>
      </c>
      <c r="H28" s="13">
        <v>-1.8915295022911991</v>
      </c>
      <c r="I28" s="13">
        <f>ABS(H28)</f>
        <v>1.8915295022911991</v>
      </c>
      <c r="J28" s="13"/>
      <c r="K28" s="13"/>
      <c r="L28" s="13"/>
      <c r="M28" s="13"/>
      <c r="N28" s="13"/>
      <c r="O28" s="13"/>
      <c r="P28" s="13"/>
      <c r="Q28" s="13"/>
      <c r="R28" s="13"/>
    </row>
    <row r="29" spans="1:18" ht="18" x14ac:dyDescent="0.35">
      <c r="A29" s="4">
        <v>28</v>
      </c>
      <c r="B29" s="4">
        <v>52.38</v>
      </c>
      <c r="C29" s="4">
        <v>57.92</v>
      </c>
      <c r="E29" s="13"/>
      <c r="F29" s="13">
        <v>3</v>
      </c>
      <c r="G29" s="13">
        <v>47.283195944597111</v>
      </c>
      <c r="H29" s="13">
        <v>-0.82319594459710999</v>
      </c>
      <c r="I29" s="13">
        <f t="shared" ref="I29:I92" si="0">ABS(H29)</f>
        <v>0.82319594459710999</v>
      </c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18" x14ac:dyDescent="0.35">
      <c r="A30" s="4">
        <v>29</v>
      </c>
      <c r="B30" s="4">
        <v>51.68</v>
      </c>
      <c r="C30" s="4">
        <v>52.38</v>
      </c>
      <c r="E30" s="13"/>
      <c r="F30" s="13">
        <v>4</v>
      </c>
      <c r="G30" s="13">
        <v>46.680970373895114</v>
      </c>
      <c r="H30" s="13">
        <v>-1.360970373895114</v>
      </c>
      <c r="I30" s="13">
        <f t="shared" si="0"/>
        <v>1.360970373895114</v>
      </c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8" x14ac:dyDescent="0.35">
      <c r="A31" s="4">
        <v>30</v>
      </c>
      <c r="B31" s="4">
        <v>49.21</v>
      </c>
      <c r="C31" s="4">
        <v>51.68</v>
      </c>
      <c r="E31" s="13"/>
      <c r="F31" s="13">
        <v>5</v>
      </c>
      <c r="G31" s="13">
        <v>45.555499635206132</v>
      </c>
      <c r="H31" s="13">
        <v>5.024500364793866</v>
      </c>
      <c r="I31" s="13">
        <f t="shared" si="0"/>
        <v>5.024500364793866</v>
      </c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18" x14ac:dyDescent="0.35">
      <c r="A32" s="4">
        <v>31</v>
      </c>
      <c r="B32" s="4">
        <v>47.91</v>
      </c>
      <c r="C32" s="4">
        <v>49.21</v>
      </c>
      <c r="E32" s="13"/>
      <c r="F32" s="13">
        <v>6</v>
      </c>
      <c r="G32" s="13">
        <v>50.748461113718434</v>
      </c>
      <c r="H32" s="13">
        <v>0.39153888628156608</v>
      </c>
      <c r="I32" s="13">
        <f t="shared" si="0"/>
        <v>0.39153888628156608</v>
      </c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18" x14ac:dyDescent="0.35">
      <c r="A33" s="4">
        <v>32</v>
      </c>
      <c r="B33" s="4">
        <v>44.94</v>
      </c>
      <c r="C33" s="4">
        <v>47.91</v>
      </c>
      <c r="E33" s="13"/>
      <c r="F33" s="13">
        <v>7</v>
      </c>
      <c r="G33" s="13">
        <v>51.301323932723548</v>
      </c>
      <c r="H33" s="13">
        <v>0.38867606727644954</v>
      </c>
      <c r="I33" s="13">
        <f t="shared" si="0"/>
        <v>0.38867606727644954</v>
      </c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18" x14ac:dyDescent="0.35">
      <c r="A34" s="4">
        <v>33</v>
      </c>
      <c r="B34" s="4">
        <v>43.2</v>
      </c>
      <c r="C34" s="4">
        <v>44.94</v>
      </c>
      <c r="E34" s="13"/>
      <c r="F34" s="13">
        <v>8</v>
      </c>
      <c r="G34" s="13">
        <v>51.844314201389281</v>
      </c>
      <c r="H34" s="13">
        <v>-2.6843142013892844</v>
      </c>
      <c r="I34" s="13">
        <f t="shared" si="0"/>
        <v>2.6843142013892844</v>
      </c>
      <c r="J34" s="13"/>
      <c r="K34" s="13"/>
      <c r="L34" s="13"/>
      <c r="M34" s="13"/>
      <c r="N34" s="13"/>
      <c r="O34" s="13"/>
      <c r="P34" s="13"/>
      <c r="Q34" s="13"/>
      <c r="R34" s="13"/>
    </row>
    <row r="35" spans="1:18" ht="18" x14ac:dyDescent="0.35">
      <c r="A35" s="4">
        <v>34</v>
      </c>
      <c r="B35" s="4">
        <v>41.34</v>
      </c>
      <c r="C35" s="4">
        <v>43.2</v>
      </c>
      <c r="E35" s="13"/>
      <c r="F35" s="13">
        <v>9</v>
      </c>
      <c r="G35" s="13">
        <v>49.346558965526896</v>
      </c>
      <c r="H35" s="13">
        <v>1.0334410344731069</v>
      </c>
      <c r="I35" s="13">
        <f t="shared" si="0"/>
        <v>1.0334410344731069</v>
      </c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18" x14ac:dyDescent="0.35">
      <c r="A36" s="4">
        <v>35</v>
      </c>
      <c r="B36" s="4">
        <v>40.729999999999997</v>
      </c>
      <c r="C36" s="4">
        <v>41.34</v>
      </c>
      <c r="E36" s="13"/>
      <c r="F36" s="13">
        <v>10</v>
      </c>
      <c r="G36" s="13">
        <v>50.551010106930903</v>
      </c>
      <c r="H36" s="13">
        <v>-2.8610101069309053</v>
      </c>
      <c r="I36" s="13">
        <f t="shared" si="0"/>
        <v>2.8610101069309053</v>
      </c>
      <c r="J36" s="13"/>
      <c r="K36" s="13"/>
      <c r="L36" s="13"/>
      <c r="M36" s="13"/>
      <c r="N36" s="13"/>
      <c r="O36" s="13"/>
      <c r="P36" s="13"/>
      <c r="Q36" s="13"/>
      <c r="R36" s="13"/>
    </row>
    <row r="37" spans="1:18" ht="18" x14ac:dyDescent="0.35">
      <c r="A37" s="4">
        <v>36</v>
      </c>
      <c r="B37" s="4">
        <v>46.73</v>
      </c>
      <c r="C37" s="4">
        <v>40.729999999999997</v>
      </c>
      <c r="E37" s="13"/>
      <c r="F37" s="13">
        <v>11</v>
      </c>
      <c r="G37" s="13">
        <v>47.895294065638481</v>
      </c>
      <c r="H37" s="13">
        <v>-3.5052940656384806</v>
      </c>
      <c r="I37" s="13">
        <f t="shared" si="0"/>
        <v>3.5052940656384806</v>
      </c>
      <c r="J37" s="13"/>
      <c r="K37" s="13"/>
      <c r="L37" s="13"/>
      <c r="M37" s="13"/>
      <c r="N37" s="13"/>
      <c r="O37" s="13"/>
      <c r="P37" s="13"/>
      <c r="Q37" s="13"/>
      <c r="R37" s="13"/>
    </row>
    <row r="38" spans="1:18" ht="18" x14ac:dyDescent="0.35">
      <c r="A38" s="4">
        <v>37</v>
      </c>
      <c r="B38" s="4">
        <v>45.16</v>
      </c>
      <c r="C38" s="4">
        <v>46.73</v>
      </c>
      <c r="E38" s="13"/>
      <c r="F38" s="13">
        <v>12</v>
      </c>
      <c r="G38" s="13">
        <v>44.63735245364407</v>
      </c>
      <c r="H38" s="13">
        <v>4.0426475463559299</v>
      </c>
      <c r="I38" s="13">
        <f t="shared" si="0"/>
        <v>4.0426475463559299</v>
      </c>
      <c r="J38" s="13"/>
      <c r="K38" s="13"/>
      <c r="L38" s="13"/>
      <c r="M38" s="13"/>
      <c r="N38" s="13"/>
      <c r="O38" s="13"/>
      <c r="P38" s="13"/>
      <c r="Q38" s="13"/>
      <c r="R38" s="13"/>
    </row>
    <row r="39" spans="1:18" ht="18" x14ac:dyDescent="0.35">
      <c r="A39" s="4">
        <v>38</v>
      </c>
      <c r="B39" s="4">
        <v>45.48</v>
      </c>
      <c r="C39" s="4">
        <v>45.16</v>
      </c>
      <c r="E39" s="13"/>
      <c r="F39" s="13">
        <v>13</v>
      </c>
      <c r="G39" s="13">
        <v>48.872676549236807</v>
      </c>
      <c r="H39" s="13">
        <v>3.7323450763189214E-2</v>
      </c>
      <c r="I39" s="13">
        <f t="shared" si="0"/>
        <v>3.7323450763189214E-2</v>
      </c>
      <c r="J39" s="13"/>
      <c r="K39" s="13"/>
      <c r="L39" s="13"/>
      <c r="M39" s="13"/>
      <c r="N39" s="13"/>
      <c r="O39" s="13"/>
      <c r="P39" s="13"/>
      <c r="Q39" s="13"/>
      <c r="R39" s="13"/>
    </row>
    <row r="40" spans="1:18" ht="18" x14ac:dyDescent="0.35">
      <c r="A40" s="4">
        <v>39</v>
      </c>
      <c r="B40" s="4">
        <v>45.57</v>
      </c>
      <c r="C40" s="4">
        <v>45.48</v>
      </c>
      <c r="E40" s="13"/>
      <c r="F40" s="13">
        <v>14</v>
      </c>
      <c r="G40" s="13">
        <v>49.099745207042474</v>
      </c>
      <c r="H40" s="13">
        <v>2.6802547929575269</v>
      </c>
      <c r="I40" s="13">
        <f t="shared" si="0"/>
        <v>2.6802547929575269</v>
      </c>
      <c r="J40" s="13"/>
      <c r="K40" s="13"/>
      <c r="L40" s="13"/>
      <c r="M40" s="13"/>
      <c r="N40" s="13"/>
      <c r="O40" s="13"/>
      <c r="P40" s="13"/>
      <c r="Q40" s="13"/>
      <c r="R40" s="13"/>
    </row>
    <row r="41" spans="1:18" ht="18" x14ac:dyDescent="0.35">
      <c r="A41" s="4">
        <v>40</v>
      </c>
      <c r="B41" s="4">
        <v>45</v>
      </c>
      <c r="C41" s="4">
        <v>45.57</v>
      </c>
      <c r="E41" s="13"/>
      <c r="F41" s="13">
        <v>15</v>
      </c>
      <c r="G41" s="13">
        <v>51.93316715444368</v>
      </c>
      <c r="H41" s="13">
        <v>2.846832845556321</v>
      </c>
      <c r="I41" s="13">
        <f t="shared" si="0"/>
        <v>2.846832845556321</v>
      </c>
      <c r="J41" s="13"/>
      <c r="K41" s="13"/>
      <c r="L41" s="13"/>
      <c r="M41" s="13"/>
      <c r="N41" s="13"/>
      <c r="O41" s="13"/>
      <c r="P41" s="13"/>
      <c r="Q41" s="13"/>
      <c r="R41" s="13"/>
    </row>
    <row r="42" spans="1:18" ht="18" x14ac:dyDescent="0.35">
      <c r="A42" s="4">
        <v>41</v>
      </c>
      <c r="B42" s="4">
        <v>48.36</v>
      </c>
      <c r="C42" s="4">
        <v>45</v>
      </c>
      <c r="E42" s="13"/>
      <c r="F42" s="13">
        <v>16</v>
      </c>
      <c r="G42" s="13">
        <v>54.89493225625678</v>
      </c>
      <c r="H42" s="13">
        <v>1.2450677437432205</v>
      </c>
      <c r="I42" s="13">
        <f t="shared" si="0"/>
        <v>1.2450677437432205</v>
      </c>
      <c r="J42" s="13"/>
      <c r="K42" s="13"/>
      <c r="L42" s="13"/>
      <c r="M42" s="13"/>
      <c r="N42" s="13"/>
      <c r="O42" s="13"/>
      <c r="P42" s="13"/>
      <c r="Q42" s="13"/>
      <c r="R42" s="13"/>
    </row>
    <row r="43" spans="1:18" ht="18" x14ac:dyDescent="0.35">
      <c r="A43" s="4">
        <v>42</v>
      </c>
      <c r="B43" s="4">
        <v>46.82</v>
      </c>
      <c r="C43" s="4">
        <v>48.36</v>
      </c>
      <c r="E43" s="13"/>
      <c r="F43" s="13">
        <v>17</v>
      </c>
      <c r="G43" s="13">
        <v>56.237599102412055</v>
      </c>
      <c r="H43" s="13">
        <v>1.7424008975879417</v>
      </c>
      <c r="I43" s="13">
        <f t="shared" si="0"/>
        <v>1.7424008975879417</v>
      </c>
      <c r="J43" s="13"/>
      <c r="K43" s="13"/>
      <c r="L43" s="13"/>
      <c r="M43" s="13"/>
      <c r="N43" s="13"/>
      <c r="O43" s="13"/>
      <c r="P43" s="13"/>
      <c r="Q43" s="13"/>
      <c r="R43" s="13"/>
    </row>
    <row r="44" spans="1:18" ht="18" x14ac:dyDescent="0.35">
      <c r="A44" s="4">
        <v>43</v>
      </c>
      <c r="B44" s="4">
        <v>45.16</v>
      </c>
      <c r="C44" s="4">
        <v>46.82</v>
      </c>
      <c r="E44" s="13"/>
      <c r="F44" s="13">
        <v>18</v>
      </c>
      <c r="G44" s="13">
        <v>58.054148364857419</v>
      </c>
      <c r="H44" s="13">
        <v>1.6758516351425783</v>
      </c>
      <c r="I44" s="13">
        <f t="shared" si="0"/>
        <v>1.6758516351425783</v>
      </c>
      <c r="J44" s="13"/>
      <c r="K44" s="13"/>
      <c r="L44" s="13"/>
      <c r="M44" s="13"/>
      <c r="N44" s="13"/>
      <c r="O44" s="13"/>
      <c r="P44" s="13"/>
      <c r="Q44" s="13"/>
      <c r="R44" s="13"/>
    </row>
    <row r="45" spans="1:18" ht="18" x14ac:dyDescent="0.35">
      <c r="A45" s="4">
        <v>44</v>
      </c>
      <c r="B45" s="4">
        <v>44.99</v>
      </c>
      <c r="C45" s="4">
        <v>45.16</v>
      </c>
      <c r="E45" s="13"/>
      <c r="F45" s="13">
        <v>19</v>
      </c>
      <c r="G45" s="13">
        <v>59.781844674248397</v>
      </c>
      <c r="H45" s="13">
        <v>0.22815532575160091</v>
      </c>
      <c r="I45" s="13">
        <f t="shared" si="0"/>
        <v>0.22815532575160091</v>
      </c>
      <c r="J45" s="13"/>
      <c r="K45" s="13"/>
      <c r="L45" s="13"/>
      <c r="M45" s="13"/>
      <c r="N45" s="13"/>
      <c r="O45" s="13"/>
      <c r="P45" s="13"/>
      <c r="Q45" s="13"/>
      <c r="R45" s="13"/>
    </row>
    <row r="46" spans="1:18" ht="18" x14ac:dyDescent="0.35">
      <c r="A46" s="4">
        <v>45</v>
      </c>
      <c r="B46" s="4">
        <v>45.98</v>
      </c>
      <c r="C46" s="4">
        <v>44.99</v>
      </c>
      <c r="E46" s="13"/>
      <c r="F46" s="13">
        <v>20</v>
      </c>
      <c r="G46" s="13">
        <v>60.058276083750954</v>
      </c>
      <c r="H46" s="13">
        <v>-1.1082760837509511</v>
      </c>
      <c r="I46" s="13">
        <f t="shared" si="0"/>
        <v>1.1082760837509511</v>
      </c>
      <c r="J46" s="13"/>
      <c r="K46" s="13"/>
      <c r="L46" s="13"/>
      <c r="M46" s="13"/>
      <c r="N46" s="13"/>
      <c r="O46" s="13"/>
      <c r="P46" s="13"/>
      <c r="Q46" s="13"/>
      <c r="R46" s="13"/>
    </row>
    <row r="47" spans="1:18" ht="18" x14ac:dyDescent="0.35">
      <c r="A47" s="4">
        <v>46</v>
      </c>
      <c r="B47" s="4">
        <v>42.7</v>
      </c>
      <c r="C47" s="4">
        <v>45.98</v>
      </c>
      <c r="E47" s="13"/>
      <c r="F47" s="13">
        <v>21</v>
      </c>
      <c r="G47" s="13">
        <v>59.011785747776997</v>
      </c>
      <c r="H47" s="13">
        <v>-0.82178574777699964</v>
      </c>
      <c r="I47" s="13">
        <f t="shared" si="0"/>
        <v>0.82178574777699964</v>
      </c>
      <c r="J47" s="13"/>
      <c r="K47" s="13"/>
      <c r="L47" s="13"/>
      <c r="M47" s="13"/>
      <c r="N47" s="13"/>
      <c r="O47" s="13"/>
      <c r="P47" s="13"/>
      <c r="Q47" s="13"/>
      <c r="R47" s="13"/>
    </row>
    <row r="48" spans="1:18" ht="18" x14ac:dyDescent="0.35">
      <c r="A48" s="4">
        <v>47</v>
      </c>
      <c r="B48" s="4">
        <v>40.619999999999997</v>
      </c>
      <c r="C48" s="4">
        <v>42.7</v>
      </c>
      <c r="E48" s="13"/>
      <c r="F48" s="13">
        <v>22</v>
      </c>
      <c r="G48" s="13">
        <v>58.261471921984338</v>
      </c>
      <c r="H48" s="13">
        <v>1.3985280780156586</v>
      </c>
      <c r="I48" s="13">
        <f t="shared" si="0"/>
        <v>1.3985280780156586</v>
      </c>
      <c r="J48" s="13"/>
      <c r="K48" s="13"/>
      <c r="L48" s="13"/>
      <c r="M48" s="13"/>
      <c r="N48" s="13"/>
      <c r="O48" s="13"/>
      <c r="P48" s="13"/>
      <c r="Q48" s="13"/>
      <c r="R48" s="13"/>
    </row>
    <row r="49" spans="1:18" ht="18" x14ac:dyDescent="0.35">
      <c r="A49" s="4">
        <v>48</v>
      </c>
      <c r="B49" s="4">
        <v>40.49</v>
      </c>
      <c r="C49" s="4">
        <v>40.619999999999997</v>
      </c>
      <c r="E49" s="13"/>
      <c r="F49" s="13">
        <v>23</v>
      </c>
      <c r="G49" s="13">
        <v>59.712736821872753</v>
      </c>
      <c r="H49" s="13">
        <v>0.35726317812724773</v>
      </c>
      <c r="I49" s="13">
        <f t="shared" si="0"/>
        <v>0.35726317812724773</v>
      </c>
      <c r="J49" s="13"/>
      <c r="K49" s="13"/>
      <c r="L49" s="13"/>
      <c r="M49" s="13"/>
      <c r="N49" s="13"/>
      <c r="O49" s="13"/>
      <c r="P49" s="13"/>
      <c r="Q49" s="13"/>
      <c r="R49" s="13"/>
    </row>
    <row r="50" spans="1:18" ht="18" x14ac:dyDescent="0.35">
      <c r="A50" s="4">
        <v>49</v>
      </c>
      <c r="B50" s="4">
        <v>40.4</v>
      </c>
      <c r="C50" s="4">
        <v>40.49</v>
      </c>
      <c r="E50" s="13"/>
      <c r="F50" s="13">
        <v>24</v>
      </c>
      <c r="G50" s="13">
        <v>60.117511385787218</v>
      </c>
      <c r="H50" s="13">
        <v>-0.22751138578721708</v>
      </c>
      <c r="I50" s="13">
        <f t="shared" si="0"/>
        <v>0.22751138578721708</v>
      </c>
      <c r="J50" s="13"/>
      <c r="K50" s="13"/>
      <c r="L50" s="13"/>
      <c r="M50" s="13"/>
      <c r="N50" s="13"/>
      <c r="O50" s="13"/>
      <c r="P50" s="13"/>
      <c r="Q50" s="13"/>
      <c r="R50" s="13"/>
    </row>
    <row r="51" spans="1:18" ht="18" x14ac:dyDescent="0.35">
      <c r="A51" s="4">
        <v>50</v>
      </c>
      <c r="B51" s="4">
        <v>36.93</v>
      </c>
      <c r="C51" s="4">
        <v>40.4</v>
      </c>
      <c r="E51" s="13"/>
      <c r="F51" s="13">
        <v>25</v>
      </c>
      <c r="G51" s="13">
        <v>59.939805479678434</v>
      </c>
      <c r="H51" s="13">
        <v>7.0194520321564369E-2</v>
      </c>
      <c r="I51" s="13">
        <f t="shared" si="0"/>
        <v>7.0194520321564369E-2</v>
      </c>
      <c r="J51" s="13"/>
      <c r="K51" s="13"/>
      <c r="L51" s="13"/>
      <c r="M51" s="13"/>
      <c r="N51" s="13"/>
      <c r="O51" s="13"/>
      <c r="P51" s="13"/>
      <c r="Q51" s="13"/>
      <c r="R51" s="13"/>
    </row>
    <row r="52" spans="1:18" ht="18" x14ac:dyDescent="0.35">
      <c r="A52" s="4">
        <v>51</v>
      </c>
      <c r="B52" s="4">
        <v>35.78</v>
      </c>
      <c r="C52" s="4">
        <v>36.93</v>
      </c>
      <c r="E52" s="13"/>
      <c r="F52" s="13">
        <v>26</v>
      </c>
      <c r="G52" s="13">
        <v>60.058276083750954</v>
      </c>
      <c r="H52" s="13">
        <v>-2.1382760837509522</v>
      </c>
      <c r="I52" s="13">
        <f t="shared" si="0"/>
        <v>2.1382760837509522</v>
      </c>
      <c r="J52" s="13"/>
      <c r="K52" s="13"/>
      <c r="L52" s="13"/>
      <c r="M52" s="13"/>
      <c r="N52" s="13"/>
      <c r="O52" s="13"/>
      <c r="P52" s="13"/>
      <c r="Q52" s="13"/>
      <c r="R52" s="13"/>
    </row>
    <row r="53" spans="1:18" ht="18" x14ac:dyDescent="0.35">
      <c r="A53" s="4">
        <v>52</v>
      </c>
      <c r="B53" s="4">
        <v>36.26</v>
      </c>
      <c r="C53" s="4">
        <v>35.78</v>
      </c>
      <c r="E53" s="13"/>
      <c r="F53" s="13">
        <v>27</v>
      </c>
      <c r="G53" s="13">
        <v>57.994913062821162</v>
      </c>
      <c r="H53" s="13">
        <v>-5.6149130628211594</v>
      </c>
      <c r="I53" s="13">
        <f t="shared" si="0"/>
        <v>5.6149130628211594</v>
      </c>
      <c r="J53" s="13"/>
      <c r="K53" s="13"/>
      <c r="L53" s="13"/>
      <c r="M53" s="13"/>
      <c r="N53" s="13"/>
      <c r="O53" s="13"/>
      <c r="P53" s="13"/>
      <c r="Q53" s="13"/>
      <c r="R53" s="13"/>
    </row>
    <row r="54" spans="1:18" ht="18" x14ac:dyDescent="0.35">
      <c r="A54" s="4">
        <v>53</v>
      </c>
      <c r="B54" s="4">
        <v>36.99</v>
      </c>
      <c r="C54" s="4">
        <v>36.26</v>
      </c>
      <c r="E54" s="13"/>
      <c r="F54" s="13">
        <v>28</v>
      </c>
      <c r="G54" s="13">
        <v>52.525520174806303</v>
      </c>
      <c r="H54" s="13">
        <v>-0.84552017480630326</v>
      </c>
      <c r="I54" s="13">
        <f t="shared" si="0"/>
        <v>0.84552017480630326</v>
      </c>
      <c r="J54" s="13"/>
      <c r="K54" s="13"/>
      <c r="L54" s="13"/>
      <c r="M54" s="13"/>
      <c r="N54" s="13"/>
      <c r="O54" s="13"/>
      <c r="P54" s="13"/>
      <c r="Q54" s="13"/>
      <c r="R54" s="13"/>
    </row>
    <row r="55" spans="1:18" ht="18" x14ac:dyDescent="0.35">
      <c r="A55" s="4">
        <v>54</v>
      </c>
      <c r="B55" s="4">
        <v>34.65</v>
      </c>
      <c r="C55" s="4">
        <v>36.99</v>
      </c>
      <c r="E55" s="13"/>
      <c r="F55" s="13">
        <v>29</v>
      </c>
      <c r="G55" s="13">
        <v>51.834441651049907</v>
      </c>
      <c r="H55" s="13">
        <v>-2.6244416510499065</v>
      </c>
      <c r="I55" s="13">
        <f t="shared" si="0"/>
        <v>2.6244416510499065</v>
      </c>
      <c r="J55" s="13"/>
      <c r="K55" s="13"/>
      <c r="L55" s="13"/>
      <c r="M55" s="13"/>
      <c r="N55" s="13"/>
      <c r="O55" s="13"/>
      <c r="P55" s="13"/>
      <c r="Q55" s="13"/>
      <c r="R55" s="13"/>
    </row>
    <row r="56" spans="1:18" ht="18" x14ac:dyDescent="0.35">
      <c r="A56" s="4">
        <v>55</v>
      </c>
      <c r="B56" s="4">
        <v>30.59</v>
      </c>
      <c r="C56" s="4">
        <v>34.65</v>
      </c>
      <c r="E56" s="13"/>
      <c r="F56" s="13">
        <v>30</v>
      </c>
      <c r="G56" s="13">
        <v>49.395921717223786</v>
      </c>
      <c r="H56" s="13">
        <v>-1.4859217172237891</v>
      </c>
      <c r="I56" s="13">
        <f t="shared" si="0"/>
        <v>1.4859217172237891</v>
      </c>
      <c r="J56" s="13"/>
      <c r="K56" s="13"/>
      <c r="L56" s="13"/>
      <c r="M56" s="13"/>
      <c r="N56" s="13"/>
      <c r="O56" s="13"/>
      <c r="P56" s="13"/>
      <c r="Q56" s="13"/>
      <c r="R56" s="13"/>
    </row>
    <row r="57" spans="1:18" ht="18" x14ac:dyDescent="0.35">
      <c r="A57" s="4">
        <v>56</v>
      </c>
      <c r="B57" s="4">
        <v>29.19</v>
      </c>
      <c r="C57" s="4">
        <v>30.59</v>
      </c>
      <c r="E57" s="13"/>
      <c r="F57" s="13">
        <v>31</v>
      </c>
      <c r="G57" s="13">
        <v>48.112490173104774</v>
      </c>
      <c r="H57" s="13">
        <v>-3.1724901731047765</v>
      </c>
      <c r="I57" s="13">
        <f t="shared" si="0"/>
        <v>3.1724901731047765</v>
      </c>
      <c r="J57" s="13"/>
      <c r="K57" s="13"/>
      <c r="L57" s="13"/>
      <c r="M57" s="13"/>
      <c r="N57" s="13"/>
      <c r="O57" s="13"/>
      <c r="P57" s="13"/>
      <c r="Q57" s="13"/>
      <c r="R57" s="13"/>
    </row>
    <row r="58" spans="1:18" ht="18" x14ac:dyDescent="0.35">
      <c r="A58" s="4">
        <v>57</v>
      </c>
      <c r="B58" s="4">
        <v>31.81</v>
      </c>
      <c r="C58" s="4">
        <v>29.19</v>
      </c>
      <c r="E58" s="13"/>
      <c r="F58" s="13">
        <v>32</v>
      </c>
      <c r="G58" s="13">
        <v>45.180342722309803</v>
      </c>
      <c r="H58" s="13">
        <v>-1.9803427223097998</v>
      </c>
      <c r="I58" s="13">
        <f t="shared" si="0"/>
        <v>1.9803427223097998</v>
      </c>
      <c r="J58" s="13"/>
      <c r="K58" s="13"/>
      <c r="L58" s="13"/>
      <c r="M58" s="13"/>
      <c r="N58" s="13"/>
      <c r="O58" s="13"/>
      <c r="P58" s="13"/>
      <c r="Q58" s="13"/>
      <c r="R58" s="13"/>
    </row>
    <row r="59" spans="1:18" ht="18" x14ac:dyDescent="0.35">
      <c r="A59" s="4">
        <v>58</v>
      </c>
      <c r="B59" s="4">
        <v>31.26</v>
      </c>
      <c r="C59" s="4">
        <v>31.81</v>
      </c>
      <c r="E59" s="13"/>
      <c r="F59" s="13">
        <v>33</v>
      </c>
      <c r="G59" s="13">
        <v>43.462518963258212</v>
      </c>
      <c r="H59" s="13">
        <v>-2.1225189632582087</v>
      </c>
      <c r="I59" s="13">
        <f t="shared" si="0"/>
        <v>2.1225189632582087</v>
      </c>
      <c r="J59" s="13"/>
      <c r="K59" s="13"/>
      <c r="L59" s="13"/>
      <c r="M59" s="13"/>
      <c r="N59" s="13"/>
      <c r="O59" s="13"/>
      <c r="P59" s="13"/>
      <c r="Q59" s="13"/>
      <c r="R59" s="13"/>
    </row>
    <row r="60" spans="1:18" ht="18" x14ac:dyDescent="0.35">
      <c r="A60" s="4">
        <v>59</v>
      </c>
      <c r="B60" s="4">
        <v>28.14</v>
      </c>
      <c r="C60" s="4">
        <v>31.26</v>
      </c>
      <c r="E60" s="13"/>
      <c r="F60" s="13">
        <v>34</v>
      </c>
      <c r="G60" s="13">
        <v>41.626224600134087</v>
      </c>
      <c r="H60" s="13">
        <v>-0.89622460013409011</v>
      </c>
      <c r="I60" s="13">
        <f t="shared" si="0"/>
        <v>0.89622460013409011</v>
      </c>
      <c r="J60" s="13"/>
      <c r="K60" s="13"/>
      <c r="L60" s="13"/>
      <c r="M60" s="13"/>
      <c r="N60" s="13"/>
      <c r="O60" s="13"/>
      <c r="P60" s="13"/>
      <c r="Q60" s="13"/>
      <c r="R60" s="13"/>
    </row>
    <row r="61" spans="1:18" ht="18" x14ac:dyDescent="0.35">
      <c r="A61" s="4">
        <v>60</v>
      </c>
      <c r="B61" s="4">
        <v>30.02</v>
      </c>
      <c r="C61" s="4">
        <v>28.14</v>
      </c>
      <c r="E61" s="13"/>
      <c r="F61" s="13">
        <v>35</v>
      </c>
      <c r="G61" s="13">
        <v>41.023999029432083</v>
      </c>
      <c r="H61" s="13">
        <v>5.7060009705679136</v>
      </c>
      <c r="I61" s="13">
        <f t="shared" si="0"/>
        <v>5.7060009705679136</v>
      </c>
      <c r="J61" s="13"/>
      <c r="K61" s="13"/>
      <c r="L61" s="13"/>
      <c r="M61" s="13"/>
      <c r="N61" s="13"/>
      <c r="O61" s="13"/>
      <c r="P61" s="13"/>
      <c r="Q61" s="13"/>
      <c r="R61" s="13"/>
    </row>
    <row r="62" spans="1:18" ht="18" x14ac:dyDescent="0.35">
      <c r="A62" s="4">
        <v>61</v>
      </c>
      <c r="B62" s="4">
        <v>31.32</v>
      </c>
      <c r="C62" s="4">
        <v>30.02</v>
      </c>
      <c r="E62" s="13"/>
      <c r="F62" s="13">
        <v>36</v>
      </c>
      <c r="G62" s="13">
        <v>46.94752923305829</v>
      </c>
      <c r="H62" s="13">
        <v>-1.7875292330582937</v>
      </c>
      <c r="I62" s="13">
        <f t="shared" si="0"/>
        <v>1.7875292330582937</v>
      </c>
      <c r="J62" s="13"/>
      <c r="K62" s="13"/>
      <c r="L62" s="13"/>
      <c r="M62" s="13"/>
      <c r="N62" s="13"/>
      <c r="O62" s="13"/>
      <c r="P62" s="13"/>
      <c r="Q62" s="13"/>
      <c r="R62" s="13"/>
    </row>
    <row r="63" spans="1:18" ht="18" x14ac:dyDescent="0.35">
      <c r="A63" s="4">
        <v>62</v>
      </c>
      <c r="B63" s="4">
        <v>34.43</v>
      </c>
      <c r="C63" s="4">
        <v>31.32</v>
      </c>
      <c r="E63" s="13"/>
      <c r="F63" s="13">
        <v>37</v>
      </c>
      <c r="G63" s="13">
        <v>45.397538829776096</v>
      </c>
      <c r="H63" s="13">
        <v>8.2461170223901092E-2</v>
      </c>
      <c r="I63" s="13">
        <f t="shared" si="0"/>
        <v>8.2461170223901092E-2</v>
      </c>
      <c r="J63" s="13"/>
      <c r="K63" s="13"/>
      <c r="L63" s="13"/>
      <c r="M63" s="13"/>
      <c r="N63" s="13"/>
      <c r="O63" s="13"/>
      <c r="P63" s="13"/>
      <c r="Q63" s="13"/>
      <c r="R63" s="13"/>
    </row>
    <row r="64" spans="1:18" ht="18" x14ac:dyDescent="0.35">
      <c r="A64" s="4">
        <v>63</v>
      </c>
      <c r="B64" s="4">
        <v>37.69</v>
      </c>
      <c r="C64" s="4">
        <v>34.43</v>
      </c>
      <c r="E64" s="13"/>
      <c r="F64" s="13">
        <v>38</v>
      </c>
      <c r="G64" s="13">
        <v>45.713460440636162</v>
      </c>
      <c r="H64" s="13">
        <v>-0.14346044063616148</v>
      </c>
      <c r="I64" s="13">
        <f t="shared" si="0"/>
        <v>0.14346044063616148</v>
      </c>
      <c r="J64" s="13"/>
      <c r="K64" s="13"/>
      <c r="L64" s="13"/>
      <c r="M64" s="13"/>
      <c r="N64" s="13"/>
      <c r="O64" s="13"/>
      <c r="P64" s="13"/>
      <c r="Q64" s="13"/>
      <c r="R64" s="13"/>
    </row>
    <row r="65" spans="1:18" ht="18" x14ac:dyDescent="0.35">
      <c r="A65" s="4">
        <v>64</v>
      </c>
      <c r="B65" s="4">
        <v>38.32</v>
      </c>
      <c r="C65" s="4">
        <v>37.69</v>
      </c>
      <c r="E65" s="13"/>
      <c r="F65" s="13">
        <v>39</v>
      </c>
      <c r="G65" s="13">
        <v>45.802313393690561</v>
      </c>
      <c r="H65" s="13">
        <v>-0.80231339369056087</v>
      </c>
      <c r="I65" s="13">
        <f t="shared" si="0"/>
        <v>0.80231339369056087</v>
      </c>
      <c r="J65" s="13"/>
      <c r="K65" s="13"/>
      <c r="L65" s="13"/>
      <c r="M65" s="13"/>
      <c r="N65" s="13"/>
      <c r="O65" s="13"/>
      <c r="P65" s="13"/>
      <c r="Q65" s="13"/>
      <c r="R65" s="13"/>
    </row>
    <row r="66" spans="1:18" ht="18" x14ac:dyDescent="0.35">
      <c r="A66" s="4">
        <v>65</v>
      </c>
      <c r="B66" s="4">
        <v>39.450000000000003</v>
      </c>
      <c r="C66" s="4">
        <v>38.32</v>
      </c>
      <c r="E66" s="13"/>
      <c r="F66" s="13">
        <v>40</v>
      </c>
      <c r="G66" s="13">
        <v>45.239578024346066</v>
      </c>
      <c r="H66" s="13">
        <v>3.1204219756539331</v>
      </c>
      <c r="I66" s="13">
        <f t="shared" si="0"/>
        <v>3.1204219756539331</v>
      </c>
      <c r="J66" s="13"/>
      <c r="K66" s="13"/>
      <c r="L66" s="13"/>
      <c r="M66" s="13"/>
      <c r="N66" s="13"/>
      <c r="O66" s="13"/>
      <c r="P66" s="13"/>
      <c r="Q66" s="13"/>
      <c r="R66" s="13"/>
    </row>
    <row r="67" spans="1:18" ht="18" x14ac:dyDescent="0.35">
      <c r="A67" s="4">
        <v>66</v>
      </c>
      <c r="B67" s="4">
        <v>36.82</v>
      </c>
      <c r="C67" s="4">
        <v>39.450000000000003</v>
      </c>
      <c r="E67" s="13"/>
      <c r="F67" s="13">
        <v>41</v>
      </c>
      <c r="G67" s="13">
        <v>48.556754938376741</v>
      </c>
      <c r="H67" s="13">
        <v>-1.7367549383767411</v>
      </c>
      <c r="I67" s="13">
        <f t="shared" si="0"/>
        <v>1.7367549383767411</v>
      </c>
      <c r="J67" s="13"/>
      <c r="K67" s="13"/>
      <c r="L67" s="13"/>
      <c r="M67" s="13"/>
      <c r="N67" s="13"/>
      <c r="O67" s="13"/>
      <c r="P67" s="13"/>
      <c r="Q67" s="13"/>
      <c r="R67" s="13"/>
    </row>
    <row r="68" spans="1:18" ht="18" x14ac:dyDescent="0.35">
      <c r="A68" s="4">
        <v>67</v>
      </c>
      <c r="B68" s="4">
        <v>36.72</v>
      </c>
      <c r="C68" s="4">
        <v>36.82</v>
      </c>
      <c r="E68" s="13"/>
      <c r="F68" s="13">
        <v>42</v>
      </c>
      <c r="G68" s="13">
        <v>47.036382186112682</v>
      </c>
      <c r="H68" s="13">
        <v>-1.8763821861126857</v>
      </c>
      <c r="I68" s="13">
        <f t="shared" si="0"/>
        <v>1.8763821861126857</v>
      </c>
      <c r="J68" s="13"/>
      <c r="K68" s="13"/>
      <c r="L68" s="13"/>
      <c r="M68" s="13"/>
      <c r="N68" s="13"/>
      <c r="O68" s="13"/>
      <c r="P68" s="13"/>
      <c r="Q68" s="13"/>
      <c r="R68" s="13"/>
    </row>
    <row r="69" spans="1:18" ht="18" x14ac:dyDescent="0.35">
      <c r="A69" s="4">
        <v>68</v>
      </c>
      <c r="B69" s="4">
        <v>41.23</v>
      </c>
      <c r="C69" s="4">
        <v>36.72</v>
      </c>
      <c r="E69" s="13"/>
      <c r="F69" s="13">
        <v>43</v>
      </c>
      <c r="G69" s="13">
        <v>45.397538829776096</v>
      </c>
      <c r="H69" s="13">
        <v>-0.40753882977609379</v>
      </c>
      <c r="I69" s="13">
        <f t="shared" si="0"/>
        <v>0.40753882977609379</v>
      </c>
      <c r="J69" s="13"/>
      <c r="K69" s="13"/>
      <c r="L69" s="13"/>
      <c r="M69" s="13"/>
      <c r="N69" s="13"/>
      <c r="O69" s="13"/>
      <c r="P69" s="13"/>
      <c r="Q69" s="13"/>
      <c r="R69" s="13"/>
    </row>
    <row r="70" spans="1:18" ht="18" x14ac:dyDescent="0.35">
      <c r="A70" s="4">
        <v>69</v>
      </c>
      <c r="B70" s="4">
        <v>41.86</v>
      </c>
      <c r="C70" s="4">
        <v>41.23</v>
      </c>
      <c r="E70" s="13"/>
      <c r="F70" s="13">
        <v>44</v>
      </c>
      <c r="G70" s="13">
        <v>45.229705474006693</v>
      </c>
      <c r="H70" s="13">
        <v>0.75029452599330426</v>
      </c>
      <c r="I70" s="13">
        <f t="shared" si="0"/>
        <v>0.75029452599330426</v>
      </c>
      <c r="J70" s="13"/>
      <c r="K70" s="13"/>
      <c r="L70" s="13"/>
      <c r="M70" s="13"/>
      <c r="N70" s="13"/>
      <c r="O70" s="13"/>
      <c r="P70" s="13"/>
      <c r="Q70" s="13"/>
      <c r="R70" s="13"/>
    </row>
    <row r="71" spans="1:18" ht="18" x14ac:dyDescent="0.35">
      <c r="A71" s="4">
        <v>70</v>
      </c>
      <c r="B71" s="4">
        <v>44.3</v>
      </c>
      <c r="C71" s="4">
        <v>41.86</v>
      </c>
      <c r="E71" s="13"/>
      <c r="F71" s="13">
        <v>45</v>
      </c>
      <c r="G71" s="13">
        <v>46.207087957605012</v>
      </c>
      <c r="H71" s="13">
        <v>-3.5070879576050089</v>
      </c>
      <c r="I71" s="13">
        <f t="shared" si="0"/>
        <v>3.5070879576050089</v>
      </c>
      <c r="J71" s="13"/>
      <c r="K71" s="13"/>
      <c r="L71" s="13"/>
      <c r="M71" s="13"/>
      <c r="N71" s="13"/>
      <c r="O71" s="13"/>
      <c r="P71" s="13"/>
      <c r="Q71" s="13"/>
      <c r="R71" s="13"/>
    </row>
    <row r="72" spans="1:18" ht="18" x14ac:dyDescent="0.35">
      <c r="A72" s="4">
        <v>71</v>
      </c>
      <c r="B72" s="4">
        <v>44.22</v>
      </c>
      <c r="C72" s="4">
        <v>44.3</v>
      </c>
      <c r="E72" s="13"/>
      <c r="F72" s="13">
        <v>46</v>
      </c>
      <c r="G72" s="13">
        <v>42.968891446289362</v>
      </c>
      <c r="H72" s="13">
        <v>-2.3488914462893646</v>
      </c>
      <c r="I72" s="13">
        <f t="shared" si="0"/>
        <v>2.3488914462893646</v>
      </c>
      <c r="J72" s="13"/>
      <c r="K72" s="13"/>
      <c r="L72" s="13"/>
      <c r="M72" s="13"/>
      <c r="N72" s="13"/>
      <c r="O72" s="13"/>
      <c r="P72" s="13"/>
      <c r="Q72" s="13"/>
      <c r="R72" s="13"/>
    </row>
    <row r="73" spans="1:18" ht="18" x14ac:dyDescent="0.35">
      <c r="A73" s="4">
        <v>72</v>
      </c>
      <c r="B73" s="4">
        <v>45.44</v>
      </c>
      <c r="C73" s="4">
        <v>44.22</v>
      </c>
      <c r="E73" s="13"/>
      <c r="F73" s="13">
        <v>47</v>
      </c>
      <c r="G73" s="13">
        <v>40.915400975698937</v>
      </c>
      <c r="H73" s="13">
        <v>-0.42540097569893476</v>
      </c>
      <c r="I73" s="13">
        <f t="shared" si="0"/>
        <v>0.42540097569893476</v>
      </c>
      <c r="J73" s="13"/>
      <c r="K73" s="13"/>
      <c r="L73" s="13"/>
      <c r="M73" s="13"/>
      <c r="N73" s="13"/>
      <c r="O73" s="13"/>
      <c r="P73" s="13"/>
      <c r="Q73" s="13"/>
      <c r="R73" s="13"/>
    </row>
    <row r="74" spans="1:18" ht="18" x14ac:dyDescent="0.35">
      <c r="A74" s="4">
        <v>73</v>
      </c>
      <c r="B74" s="4">
        <v>47.99</v>
      </c>
      <c r="C74" s="4">
        <v>45.44</v>
      </c>
      <c r="E74" s="13"/>
      <c r="F74" s="13">
        <v>48</v>
      </c>
      <c r="G74" s="13">
        <v>40.787057821287043</v>
      </c>
      <c r="H74" s="13">
        <v>-0.38705782128704413</v>
      </c>
      <c r="I74" s="13">
        <f t="shared" si="0"/>
        <v>0.38705782128704413</v>
      </c>
      <c r="J74" s="13"/>
      <c r="K74" s="13"/>
      <c r="L74" s="13"/>
      <c r="M74" s="13"/>
      <c r="N74" s="13"/>
      <c r="O74" s="13"/>
      <c r="P74" s="13"/>
      <c r="Q74" s="13"/>
      <c r="R74" s="13"/>
    </row>
    <row r="75" spans="1:18" ht="18" x14ac:dyDescent="0.35">
      <c r="A75" s="4">
        <v>74</v>
      </c>
      <c r="B75" s="4">
        <v>48.72</v>
      </c>
      <c r="C75" s="4">
        <v>47.99</v>
      </c>
      <c r="E75" s="13"/>
      <c r="F75" s="13">
        <v>49</v>
      </c>
      <c r="G75" s="13">
        <v>40.698204868232644</v>
      </c>
      <c r="H75" s="13">
        <v>-3.7682048682326439</v>
      </c>
      <c r="I75" s="13">
        <f t="shared" si="0"/>
        <v>3.7682048682326439</v>
      </c>
      <c r="J75" s="13"/>
      <c r="K75" s="13"/>
      <c r="L75" s="13"/>
      <c r="M75" s="13"/>
      <c r="N75" s="13"/>
      <c r="O75" s="13"/>
      <c r="P75" s="13"/>
      <c r="Q75" s="13"/>
      <c r="R75" s="13"/>
    </row>
    <row r="76" spans="1:18" ht="18" x14ac:dyDescent="0.35">
      <c r="A76" s="4">
        <v>75</v>
      </c>
      <c r="B76" s="4">
        <v>49</v>
      </c>
      <c r="C76" s="4">
        <v>48.72</v>
      </c>
      <c r="E76" s="13"/>
      <c r="F76" s="13">
        <v>50</v>
      </c>
      <c r="G76" s="13">
        <v>37.272429900468822</v>
      </c>
      <c r="H76" s="13">
        <v>-1.4924299004688208</v>
      </c>
      <c r="I76" s="13">
        <f t="shared" si="0"/>
        <v>1.4924299004688208</v>
      </c>
      <c r="J76" s="13"/>
      <c r="K76" s="13"/>
      <c r="L76" s="13"/>
      <c r="M76" s="13"/>
      <c r="N76" s="13"/>
      <c r="O76" s="13"/>
      <c r="P76" s="13"/>
      <c r="Q76" s="13"/>
      <c r="R76" s="13"/>
    </row>
    <row r="77" spans="1:18" ht="18" x14ac:dyDescent="0.35">
      <c r="A77" s="4">
        <v>76</v>
      </c>
      <c r="B77" s="4">
        <v>50.18</v>
      </c>
      <c r="C77" s="4">
        <v>49</v>
      </c>
      <c r="E77" s="13"/>
      <c r="F77" s="13">
        <v>51</v>
      </c>
      <c r="G77" s="13">
        <v>36.137086611440466</v>
      </c>
      <c r="H77" s="13">
        <v>0.12291338855953171</v>
      </c>
      <c r="I77" s="13">
        <f t="shared" si="0"/>
        <v>0.12291338855953171</v>
      </c>
      <c r="J77" s="13"/>
      <c r="K77" s="13"/>
      <c r="L77" s="13"/>
      <c r="M77" s="13"/>
      <c r="N77" s="13"/>
      <c r="O77" s="13"/>
      <c r="P77" s="13"/>
      <c r="Q77" s="13"/>
      <c r="R77" s="13"/>
    </row>
    <row r="78" spans="1:18" ht="18" x14ac:dyDescent="0.35">
      <c r="A78" s="4">
        <v>77</v>
      </c>
      <c r="B78" s="4">
        <v>47.89</v>
      </c>
      <c r="C78" s="4">
        <v>50.18</v>
      </c>
      <c r="E78" s="13"/>
      <c r="F78" s="13">
        <v>52</v>
      </c>
      <c r="G78" s="13">
        <v>36.610969027730562</v>
      </c>
      <c r="H78" s="13">
        <v>0.37903097226944027</v>
      </c>
      <c r="I78" s="13">
        <f t="shared" si="0"/>
        <v>0.37903097226944027</v>
      </c>
      <c r="J78" s="13"/>
      <c r="K78" s="13"/>
      <c r="L78" s="13"/>
      <c r="M78" s="13"/>
      <c r="N78" s="13"/>
      <c r="O78" s="13"/>
      <c r="P78" s="13"/>
      <c r="Q78" s="13"/>
      <c r="R78" s="13"/>
    </row>
    <row r="79" spans="1:18" ht="18" x14ac:dyDescent="0.35">
      <c r="A79" s="4">
        <v>78</v>
      </c>
      <c r="B79" s="4">
        <v>48.71</v>
      </c>
      <c r="C79" s="4">
        <v>47.89</v>
      </c>
      <c r="E79" s="13"/>
      <c r="F79" s="13">
        <v>53</v>
      </c>
      <c r="G79" s="13">
        <v>37.331665202505086</v>
      </c>
      <c r="H79" s="13">
        <v>-2.6816652025050871</v>
      </c>
      <c r="I79" s="13">
        <f t="shared" si="0"/>
        <v>2.6816652025050871</v>
      </c>
      <c r="J79" s="13"/>
      <c r="K79" s="13"/>
      <c r="L79" s="13"/>
      <c r="M79" s="13"/>
      <c r="N79" s="13"/>
      <c r="O79" s="13"/>
      <c r="P79" s="13"/>
      <c r="Q79" s="13"/>
      <c r="R79" s="13"/>
    </row>
    <row r="80" spans="1:18" ht="18" x14ac:dyDescent="0.35">
      <c r="A80" s="4">
        <v>79</v>
      </c>
      <c r="B80" s="4">
        <v>48.17</v>
      </c>
      <c r="C80" s="4">
        <v>48.71</v>
      </c>
      <c r="E80" s="13"/>
      <c r="F80" s="13">
        <v>54</v>
      </c>
      <c r="G80" s="13">
        <v>35.021488423090865</v>
      </c>
      <c r="H80" s="13">
        <v>-4.4314884230908653</v>
      </c>
      <c r="I80" s="13">
        <f t="shared" si="0"/>
        <v>4.4314884230908653</v>
      </c>
      <c r="J80" s="13"/>
      <c r="K80" s="13"/>
      <c r="L80" s="13"/>
      <c r="M80" s="13"/>
      <c r="N80" s="13"/>
      <c r="O80" s="13"/>
      <c r="P80" s="13"/>
      <c r="Q80" s="13"/>
      <c r="R80" s="13"/>
    </row>
    <row r="81" spans="1:18" ht="18" x14ac:dyDescent="0.35">
      <c r="A81" s="4">
        <v>80</v>
      </c>
      <c r="B81" s="4">
        <v>46.17</v>
      </c>
      <c r="C81" s="4">
        <v>48.17</v>
      </c>
      <c r="E81" s="13"/>
      <c r="F81" s="13">
        <v>55</v>
      </c>
      <c r="G81" s="13">
        <v>31.013232985303802</v>
      </c>
      <c r="H81" s="13">
        <v>-1.8232329853038003</v>
      </c>
      <c r="I81" s="13">
        <f t="shared" si="0"/>
        <v>1.8232329853038003</v>
      </c>
      <c r="J81" s="13"/>
      <c r="K81" s="13"/>
      <c r="L81" s="13"/>
      <c r="M81" s="13"/>
      <c r="N81" s="13"/>
      <c r="O81" s="13"/>
      <c r="P81" s="13"/>
      <c r="Q81" s="13"/>
      <c r="R81" s="13"/>
    </row>
    <row r="82" spans="1:18" ht="18" x14ac:dyDescent="0.35">
      <c r="A82" s="4">
        <v>81</v>
      </c>
      <c r="B82" s="4">
        <v>45.6</v>
      </c>
      <c r="C82" s="4">
        <v>46.17</v>
      </c>
      <c r="E82" s="13"/>
      <c r="F82" s="13">
        <v>56</v>
      </c>
      <c r="G82" s="13">
        <v>29.631075937791021</v>
      </c>
      <c r="H82" s="13">
        <v>2.1789240622089778</v>
      </c>
      <c r="I82" s="13">
        <f t="shared" si="0"/>
        <v>2.1789240622089778</v>
      </c>
      <c r="J82" s="13"/>
      <c r="K82" s="13"/>
      <c r="L82" s="13"/>
      <c r="M82" s="13"/>
      <c r="N82" s="13"/>
      <c r="O82" s="13"/>
      <c r="P82" s="13"/>
      <c r="Q82" s="13"/>
      <c r="R82" s="13"/>
    </row>
    <row r="83" spans="1:18" ht="18" x14ac:dyDescent="0.35">
      <c r="A83" s="4">
        <v>82</v>
      </c>
      <c r="B83" s="4">
        <v>44.44</v>
      </c>
      <c r="C83" s="4">
        <v>45.6</v>
      </c>
      <c r="E83" s="13"/>
      <c r="F83" s="13">
        <v>57</v>
      </c>
      <c r="G83" s="13">
        <v>32.217684126707795</v>
      </c>
      <c r="H83" s="13">
        <v>-0.95768412670779313</v>
      </c>
      <c r="I83" s="13">
        <f t="shared" si="0"/>
        <v>0.95768412670779313</v>
      </c>
      <c r="J83" s="13"/>
      <c r="K83" s="13"/>
      <c r="L83" s="13"/>
      <c r="M83" s="13"/>
      <c r="N83" s="13"/>
      <c r="O83" s="13"/>
      <c r="P83" s="13"/>
      <c r="Q83" s="13"/>
      <c r="R83" s="13"/>
    </row>
    <row r="84" spans="1:18" ht="18" x14ac:dyDescent="0.35">
      <c r="A84" s="4">
        <v>83</v>
      </c>
      <c r="B84" s="4">
        <v>41.83</v>
      </c>
      <c r="C84" s="4">
        <v>44.44</v>
      </c>
      <c r="E84" s="13"/>
      <c r="F84" s="13">
        <v>58</v>
      </c>
      <c r="G84" s="13">
        <v>31.674693858042062</v>
      </c>
      <c r="H84" s="13">
        <v>-3.5346938580420613</v>
      </c>
      <c r="I84" s="13">
        <f t="shared" si="0"/>
        <v>3.5346938580420613</v>
      </c>
      <c r="J84" s="13"/>
      <c r="K84" s="13"/>
      <c r="L84" s="13"/>
      <c r="M84" s="13"/>
      <c r="N84" s="13"/>
      <c r="O84" s="13"/>
      <c r="P84" s="13"/>
      <c r="Q84" s="13"/>
      <c r="R84" s="13"/>
    </row>
    <row r="85" spans="1:18" ht="18" x14ac:dyDescent="0.35">
      <c r="A85" s="4">
        <v>84</v>
      </c>
      <c r="B85" s="4">
        <v>40.82</v>
      </c>
      <c r="C85" s="4">
        <v>41.83</v>
      </c>
      <c r="E85" s="13"/>
      <c r="F85" s="13">
        <v>59</v>
      </c>
      <c r="G85" s="13">
        <v>28.594458152156434</v>
      </c>
      <c r="H85" s="13">
        <v>1.4255418478435651</v>
      </c>
      <c r="I85" s="13">
        <f t="shared" si="0"/>
        <v>1.4255418478435651</v>
      </c>
      <c r="J85" s="13"/>
      <c r="K85" s="13"/>
      <c r="L85" s="13"/>
      <c r="M85" s="13"/>
      <c r="N85" s="13"/>
      <c r="O85" s="13"/>
      <c r="P85" s="13"/>
      <c r="Q85" s="13"/>
      <c r="R85" s="13"/>
    </row>
    <row r="86" spans="1:18" ht="18" x14ac:dyDescent="0.35">
      <c r="A86" s="4">
        <v>85</v>
      </c>
      <c r="B86" s="4">
        <v>43.11</v>
      </c>
      <c r="C86" s="4">
        <v>40.82</v>
      </c>
      <c r="E86" s="13"/>
      <c r="F86" s="13">
        <v>60</v>
      </c>
      <c r="G86" s="13">
        <v>30.450497615959311</v>
      </c>
      <c r="H86" s="13">
        <v>0.86950238404068969</v>
      </c>
      <c r="I86" s="13">
        <f t="shared" si="0"/>
        <v>0.86950238404068969</v>
      </c>
      <c r="J86" s="13"/>
      <c r="K86" s="13"/>
      <c r="L86" s="13"/>
      <c r="M86" s="13"/>
      <c r="N86" s="13"/>
      <c r="O86" s="13"/>
      <c r="P86" s="13"/>
      <c r="Q86" s="13"/>
      <c r="R86" s="13"/>
    </row>
    <row r="87" spans="1:18" ht="18" x14ac:dyDescent="0.35">
      <c r="A87" s="4">
        <v>86</v>
      </c>
      <c r="B87" s="4">
        <v>47.16</v>
      </c>
      <c r="C87" s="4">
        <v>43.11</v>
      </c>
      <c r="E87" s="13"/>
      <c r="F87" s="13">
        <v>61</v>
      </c>
      <c r="G87" s="13">
        <v>31.733929160078322</v>
      </c>
      <c r="H87" s="13">
        <v>2.6960708399216777</v>
      </c>
      <c r="I87" s="13">
        <f t="shared" si="0"/>
        <v>2.6960708399216777</v>
      </c>
      <c r="J87" s="13"/>
      <c r="K87" s="13"/>
      <c r="L87" s="13"/>
      <c r="M87" s="13"/>
      <c r="N87" s="13"/>
      <c r="O87" s="13"/>
      <c r="P87" s="13"/>
      <c r="Q87" s="13"/>
      <c r="R87" s="13"/>
    </row>
    <row r="88" spans="1:18" ht="18" x14ac:dyDescent="0.35">
      <c r="A88" s="4">
        <v>87</v>
      </c>
      <c r="B88" s="4">
        <v>47.05</v>
      </c>
      <c r="C88" s="4">
        <v>47.16</v>
      </c>
      <c r="E88" s="13"/>
      <c r="F88" s="13">
        <v>62</v>
      </c>
      <c r="G88" s="13">
        <v>34.804292315624572</v>
      </c>
      <c r="H88" s="13">
        <v>2.8857076843754257</v>
      </c>
      <c r="I88" s="13">
        <f t="shared" si="0"/>
        <v>2.8857076843754257</v>
      </c>
      <c r="J88" s="13"/>
      <c r="K88" s="13"/>
      <c r="L88" s="13"/>
      <c r="M88" s="13"/>
      <c r="N88" s="13"/>
      <c r="O88" s="13"/>
      <c r="P88" s="13"/>
      <c r="Q88" s="13"/>
      <c r="R88" s="13"/>
    </row>
    <row r="89" spans="1:18" ht="18" x14ac:dyDescent="0.35">
      <c r="A89" s="4">
        <v>88</v>
      </c>
      <c r="B89" s="4">
        <v>45.11</v>
      </c>
      <c r="C89" s="4">
        <v>47.05</v>
      </c>
      <c r="E89" s="13"/>
      <c r="F89" s="13">
        <v>63</v>
      </c>
      <c r="G89" s="13">
        <v>38.022743726261474</v>
      </c>
      <c r="H89" s="13">
        <v>0.29725627373852603</v>
      </c>
      <c r="I89" s="13">
        <f t="shared" si="0"/>
        <v>0.29725627373852603</v>
      </c>
      <c r="J89" s="13"/>
      <c r="K89" s="13"/>
      <c r="L89" s="13"/>
      <c r="M89" s="13"/>
      <c r="N89" s="13"/>
      <c r="O89" s="13"/>
      <c r="P89" s="13"/>
      <c r="Q89" s="13"/>
      <c r="R89" s="13"/>
    </row>
    <row r="90" spans="1:18" ht="18" x14ac:dyDescent="0.35">
      <c r="A90" s="4">
        <v>89</v>
      </c>
      <c r="B90" s="4">
        <v>45.96</v>
      </c>
      <c r="C90" s="4">
        <v>45.11</v>
      </c>
      <c r="E90" s="13"/>
      <c r="F90" s="13">
        <v>64</v>
      </c>
      <c r="G90" s="13">
        <v>38.644714397642225</v>
      </c>
      <c r="H90" s="13">
        <v>0.80528560235777746</v>
      </c>
      <c r="I90" s="13">
        <f t="shared" si="0"/>
        <v>0.80528560235777746</v>
      </c>
      <c r="J90" s="13"/>
      <c r="K90" s="13"/>
      <c r="L90" s="13"/>
      <c r="M90" s="13"/>
      <c r="N90" s="13"/>
      <c r="O90" s="13"/>
      <c r="P90" s="13"/>
      <c r="Q90" s="13"/>
      <c r="R90" s="13"/>
    </row>
    <row r="91" spans="1:18" ht="18" x14ac:dyDescent="0.35">
      <c r="A91" s="4">
        <v>90</v>
      </c>
      <c r="B91" s="4">
        <v>44.34</v>
      </c>
      <c r="C91" s="4">
        <v>45.96</v>
      </c>
      <c r="E91" s="13"/>
      <c r="F91" s="13">
        <v>65</v>
      </c>
      <c r="G91" s="13">
        <v>39.760312585991834</v>
      </c>
      <c r="H91" s="13">
        <v>-2.9403125859918333</v>
      </c>
      <c r="I91" s="13">
        <f t="shared" si="0"/>
        <v>2.9403125859918333</v>
      </c>
      <c r="J91" s="13"/>
      <c r="K91" s="13"/>
      <c r="L91" s="13"/>
      <c r="M91" s="13"/>
      <c r="N91" s="13"/>
      <c r="O91" s="13"/>
      <c r="P91" s="13"/>
      <c r="Q91" s="13"/>
      <c r="R91" s="13"/>
    </row>
    <row r="92" spans="1:18" ht="18" x14ac:dyDescent="0.35">
      <c r="A92" s="4">
        <v>91</v>
      </c>
      <c r="B92" s="4">
        <v>44.59</v>
      </c>
      <c r="C92" s="4">
        <v>44.34</v>
      </c>
      <c r="E92" s="13"/>
      <c r="F92" s="13">
        <v>66</v>
      </c>
      <c r="G92" s="13">
        <v>37.163831846735675</v>
      </c>
      <c r="H92" s="13">
        <v>-0.44383184673567655</v>
      </c>
      <c r="I92" s="13">
        <f t="shared" si="0"/>
        <v>0.44383184673567655</v>
      </c>
      <c r="J92" s="13"/>
      <c r="K92" s="13"/>
      <c r="L92" s="13"/>
      <c r="M92" s="13"/>
      <c r="N92" s="13"/>
      <c r="O92" s="13"/>
      <c r="P92" s="13"/>
      <c r="Q92" s="13"/>
      <c r="R92" s="13"/>
    </row>
    <row r="93" spans="1:18" ht="18" x14ac:dyDescent="0.35">
      <c r="A93" s="4">
        <v>92</v>
      </c>
      <c r="B93" s="4">
        <v>46.55</v>
      </c>
      <c r="C93" s="4">
        <v>44.59</v>
      </c>
      <c r="E93" s="13"/>
      <c r="F93" s="13">
        <v>67</v>
      </c>
      <c r="G93" s="13">
        <v>37.065106343341903</v>
      </c>
      <c r="H93" s="13">
        <v>4.1648936566580943</v>
      </c>
      <c r="I93" s="13">
        <f t="shared" ref="I93:I156" si="1">ABS(H93)</f>
        <v>4.1648936566580943</v>
      </c>
      <c r="J93" s="13"/>
      <c r="K93" s="13"/>
      <c r="L93" s="13"/>
      <c r="M93" s="13"/>
      <c r="N93" s="13"/>
      <c r="O93" s="13"/>
      <c r="P93" s="13"/>
      <c r="Q93" s="13"/>
      <c r="R93" s="13"/>
    </row>
    <row r="94" spans="1:18" ht="18" x14ac:dyDescent="0.35">
      <c r="A94" s="4">
        <v>93</v>
      </c>
      <c r="B94" s="4">
        <v>49.48</v>
      </c>
      <c r="C94" s="4">
        <v>46.55</v>
      </c>
      <c r="E94" s="13"/>
      <c r="F94" s="13">
        <v>68</v>
      </c>
      <c r="G94" s="13">
        <v>41.517626546400933</v>
      </c>
      <c r="H94" s="13">
        <v>0.34237345359906612</v>
      </c>
      <c r="I94" s="13">
        <f t="shared" si="1"/>
        <v>0.34237345359906612</v>
      </c>
      <c r="J94" s="13"/>
      <c r="K94" s="13"/>
      <c r="L94" s="13"/>
      <c r="M94" s="13"/>
      <c r="N94" s="13"/>
      <c r="O94" s="13"/>
      <c r="P94" s="13"/>
      <c r="Q94" s="13"/>
      <c r="R94" s="13"/>
    </row>
    <row r="95" spans="1:18" ht="18" x14ac:dyDescent="0.35">
      <c r="A95" s="4">
        <v>94</v>
      </c>
      <c r="B95" s="4">
        <v>50.29</v>
      </c>
      <c r="C95" s="4">
        <v>49.48</v>
      </c>
      <c r="E95" s="13"/>
      <c r="F95" s="13">
        <v>69</v>
      </c>
      <c r="G95" s="13">
        <v>42.139597217781684</v>
      </c>
      <c r="H95" s="13">
        <v>2.1604027822183127</v>
      </c>
      <c r="I95" s="13">
        <f t="shared" si="1"/>
        <v>2.1604027822183127</v>
      </c>
      <c r="J95" s="13"/>
      <c r="K95" s="13"/>
      <c r="L95" s="13"/>
      <c r="M95" s="13"/>
      <c r="N95" s="13"/>
      <c r="O95" s="13"/>
      <c r="P95" s="13"/>
      <c r="Q95" s="13"/>
      <c r="R95" s="13"/>
    </row>
    <row r="96" spans="1:18" ht="18" x14ac:dyDescent="0.35">
      <c r="A96" s="4">
        <v>95</v>
      </c>
      <c r="B96" s="4">
        <v>50.56</v>
      </c>
      <c r="C96" s="4">
        <v>50.29</v>
      </c>
      <c r="E96" s="13"/>
      <c r="F96" s="13">
        <v>70</v>
      </c>
      <c r="G96" s="13">
        <v>44.548499500589678</v>
      </c>
      <c r="H96" s="13">
        <v>-0.32849950058967892</v>
      </c>
      <c r="I96" s="13">
        <f t="shared" si="1"/>
        <v>0.32849950058967892</v>
      </c>
      <c r="J96" s="13"/>
      <c r="K96" s="13"/>
      <c r="L96" s="13"/>
      <c r="M96" s="13"/>
      <c r="N96" s="13"/>
      <c r="O96" s="13"/>
      <c r="P96" s="13"/>
      <c r="Q96" s="13"/>
      <c r="R96" s="13"/>
    </row>
    <row r="97" spans="1:18" ht="18" x14ac:dyDescent="0.35">
      <c r="A97" s="4">
        <v>96</v>
      </c>
      <c r="B97" s="4">
        <v>49.36</v>
      </c>
      <c r="C97" s="4">
        <v>50.56</v>
      </c>
      <c r="E97" s="13"/>
      <c r="F97" s="13">
        <v>71</v>
      </c>
      <c r="G97" s="13">
        <v>44.46951909787466</v>
      </c>
      <c r="H97" s="13">
        <v>0.97048090212533822</v>
      </c>
      <c r="I97" s="13">
        <f t="shared" si="1"/>
        <v>0.97048090212533822</v>
      </c>
      <c r="J97" s="13"/>
      <c r="K97" s="13"/>
      <c r="L97" s="13"/>
      <c r="M97" s="13"/>
      <c r="N97" s="13"/>
      <c r="O97" s="13"/>
      <c r="P97" s="13"/>
      <c r="Q97" s="13"/>
      <c r="R97" s="13"/>
    </row>
    <row r="98" spans="1:18" ht="18" x14ac:dyDescent="0.35">
      <c r="A98" s="4">
        <v>97</v>
      </c>
      <c r="B98" s="4">
        <v>45.51</v>
      </c>
      <c r="C98" s="4">
        <v>49.36</v>
      </c>
      <c r="E98" s="13"/>
      <c r="F98" s="13">
        <v>72</v>
      </c>
      <c r="G98" s="13">
        <v>45.673970239278653</v>
      </c>
      <c r="H98" s="13">
        <v>2.3160297607213494</v>
      </c>
      <c r="I98" s="13">
        <f t="shared" si="1"/>
        <v>2.3160297607213494</v>
      </c>
      <c r="J98" s="13"/>
      <c r="K98" s="13"/>
      <c r="L98" s="13"/>
      <c r="M98" s="13"/>
      <c r="N98" s="13"/>
      <c r="O98" s="13"/>
      <c r="P98" s="13"/>
      <c r="Q98" s="13"/>
      <c r="R98" s="13"/>
    </row>
    <row r="99" spans="1:18" ht="18" x14ac:dyDescent="0.35">
      <c r="A99" s="4">
        <v>98</v>
      </c>
      <c r="B99" s="4">
        <v>44.61</v>
      </c>
      <c r="C99" s="4">
        <v>45.51</v>
      </c>
      <c r="E99" s="13"/>
      <c r="F99" s="13">
        <v>73</v>
      </c>
      <c r="G99" s="13">
        <v>48.191470575819793</v>
      </c>
      <c r="H99" s="13">
        <v>0.52852942418020632</v>
      </c>
      <c r="I99" s="13">
        <f t="shared" si="1"/>
        <v>0.52852942418020632</v>
      </c>
      <c r="J99" s="13"/>
      <c r="K99" s="13"/>
      <c r="L99" s="13"/>
      <c r="M99" s="13"/>
      <c r="N99" s="13"/>
      <c r="O99" s="13"/>
      <c r="P99" s="13"/>
      <c r="Q99" s="13"/>
      <c r="R99" s="13"/>
    </row>
    <row r="100" spans="1:18" ht="18" x14ac:dyDescent="0.35">
      <c r="A100" s="4">
        <v>99</v>
      </c>
      <c r="B100" s="4">
        <v>45.15</v>
      </c>
      <c r="C100" s="4">
        <v>44.61</v>
      </c>
      <c r="E100" s="13"/>
      <c r="F100" s="13">
        <v>74</v>
      </c>
      <c r="G100" s="13">
        <v>48.912166750594317</v>
      </c>
      <c r="H100" s="13">
        <v>8.7833249405683489E-2</v>
      </c>
      <c r="I100" s="13">
        <f t="shared" si="1"/>
        <v>8.7833249405683489E-2</v>
      </c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ht="18" x14ac:dyDescent="0.35">
      <c r="A101" s="4">
        <v>100</v>
      </c>
      <c r="B101" s="4">
        <v>47.25</v>
      </c>
      <c r="C101" s="4">
        <v>45.15</v>
      </c>
      <c r="E101" s="13"/>
      <c r="F101" s="13">
        <v>75</v>
      </c>
      <c r="G101" s="13">
        <v>49.188598160096873</v>
      </c>
      <c r="H101" s="13">
        <v>0.99140183990312636</v>
      </c>
      <c r="I101" s="13">
        <f t="shared" si="1"/>
        <v>0.99140183990312636</v>
      </c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1:18" ht="18" x14ac:dyDescent="0.35">
      <c r="A102" s="4">
        <v>101</v>
      </c>
      <c r="B102" s="4">
        <v>48.63</v>
      </c>
      <c r="C102" s="4">
        <v>47.25</v>
      </c>
      <c r="E102" s="13"/>
      <c r="F102" s="13">
        <v>76</v>
      </c>
      <c r="G102" s="13">
        <v>50.353559100143357</v>
      </c>
      <c r="H102" s="13">
        <v>-2.4635591001433568</v>
      </c>
      <c r="I102" s="13">
        <f t="shared" si="1"/>
        <v>2.4635591001433568</v>
      </c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1:18" ht="18" x14ac:dyDescent="0.35">
      <c r="A103" s="4">
        <v>102</v>
      </c>
      <c r="B103" s="4">
        <v>50.97</v>
      </c>
      <c r="C103" s="4">
        <v>48.63</v>
      </c>
      <c r="E103" s="13"/>
      <c r="F103" s="13">
        <v>77</v>
      </c>
      <c r="G103" s="13">
        <v>48.092745072426027</v>
      </c>
      <c r="H103" s="13">
        <v>0.61725492757397404</v>
      </c>
      <c r="I103" s="13">
        <f t="shared" si="1"/>
        <v>0.61725492757397404</v>
      </c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1:18" ht="18" x14ac:dyDescent="0.35">
      <c r="A104" s="4">
        <v>103</v>
      </c>
      <c r="B104" s="4">
        <v>51.91</v>
      </c>
      <c r="C104" s="4">
        <v>50.97</v>
      </c>
      <c r="E104" s="13"/>
      <c r="F104" s="13">
        <v>78</v>
      </c>
      <c r="G104" s="13">
        <v>48.902294200254936</v>
      </c>
      <c r="H104" s="13">
        <v>-0.73229420025493397</v>
      </c>
      <c r="I104" s="13">
        <f t="shared" si="1"/>
        <v>0.73229420025493397</v>
      </c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1:18" ht="18" x14ac:dyDescent="0.35">
      <c r="A105" s="4">
        <v>104</v>
      </c>
      <c r="B105" s="4">
        <v>51.95</v>
      </c>
      <c r="C105" s="4">
        <v>51.91</v>
      </c>
      <c r="E105" s="13"/>
      <c r="F105" s="13">
        <v>79</v>
      </c>
      <c r="G105" s="13">
        <v>48.369176481928584</v>
      </c>
      <c r="H105" s="13">
        <v>-2.1991764819285819</v>
      </c>
      <c r="I105" s="13">
        <f t="shared" si="1"/>
        <v>2.1991764819285819</v>
      </c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1:18" ht="18" x14ac:dyDescent="0.35">
      <c r="A106" s="4">
        <v>105</v>
      </c>
      <c r="B106" s="4">
        <v>53.6</v>
      </c>
      <c r="C106" s="4">
        <v>51.95</v>
      </c>
      <c r="E106" s="13"/>
      <c r="F106" s="13">
        <v>80</v>
      </c>
      <c r="G106" s="13">
        <v>46.394666414053177</v>
      </c>
      <c r="H106" s="13">
        <v>-0.79466641405317517</v>
      </c>
      <c r="I106" s="13">
        <f t="shared" si="1"/>
        <v>0.79466641405317517</v>
      </c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1:18" ht="18" x14ac:dyDescent="0.35">
      <c r="A107" s="4">
        <v>106</v>
      </c>
      <c r="B107" s="4">
        <v>53.34</v>
      </c>
      <c r="C107" s="4">
        <v>53.6</v>
      </c>
      <c r="E107" s="13"/>
      <c r="F107" s="13">
        <v>81</v>
      </c>
      <c r="G107" s="13">
        <v>45.831931044708689</v>
      </c>
      <c r="H107" s="13">
        <v>-1.3919310447086914</v>
      </c>
      <c r="I107" s="13">
        <f t="shared" si="1"/>
        <v>1.3919310447086914</v>
      </c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1:18" ht="18" x14ac:dyDescent="0.35">
      <c r="A108" s="4">
        <v>107</v>
      </c>
      <c r="B108" s="4">
        <v>52.07</v>
      </c>
      <c r="C108" s="4">
        <v>53.34</v>
      </c>
      <c r="E108" s="13"/>
      <c r="F108" s="13">
        <v>82</v>
      </c>
      <c r="G108" s="13">
        <v>44.686715205340953</v>
      </c>
      <c r="H108" s="13">
        <v>-2.8567152053409544</v>
      </c>
      <c r="I108" s="13">
        <f t="shared" si="1"/>
        <v>2.8567152053409544</v>
      </c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1:18" ht="18" x14ac:dyDescent="0.35">
      <c r="A109" s="4">
        <v>108</v>
      </c>
      <c r="B109" s="4">
        <v>51.82</v>
      </c>
      <c r="C109" s="4">
        <v>52.07</v>
      </c>
      <c r="E109" s="13"/>
      <c r="F109" s="13">
        <v>83</v>
      </c>
      <c r="G109" s="13">
        <v>42.109979566763556</v>
      </c>
      <c r="H109" s="13">
        <v>-1.2899795667635559</v>
      </c>
      <c r="I109" s="13">
        <f t="shared" si="1"/>
        <v>1.2899795667635559</v>
      </c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1:18" ht="18" x14ac:dyDescent="0.35">
      <c r="A110" s="4">
        <v>109</v>
      </c>
      <c r="B110" s="4">
        <v>52.74</v>
      </c>
      <c r="C110" s="4">
        <v>51.82</v>
      </c>
      <c r="E110" s="13"/>
      <c r="F110" s="13">
        <v>84</v>
      </c>
      <c r="G110" s="13">
        <v>41.112851982486482</v>
      </c>
      <c r="H110" s="13">
        <v>1.997148017513517</v>
      </c>
      <c r="I110" s="13">
        <f t="shared" si="1"/>
        <v>1.997148017513517</v>
      </c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ht="18" x14ac:dyDescent="0.35">
      <c r="A111" s="4">
        <v>110</v>
      </c>
      <c r="B111" s="4">
        <v>53.33</v>
      </c>
      <c r="C111" s="4">
        <v>52.74</v>
      </c>
      <c r="E111" s="13"/>
      <c r="F111" s="13">
        <v>85</v>
      </c>
      <c r="G111" s="13">
        <v>43.373666010203813</v>
      </c>
      <c r="H111" s="13">
        <v>3.7863339897961836</v>
      </c>
      <c r="I111" s="13">
        <f t="shared" si="1"/>
        <v>3.7863339897961836</v>
      </c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ht="18" x14ac:dyDescent="0.35">
      <c r="A112" s="4">
        <v>111</v>
      </c>
      <c r="B112" s="4">
        <v>52.88</v>
      </c>
      <c r="C112" s="4">
        <v>53.33</v>
      </c>
      <c r="E112" s="13"/>
      <c r="F112" s="13">
        <v>86</v>
      </c>
      <c r="G112" s="13">
        <v>47.372048897651496</v>
      </c>
      <c r="H112" s="13">
        <v>-0.32204889765149858</v>
      </c>
      <c r="I112" s="13">
        <f t="shared" si="1"/>
        <v>0.32204889765149858</v>
      </c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ht="18" x14ac:dyDescent="0.35">
      <c r="A113" s="4">
        <v>112</v>
      </c>
      <c r="B113" s="4">
        <v>53.22</v>
      </c>
      <c r="C113" s="4">
        <v>52.88</v>
      </c>
      <c r="E113" s="13"/>
      <c r="F113" s="13">
        <v>87</v>
      </c>
      <c r="G113" s="13">
        <v>47.263450843918349</v>
      </c>
      <c r="H113" s="13">
        <v>-2.1534508439183497</v>
      </c>
      <c r="I113" s="13">
        <f t="shared" si="1"/>
        <v>2.1534508439183497</v>
      </c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ht="18" x14ac:dyDescent="0.35">
      <c r="A114" s="4">
        <v>113</v>
      </c>
      <c r="B114" s="4">
        <v>54.03</v>
      </c>
      <c r="C114" s="4">
        <v>53.22</v>
      </c>
      <c r="E114" s="13"/>
      <c r="F114" s="13">
        <v>88</v>
      </c>
      <c r="G114" s="13">
        <v>45.348176078079213</v>
      </c>
      <c r="H114" s="13">
        <v>0.61182392192078794</v>
      </c>
      <c r="I114" s="13">
        <f t="shared" si="1"/>
        <v>0.61182392192078794</v>
      </c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ht="18" x14ac:dyDescent="0.35">
      <c r="A115" s="4">
        <v>114</v>
      </c>
      <c r="B115" s="4">
        <v>53.56</v>
      </c>
      <c r="C115" s="4">
        <v>54.03</v>
      </c>
      <c r="E115" s="13"/>
      <c r="F115" s="13">
        <v>89</v>
      </c>
      <c r="G115" s="13">
        <v>46.187342856926264</v>
      </c>
      <c r="H115" s="13">
        <v>-1.8473428569262609</v>
      </c>
      <c r="I115" s="13">
        <f t="shared" si="1"/>
        <v>1.8473428569262609</v>
      </c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ht="18" x14ac:dyDescent="0.35">
      <c r="A116" s="4">
        <v>115</v>
      </c>
      <c r="B116" s="4">
        <v>50.5</v>
      </c>
      <c r="C116" s="4">
        <v>53.56</v>
      </c>
      <c r="E116" s="13"/>
      <c r="F116" s="13">
        <v>90</v>
      </c>
      <c r="G116" s="13">
        <v>44.587989701947187</v>
      </c>
      <c r="H116" s="13">
        <v>2.0102980528164949E-3</v>
      </c>
      <c r="I116" s="13">
        <f t="shared" si="1"/>
        <v>2.0102980528164949E-3</v>
      </c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ht="18" x14ac:dyDescent="0.35">
      <c r="A117" s="4">
        <v>116</v>
      </c>
      <c r="B117" s="4">
        <v>48.03</v>
      </c>
      <c r="C117" s="4">
        <v>50.5</v>
      </c>
      <c r="E117" s="13"/>
      <c r="F117" s="13">
        <v>91</v>
      </c>
      <c r="G117" s="13">
        <v>44.834803460431615</v>
      </c>
      <c r="H117" s="13">
        <v>1.7151965395683817</v>
      </c>
      <c r="I117" s="13">
        <f t="shared" si="1"/>
        <v>1.7151965395683817</v>
      </c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ht="18" x14ac:dyDescent="0.35">
      <c r="A118" s="4">
        <v>117</v>
      </c>
      <c r="B118" s="4">
        <v>47.28</v>
      </c>
      <c r="C118" s="4">
        <v>48.03</v>
      </c>
      <c r="E118" s="13"/>
      <c r="F118" s="13">
        <v>92</v>
      </c>
      <c r="G118" s="13">
        <v>46.769823326949499</v>
      </c>
      <c r="H118" s="13">
        <v>2.7101766730504977</v>
      </c>
      <c r="I118" s="13">
        <f t="shared" si="1"/>
        <v>2.7101766730504977</v>
      </c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ht="18" x14ac:dyDescent="0.35">
      <c r="A119" s="4">
        <v>118</v>
      </c>
      <c r="B119" s="4">
        <v>49.14</v>
      </c>
      <c r="C119" s="4">
        <v>47.28</v>
      </c>
      <c r="E119" s="13"/>
      <c r="F119" s="13">
        <v>93</v>
      </c>
      <c r="G119" s="13">
        <v>49.662480576386962</v>
      </c>
      <c r="H119" s="13">
        <v>0.62751942361303747</v>
      </c>
      <c r="I119" s="13">
        <f t="shared" si="1"/>
        <v>0.62751942361303747</v>
      </c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ht="18" x14ac:dyDescent="0.35">
      <c r="A120" s="4">
        <v>119</v>
      </c>
      <c r="B120" s="4">
        <v>51.26</v>
      </c>
      <c r="C120" s="4">
        <v>49.14</v>
      </c>
      <c r="E120" s="13"/>
      <c r="F120" s="13">
        <v>94</v>
      </c>
      <c r="G120" s="13">
        <v>50.462157153876504</v>
      </c>
      <c r="H120" s="13">
        <v>9.7842846123498362E-2</v>
      </c>
      <c r="I120" s="13">
        <f t="shared" si="1"/>
        <v>9.7842846123498362E-2</v>
      </c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ht="18" x14ac:dyDescent="0.35">
      <c r="A121" s="4">
        <v>120</v>
      </c>
      <c r="B121" s="4">
        <v>53.19</v>
      </c>
      <c r="C121" s="4">
        <v>51.26</v>
      </c>
      <c r="E121" s="13"/>
      <c r="F121" s="13">
        <v>95</v>
      </c>
      <c r="G121" s="13">
        <v>50.728716013039687</v>
      </c>
      <c r="H121" s="13">
        <v>-1.3687160130396876</v>
      </c>
      <c r="I121" s="13">
        <f t="shared" si="1"/>
        <v>1.3687160130396876</v>
      </c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ht="18" x14ac:dyDescent="0.35">
      <c r="A122" s="4">
        <v>121</v>
      </c>
      <c r="B122" s="4">
        <v>51.09</v>
      </c>
      <c r="C122" s="4">
        <v>53.19</v>
      </c>
      <c r="E122" s="13"/>
      <c r="F122" s="13">
        <v>96</v>
      </c>
      <c r="G122" s="13">
        <v>49.544009972314441</v>
      </c>
      <c r="H122" s="13">
        <v>-4.0340099723144434</v>
      </c>
      <c r="I122" s="13">
        <f t="shared" si="1"/>
        <v>4.0340099723144434</v>
      </c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ht="18" x14ac:dyDescent="0.35">
      <c r="A123" s="4">
        <v>122</v>
      </c>
      <c r="B123" s="4">
        <v>49.12</v>
      </c>
      <c r="C123" s="4">
        <v>51.09</v>
      </c>
      <c r="E123" s="13"/>
      <c r="F123" s="13">
        <v>97</v>
      </c>
      <c r="G123" s="13">
        <v>45.74307809165429</v>
      </c>
      <c r="H123" s="13">
        <v>-1.1330780916542906</v>
      </c>
      <c r="I123" s="13">
        <f t="shared" si="1"/>
        <v>1.1330780916542906</v>
      </c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ht="18" x14ac:dyDescent="0.35">
      <c r="A124" s="4">
        <v>123</v>
      </c>
      <c r="B124" s="4">
        <v>47.21</v>
      </c>
      <c r="C124" s="4">
        <v>49.12</v>
      </c>
      <c r="E124" s="13"/>
      <c r="F124" s="13">
        <v>98</v>
      </c>
      <c r="G124" s="13">
        <v>44.854548561110363</v>
      </c>
      <c r="H124" s="13">
        <v>0.29545143888963565</v>
      </c>
      <c r="I124" s="13">
        <f t="shared" si="1"/>
        <v>0.29545143888963565</v>
      </c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ht="18" x14ac:dyDescent="0.35">
      <c r="A125" s="4">
        <v>124</v>
      </c>
      <c r="B125" s="4">
        <v>47.04</v>
      </c>
      <c r="C125" s="4">
        <v>47.21</v>
      </c>
      <c r="E125" s="13"/>
      <c r="F125" s="13">
        <v>99</v>
      </c>
      <c r="G125" s="13">
        <v>45.387666279436722</v>
      </c>
      <c r="H125" s="13">
        <v>1.862333720563278</v>
      </c>
      <c r="I125" s="13">
        <f t="shared" si="1"/>
        <v>1.862333720563278</v>
      </c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ht="18" x14ac:dyDescent="0.35">
      <c r="A126" s="4">
        <v>125</v>
      </c>
      <c r="B126" s="4">
        <v>49.24</v>
      </c>
      <c r="C126" s="4">
        <v>47.04</v>
      </c>
      <c r="E126" s="13"/>
      <c r="F126" s="13">
        <v>100</v>
      </c>
      <c r="G126" s="13">
        <v>47.460901850705895</v>
      </c>
      <c r="H126" s="13">
        <v>1.1690981492941077</v>
      </c>
      <c r="I126" s="13">
        <f t="shared" si="1"/>
        <v>1.1690981492941077</v>
      </c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ht="18" x14ac:dyDescent="0.35">
      <c r="A127" s="4">
        <v>126</v>
      </c>
      <c r="B127" s="4">
        <v>50.21</v>
      </c>
      <c r="C127" s="4">
        <v>49.24</v>
      </c>
      <c r="E127" s="13"/>
      <c r="F127" s="13">
        <v>101</v>
      </c>
      <c r="G127" s="13">
        <v>48.823313797539925</v>
      </c>
      <c r="H127" s="13">
        <v>2.1466862024600744</v>
      </c>
      <c r="I127" s="13">
        <f t="shared" si="1"/>
        <v>2.1466862024600744</v>
      </c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ht="18" x14ac:dyDescent="0.35">
      <c r="A128" s="4">
        <v>127</v>
      </c>
      <c r="B128" s="4">
        <v>48.48</v>
      </c>
      <c r="C128" s="4">
        <v>50.21</v>
      </c>
      <c r="E128" s="13"/>
      <c r="F128" s="13">
        <v>102</v>
      </c>
      <c r="G128" s="13">
        <v>51.133490576954138</v>
      </c>
      <c r="H128" s="13">
        <v>0.77650942304585868</v>
      </c>
      <c r="I128" s="13">
        <f t="shared" si="1"/>
        <v>0.77650942304585868</v>
      </c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ht="18" x14ac:dyDescent="0.35">
      <c r="A129" s="4">
        <v>128</v>
      </c>
      <c r="B129" s="4">
        <v>46.57</v>
      </c>
      <c r="C129" s="4">
        <v>48.48</v>
      </c>
      <c r="E129" s="13"/>
      <c r="F129" s="13">
        <v>103</v>
      </c>
      <c r="G129" s="13">
        <v>52.061510308855574</v>
      </c>
      <c r="H129" s="13">
        <v>-0.11151030885557134</v>
      </c>
      <c r="I129" s="13">
        <f t="shared" si="1"/>
        <v>0.11151030885557134</v>
      </c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ht="18" x14ac:dyDescent="0.35">
      <c r="A130" s="4">
        <v>129</v>
      </c>
      <c r="B130" s="4">
        <v>45.3</v>
      </c>
      <c r="C130" s="4">
        <v>46.57</v>
      </c>
      <c r="E130" s="13"/>
      <c r="F130" s="13">
        <v>104</v>
      </c>
      <c r="G130" s="13">
        <v>52.10100051021309</v>
      </c>
      <c r="H130" s="13">
        <v>1.498999489786911</v>
      </c>
      <c r="I130" s="13">
        <f t="shared" si="1"/>
        <v>1.498999489786911</v>
      </c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ht="18" x14ac:dyDescent="0.35">
      <c r="A131" s="4">
        <v>130</v>
      </c>
      <c r="B131" s="4">
        <v>43.09</v>
      </c>
      <c r="C131" s="4">
        <v>45.3</v>
      </c>
      <c r="E131" s="13"/>
      <c r="F131" s="13">
        <v>105</v>
      </c>
      <c r="G131" s="13">
        <v>53.729971316210296</v>
      </c>
      <c r="H131" s="13">
        <v>-0.38997131621029268</v>
      </c>
      <c r="I131" s="13">
        <f t="shared" si="1"/>
        <v>0.38997131621029268</v>
      </c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ht="18" x14ac:dyDescent="0.35">
      <c r="A132" s="4">
        <v>131</v>
      </c>
      <c r="B132" s="4">
        <v>44.63</v>
      </c>
      <c r="C132" s="4">
        <v>43.09</v>
      </c>
      <c r="E132" s="13"/>
      <c r="F132" s="13">
        <v>106</v>
      </c>
      <c r="G132" s="13">
        <v>53.473285007386494</v>
      </c>
      <c r="H132" s="13">
        <v>-1.4032850073864935</v>
      </c>
      <c r="I132" s="13">
        <f t="shared" si="1"/>
        <v>1.4032850073864935</v>
      </c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ht="18" x14ac:dyDescent="0.35">
      <c r="A133" s="4">
        <v>132</v>
      </c>
      <c r="B133" s="4">
        <v>44.96</v>
      </c>
      <c r="C133" s="4">
        <v>44.63</v>
      </c>
      <c r="E133" s="13"/>
      <c r="F133" s="13">
        <v>107</v>
      </c>
      <c r="G133" s="13">
        <v>52.219471114285611</v>
      </c>
      <c r="H133" s="13">
        <v>-0.39947111428561044</v>
      </c>
      <c r="I133" s="13">
        <f t="shared" si="1"/>
        <v>0.39947111428561044</v>
      </c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ht="18" x14ac:dyDescent="0.35">
      <c r="A134" s="4">
        <v>133</v>
      </c>
      <c r="B134" s="4">
        <v>45.51</v>
      </c>
      <c r="C134" s="4">
        <v>44.96</v>
      </c>
      <c r="E134" s="13"/>
      <c r="F134" s="13">
        <v>108</v>
      </c>
      <c r="G134" s="13">
        <v>51.972657355801189</v>
      </c>
      <c r="H134" s="13">
        <v>0.76734264419881271</v>
      </c>
      <c r="I134" s="13">
        <f t="shared" si="1"/>
        <v>0.76734264419881271</v>
      </c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ht="18" x14ac:dyDescent="0.35">
      <c r="A135" s="4">
        <v>134</v>
      </c>
      <c r="B135" s="4">
        <v>46.41</v>
      </c>
      <c r="C135" s="4">
        <v>45.51</v>
      </c>
      <c r="E135" s="13"/>
      <c r="F135" s="13">
        <v>109</v>
      </c>
      <c r="G135" s="13">
        <v>52.880931987023871</v>
      </c>
      <c r="H135" s="13">
        <v>0.44906801297612731</v>
      </c>
      <c r="I135" s="13">
        <f t="shared" si="1"/>
        <v>0.44906801297612731</v>
      </c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ht="18" x14ac:dyDescent="0.35">
      <c r="A136" s="4">
        <v>135</v>
      </c>
      <c r="B136" s="4">
        <v>48.27</v>
      </c>
      <c r="C136" s="4">
        <v>46.41</v>
      </c>
      <c r="E136" s="13"/>
      <c r="F136" s="13">
        <v>110</v>
      </c>
      <c r="G136" s="13">
        <v>53.463412457047113</v>
      </c>
      <c r="H136" s="13">
        <v>-0.58341245704711042</v>
      </c>
      <c r="I136" s="13">
        <f t="shared" si="1"/>
        <v>0.58341245704711042</v>
      </c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ht="18" x14ac:dyDescent="0.35">
      <c r="A137" s="4">
        <v>136</v>
      </c>
      <c r="B137" s="4">
        <v>49.52</v>
      </c>
      <c r="C137" s="4">
        <v>48.27</v>
      </c>
      <c r="E137" s="13"/>
      <c r="F137" s="13">
        <v>111</v>
      </c>
      <c r="G137" s="13">
        <v>53.019147691775153</v>
      </c>
      <c r="H137" s="13">
        <v>0.2008523082248459</v>
      </c>
      <c r="I137" s="13">
        <f t="shared" si="1"/>
        <v>0.2008523082248459</v>
      </c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ht="18" x14ac:dyDescent="0.35">
      <c r="A138" s="4">
        <v>137</v>
      </c>
      <c r="B138" s="4">
        <v>49.08</v>
      </c>
      <c r="C138" s="4">
        <v>49.52</v>
      </c>
      <c r="E138" s="13"/>
      <c r="F138" s="13">
        <v>112</v>
      </c>
      <c r="G138" s="13">
        <v>53.354814403313966</v>
      </c>
      <c r="H138" s="13">
        <v>0.67518559668603473</v>
      </c>
      <c r="I138" s="13">
        <f t="shared" si="1"/>
        <v>0.67518559668603473</v>
      </c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ht="18" x14ac:dyDescent="0.35">
      <c r="A139" s="4">
        <v>138</v>
      </c>
      <c r="B139" s="4">
        <v>47.52</v>
      </c>
      <c r="C139" s="4">
        <v>49.08</v>
      </c>
      <c r="E139" s="13"/>
      <c r="F139" s="13">
        <v>113</v>
      </c>
      <c r="G139" s="13">
        <v>54.154490980803509</v>
      </c>
      <c r="H139" s="13">
        <v>-0.59449098080350637</v>
      </c>
      <c r="I139" s="13">
        <f t="shared" si="1"/>
        <v>0.59449098080350637</v>
      </c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ht="18" x14ac:dyDescent="0.35">
      <c r="A140" s="4">
        <v>139</v>
      </c>
      <c r="B140" s="4">
        <v>47.68</v>
      </c>
      <c r="C140" s="4">
        <v>47.52</v>
      </c>
      <c r="E140" s="13"/>
      <c r="F140" s="13">
        <v>114</v>
      </c>
      <c r="G140" s="13">
        <v>53.690481114852787</v>
      </c>
      <c r="H140" s="13">
        <v>-3.190481114852787</v>
      </c>
      <c r="I140" s="13">
        <f t="shared" si="1"/>
        <v>3.190481114852787</v>
      </c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ht="18" x14ac:dyDescent="0.35">
      <c r="A141" s="4">
        <v>140</v>
      </c>
      <c r="B141" s="4">
        <v>46.68</v>
      </c>
      <c r="C141" s="4">
        <v>47.68</v>
      </c>
      <c r="E141" s="13"/>
      <c r="F141" s="13">
        <v>115</v>
      </c>
      <c r="G141" s="13">
        <v>50.669480711003423</v>
      </c>
      <c r="H141" s="13">
        <v>-2.6394807110034222</v>
      </c>
      <c r="I141" s="13">
        <f t="shared" si="1"/>
        <v>2.6394807110034222</v>
      </c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ht="18" x14ac:dyDescent="0.35">
      <c r="A142" s="4">
        <v>141</v>
      </c>
      <c r="B142" s="4">
        <v>48.58</v>
      </c>
      <c r="C142" s="4">
        <v>46.68</v>
      </c>
      <c r="E142" s="13"/>
      <c r="F142" s="13">
        <v>116</v>
      </c>
      <c r="G142" s="13">
        <v>48.230960777177302</v>
      </c>
      <c r="H142" s="13">
        <v>-0.95096077717730054</v>
      </c>
      <c r="I142" s="13">
        <f t="shared" si="1"/>
        <v>0.95096077717730054</v>
      </c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ht="18" x14ac:dyDescent="0.35">
      <c r="A143" s="4">
        <v>142</v>
      </c>
      <c r="B143" s="4">
        <v>49.07</v>
      </c>
      <c r="C143" s="4">
        <v>48.58</v>
      </c>
      <c r="E143" s="13"/>
      <c r="F143" s="13">
        <v>117</v>
      </c>
      <c r="G143" s="13">
        <v>47.490519501724023</v>
      </c>
      <c r="H143" s="13">
        <v>1.6494804982759774</v>
      </c>
      <c r="I143" s="13">
        <f t="shared" si="1"/>
        <v>1.6494804982759774</v>
      </c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ht="18" x14ac:dyDescent="0.35">
      <c r="A144" s="4">
        <v>143</v>
      </c>
      <c r="B144" s="4">
        <v>50.12</v>
      </c>
      <c r="C144" s="4">
        <v>49.07</v>
      </c>
      <c r="E144" s="13"/>
      <c r="F144" s="13">
        <v>118</v>
      </c>
      <c r="G144" s="13">
        <v>49.326813864848148</v>
      </c>
      <c r="H144" s="13">
        <v>1.9331861351518498</v>
      </c>
      <c r="I144" s="13">
        <f t="shared" si="1"/>
        <v>1.9331861351518498</v>
      </c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ht="18" x14ac:dyDescent="0.35">
      <c r="A145" s="4">
        <v>144</v>
      </c>
      <c r="B145" s="4">
        <v>51.77</v>
      </c>
      <c r="C145" s="4">
        <v>50.12</v>
      </c>
      <c r="E145" s="13"/>
      <c r="F145" s="13">
        <v>119</v>
      </c>
      <c r="G145" s="13">
        <v>51.419794536796068</v>
      </c>
      <c r="H145" s="13">
        <v>1.7702054632039292</v>
      </c>
      <c r="I145" s="13">
        <f t="shared" si="1"/>
        <v>1.7702054632039292</v>
      </c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ht="18" x14ac:dyDescent="0.35">
      <c r="A146" s="4">
        <v>145</v>
      </c>
      <c r="B146" s="4">
        <v>50.23</v>
      </c>
      <c r="C146" s="4">
        <v>51.77</v>
      </c>
      <c r="E146" s="13"/>
      <c r="F146" s="13">
        <v>120</v>
      </c>
      <c r="G146" s="13">
        <v>53.325196752295831</v>
      </c>
      <c r="H146" s="13">
        <v>-2.2351967522958276</v>
      </c>
      <c r="I146" s="13">
        <f t="shared" si="1"/>
        <v>2.2351967522958276</v>
      </c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ht="18" x14ac:dyDescent="0.35">
      <c r="A147" s="4">
        <v>146</v>
      </c>
      <c r="B147" s="4">
        <v>50.77</v>
      </c>
      <c r="C147" s="4">
        <v>50.23</v>
      </c>
      <c r="E147" s="13"/>
      <c r="F147" s="13">
        <v>121</v>
      </c>
      <c r="G147" s="13">
        <v>51.251961181026665</v>
      </c>
      <c r="H147" s="13">
        <v>-2.1319611810266679</v>
      </c>
      <c r="I147" s="13">
        <f t="shared" si="1"/>
        <v>2.1319611810266679</v>
      </c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ht="18" x14ac:dyDescent="0.35">
      <c r="A148" s="4">
        <v>147</v>
      </c>
      <c r="B148" s="4">
        <v>51.74</v>
      </c>
      <c r="C148" s="4">
        <v>50.77</v>
      </c>
      <c r="E148" s="13"/>
      <c r="F148" s="13">
        <v>122</v>
      </c>
      <c r="G148" s="13">
        <v>49.307068764169394</v>
      </c>
      <c r="H148" s="13">
        <v>-2.0970687641693928</v>
      </c>
      <c r="I148" s="13">
        <f t="shared" si="1"/>
        <v>2.0970687641693928</v>
      </c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ht="18" x14ac:dyDescent="0.35">
      <c r="A149" s="4">
        <v>148</v>
      </c>
      <c r="B149" s="4">
        <v>52.51</v>
      </c>
      <c r="C149" s="4">
        <v>51.74</v>
      </c>
      <c r="E149" s="13"/>
      <c r="F149" s="13">
        <v>123</v>
      </c>
      <c r="G149" s="13">
        <v>47.421411649348386</v>
      </c>
      <c r="H149" s="13">
        <v>-0.38141164934838656</v>
      </c>
      <c r="I149" s="13">
        <f t="shared" si="1"/>
        <v>0.38141164934838656</v>
      </c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ht="18" x14ac:dyDescent="0.35">
      <c r="A150" s="4">
        <v>149</v>
      </c>
      <c r="B150" s="4">
        <v>54.59</v>
      </c>
      <c r="C150" s="4">
        <v>52.51</v>
      </c>
      <c r="E150" s="13"/>
      <c r="F150" s="13">
        <v>124</v>
      </c>
      <c r="G150" s="13">
        <v>47.253578293578975</v>
      </c>
      <c r="H150" s="13">
        <v>1.9864217064210266</v>
      </c>
      <c r="I150" s="13">
        <f t="shared" si="1"/>
        <v>1.9864217064210266</v>
      </c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ht="18" x14ac:dyDescent="0.35">
      <c r="A151" s="4">
        <v>150</v>
      </c>
      <c r="B151" s="4">
        <v>57.05</v>
      </c>
      <c r="C151" s="4">
        <v>54.59</v>
      </c>
      <c r="E151" s="13"/>
      <c r="F151" s="13">
        <v>125</v>
      </c>
      <c r="G151" s="13">
        <v>49.425539368241921</v>
      </c>
      <c r="H151" s="13">
        <v>0.78446063175807978</v>
      </c>
      <c r="I151" s="13">
        <f t="shared" si="1"/>
        <v>0.78446063175807978</v>
      </c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ht="18" x14ac:dyDescent="0.35">
      <c r="A152" s="4">
        <v>151</v>
      </c>
      <c r="B152" s="4">
        <v>55.81</v>
      </c>
      <c r="C152" s="4">
        <v>57.05</v>
      </c>
      <c r="E152" s="13"/>
      <c r="F152" s="13">
        <v>126</v>
      </c>
      <c r="G152" s="13">
        <v>50.383176751161486</v>
      </c>
      <c r="H152" s="13">
        <v>-1.9031767511614888</v>
      </c>
      <c r="I152" s="13">
        <f t="shared" si="1"/>
        <v>1.9031767511614888</v>
      </c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ht="18" x14ac:dyDescent="0.35">
      <c r="A153" s="4">
        <v>152</v>
      </c>
      <c r="B153" s="4">
        <v>57.47</v>
      </c>
      <c r="C153" s="4">
        <v>55.81</v>
      </c>
      <c r="E153" s="13"/>
      <c r="F153" s="13">
        <v>127</v>
      </c>
      <c r="G153" s="13">
        <v>48.675225542449262</v>
      </c>
      <c r="H153" s="13">
        <v>-2.1052255424492614</v>
      </c>
      <c r="I153" s="13">
        <f t="shared" si="1"/>
        <v>2.1052255424492614</v>
      </c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ht="18" x14ac:dyDescent="0.35">
      <c r="A154" s="4">
        <v>153</v>
      </c>
      <c r="B154" s="4">
        <v>57.81</v>
      </c>
      <c r="C154" s="4">
        <v>57.47</v>
      </c>
      <c r="E154" s="13"/>
      <c r="F154" s="13">
        <v>128</v>
      </c>
      <c r="G154" s="13">
        <v>46.789568427628261</v>
      </c>
      <c r="H154" s="13">
        <v>-1.4895684276282637</v>
      </c>
      <c r="I154" s="13">
        <f t="shared" si="1"/>
        <v>1.4895684276282637</v>
      </c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ht="18" x14ac:dyDescent="0.35">
      <c r="A155" s="4">
        <v>154</v>
      </c>
      <c r="B155" s="4">
        <v>56.92</v>
      </c>
      <c r="C155" s="4">
        <v>57.81</v>
      </c>
      <c r="E155" s="13"/>
      <c r="F155" s="13">
        <v>129</v>
      </c>
      <c r="G155" s="13">
        <v>45.535754534527378</v>
      </c>
      <c r="H155" s="13">
        <v>-2.4457545345273743</v>
      </c>
      <c r="I155" s="13">
        <f t="shared" si="1"/>
        <v>2.4457545345273743</v>
      </c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ht="18" x14ac:dyDescent="0.35">
      <c r="A156" s="4">
        <v>155</v>
      </c>
      <c r="B156" s="4">
        <v>57.17</v>
      </c>
      <c r="C156" s="4">
        <v>56.92</v>
      </c>
      <c r="E156" s="13"/>
      <c r="F156" s="13">
        <v>130</v>
      </c>
      <c r="G156" s="13">
        <v>43.353920909525065</v>
      </c>
      <c r="H156" s="13">
        <v>1.2760790904749371</v>
      </c>
      <c r="I156" s="13">
        <f t="shared" si="1"/>
        <v>1.2760790904749371</v>
      </c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ht="18" x14ac:dyDescent="0.35">
      <c r="A157" s="4">
        <v>156</v>
      </c>
      <c r="B157" s="4">
        <v>57.87</v>
      </c>
      <c r="C157" s="4">
        <v>57.17</v>
      </c>
      <c r="E157" s="13"/>
      <c r="F157" s="13">
        <v>131</v>
      </c>
      <c r="G157" s="13">
        <v>44.874293661789125</v>
      </c>
      <c r="H157" s="13">
        <v>8.5706338210876254E-2</v>
      </c>
      <c r="I157" s="13">
        <f t="shared" ref="I157:I220" si="2">ABS(H157)</f>
        <v>8.5706338210876254E-2</v>
      </c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ht="18" x14ac:dyDescent="0.35">
      <c r="A158" s="4">
        <v>157</v>
      </c>
      <c r="B158" s="4">
        <v>59.88</v>
      </c>
      <c r="C158" s="4">
        <v>57.87</v>
      </c>
      <c r="E158" s="13"/>
      <c r="F158" s="13">
        <v>132</v>
      </c>
      <c r="G158" s="13">
        <v>45.200087822988557</v>
      </c>
      <c r="H158" s="13">
        <v>0.3099121770114408</v>
      </c>
      <c r="I158" s="13">
        <f t="shared" si="2"/>
        <v>0.3099121770114408</v>
      </c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ht="18" x14ac:dyDescent="0.35">
      <c r="A159" s="4">
        <v>158</v>
      </c>
      <c r="B159" s="4">
        <v>61.36</v>
      </c>
      <c r="C159" s="4">
        <v>59.88</v>
      </c>
      <c r="E159" s="13"/>
      <c r="F159" s="13">
        <v>133</v>
      </c>
      <c r="G159" s="13">
        <v>45.74307809165429</v>
      </c>
      <c r="H159" s="13">
        <v>0.66692190834570653</v>
      </c>
      <c r="I159" s="13">
        <f t="shared" si="2"/>
        <v>0.66692190834570653</v>
      </c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ht="18" x14ac:dyDescent="0.35">
      <c r="A160" s="4">
        <v>159</v>
      </c>
      <c r="B160" s="4">
        <v>63.26</v>
      </c>
      <c r="C160" s="4">
        <v>61.36</v>
      </c>
      <c r="E160" s="13"/>
      <c r="F160" s="13">
        <v>134</v>
      </c>
      <c r="G160" s="13">
        <v>46.631607622198224</v>
      </c>
      <c r="H160" s="13">
        <v>1.6383923778017788</v>
      </c>
      <c r="I160" s="13">
        <f t="shared" si="2"/>
        <v>1.6383923778017788</v>
      </c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ht="18" x14ac:dyDescent="0.35">
      <c r="A161" s="4">
        <v>160</v>
      </c>
      <c r="B161" s="4">
        <v>63.77</v>
      </c>
      <c r="C161" s="4">
        <v>63.26</v>
      </c>
      <c r="E161" s="13"/>
      <c r="F161" s="13">
        <v>135</v>
      </c>
      <c r="G161" s="13">
        <v>48.467901985322349</v>
      </c>
      <c r="H161" s="13">
        <v>1.0520980146776537</v>
      </c>
      <c r="I161" s="13">
        <f t="shared" si="2"/>
        <v>1.0520980146776537</v>
      </c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ht="18" x14ac:dyDescent="0.35">
      <c r="A162" s="4">
        <v>161</v>
      </c>
      <c r="B162" s="4">
        <v>65.14</v>
      </c>
      <c r="C162" s="4">
        <v>63.77</v>
      </c>
      <c r="E162" s="13"/>
      <c r="F162" s="13">
        <v>136</v>
      </c>
      <c r="G162" s="13">
        <v>49.701970777744478</v>
      </c>
      <c r="H162" s="13">
        <v>-0.62197077774447962</v>
      </c>
      <c r="I162" s="13">
        <f t="shared" si="2"/>
        <v>0.62197077774447962</v>
      </c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ht="18" x14ac:dyDescent="0.35">
      <c r="A163" s="4">
        <v>162</v>
      </c>
      <c r="B163" s="4">
        <v>65.319999999999993</v>
      </c>
      <c r="C163" s="4">
        <v>65.14</v>
      </c>
      <c r="E163" s="13"/>
      <c r="F163" s="13">
        <v>137</v>
      </c>
      <c r="G163" s="13">
        <v>49.267578562811885</v>
      </c>
      <c r="H163" s="13">
        <v>-1.7475785628118814</v>
      </c>
      <c r="I163" s="13">
        <f t="shared" si="2"/>
        <v>1.7475785628118814</v>
      </c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ht="18" x14ac:dyDescent="0.35">
      <c r="A164" s="4">
        <v>163</v>
      </c>
      <c r="B164" s="4">
        <v>62.01</v>
      </c>
      <c r="C164" s="4">
        <v>65.319999999999993</v>
      </c>
      <c r="E164" s="13"/>
      <c r="F164" s="13">
        <v>138</v>
      </c>
      <c r="G164" s="13">
        <v>47.727460709869078</v>
      </c>
      <c r="H164" s="13">
        <v>-4.7460709869078244E-2</v>
      </c>
      <c r="I164" s="13">
        <f t="shared" si="2"/>
        <v>4.7460709869078244E-2</v>
      </c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ht="18" x14ac:dyDescent="0.35">
      <c r="A165" s="4">
        <v>164</v>
      </c>
      <c r="B165" s="4">
        <v>60.56</v>
      </c>
      <c r="C165" s="4">
        <v>62.01</v>
      </c>
      <c r="E165" s="13"/>
      <c r="F165" s="13">
        <v>139</v>
      </c>
      <c r="G165" s="13">
        <v>47.885421515299107</v>
      </c>
      <c r="H165" s="13">
        <v>-1.2054215152991077</v>
      </c>
      <c r="I165" s="13">
        <f t="shared" si="2"/>
        <v>1.2054215152991077</v>
      </c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ht="18" x14ac:dyDescent="0.35">
      <c r="A166" s="4">
        <v>165</v>
      </c>
      <c r="B166" s="4">
        <v>62.47</v>
      </c>
      <c r="C166" s="4">
        <v>60.56</v>
      </c>
      <c r="E166" s="13"/>
      <c r="F166" s="13">
        <v>140</v>
      </c>
      <c r="G166" s="13">
        <v>46.898166481361407</v>
      </c>
      <c r="H166" s="13">
        <v>1.6818335186385909</v>
      </c>
      <c r="I166" s="13">
        <f t="shared" si="2"/>
        <v>1.6818335186385909</v>
      </c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ht="18" x14ac:dyDescent="0.35">
      <c r="A167" s="4">
        <v>166</v>
      </c>
      <c r="B167" s="4">
        <v>62.07</v>
      </c>
      <c r="C167" s="4">
        <v>62.47</v>
      </c>
      <c r="E167" s="13"/>
      <c r="F167" s="13">
        <v>141</v>
      </c>
      <c r="G167" s="13">
        <v>48.773951045843035</v>
      </c>
      <c r="H167" s="13">
        <v>0.29604895415696575</v>
      </c>
      <c r="I167" s="13">
        <f t="shared" si="2"/>
        <v>0.29604895415696575</v>
      </c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ht="18" x14ac:dyDescent="0.35">
      <c r="A168" s="4">
        <v>167</v>
      </c>
      <c r="B168" s="4">
        <v>61.65</v>
      </c>
      <c r="C168" s="4">
        <v>62.07</v>
      </c>
      <c r="E168" s="13"/>
      <c r="F168" s="13">
        <v>142</v>
      </c>
      <c r="G168" s="13">
        <v>49.257706012472511</v>
      </c>
      <c r="H168" s="13">
        <v>0.86229398752748665</v>
      </c>
      <c r="I168" s="13">
        <f t="shared" si="2"/>
        <v>0.86229398752748665</v>
      </c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ht="18" x14ac:dyDescent="0.35">
      <c r="A169" s="4">
        <v>168</v>
      </c>
      <c r="B169" s="4">
        <v>61.28</v>
      </c>
      <c r="C169" s="4">
        <v>61.65</v>
      </c>
      <c r="E169" s="13"/>
      <c r="F169" s="13">
        <v>143</v>
      </c>
      <c r="G169" s="13">
        <v>50.294323798107094</v>
      </c>
      <c r="H169" s="13">
        <v>1.4756762018929095</v>
      </c>
      <c r="I169" s="13">
        <f t="shared" si="2"/>
        <v>1.4756762018929095</v>
      </c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ht="18" x14ac:dyDescent="0.35">
      <c r="A170" s="4">
        <v>169</v>
      </c>
      <c r="B170" s="4">
        <v>64.11</v>
      </c>
      <c r="C170" s="4">
        <v>61.28</v>
      </c>
      <c r="E170" s="13"/>
      <c r="F170" s="13">
        <v>144</v>
      </c>
      <c r="G170" s="13">
        <v>51.923294604104306</v>
      </c>
      <c r="H170" s="13">
        <v>-1.6932946041043095</v>
      </c>
      <c r="I170" s="13">
        <f t="shared" si="2"/>
        <v>1.6932946041043095</v>
      </c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ht="18" x14ac:dyDescent="0.35">
      <c r="A171" s="4">
        <v>170</v>
      </c>
      <c r="B171" s="4">
        <v>64.97</v>
      </c>
      <c r="C171" s="4">
        <v>64.11</v>
      </c>
      <c r="E171" s="13"/>
      <c r="F171" s="13">
        <v>145</v>
      </c>
      <c r="G171" s="13">
        <v>50.40292185184024</v>
      </c>
      <c r="H171" s="13">
        <v>0.36707814815976292</v>
      </c>
      <c r="I171" s="13">
        <f t="shared" si="2"/>
        <v>0.36707814815976292</v>
      </c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ht="18" x14ac:dyDescent="0.35">
      <c r="A172" s="4">
        <v>171</v>
      </c>
      <c r="B172" s="4">
        <v>63.07</v>
      </c>
      <c r="C172" s="4">
        <v>64.97</v>
      </c>
      <c r="E172" s="13"/>
      <c r="F172" s="13">
        <v>146</v>
      </c>
      <c r="G172" s="13">
        <v>50.936039570166606</v>
      </c>
      <c r="H172" s="13">
        <v>0.80396042983339555</v>
      </c>
      <c r="I172" s="13">
        <f t="shared" si="2"/>
        <v>0.80396042983339555</v>
      </c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ht="18" x14ac:dyDescent="0.35">
      <c r="A173" s="4">
        <v>172</v>
      </c>
      <c r="B173" s="4">
        <v>66.02</v>
      </c>
      <c r="C173" s="4">
        <v>63.07</v>
      </c>
      <c r="E173" s="13"/>
      <c r="F173" s="13">
        <v>147</v>
      </c>
      <c r="G173" s="13">
        <v>51.893676953086171</v>
      </c>
      <c r="H173" s="13">
        <v>0.616323046913827</v>
      </c>
      <c r="I173" s="13">
        <f t="shared" si="2"/>
        <v>0.616323046913827</v>
      </c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ht="18" x14ac:dyDescent="0.35">
      <c r="A174" s="4">
        <v>173</v>
      </c>
      <c r="B174" s="4">
        <v>67.55</v>
      </c>
      <c r="C174" s="4">
        <v>66.02</v>
      </c>
      <c r="E174" s="13"/>
      <c r="F174" s="13">
        <v>148</v>
      </c>
      <c r="G174" s="13">
        <v>52.653863329218197</v>
      </c>
      <c r="H174" s="13">
        <v>1.9361366707818064</v>
      </c>
      <c r="I174" s="13">
        <f t="shared" si="2"/>
        <v>1.9361366707818064</v>
      </c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ht="18" x14ac:dyDescent="0.35">
      <c r="A175" s="4">
        <v>174</v>
      </c>
      <c r="B175" s="4">
        <v>67.91</v>
      </c>
      <c r="C175" s="4">
        <v>67.55</v>
      </c>
      <c r="E175" s="13"/>
      <c r="F175" s="13">
        <v>149</v>
      </c>
      <c r="G175" s="13">
        <v>54.707353799808622</v>
      </c>
      <c r="H175" s="13">
        <v>2.3426462001913748</v>
      </c>
      <c r="I175" s="13">
        <f t="shared" si="2"/>
        <v>2.3426462001913748</v>
      </c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ht="18" x14ac:dyDescent="0.35">
      <c r="A176" s="4">
        <v>175</v>
      </c>
      <c r="B176" s="4">
        <v>68.38</v>
      </c>
      <c r="C176" s="4">
        <v>67.91</v>
      </c>
      <c r="E176" s="13"/>
      <c r="F176" s="13">
        <v>150</v>
      </c>
      <c r="G176" s="13">
        <v>57.136001183295356</v>
      </c>
      <c r="H176" s="13">
        <v>-1.3260011832953538</v>
      </c>
      <c r="I176" s="13">
        <f t="shared" si="2"/>
        <v>1.3260011832953538</v>
      </c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ht="18" x14ac:dyDescent="0.35">
      <c r="A177" s="4">
        <v>176</v>
      </c>
      <c r="B177" s="4">
        <v>70.56</v>
      </c>
      <c r="C177" s="4">
        <v>68.38</v>
      </c>
      <c r="E177" s="13"/>
      <c r="F177" s="13">
        <v>151</v>
      </c>
      <c r="G177" s="13">
        <v>55.911804941212615</v>
      </c>
      <c r="H177" s="13">
        <v>1.5581950587873834</v>
      </c>
      <c r="I177" s="13">
        <f t="shared" si="2"/>
        <v>1.5581950587873834</v>
      </c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ht="18" x14ac:dyDescent="0.35">
      <c r="A178" s="4">
        <v>177</v>
      </c>
      <c r="B178" s="4">
        <v>71.3</v>
      </c>
      <c r="C178" s="4">
        <v>70.56</v>
      </c>
      <c r="E178" s="13"/>
      <c r="F178" s="13">
        <v>152</v>
      </c>
      <c r="G178" s="13">
        <v>57.550648297549195</v>
      </c>
      <c r="H178" s="13">
        <v>0.25935170245080741</v>
      </c>
      <c r="I178" s="13">
        <f t="shared" si="2"/>
        <v>0.25935170245080741</v>
      </c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ht="18" x14ac:dyDescent="0.35">
      <c r="A179" s="4">
        <v>178</v>
      </c>
      <c r="B179" s="4">
        <v>70.98</v>
      </c>
      <c r="C179" s="4">
        <v>71.3</v>
      </c>
      <c r="E179" s="13"/>
      <c r="F179" s="13">
        <v>153</v>
      </c>
      <c r="G179" s="13">
        <v>57.886315009088015</v>
      </c>
      <c r="H179" s="13">
        <v>-0.96631500908801371</v>
      </c>
      <c r="I179" s="13">
        <f t="shared" si="2"/>
        <v>0.96631500908801371</v>
      </c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ht="18" x14ac:dyDescent="0.35">
      <c r="A180" s="4">
        <v>179</v>
      </c>
      <c r="B180" s="4">
        <v>66.959999999999994</v>
      </c>
      <c r="C180" s="4">
        <v>70.98</v>
      </c>
      <c r="E180" s="13"/>
      <c r="F180" s="13">
        <v>154</v>
      </c>
      <c r="G180" s="13">
        <v>57.007658028883462</v>
      </c>
      <c r="H180" s="13">
        <v>0.1623419711165397</v>
      </c>
      <c r="I180" s="13">
        <f t="shared" si="2"/>
        <v>0.1623419711165397</v>
      </c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ht="18" x14ac:dyDescent="0.35">
      <c r="A181" s="4">
        <v>180</v>
      </c>
      <c r="B181" s="4">
        <v>65.349999999999994</v>
      </c>
      <c r="C181" s="4">
        <v>66.959999999999994</v>
      </c>
      <c r="E181" s="13"/>
      <c r="F181" s="13">
        <v>155</v>
      </c>
      <c r="G181" s="13">
        <v>57.254471787367883</v>
      </c>
      <c r="H181" s="13">
        <v>0.61552821263211399</v>
      </c>
      <c r="I181" s="13">
        <f t="shared" si="2"/>
        <v>0.61552821263211399</v>
      </c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ht="18" x14ac:dyDescent="0.35">
      <c r="A182" s="4">
        <v>181</v>
      </c>
      <c r="B182" s="4">
        <v>66.209999999999994</v>
      </c>
      <c r="C182" s="4">
        <v>65.349999999999994</v>
      </c>
      <c r="E182" s="13"/>
      <c r="F182" s="13">
        <v>156</v>
      </c>
      <c r="G182" s="13">
        <v>57.945550311124272</v>
      </c>
      <c r="H182" s="13">
        <v>1.9344496888757305</v>
      </c>
      <c r="I182" s="13">
        <f t="shared" si="2"/>
        <v>1.9344496888757305</v>
      </c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ht="18" x14ac:dyDescent="0.35">
      <c r="A183" s="4">
        <v>182</v>
      </c>
      <c r="B183" s="4">
        <v>66.319999999999993</v>
      </c>
      <c r="C183" s="4">
        <v>66.209999999999994</v>
      </c>
      <c r="E183" s="13"/>
      <c r="F183" s="13">
        <v>157</v>
      </c>
      <c r="G183" s="13">
        <v>59.929932929339053</v>
      </c>
      <c r="H183" s="13">
        <v>1.4300670706609466</v>
      </c>
      <c r="I183" s="13">
        <f t="shared" si="2"/>
        <v>1.4300670706609466</v>
      </c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ht="18" x14ac:dyDescent="0.35">
      <c r="A184" s="4">
        <v>183</v>
      </c>
      <c r="B184" s="4">
        <v>74.03</v>
      </c>
      <c r="C184" s="4">
        <v>66.319999999999993</v>
      </c>
      <c r="E184" s="13"/>
      <c r="F184" s="13">
        <v>158</v>
      </c>
      <c r="G184" s="13">
        <v>61.391070379566848</v>
      </c>
      <c r="H184" s="13">
        <v>1.8689296204331498</v>
      </c>
      <c r="I184" s="13">
        <f t="shared" si="2"/>
        <v>1.8689296204331498</v>
      </c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ht="18" x14ac:dyDescent="0.35">
      <c r="A185" s="4">
        <v>184</v>
      </c>
      <c r="B185" s="4">
        <v>73.73</v>
      </c>
      <c r="C185" s="4">
        <v>74.03</v>
      </c>
      <c r="E185" s="13"/>
      <c r="F185" s="13">
        <v>159</v>
      </c>
      <c r="G185" s="13">
        <v>63.266854944048482</v>
      </c>
      <c r="H185" s="13">
        <v>0.5031450559515207</v>
      </c>
      <c r="I185" s="13">
        <f t="shared" si="2"/>
        <v>0.5031450559515207</v>
      </c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ht="18" x14ac:dyDescent="0.35">
      <c r="A186" s="4">
        <v>185</v>
      </c>
      <c r="B186" s="4">
        <v>71.959999999999994</v>
      </c>
      <c r="C186" s="4">
        <v>73.73</v>
      </c>
      <c r="E186" s="13"/>
      <c r="F186" s="13">
        <v>160</v>
      </c>
      <c r="G186" s="13">
        <v>63.770355011356713</v>
      </c>
      <c r="H186" s="13">
        <v>1.3696449886432873</v>
      </c>
      <c r="I186" s="13">
        <f t="shared" si="2"/>
        <v>1.3696449886432873</v>
      </c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ht="18" x14ac:dyDescent="0.35">
      <c r="A187" s="4">
        <v>186</v>
      </c>
      <c r="B187" s="4">
        <v>68.95</v>
      </c>
      <c r="C187" s="4">
        <v>71.959999999999994</v>
      </c>
      <c r="E187" s="13"/>
      <c r="F187" s="13">
        <v>161</v>
      </c>
      <c r="G187" s="13">
        <v>65.122894407851362</v>
      </c>
      <c r="H187" s="13">
        <v>0.1971055921486311</v>
      </c>
      <c r="I187" s="13">
        <f t="shared" si="2"/>
        <v>0.1971055921486311</v>
      </c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ht="18" x14ac:dyDescent="0.35">
      <c r="A188" s="4">
        <v>187</v>
      </c>
      <c r="B188" s="4">
        <v>70.010000000000005</v>
      </c>
      <c r="C188" s="4">
        <v>68.95</v>
      </c>
      <c r="E188" s="13"/>
      <c r="F188" s="13">
        <v>162</v>
      </c>
      <c r="G188" s="13">
        <v>65.300600313960132</v>
      </c>
      <c r="H188" s="13">
        <v>-3.2906003139601339</v>
      </c>
      <c r="I188" s="13">
        <f t="shared" si="2"/>
        <v>3.2906003139601339</v>
      </c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ht="18" x14ac:dyDescent="0.35">
      <c r="A189" s="4">
        <v>188</v>
      </c>
      <c r="B189" s="4">
        <v>69.459999999999994</v>
      </c>
      <c r="C189" s="4">
        <v>70.010000000000005</v>
      </c>
      <c r="E189" s="13"/>
      <c r="F189" s="13">
        <v>163</v>
      </c>
      <c r="G189" s="13">
        <v>62.032786151626354</v>
      </c>
      <c r="H189" s="13">
        <v>-1.4727861516263516</v>
      </c>
      <c r="I189" s="13">
        <f t="shared" si="2"/>
        <v>1.4727861516263516</v>
      </c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ht="18" x14ac:dyDescent="0.35">
      <c r="A190" s="4">
        <v>189</v>
      </c>
      <c r="B190" s="4">
        <v>67.900000000000006</v>
      </c>
      <c r="C190" s="4">
        <v>69.459999999999994</v>
      </c>
      <c r="E190" s="13"/>
      <c r="F190" s="13">
        <v>164</v>
      </c>
      <c r="G190" s="13">
        <v>60.601266352416694</v>
      </c>
      <c r="H190" s="13">
        <v>1.868733647583305</v>
      </c>
      <c r="I190" s="13">
        <f t="shared" si="2"/>
        <v>1.868733647583305</v>
      </c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ht="18" x14ac:dyDescent="0.35">
      <c r="A191" s="4">
        <v>190</v>
      </c>
      <c r="B191" s="4">
        <v>66.150000000000006</v>
      </c>
      <c r="C191" s="4">
        <v>67.900000000000006</v>
      </c>
      <c r="E191" s="13"/>
      <c r="F191" s="13">
        <v>165</v>
      </c>
      <c r="G191" s="13">
        <v>62.486923467237695</v>
      </c>
      <c r="H191" s="13">
        <v>-0.41692346723769447</v>
      </c>
      <c r="I191" s="13">
        <f t="shared" si="2"/>
        <v>0.41692346723769447</v>
      </c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ht="18" x14ac:dyDescent="0.35">
      <c r="A192" s="4">
        <v>191</v>
      </c>
      <c r="B192" s="4">
        <v>68.099999999999994</v>
      </c>
      <c r="C192" s="4">
        <v>66.150000000000006</v>
      </c>
      <c r="E192" s="13"/>
      <c r="F192" s="13">
        <v>166</v>
      </c>
      <c r="G192" s="13">
        <v>62.092021453662618</v>
      </c>
      <c r="H192" s="13">
        <v>-0.44202145366261902</v>
      </c>
      <c r="I192" s="13">
        <f t="shared" si="2"/>
        <v>0.44202145366261902</v>
      </c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ht="18" x14ac:dyDescent="0.35">
      <c r="A193" s="4">
        <v>192</v>
      </c>
      <c r="B193" s="4">
        <v>69.66</v>
      </c>
      <c r="C193" s="4">
        <v>68.099999999999994</v>
      </c>
      <c r="E193" s="13"/>
      <c r="F193" s="13">
        <v>167</v>
      </c>
      <c r="G193" s="13">
        <v>61.677374339408779</v>
      </c>
      <c r="H193" s="13">
        <v>-0.39737433940877764</v>
      </c>
      <c r="I193" s="13">
        <f t="shared" si="2"/>
        <v>0.39737433940877764</v>
      </c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ht="18" x14ac:dyDescent="0.35">
      <c r="A194" s="4">
        <v>193</v>
      </c>
      <c r="B194" s="4">
        <v>68.510000000000005</v>
      </c>
      <c r="C194" s="4">
        <v>69.66</v>
      </c>
      <c r="E194" s="13"/>
      <c r="F194" s="13">
        <v>168</v>
      </c>
      <c r="G194" s="13">
        <v>61.312089976851837</v>
      </c>
      <c r="H194" s="13">
        <v>2.7979100231481624</v>
      </c>
      <c r="I194" s="13">
        <f t="shared" si="2"/>
        <v>2.7979100231481624</v>
      </c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ht="18" x14ac:dyDescent="0.35">
      <c r="A195" s="4">
        <v>194</v>
      </c>
      <c r="B195" s="4">
        <v>68.959999999999994</v>
      </c>
      <c r="C195" s="4">
        <v>68.510000000000005</v>
      </c>
      <c r="E195" s="13"/>
      <c r="F195" s="13">
        <v>169</v>
      </c>
      <c r="G195" s="13">
        <v>64.10602172289552</v>
      </c>
      <c r="H195" s="13">
        <v>0.86397827710447928</v>
      </c>
      <c r="I195" s="13">
        <f t="shared" si="2"/>
        <v>0.86397827710447928</v>
      </c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ht="18" x14ac:dyDescent="0.35">
      <c r="A196" s="4">
        <v>195</v>
      </c>
      <c r="B196" s="4">
        <v>70.28</v>
      </c>
      <c r="C196" s="4">
        <v>68.959999999999994</v>
      </c>
      <c r="E196" s="13"/>
      <c r="F196" s="13">
        <v>170</v>
      </c>
      <c r="G196" s="13">
        <v>64.955061052081959</v>
      </c>
      <c r="H196" s="13">
        <v>-1.8850610520819586</v>
      </c>
      <c r="I196" s="13">
        <f t="shared" si="2"/>
        <v>1.8850610520819586</v>
      </c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ht="18" x14ac:dyDescent="0.35">
      <c r="A197" s="4">
        <v>196</v>
      </c>
      <c r="B197" s="4">
        <v>72.84</v>
      </c>
      <c r="C197" s="4">
        <v>70.28</v>
      </c>
      <c r="E197" s="13"/>
      <c r="F197" s="13">
        <v>171</v>
      </c>
      <c r="G197" s="13">
        <v>63.079276487600318</v>
      </c>
      <c r="H197" s="13">
        <v>2.9407235123996784</v>
      </c>
      <c r="I197" s="13">
        <f t="shared" si="2"/>
        <v>2.9407235123996784</v>
      </c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ht="18" x14ac:dyDescent="0.35">
      <c r="A198" s="4">
        <v>197</v>
      </c>
      <c r="B198" s="4">
        <v>75.13</v>
      </c>
      <c r="C198" s="4">
        <v>72.84</v>
      </c>
      <c r="E198" s="13"/>
      <c r="F198" s="13">
        <v>172</v>
      </c>
      <c r="G198" s="13">
        <v>65.991678837716535</v>
      </c>
      <c r="H198" s="13">
        <v>1.5583211622834625</v>
      </c>
      <c r="I198" s="13">
        <f t="shared" si="2"/>
        <v>1.5583211622834625</v>
      </c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ht="18" x14ac:dyDescent="0.35">
      <c r="A199" s="4">
        <v>198</v>
      </c>
      <c r="B199" s="4">
        <v>72.959999999999994</v>
      </c>
      <c r="C199" s="4">
        <v>75.13</v>
      </c>
      <c r="E199" s="13"/>
      <c r="F199" s="13">
        <v>173</v>
      </c>
      <c r="G199" s="13">
        <v>67.50217903964122</v>
      </c>
      <c r="H199" s="13">
        <v>0.40782096035877657</v>
      </c>
      <c r="I199" s="13">
        <f t="shared" si="2"/>
        <v>0.40782096035877657</v>
      </c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ht="18" x14ac:dyDescent="0.35">
      <c r="A200" s="4">
        <v>199</v>
      </c>
      <c r="B200" s="4">
        <v>70.239999999999995</v>
      </c>
      <c r="C200" s="4">
        <v>72.959999999999994</v>
      </c>
      <c r="E200" s="13"/>
      <c r="F200" s="13">
        <v>174</v>
      </c>
      <c r="G200" s="13">
        <v>67.857590851858788</v>
      </c>
      <c r="H200" s="13">
        <v>0.52240914814120742</v>
      </c>
      <c r="I200" s="13">
        <f t="shared" si="2"/>
        <v>0.52240914814120742</v>
      </c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ht="18" x14ac:dyDescent="0.35">
      <c r="A201" s="4">
        <v>200</v>
      </c>
      <c r="B201" s="4">
        <v>67.430000000000007</v>
      </c>
      <c r="C201" s="4">
        <v>70.239999999999995</v>
      </c>
      <c r="E201" s="13"/>
      <c r="F201" s="13">
        <v>175</v>
      </c>
      <c r="G201" s="13">
        <v>68.321600717809503</v>
      </c>
      <c r="H201" s="13">
        <v>2.2383992821904997</v>
      </c>
      <c r="I201" s="13">
        <f t="shared" si="2"/>
        <v>2.2383992821904997</v>
      </c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ht="18" x14ac:dyDescent="0.35">
      <c r="A202" s="4">
        <v>201</v>
      </c>
      <c r="B202" s="4">
        <v>65.06</v>
      </c>
      <c r="C202" s="4">
        <v>67.430000000000007</v>
      </c>
      <c r="E202" s="13"/>
      <c r="F202" s="13">
        <v>176</v>
      </c>
      <c r="G202" s="13">
        <v>70.473816691793701</v>
      </c>
      <c r="H202" s="13">
        <v>0.82618330820629637</v>
      </c>
      <c r="I202" s="13">
        <f t="shared" si="2"/>
        <v>0.82618330820629637</v>
      </c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ht="18" x14ac:dyDescent="0.35">
      <c r="A203" s="4">
        <v>202</v>
      </c>
      <c r="B203" s="4">
        <v>61.57</v>
      </c>
      <c r="C203" s="4">
        <v>65.06</v>
      </c>
      <c r="E203" s="13"/>
      <c r="F203" s="13">
        <v>177</v>
      </c>
      <c r="G203" s="13">
        <v>71.204385416907598</v>
      </c>
      <c r="H203" s="13">
        <v>-0.2243854169075945</v>
      </c>
      <c r="I203" s="13">
        <f t="shared" si="2"/>
        <v>0.2243854169075945</v>
      </c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ht="18" x14ac:dyDescent="0.35">
      <c r="A204" s="4">
        <v>203</v>
      </c>
      <c r="B204" s="4">
        <v>56.92</v>
      </c>
      <c r="C204" s="4">
        <v>61.57</v>
      </c>
      <c r="E204" s="13"/>
      <c r="F204" s="13">
        <v>178</v>
      </c>
      <c r="G204" s="13">
        <v>70.888463806047525</v>
      </c>
      <c r="H204" s="13">
        <v>-3.9284638060475316</v>
      </c>
      <c r="I204" s="13">
        <f t="shared" si="2"/>
        <v>3.9284638060475316</v>
      </c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ht="18" x14ac:dyDescent="0.35">
      <c r="A205" s="4">
        <v>204</v>
      </c>
      <c r="B205" s="4">
        <v>54.99</v>
      </c>
      <c r="C205" s="4">
        <v>56.92</v>
      </c>
      <c r="E205" s="13"/>
      <c r="F205" s="13">
        <v>179</v>
      </c>
      <c r="G205" s="13">
        <v>66.919698569617964</v>
      </c>
      <c r="H205" s="13">
        <v>-1.5696985696179695</v>
      </c>
      <c r="I205" s="13">
        <f t="shared" si="2"/>
        <v>1.5696985696179695</v>
      </c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ht="18" x14ac:dyDescent="0.35">
      <c r="A206" s="4">
        <v>205</v>
      </c>
      <c r="B206" s="4">
        <v>51.01</v>
      </c>
      <c r="C206" s="4">
        <v>54.99</v>
      </c>
      <c r="E206" s="13"/>
      <c r="F206" s="13">
        <v>180</v>
      </c>
      <c r="G206" s="13">
        <v>65.33021796497826</v>
      </c>
      <c r="H206" s="13">
        <v>0.87978203502173358</v>
      </c>
      <c r="I206" s="13">
        <f t="shared" si="2"/>
        <v>0.87978203502173358</v>
      </c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ht="18" x14ac:dyDescent="0.35">
      <c r="A207" s="4">
        <v>206</v>
      </c>
      <c r="B207" s="4">
        <v>52.63</v>
      </c>
      <c r="C207" s="4">
        <v>51.01</v>
      </c>
      <c r="E207" s="13"/>
      <c r="F207" s="13">
        <v>181</v>
      </c>
      <c r="G207" s="13">
        <v>66.179257294164699</v>
      </c>
      <c r="H207" s="13">
        <v>0.14074270583529369</v>
      </c>
      <c r="I207" s="13">
        <f t="shared" si="2"/>
        <v>0.14074270583529369</v>
      </c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ht="18" x14ac:dyDescent="0.35">
      <c r="A208" s="4">
        <v>207</v>
      </c>
      <c r="B208" s="4">
        <v>51.54</v>
      </c>
      <c r="C208" s="4">
        <v>52.63</v>
      </c>
      <c r="E208" s="13"/>
      <c r="F208" s="13">
        <v>182</v>
      </c>
      <c r="G208" s="13">
        <v>66.287855347897846</v>
      </c>
      <c r="H208" s="13">
        <v>7.7421446521021551</v>
      </c>
      <c r="I208" s="13">
        <f t="shared" si="2"/>
        <v>7.7421446521021551</v>
      </c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ht="18" x14ac:dyDescent="0.35">
      <c r="A209" s="4">
        <v>208</v>
      </c>
      <c r="B209" s="4">
        <v>46.98</v>
      </c>
      <c r="C209" s="4">
        <v>51.54</v>
      </c>
      <c r="E209" s="13"/>
      <c r="F209" s="13">
        <v>183</v>
      </c>
      <c r="G209" s="13">
        <v>73.89959165955753</v>
      </c>
      <c r="H209" s="13">
        <v>-0.16959165955752553</v>
      </c>
      <c r="I209" s="13">
        <f t="shared" si="2"/>
        <v>0.16959165955752553</v>
      </c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ht="18" x14ac:dyDescent="0.35">
      <c r="A210" s="4">
        <v>209</v>
      </c>
      <c r="B210" s="4">
        <v>45.22</v>
      </c>
      <c r="C210" s="4">
        <v>46.98</v>
      </c>
      <c r="E210" s="13"/>
      <c r="F210" s="13">
        <v>184</v>
      </c>
      <c r="G210" s="13">
        <v>73.603415149376218</v>
      </c>
      <c r="H210" s="13">
        <v>-1.6434151493762243</v>
      </c>
      <c r="I210" s="13">
        <f t="shared" si="2"/>
        <v>1.6434151493762243</v>
      </c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ht="18" x14ac:dyDescent="0.35">
      <c r="A211" s="4">
        <v>210</v>
      </c>
      <c r="B211" s="4">
        <v>47</v>
      </c>
      <c r="C211" s="4">
        <v>45.22</v>
      </c>
      <c r="E211" s="13"/>
      <c r="F211" s="13">
        <v>185</v>
      </c>
      <c r="G211" s="13">
        <v>71.855973739306478</v>
      </c>
      <c r="H211" s="13">
        <v>-2.9059737393064751</v>
      </c>
      <c r="I211" s="13">
        <f t="shared" si="2"/>
        <v>2.9059737393064751</v>
      </c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ht="18" x14ac:dyDescent="0.35">
      <c r="A212" s="4">
        <v>211</v>
      </c>
      <c r="B212" s="4">
        <v>50.78</v>
      </c>
      <c r="C212" s="4">
        <v>47</v>
      </c>
      <c r="E212" s="13"/>
      <c r="F212" s="13">
        <v>186</v>
      </c>
      <c r="G212" s="13">
        <v>68.884336087153997</v>
      </c>
      <c r="H212" s="13">
        <v>1.125663912846008</v>
      </c>
      <c r="I212" s="13">
        <f t="shared" si="2"/>
        <v>1.125663912846008</v>
      </c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ht="18" x14ac:dyDescent="0.35">
      <c r="A213" s="4">
        <v>212</v>
      </c>
      <c r="B213" s="4">
        <v>51.92</v>
      </c>
      <c r="C213" s="4">
        <v>50.78</v>
      </c>
      <c r="E213" s="13"/>
      <c r="F213" s="13">
        <v>187</v>
      </c>
      <c r="G213" s="13">
        <v>69.930826423127968</v>
      </c>
      <c r="H213" s="13">
        <v>-0.47082642312797418</v>
      </c>
      <c r="I213" s="13">
        <f t="shared" si="2"/>
        <v>0.47082642312797418</v>
      </c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ht="18" x14ac:dyDescent="0.35">
      <c r="A214" s="4">
        <v>213</v>
      </c>
      <c r="B214" s="4">
        <v>52.88</v>
      </c>
      <c r="C214" s="4">
        <v>51.92</v>
      </c>
      <c r="E214" s="13"/>
      <c r="F214" s="13">
        <v>188</v>
      </c>
      <c r="G214" s="13">
        <v>69.387836154462207</v>
      </c>
      <c r="H214" s="13">
        <v>-1.487836154462201</v>
      </c>
      <c r="I214" s="13">
        <f t="shared" si="2"/>
        <v>1.487836154462201</v>
      </c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ht="18" x14ac:dyDescent="0.35">
      <c r="A215" s="4">
        <v>214</v>
      </c>
      <c r="B215" s="4">
        <v>53.63</v>
      </c>
      <c r="C215" s="4">
        <v>52.88</v>
      </c>
      <c r="E215" s="13"/>
      <c r="F215" s="13">
        <v>189</v>
      </c>
      <c r="G215" s="13">
        <v>67.847718301519421</v>
      </c>
      <c r="H215" s="13">
        <v>-1.6977183015194157</v>
      </c>
      <c r="I215" s="13">
        <f t="shared" si="2"/>
        <v>1.6977183015194157</v>
      </c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ht="18" x14ac:dyDescent="0.35">
      <c r="A216" s="4">
        <v>215</v>
      </c>
      <c r="B216" s="4">
        <v>53.53</v>
      </c>
      <c r="C216" s="4">
        <v>53.63</v>
      </c>
      <c r="E216" s="13"/>
      <c r="F216" s="13">
        <v>190</v>
      </c>
      <c r="G216" s="13">
        <v>66.120021992128443</v>
      </c>
      <c r="H216" s="13">
        <v>1.9799780078715514</v>
      </c>
      <c r="I216" s="13">
        <f t="shared" si="2"/>
        <v>1.9799780078715514</v>
      </c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ht="18" x14ac:dyDescent="0.35">
      <c r="A217" s="4">
        <v>216</v>
      </c>
      <c r="B217" s="4">
        <v>53.88</v>
      </c>
      <c r="C217" s="4">
        <v>53.53</v>
      </c>
      <c r="E217" s="13"/>
      <c r="F217" s="13">
        <v>191</v>
      </c>
      <c r="G217" s="13">
        <v>68.045169308306953</v>
      </c>
      <c r="H217" s="13">
        <v>1.6148306916930437</v>
      </c>
      <c r="I217" s="13">
        <f t="shared" si="2"/>
        <v>1.6148306916930437</v>
      </c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ht="18" x14ac:dyDescent="0.35">
      <c r="A218" s="4">
        <v>217</v>
      </c>
      <c r="B218" s="4">
        <v>56.74</v>
      </c>
      <c r="C218" s="4">
        <v>53.88</v>
      </c>
      <c r="E218" s="13"/>
      <c r="F218" s="13">
        <v>192</v>
      </c>
      <c r="G218" s="13">
        <v>69.585287161249767</v>
      </c>
      <c r="H218" s="13">
        <v>-1.0752871612497614</v>
      </c>
      <c r="I218" s="13">
        <f t="shared" si="2"/>
        <v>1.0752871612497614</v>
      </c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ht="18" x14ac:dyDescent="0.35">
      <c r="A219" s="4">
        <v>218</v>
      </c>
      <c r="B219" s="4">
        <v>56.12</v>
      </c>
      <c r="C219" s="4">
        <v>56.74</v>
      </c>
      <c r="E219" s="13"/>
      <c r="F219" s="13">
        <v>193</v>
      </c>
      <c r="G219" s="13">
        <v>68.449943872221411</v>
      </c>
      <c r="H219" s="13">
        <v>0.51005612777858289</v>
      </c>
      <c r="I219" s="13">
        <f t="shared" si="2"/>
        <v>0.51005612777858289</v>
      </c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ht="18" x14ac:dyDescent="0.35">
      <c r="A220" s="4">
        <v>219</v>
      </c>
      <c r="B220" s="4">
        <v>56.35</v>
      </c>
      <c r="C220" s="4">
        <v>56.12</v>
      </c>
      <c r="E220" s="13"/>
      <c r="F220" s="13">
        <v>194</v>
      </c>
      <c r="G220" s="13">
        <v>68.894208637493364</v>
      </c>
      <c r="H220" s="13">
        <v>1.3857913625066374</v>
      </c>
      <c r="I220" s="13">
        <f t="shared" si="2"/>
        <v>1.3857913625066374</v>
      </c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ht="18" x14ac:dyDescent="0.35">
      <c r="A221" s="4">
        <v>220</v>
      </c>
      <c r="B221" s="4">
        <v>57.81</v>
      </c>
      <c r="C221" s="4">
        <v>56.35</v>
      </c>
      <c r="E221" s="13"/>
      <c r="F221" s="13">
        <v>195</v>
      </c>
      <c r="G221" s="13">
        <v>70.197385282291151</v>
      </c>
      <c r="H221" s="13">
        <v>2.6426147177088524</v>
      </c>
      <c r="I221" s="13">
        <f t="shared" ref="I221:I284" si="3">ABS(H221)</f>
        <v>2.6426147177088524</v>
      </c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ht="18" x14ac:dyDescent="0.35">
      <c r="A222" s="4">
        <v>221</v>
      </c>
      <c r="B222" s="4">
        <v>59.44</v>
      </c>
      <c r="C222" s="4">
        <v>57.81</v>
      </c>
      <c r="E222" s="13"/>
      <c r="F222" s="13">
        <v>196</v>
      </c>
      <c r="G222" s="13">
        <v>72.72475816917165</v>
      </c>
      <c r="H222" s="13">
        <v>2.405241830828345</v>
      </c>
      <c r="I222" s="13">
        <f t="shared" si="3"/>
        <v>2.405241830828345</v>
      </c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ht="18" x14ac:dyDescent="0.35">
      <c r="A223" s="4">
        <v>222</v>
      </c>
      <c r="B223" s="4">
        <v>59.49</v>
      </c>
      <c r="C223" s="4">
        <v>59.44</v>
      </c>
      <c r="E223" s="13"/>
      <c r="F223" s="13">
        <v>197</v>
      </c>
      <c r="G223" s="13">
        <v>74.985572196888995</v>
      </c>
      <c r="H223" s="13">
        <v>-2.0255721968890015</v>
      </c>
      <c r="I223" s="13">
        <f t="shared" si="3"/>
        <v>2.0255721968890015</v>
      </c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ht="18" x14ac:dyDescent="0.35">
      <c r="A224" s="4">
        <v>223</v>
      </c>
      <c r="B224" s="4">
        <v>62.36</v>
      </c>
      <c r="C224" s="4">
        <v>59.49</v>
      </c>
      <c r="E224" s="13"/>
      <c r="F224" s="13">
        <v>198</v>
      </c>
      <c r="G224" s="13">
        <v>72.843228773244164</v>
      </c>
      <c r="H224" s="13">
        <v>-2.6032287732441688</v>
      </c>
      <c r="I224" s="13">
        <f t="shared" si="3"/>
        <v>2.6032287732441688</v>
      </c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ht="18" x14ac:dyDescent="0.35">
      <c r="A225" s="4">
        <v>224</v>
      </c>
      <c r="B225" s="4">
        <v>64.099999999999994</v>
      </c>
      <c r="C225" s="4">
        <v>62.36</v>
      </c>
      <c r="E225" s="13"/>
      <c r="F225" s="13">
        <v>199</v>
      </c>
      <c r="G225" s="13">
        <v>70.157895080933628</v>
      </c>
      <c r="H225" s="13">
        <v>-2.7278950809336209</v>
      </c>
      <c r="I225" s="13">
        <f t="shared" si="3"/>
        <v>2.7278950809336209</v>
      </c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ht="18" x14ac:dyDescent="0.35">
      <c r="A226" s="4">
        <v>225</v>
      </c>
      <c r="B226" s="4">
        <v>63.8</v>
      </c>
      <c r="C226" s="4">
        <v>64.099999999999994</v>
      </c>
      <c r="E226" s="13"/>
      <c r="F226" s="13">
        <v>200</v>
      </c>
      <c r="G226" s="13">
        <v>67.383708435568707</v>
      </c>
      <c r="H226" s="13">
        <v>-2.3237084355687045</v>
      </c>
      <c r="I226" s="13">
        <f t="shared" si="3"/>
        <v>2.3237084355687045</v>
      </c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ht="18" x14ac:dyDescent="0.35">
      <c r="A227" s="4">
        <v>226</v>
      </c>
      <c r="B227" s="4">
        <v>65.28</v>
      </c>
      <c r="C227" s="4">
        <v>63.8</v>
      </c>
      <c r="E227" s="13"/>
      <c r="F227" s="13">
        <v>201</v>
      </c>
      <c r="G227" s="13">
        <v>65.043914005136344</v>
      </c>
      <c r="H227" s="13">
        <v>-3.4739140051363435</v>
      </c>
      <c r="I227" s="13">
        <f t="shared" si="3"/>
        <v>3.4739140051363435</v>
      </c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ht="18" x14ac:dyDescent="0.35">
      <c r="A228" s="4">
        <v>227</v>
      </c>
      <c r="B228" s="4">
        <v>62.9</v>
      </c>
      <c r="C228" s="4">
        <v>65.28</v>
      </c>
      <c r="E228" s="13"/>
      <c r="F228" s="13">
        <v>202</v>
      </c>
      <c r="G228" s="13">
        <v>61.598393936693768</v>
      </c>
      <c r="H228" s="13">
        <v>-4.6783939366937659</v>
      </c>
      <c r="I228" s="13">
        <f t="shared" si="3"/>
        <v>4.6783939366937659</v>
      </c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ht="18" x14ac:dyDescent="0.35">
      <c r="A229" s="4">
        <v>228</v>
      </c>
      <c r="B229" s="4">
        <v>61.81</v>
      </c>
      <c r="C229" s="4">
        <v>62.9</v>
      </c>
      <c r="E229" s="13"/>
      <c r="F229" s="13">
        <v>203</v>
      </c>
      <c r="G229" s="13">
        <v>57.007658028883462</v>
      </c>
      <c r="H229" s="13">
        <v>-2.01765802888346</v>
      </c>
      <c r="I229" s="13">
        <f t="shared" si="3"/>
        <v>2.01765802888346</v>
      </c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ht="18" x14ac:dyDescent="0.35">
      <c r="A230" s="4">
        <v>229</v>
      </c>
      <c r="B230" s="4">
        <v>62.1</v>
      </c>
      <c r="C230" s="4">
        <v>61.81</v>
      </c>
      <c r="E230" s="13"/>
      <c r="F230" s="13">
        <v>204</v>
      </c>
      <c r="G230" s="13">
        <v>55.102255813383699</v>
      </c>
      <c r="H230" s="13">
        <v>-4.0922558133837015</v>
      </c>
      <c r="I230" s="13">
        <f t="shared" si="3"/>
        <v>4.0922558133837015</v>
      </c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ht="18" x14ac:dyDescent="0.35">
      <c r="A231" s="4">
        <v>230</v>
      </c>
      <c r="B231" s="4">
        <v>60.72</v>
      </c>
      <c r="C231" s="4">
        <v>62.1</v>
      </c>
      <c r="E231" s="13"/>
      <c r="F231" s="13">
        <v>205</v>
      </c>
      <c r="G231" s="13">
        <v>51.172980778311647</v>
      </c>
      <c r="H231" s="13">
        <v>1.4570192216883555</v>
      </c>
      <c r="I231" s="13">
        <f t="shared" si="3"/>
        <v>1.4570192216883555</v>
      </c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ht="18" x14ac:dyDescent="0.35">
      <c r="A232" s="4">
        <v>231</v>
      </c>
      <c r="B232" s="4">
        <v>56.93</v>
      </c>
      <c r="C232" s="4">
        <v>60.72</v>
      </c>
      <c r="E232" s="13"/>
      <c r="F232" s="13">
        <v>206</v>
      </c>
      <c r="G232" s="13">
        <v>52.772333933290724</v>
      </c>
      <c r="H232" s="13">
        <v>-1.2323339332907253</v>
      </c>
      <c r="I232" s="13">
        <f t="shared" si="3"/>
        <v>1.2323339332907253</v>
      </c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ht="18" x14ac:dyDescent="0.35">
      <c r="A233" s="4">
        <v>232</v>
      </c>
      <c r="B233" s="4">
        <v>52.97</v>
      </c>
      <c r="C233" s="4">
        <v>56.93</v>
      </c>
      <c r="E233" s="13"/>
      <c r="F233" s="13">
        <v>207</v>
      </c>
      <c r="G233" s="13">
        <v>51.696225946298632</v>
      </c>
      <c r="H233" s="13">
        <v>-4.7162259462986356</v>
      </c>
      <c r="I233" s="13">
        <f t="shared" si="3"/>
        <v>4.7162259462986356</v>
      </c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ht="18" x14ac:dyDescent="0.35">
      <c r="A234" s="4">
        <v>233</v>
      </c>
      <c r="B234" s="4">
        <v>52.52</v>
      </c>
      <c r="C234" s="4">
        <v>52.97</v>
      </c>
      <c r="E234" s="13"/>
      <c r="F234" s="13">
        <v>208</v>
      </c>
      <c r="G234" s="13">
        <v>47.194342991542712</v>
      </c>
      <c r="H234" s="13">
        <v>-1.9743429915427129</v>
      </c>
      <c r="I234" s="13">
        <f t="shared" si="3"/>
        <v>1.9743429915427129</v>
      </c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ht="18" x14ac:dyDescent="0.35">
      <c r="A235" s="4">
        <v>234</v>
      </c>
      <c r="B235" s="4">
        <v>54.75</v>
      </c>
      <c r="C235" s="4">
        <v>52.52</v>
      </c>
      <c r="E235" s="13"/>
      <c r="F235" s="13">
        <v>209</v>
      </c>
      <c r="G235" s="13">
        <v>45.456774131812359</v>
      </c>
      <c r="H235" s="13">
        <v>1.5432258681876405</v>
      </c>
      <c r="I235" s="13">
        <f t="shared" si="3"/>
        <v>1.5432258681876405</v>
      </c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ht="18" x14ac:dyDescent="0.35">
      <c r="A236" s="4">
        <v>235</v>
      </c>
      <c r="B236" s="4">
        <v>58.38</v>
      </c>
      <c r="C236" s="4">
        <v>54.75</v>
      </c>
      <c r="E236" s="13"/>
      <c r="F236" s="13">
        <v>210</v>
      </c>
      <c r="G236" s="13">
        <v>47.214088092221466</v>
      </c>
      <c r="H236" s="13">
        <v>3.5659119077785348</v>
      </c>
      <c r="I236" s="13">
        <f t="shared" si="3"/>
        <v>3.5659119077785348</v>
      </c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ht="18" x14ac:dyDescent="0.35">
      <c r="A237" s="4">
        <v>236</v>
      </c>
      <c r="B237" s="4">
        <v>57.32</v>
      </c>
      <c r="C237" s="4">
        <v>58.38</v>
      </c>
      <c r="E237" s="13"/>
      <c r="F237" s="13">
        <v>211</v>
      </c>
      <c r="G237" s="13">
        <v>50.94591212050598</v>
      </c>
      <c r="H237" s="13">
        <v>0.97408787949402154</v>
      </c>
      <c r="I237" s="13">
        <f t="shared" si="3"/>
        <v>0.97408787949402154</v>
      </c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ht="18" x14ac:dyDescent="0.35">
      <c r="A238" s="4">
        <v>237</v>
      </c>
      <c r="B238" s="4">
        <v>59.02</v>
      </c>
      <c r="C238" s="4">
        <v>57.32</v>
      </c>
      <c r="E238" s="13"/>
      <c r="F238" s="13">
        <v>212</v>
      </c>
      <c r="G238" s="13">
        <v>52.071382859194955</v>
      </c>
      <c r="H238" s="13">
        <v>0.80861714080504754</v>
      </c>
      <c r="I238" s="13">
        <f t="shared" si="3"/>
        <v>0.80861714080504754</v>
      </c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ht="18" x14ac:dyDescent="0.35">
      <c r="A239" s="4">
        <v>238</v>
      </c>
      <c r="B239" s="4">
        <v>56.74</v>
      </c>
      <c r="C239" s="4">
        <v>59.02</v>
      </c>
      <c r="E239" s="13"/>
      <c r="F239" s="13">
        <v>213</v>
      </c>
      <c r="G239" s="13">
        <v>53.019147691775153</v>
      </c>
      <c r="H239" s="13">
        <v>0.61085230822484959</v>
      </c>
      <c r="I239" s="13">
        <f t="shared" si="3"/>
        <v>0.61085230822484959</v>
      </c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ht="18" x14ac:dyDescent="0.35">
      <c r="A240" s="4">
        <v>239</v>
      </c>
      <c r="B240" s="4">
        <v>56.05</v>
      </c>
      <c r="C240" s="4">
        <v>56.74</v>
      </c>
      <c r="E240" s="13"/>
      <c r="F240" s="13">
        <v>214</v>
      </c>
      <c r="G240" s="13">
        <v>53.759588967228424</v>
      </c>
      <c r="H240" s="13">
        <v>-0.22958896722842326</v>
      </c>
      <c r="I240" s="13">
        <f t="shared" si="3"/>
        <v>0.22958896722842326</v>
      </c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ht="18" x14ac:dyDescent="0.35">
      <c r="A241" s="4">
        <v>240</v>
      </c>
      <c r="B241" s="4">
        <v>56.55</v>
      </c>
      <c r="C241" s="4">
        <v>56.05</v>
      </c>
      <c r="E241" s="13"/>
      <c r="F241" s="13">
        <v>215</v>
      </c>
      <c r="G241" s="13">
        <v>53.660863463834659</v>
      </c>
      <c r="H241" s="13">
        <v>0.2191365361653439</v>
      </c>
      <c r="I241" s="13">
        <f t="shared" si="3"/>
        <v>0.2191365361653439</v>
      </c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ht="18" x14ac:dyDescent="0.35">
      <c r="A242" s="4">
        <v>241</v>
      </c>
      <c r="B242" s="4">
        <v>53.28</v>
      </c>
      <c r="C242" s="4">
        <v>56.55</v>
      </c>
      <c r="E242" s="13"/>
      <c r="F242" s="13">
        <v>216</v>
      </c>
      <c r="G242" s="13">
        <v>54.006402725712853</v>
      </c>
      <c r="H242" s="13">
        <v>2.733597274287149</v>
      </c>
      <c r="I242" s="13">
        <f t="shared" si="3"/>
        <v>2.733597274287149</v>
      </c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ht="18" x14ac:dyDescent="0.35">
      <c r="A243" s="4">
        <v>242</v>
      </c>
      <c r="B243" s="4">
        <v>55.31</v>
      </c>
      <c r="C243" s="4">
        <v>53.28</v>
      </c>
      <c r="E243" s="13"/>
      <c r="F243" s="13">
        <v>217</v>
      </c>
      <c r="G243" s="13">
        <v>56.829952122774678</v>
      </c>
      <c r="H243" s="13">
        <v>-0.70995212277468056</v>
      </c>
      <c r="I243" s="13">
        <f t="shared" si="3"/>
        <v>0.70995212277468056</v>
      </c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ht="18" x14ac:dyDescent="0.35">
      <c r="A244" s="4">
        <v>243</v>
      </c>
      <c r="B244" s="4">
        <v>55.5</v>
      </c>
      <c r="C244" s="4">
        <v>55.31</v>
      </c>
      <c r="E244" s="13"/>
      <c r="F244" s="13">
        <v>218</v>
      </c>
      <c r="G244" s="13">
        <v>56.217854001733294</v>
      </c>
      <c r="H244" s="13">
        <v>0.13214599826670792</v>
      </c>
      <c r="I244" s="13">
        <f t="shared" si="3"/>
        <v>0.13214599826670792</v>
      </c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ht="18" x14ac:dyDescent="0.35">
      <c r="A245" s="4">
        <v>244</v>
      </c>
      <c r="B245" s="4">
        <v>55.21</v>
      </c>
      <c r="C245" s="4">
        <v>55.5</v>
      </c>
      <c r="E245" s="13"/>
      <c r="F245" s="13">
        <v>219</v>
      </c>
      <c r="G245" s="13">
        <v>56.444922659538975</v>
      </c>
      <c r="H245" s="13">
        <v>1.3650773404610277</v>
      </c>
      <c r="I245" s="13">
        <f t="shared" si="3"/>
        <v>1.3650773404610277</v>
      </c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ht="18" x14ac:dyDescent="0.35">
      <c r="A246" s="4">
        <v>245</v>
      </c>
      <c r="B246" s="4">
        <v>55.73</v>
      </c>
      <c r="C246" s="4">
        <v>55.21</v>
      </c>
      <c r="E246" s="13"/>
      <c r="F246" s="13">
        <v>220</v>
      </c>
      <c r="G246" s="13">
        <v>57.886315009088015</v>
      </c>
      <c r="H246" s="13">
        <v>1.5536849909119823</v>
      </c>
      <c r="I246" s="13">
        <f t="shared" si="3"/>
        <v>1.5536849909119823</v>
      </c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ht="18" x14ac:dyDescent="0.35">
      <c r="A247" s="4">
        <v>246</v>
      </c>
      <c r="B247" s="4">
        <v>56.16</v>
      </c>
      <c r="C247" s="4">
        <v>55.73</v>
      </c>
      <c r="E247" s="13"/>
      <c r="F247" s="13">
        <v>221</v>
      </c>
      <c r="G247" s="13">
        <v>59.495540714406459</v>
      </c>
      <c r="H247" s="13">
        <v>-5.5407144064574254E-3</v>
      </c>
      <c r="I247" s="13">
        <f t="shared" si="3"/>
        <v>5.5407144064574254E-3</v>
      </c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ht="18" x14ac:dyDescent="0.35">
      <c r="A248" s="4">
        <v>247</v>
      </c>
      <c r="B248" s="4">
        <v>59.33</v>
      </c>
      <c r="C248" s="4">
        <v>56.16</v>
      </c>
      <c r="E248" s="13"/>
      <c r="F248" s="13">
        <v>222</v>
      </c>
      <c r="G248" s="13">
        <v>59.544903466103349</v>
      </c>
      <c r="H248" s="13">
        <v>2.81509653389665</v>
      </c>
      <c r="I248" s="13">
        <f t="shared" si="3"/>
        <v>2.81509653389665</v>
      </c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ht="18" x14ac:dyDescent="0.35">
      <c r="A249" s="4">
        <v>248</v>
      </c>
      <c r="B249" s="4">
        <v>56.9</v>
      </c>
      <c r="C249" s="4">
        <v>59.33</v>
      </c>
      <c r="E249" s="13"/>
      <c r="F249" s="13">
        <v>223</v>
      </c>
      <c r="G249" s="13">
        <v>62.378325413504548</v>
      </c>
      <c r="H249" s="13">
        <v>1.7216745864954461</v>
      </c>
      <c r="I249" s="13">
        <f t="shared" si="3"/>
        <v>1.7216745864954461</v>
      </c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ht="18" x14ac:dyDescent="0.35">
      <c r="A250" s="4">
        <v>249</v>
      </c>
      <c r="B250" s="4">
        <v>53.12</v>
      </c>
      <c r="C250" s="4">
        <v>56.9</v>
      </c>
      <c r="E250" s="13"/>
      <c r="F250" s="13">
        <v>224</v>
      </c>
      <c r="G250" s="13">
        <v>64.096149172556153</v>
      </c>
      <c r="H250" s="13">
        <v>-0.2961491725561558</v>
      </c>
      <c r="I250" s="13">
        <f t="shared" si="3"/>
        <v>0.2961491725561558</v>
      </c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ht="18" x14ac:dyDescent="0.35">
      <c r="A251" s="4">
        <v>250</v>
      </c>
      <c r="B251" s="4">
        <v>53.27</v>
      </c>
      <c r="C251" s="4">
        <v>53.12</v>
      </c>
      <c r="E251" s="13"/>
      <c r="F251" s="13">
        <v>225</v>
      </c>
      <c r="G251" s="13">
        <v>63.799972662374834</v>
      </c>
      <c r="H251" s="13">
        <v>1.4800273376251667</v>
      </c>
      <c r="I251" s="13">
        <f t="shared" si="3"/>
        <v>1.4800273376251667</v>
      </c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ht="18" x14ac:dyDescent="0.35">
      <c r="A252" s="4">
        <v>251</v>
      </c>
      <c r="B252" s="4">
        <v>53.49</v>
      </c>
      <c r="C252" s="4">
        <v>53.27</v>
      </c>
      <c r="E252" s="13"/>
      <c r="F252" s="13">
        <v>226</v>
      </c>
      <c r="G252" s="13">
        <v>65.261110112602637</v>
      </c>
      <c r="H252" s="13">
        <v>-2.3611101126026384</v>
      </c>
      <c r="I252" s="13">
        <f t="shared" si="3"/>
        <v>2.3611101126026384</v>
      </c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ht="18" x14ac:dyDescent="0.35">
      <c r="A253" s="4">
        <v>252</v>
      </c>
      <c r="B253" s="4">
        <v>55.2</v>
      </c>
      <c r="C253" s="4">
        <v>53.49</v>
      </c>
      <c r="E253" s="13"/>
      <c r="F253" s="13">
        <v>227</v>
      </c>
      <c r="G253" s="13">
        <v>62.911443131830907</v>
      </c>
      <c r="H253" s="13">
        <v>-1.101443131830905</v>
      </c>
      <c r="I253" s="13">
        <f t="shared" si="3"/>
        <v>1.101443131830905</v>
      </c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ht="18" x14ac:dyDescent="0.35">
      <c r="A254" s="4">
        <v>253</v>
      </c>
      <c r="B254" s="4">
        <v>55.17</v>
      </c>
      <c r="C254" s="4">
        <v>55.2</v>
      </c>
      <c r="E254" s="13"/>
      <c r="F254" s="13">
        <v>228</v>
      </c>
      <c r="G254" s="13">
        <v>61.835335144838815</v>
      </c>
      <c r="H254" s="13">
        <v>0.2646648551611861</v>
      </c>
      <c r="I254" s="13">
        <f t="shared" si="3"/>
        <v>0.2646648551611861</v>
      </c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ht="18" x14ac:dyDescent="0.35">
      <c r="A255" s="4">
        <v>254</v>
      </c>
      <c r="B255" s="4">
        <v>56.69</v>
      </c>
      <c r="C255" s="4">
        <v>55.17</v>
      </c>
      <c r="E255" s="13"/>
      <c r="F255" s="13">
        <v>229</v>
      </c>
      <c r="G255" s="13">
        <v>62.121639104680753</v>
      </c>
      <c r="H255" s="13">
        <v>-1.4016391046807541</v>
      </c>
      <c r="I255" s="13">
        <f t="shared" si="3"/>
        <v>1.4016391046807541</v>
      </c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ht="18" x14ac:dyDescent="0.35">
      <c r="A256" s="4">
        <v>255</v>
      </c>
      <c r="B256" s="4">
        <v>56.85</v>
      </c>
      <c r="C256" s="4">
        <v>56.69</v>
      </c>
      <c r="E256" s="13"/>
      <c r="F256" s="13">
        <v>230</v>
      </c>
      <c r="G256" s="13">
        <v>60.759227157846723</v>
      </c>
      <c r="H256" s="13">
        <v>-3.8292271578467236</v>
      </c>
      <c r="I256" s="13">
        <f t="shared" si="3"/>
        <v>3.8292271578467236</v>
      </c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ht="18" x14ac:dyDescent="0.35">
      <c r="A257" s="4">
        <v>256</v>
      </c>
      <c r="B257" s="4">
        <v>56.9</v>
      </c>
      <c r="C257" s="4">
        <v>56.85</v>
      </c>
      <c r="E257" s="13"/>
      <c r="F257" s="13">
        <v>231</v>
      </c>
      <c r="G257" s="13">
        <v>57.017530579222836</v>
      </c>
      <c r="H257" s="13">
        <v>-4.0475305792228369</v>
      </c>
      <c r="I257" s="13">
        <f t="shared" si="3"/>
        <v>4.0475305792228369</v>
      </c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ht="18" x14ac:dyDescent="0.35">
      <c r="A258" s="4">
        <v>257</v>
      </c>
      <c r="B258" s="4">
        <v>58.07</v>
      </c>
      <c r="C258" s="4">
        <v>56.9</v>
      </c>
      <c r="E258" s="13"/>
      <c r="F258" s="13">
        <v>232</v>
      </c>
      <c r="G258" s="13">
        <v>53.108000644829538</v>
      </c>
      <c r="H258" s="13">
        <v>-0.58800064482953474</v>
      </c>
      <c r="I258" s="13">
        <f t="shared" si="3"/>
        <v>0.58800064482953474</v>
      </c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ht="18" x14ac:dyDescent="0.35">
      <c r="A259" s="4">
        <v>258</v>
      </c>
      <c r="B259" s="4">
        <v>57.64</v>
      </c>
      <c r="C259" s="4">
        <v>58.07</v>
      </c>
      <c r="E259" s="13"/>
      <c r="F259" s="13">
        <v>233</v>
      </c>
      <c r="G259" s="13">
        <v>52.663735879557578</v>
      </c>
      <c r="H259" s="13">
        <v>2.0862641204424222</v>
      </c>
      <c r="I259" s="13">
        <f t="shared" si="3"/>
        <v>2.0862641204424222</v>
      </c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ht="18" x14ac:dyDescent="0.35">
      <c r="A260" s="4">
        <v>259</v>
      </c>
      <c r="B260" s="4">
        <v>59.25</v>
      </c>
      <c r="C260" s="4">
        <v>57.64</v>
      </c>
      <c r="E260" s="13"/>
      <c r="F260" s="13">
        <v>234</v>
      </c>
      <c r="G260" s="13">
        <v>54.865314605238652</v>
      </c>
      <c r="H260" s="13">
        <v>3.5146853947613508</v>
      </c>
      <c r="I260" s="13">
        <f t="shared" si="3"/>
        <v>3.5146853947613508</v>
      </c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ht="18" x14ac:dyDescent="0.35">
      <c r="A261" s="4">
        <v>260</v>
      </c>
      <c r="B261" s="4">
        <v>60.75</v>
      </c>
      <c r="C261" s="4">
        <v>59.25</v>
      </c>
      <c r="E261" s="13"/>
      <c r="F261" s="13">
        <v>235</v>
      </c>
      <c r="G261" s="13">
        <v>58.449050378432503</v>
      </c>
      <c r="H261" s="13">
        <v>-1.1290503784325026</v>
      </c>
      <c r="I261" s="13">
        <f t="shared" si="3"/>
        <v>1.1290503784325026</v>
      </c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ht="18" x14ac:dyDescent="0.35">
      <c r="A262" s="4">
        <v>261</v>
      </c>
      <c r="B262" s="4">
        <v>61.29</v>
      </c>
      <c r="C262" s="4">
        <v>60.75</v>
      </c>
      <c r="E262" s="13"/>
      <c r="F262" s="13">
        <v>236</v>
      </c>
      <c r="G262" s="13">
        <v>57.402560042458539</v>
      </c>
      <c r="H262" s="13">
        <v>1.617439957541464</v>
      </c>
      <c r="I262" s="13">
        <f t="shared" si="3"/>
        <v>1.617439957541464</v>
      </c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ht="18" x14ac:dyDescent="0.35">
      <c r="A263" s="4">
        <v>262</v>
      </c>
      <c r="B263" s="4">
        <v>62.09</v>
      </c>
      <c r="C263" s="4">
        <v>61.29</v>
      </c>
      <c r="E263" s="13"/>
      <c r="F263" s="13">
        <v>237</v>
      </c>
      <c r="G263" s="13">
        <v>59.080893600152635</v>
      </c>
      <c r="H263" s="13">
        <v>-2.3408936001526328</v>
      </c>
      <c r="I263" s="13">
        <f t="shared" si="3"/>
        <v>2.3408936001526328</v>
      </c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ht="18" x14ac:dyDescent="0.35">
      <c r="A264" s="4">
        <v>263</v>
      </c>
      <c r="B264" s="4">
        <v>60.84</v>
      </c>
      <c r="C264" s="4">
        <v>62.09</v>
      </c>
      <c r="E264" s="13"/>
      <c r="F264" s="13">
        <v>238</v>
      </c>
      <c r="G264" s="13">
        <v>56.829952122774678</v>
      </c>
      <c r="H264" s="13">
        <v>-0.77995212277468084</v>
      </c>
      <c r="I264" s="13">
        <f t="shared" si="3"/>
        <v>0.77995212277468084</v>
      </c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ht="18" x14ac:dyDescent="0.35">
      <c r="A265" s="4">
        <v>264</v>
      </c>
      <c r="B265" s="4">
        <v>58.29</v>
      </c>
      <c r="C265" s="4">
        <v>60.84</v>
      </c>
      <c r="E265" s="13"/>
      <c r="F265" s="13">
        <v>239</v>
      </c>
      <c r="G265" s="13">
        <v>56.148746149357656</v>
      </c>
      <c r="H265" s="13">
        <v>0.40125385064234109</v>
      </c>
      <c r="I265" s="13">
        <f t="shared" si="3"/>
        <v>0.40125385064234109</v>
      </c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ht="18" x14ac:dyDescent="0.35">
      <c r="A266" s="4">
        <v>265</v>
      </c>
      <c r="B266" s="4">
        <v>56.15</v>
      </c>
      <c r="C266" s="4">
        <v>58.29</v>
      </c>
      <c r="E266" s="13"/>
      <c r="F266" s="13">
        <v>240</v>
      </c>
      <c r="G266" s="13">
        <v>56.642373666326506</v>
      </c>
      <c r="H266" s="13">
        <v>-3.3623736663265049</v>
      </c>
      <c r="I266" s="13">
        <f t="shared" si="3"/>
        <v>3.3623736663265049</v>
      </c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ht="18" x14ac:dyDescent="0.35">
      <c r="A267" s="4">
        <v>266</v>
      </c>
      <c r="B267" s="4">
        <v>52.7</v>
      </c>
      <c r="C267" s="4">
        <v>56.15</v>
      </c>
      <c r="E267" s="13"/>
      <c r="F267" s="13">
        <v>241</v>
      </c>
      <c r="G267" s="13">
        <v>53.41404970535023</v>
      </c>
      <c r="H267" s="13">
        <v>1.8959502946497722</v>
      </c>
      <c r="I267" s="13">
        <f t="shared" si="3"/>
        <v>1.8959502946497722</v>
      </c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ht="18" x14ac:dyDescent="0.35">
      <c r="A268" s="4">
        <v>267</v>
      </c>
      <c r="B268" s="4">
        <v>50.36</v>
      </c>
      <c r="C268" s="4">
        <v>52.7</v>
      </c>
      <c r="E268" s="13"/>
      <c r="F268" s="13">
        <v>242</v>
      </c>
      <c r="G268" s="13">
        <v>55.418177424243765</v>
      </c>
      <c r="H268" s="13">
        <v>8.1822575756234528E-2</v>
      </c>
      <c r="I268" s="13">
        <f t="shared" si="3"/>
        <v>8.1822575756234528E-2</v>
      </c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ht="18" x14ac:dyDescent="0.35">
      <c r="A269" s="4">
        <v>268</v>
      </c>
      <c r="B269" s="4">
        <v>50.83</v>
      </c>
      <c r="C269" s="4">
        <v>50.36</v>
      </c>
      <c r="E269" s="13"/>
      <c r="F269" s="13">
        <v>243</v>
      </c>
      <c r="G269" s="13">
        <v>55.605755880691923</v>
      </c>
      <c r="H269" s="13">
        <v>-0.39575588069192236</v>
      </c>
      <c r="I269" s="13">
        <f t="shared" si="3"/>
        <v>0.39575588069192236</v>
      </c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ht="18" x14ac:dyDescent="0.35">
      <c r="A270" s="4">
        <v>269</v>
      </c>
      <c r="B270" s="4">
        <v>53.14</v>
      </c>
      <c r="C270" s="4">
        <v>50.83</v>
      </c>
      <c r="E270" s="13"/>
      <c r="F270" s="13">
        <v>244</v>
      </c>
      <c r="G270" s="13">
        <v>55.319451920849993</v>
      </c>
      <c r="H270" s="13">
        <v>0.41054807915000424</v>
      </c>
      <c r="I270" s="13">
        <f t="shared" si="3"/>
        <v>0.41054807915000424</v>
      </c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ht="18" x14ac:dyDescent="0.35">
      <c r="A271" s="4">
        <v>270</v>
      </c>
      <c r="B271" s="4">
        <v>48.36</v>
      </c>
      <c r="C271" s="4">
        <v>53.14</v>
      </c>
      <c r="E271" s="13"/>
      <c r="F271" s="13">
        <v>245</v>
      </c>
      <c r="G271" s="13">
        <v>55.83282453849759</v>
      </c>
      <c r="H271" s="13">
        <v>0.32717546150240651</v>
      </c>
      <c r="I271" s="13">
        <f t="shared" si="3"/>
        <v>0.32717546150240651</v>
      </c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ht="18" x14ac:dyDescent="0.35">
      <c r="A272" s="4">
        <v>271</v>
      </c>
      <c r="B272" s="4">
        <v>45.57</v>
      </c>
      <c r="C272" s="4">
        <v>48.36</v>
      </c>
      <c r="E272" s="13"/>
      <c r="F272" s="13">
        <v>246</v>
      </c>
      <c r="G272" s="13">
        <v>56.257344203090803</v>
      </c>
      <c r="H272" s="13">
        <v>3.0726557969091957</v>
      </c>
      <c r="I272" s="13">
        <f t="shared" si="3"/>
        <v>3.0726557969091957</v>
      </c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ht="18" x14ac:dyDescent="0.35">
      <c r="A273" s="4">
        <v>272</v>
      </c>
      <c r="B273" s="4">
        <v>32.39</v>
      </c>
      <c r="C273" s="4">
        <v>45.57</v>
      </c>
      <c r="E273" s="13"/>
      <c r="F273" s="13">
        <v>247</v>
      </c>
      <c r="G273" s="13">
        <v>59.38694266067332</v>
      </c>
      <c r="H273" s="13">
        <v>-2.4869426606733214</v>
      </c>
      <c r="I273" s="13">
        <f t="shared" si="3"/>
        <v>2.4869426606733214</v>
      </c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ht="18" x14ac:dyDescent="0.35">
      <c r="A274" s="4">
        <v>273</v>
      </c>
      <c r="B274" s="4">
        <v>24.19</v>
      </c>
      <c r="C274" s="4">
        <v>32.39</v>
      </c>
      <c r="E274" s="13"/>
      <c r="F274" s="13">
        <v>248</v>
      </c>
      <c r="G274" s="13">
        <v>56.987912928204707</v>
      </c>
      <c r="H274" s="13">
        <v>-3.86791292820471</v>
      </c>
      <c r="I274" s="13">
        <f t="shared" si="3"/>
        <v>3.86791292820471</v>
      </c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ht="18" x14ac:dyDescent="0.35">
      <c r="A275" s="4">
        <v>274</v>
      </c>
      <c r="B275" s="4">
        <v>19.440000000000001</v>
      </c>
      <c r="C275" s="4">
        <v>24.19</v>
      </c>
      <c r="E275" s="13"/>
      <c r="F275" s="13">
        <v>249</v>
      </c>
      <c r="G275" s="13">
        <v>53.256088899920194</v>
      </c>
      <c r="H275" s="13">
        <v>1.3911100079809557E-2</v>
      </c>
      <c r="I275" s="13">
        <f t="shared" si="3"/>
        <v>1.3911100079809557E-2</v>
      </c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ht="18" x14ac:dyDescent="0.35">
      <c r="A276" s="4">
        <v>275</v>
      </c>
      <c r="B276" s="4">
        <v>21.69</v>
      </c>
      <c r="C276" s="4">
        <v>19.440000000000001</v>
      </c>
      <c r="E276" s="13"/>
      <c r="F276" s="13">
        <v>250</v>
      </c>
      <c r="G276" s="13">
        <v>53.404177155010856</v>
      </c>
      <c r="H276" s="13">
        <v>8.5822844989145608E-2</v>
      </c>
      <c r="I276" s="13">
        <f t="shared" si="3"/>
        <v>8.5822844989145608E-2</v>
      </c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ht="18" x14ac:dyDescent="0.35">
      <c r="A277" s="4">
        <v>276</v>
      </c>
      <c r="B277" s="4">
        <v>24.41</v>
      </c>
      <c r="C277" s="4">
        <v>21.69</v>
      </c>
      <c r="E277" s="13"/>
      <c r="F277" s="13">
        <v>251</v>
      </c>
      <c r="G277" s="13">
        <v>53.62137326247715</v>
      </c>
      <c r="H277" s="13">
        <v>1.5786267375228533</v>
      </c>
      <c r="I277" s="13">
        <f t="shared" si="3"/>
        <v>1.5786267375228533</v>
      </c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ht="18" x14ac:dyDescent="0.35">
      <c r="A278" s="4">
        <v>277</v>
      </c>
      <c r="B278" s="4">
        <v>20.12</v>
      </c>
      <c r="C278" s="4">
        <v>24.41</v>
      </c>
      <c r="E278" s="13"/>
      <c r="F278" s="13">
        <v>252</v>
      </c>
      <c r="G278" s="13">
        <v>55.309579370510619</v>
      </c>
      <c r="H278" s="13">
        <v>-0.1395793705106172</v>
      </c>
      <c r="I278" s="13">
        <f t="shared" si="3"/>
        <v>0.1395793705106172</v>
      </c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ht="18" x14ac:dyDescent="0.35">
      <c r="A279" s="4">
        <v>278</v>
      </c>
      <c r="B279" s="4">
        <v>3.32</v>
      </c>
      <c r="C279" s="4">
        <v>20.12</v>
      </c>
      <c r="E279" s="13"/>
      <c r="F279" s="13">
        <v>253</v>
      </c>
      <c r="G279" s="13">
        <v>55.279961719492483</v>
      </c>
      <c r="H279" s="13">
        <v>1.4100382805075142</v>
      </c>
      <c r="I279" s="13">
        <f t="shared" si="3"/>
        <v>1.4100382805075142</v>
      </c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ht="18" x14ac:dyDescent="0.35">
      <c r="A280" s="4">
        <v>279</v>
      </c>
      <c r="B280" s="4">
        <v>15.71</v>
      </c>
      <c r="C280" s="4">
        <v>3.32</v>
      </c>
      <c r="E280" s="13"/>
      <c r="F280" s="13">
        <v>254</v>
      </c>
      <c r="G280" s="13">
        <v>56.780589371077788</v>
      </c>
      <c r="H280" s="13">
        <v>6.9410628922213391E-2</v>
      </c>
      <c r="I280" s="13">
        <f t="shared" si="3"/>
        <v>6.9410628922213391E-2</v>
      </c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ht="18" x14ac:dyDescent="0.35">
      <c r="A281" s="4">
        <v>280</v>
      </c>
      <c r="B281" s="4">
        <v>23.46</v>
      </c>
      <c r="C281" s="4">
        <v>15.71</v>
      </c>
      <c r="E281" s="13"/>
      <c r="F281" s="13">
        <v>255</v>
      </c>
      <c r="G281" s="13">
        <v>56.938550176507825</v>
      </c>
      <c r="H281" s="13">
        <v>-3.8550176507825995E-2</v>
      </c>
      <c r="I281" s="13">
        <f t="shared" si="3"/>
        <v>3.8550176507825995E-2</v>
      </c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ht="18" x14ac:dyDescent="0.35">
      <c r="A282" s="4">
        <v>281</v>
      </c>
      <c r="B282" s="4">
        <v>26.4</v>
      </c>
      <c r="C282" s="4">
        <v>23.46</v>
      </c>
      <c r="E282" s="13"/>
      <c r="F282" s="13">
        <v>256</v>
      </c>
      <c r="G282" s="13">
        <v>56.987912928204707</v>
      </c>
      <c r="H282" s="13">
        <v>1.0820870717952928</v>
      </c>
      <c r="I282" s="13">
        <f t="shared" si="3"/>
        <v>1.0820870717952928</v>
      </c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ht="18" x14ac:dyDescent="0.35">
      <c r="A283" s="4">
        <v>282</v>
      </c>
      <c r="B283" s="4">
        <v>33.1</v>
      </c>
      <c r="C283" s="4">
        <v>26.4</v>
      </c>
      <c r="E283" s="13"/>
      <c r="F283" s="13">
        <v>257</v>
      </c>
      <c r="G283" s="13">
        <v>58.143001317911818</v>
      </c>
      <c r="H283" s="13">
        <v>-0.50300131791181713</v>
      </c>
      <c r="I283" s="13">
        <f t="shared" si="3"/>
        <v>0.50300131791181713</v>
      </c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ht="18" x14ac:dyDescent="0.35">
      <c r="A284" s="4">
        <v>283</v>
      </c>
      <c r="B284" s="4">
        <v>34.19</v>
      </c>
      <c r="C284" s="4">
        <v>33.1</v>
      </c>
      <c r="E284" s="13"/>
      <c r="F284" s="13">
        <v>258</v>
      </c>
      <c r="G284" s="13">
        <v>57.718481653318605</v>
      </c>
      <c r="H284" s="13">
        <v>1.5315183466813949</v>
      </c>
      <c r="I284" s="13">
        <f t="shared" si="3"/>
        <v>1.5315183466813949</v>
      </c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ht="18" x14ac:dyDescent="0.35">
      <c r="A285" s="4">
        <v>284</v>
      </c>
      <c r="B285" s="4">
        <v>37.32</v>
      </c>
      <c r="C285" s="4">
        <v>34.19</v>
      </c>
      <c r="E285" s="13"/>
      <c r="F285" s="13">
        <v>259</v>
      </c>
      <c r="G285" s="13">
        <v>59.307962257958302</v>
      </c>
      <c r="H285" s="13">
        <v>1.4420377420416983</v>
      </c>
      <c r="I285" s="13">
        <f t="shared" ref="I285:I348" si="4">ABS(H285)</f>
        <v>1.4420377420416983</v>
      </c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ht="18" x14ac:dyDescent="0.35">
      <c r="A286" s="4">
        <v>285</v>
      </c>
      <c r="B286" s="4">
        <v>37.869999999999997</v>
      </c>
      <c r="C286" s="4">
        <v>37.32</v>
      </c>
      <c r="E286" s="13"/>
      <c r="F286" s="13">
        <v>260</v>
      </c>
      <c r="G286" s="13">
        <v>60.788844808864852</v>
      </c>
      <c r="H286" s="13">
        <v>0.5011551911351475</v>
      </c>
      <c r="I286" s="13">
        <f t="shared" si="4"/>
        <v>0.5011551911351475</v>
      </c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ht="18" x14ac:dyDescent="0.35">
      <c r="A287" s="4">
        <v>286</v>
      </c>
      <c r="B287" s="4">
        <v>38.35</v>
      </c>
      <c r="C287" s="4">
        <v>37.869999999999997</v>
      </c>
      <c r="E287" s="13"/>
      <c r="F287" s="13">
        <v>261</v>
      </c>
      <c r="G287" s="13">
        <v>61.321962527191211</v>
      </c>
      <c r="H287" s="13">
        <v>0.76803747280879264</v>
      </c>
      <c r="I287" s="13">
        <f t="shared" si="4"/>
        <v>0.76803747280879264</v>
      </c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ht="18" x14ac:dyDescent="0.35">
      <c r="A288" s="4">
        <v>287</v>
      </c>
      <c r="B288" s="4">
        <v>39.22</v>
      </c>
      <c r="C288" s="4">
        <v>38.35</v>
      </c>
      <c r="E288" s="13"/>
      <c r="F288" s="13">
        <v>262</v>
      </c>
      <c r="G288" s="13">
        <v>62.111766554341372</v>
      </c>
      <c r="H288" s="13">
        <v>-1.2717665543413688</v>
      </c>
      <c r="I288" s="13">
        <f t="shared" si="4"/>
        <v>1.2717665543413688</v>
      </c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ht="18" x14ac:dyDescent="0.35">
      <c r="A289" s="4">
        <v>288</v>
      </c>
      <c r="B289" s="4">
        <v>39.85</v>
      </c>
      <c r="C289" s="4">
        <v>39.22</v>
      </c>
      <c r="E289" s="13"/>
      <c r="F289" s="13">
        <v>263</v>
      </c>
      <c r="G289" s="13">
        <v>60.877697761919251</v>
      </c>
      <c r="H289" s="13">
        <v>-2.5876977619192516</v>
      </c>
      <c r="I289" s="13">
        <f t="shared" si="4"/>
        <v>2.5876977619192516</v>
      </c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ht="18" x14ac:dyDescent="0.35">
      <c r="A290" s="4">
        <v>289</v>
      </c>
      <c r="B290" s="4">
        <v>40.44</v>
      </c>
      <c r="C290" s="4">
        <v>39.85</v>
      </c>
      <c r="E290" s="13"/>
      <c r="F290" s="13">
        <v>264</v>
      </c>
      <c r="G290" s="13">
        <v>58.360197425378111</v>
      </c>
      <c r="H290" s="13">
        <v>-2.2101974253781123</v>
      </c>
      <c r="I290" s="13">
        <f t="shared" si="4"/>
        <v>2.2101974253781123</v>
      </c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ht="18" x14ac:dyDescent="0.35">
      <c r="A291" s="4">
        <v>290</v>
      </c>
      <c r="B291" s="4">
        <v>40.57</v>
      </c>
      <c r="C291" s="4">
        <v>40.44</v>
      </c>
      <c r="E291" s="13"/>
      <c r="F291" s="13">
        <v>265</v>
      </c>
      <c r="G291" s="13">
        <v>56.247471652751429</v>
      </c>
      <c r="H291" s="13">
        <v>-3.5474716527514261</v>
      </c>
      <c r="I291" s="13">
        <f t="shared" si="4"/>
        <v>3.5474716527514261</v>
      </c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ht="18" x14ac:dyDescent="0.35">
      <c r="A292" s="4">
        <v>291</v>
      </c>
      <c r="B292" s="4">
        <v>41.34</v>
      </c>
      <c r="C292" s="4">
        <v>40.57</v>
      </c>
      <c r="E292" s="13"/>
      <c r="F292" s="13">
        <v>266</v>
      </c>
      <c r="G292" s="13">
        <v>52.841441785666369</v>
      </c>
      <c r="H292" s="13">
        <v>-2.4814417856663695</v>
      </c>
      <c r="I292" s="13">
        <f t="shared" si="4"/>
        <v>2.4814417856663695</v>
      </c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ht="18" x14ac:dyDescent="0.35">
      <c r="A293" s="4">
        <v>292</v>
      </c>
      <c r="B293" s="4">
        <v>40.69</v>
      </c>
      <c r="C293" s="4">
        <v>41.34</v>
      </c>
      <c r="E293" s="13"/>
      <c r="F293" s="13">
        <v>267</v>
      </c>
      <c r="G293" s="13">
        <v>50.531265006252141</v>
      </c>
      <c r="H293" s="13">
        <v>0.29873499374785695</v>
      </c>
      <c r="I293" s="13">
        <f t="shared" si="4"/>
        <v>0.29873499374785695</v>
      </c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ht="18" x14ac:dyDescent="0.35">
      <c r="A294" s="4">
        <v>293</v>
      </c>
      <c r="B294" s="4">
        <v>41.57</v>
      </c>
      <c r="C294" s="4">
        <v>40.69</v>
      </c>
      <c r="E294" s="13"/>
      <c r="F294" s="13">
        <v>268</v>
      </c>
      <c r="G294" s="13">
        <v>50.995274872202863</v>
      </c>
      <c r="H294" s="13">
        <v>2.1447251277971375</v>
      </c>
      <c r="I294" s="13">
        <f t="shared" si="4"/>
        <v>2.1447251277971375</v>
      </c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ht="18" x14ac:dyDescent="0.35">
      <c r="A295" s="4">
        <v>294</v>
      </c>
      <c r="B295" s="4">
        <v>42.08</v>
      </c>
      <c r="C295" s="4">
        <v>41.57</v>
      </c>
      <c r="E295" s="13"/>
      <c r="F295" s="13">
        <v>269</v>
      </c>
      <c r="G295" s="13">
        <v>53.275834000598955</v>
      </c>
      <c r="H295" s="13">
        <v>-4.9158340005989558</v>
      </c>
      <c r="I295" s="13">
        <f t="shared" si="4"/>
        <v>4.9158340005989558</v>
      </c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ht="18" x14ac:dyDescent="0.35">
      <c r="A296" s="4">
        <v>295</v>
      </c>
      <c r="B296" s="4">
        <v>42.73</v>
      </c>
      <c r="C296" s="4">
        <v>42.08</v>
      </c>
      <c r="E296" s="13"/>
      <c r="F296" s="13">
        <v>270</v>
      </c>
      <c r="G296" s="13">
        <v>48.556754938376741</v>
      </c>
      <c r="H296" s="13">
        <v>-2.9867549383767411</v>
      </c>
      <c r="I296" s="13">
        <f t="shared" si="4"/>
        <v>2.9867549383767411</v>
      </c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ht="18" x14ac:dyDescent="0.35">
      <c r="A297" s="4">
        <v>296</v>
      </c>
      <c r="B297" s="4">
        <v>42.93</v>
      </c>
      <c r="C297" s="4">
        <v>42.73</v>
      </c>
      <c r="E297" s="13"/>
      <c r="F297" s="13">
        <v>271</v>
      </c>
      <c r="G297" s="13">
        <v>45.802313393690561</v>
      </c>
      <c r="H297" s="13">
        <v>-13.41231339369056</v>
      </c>
      <c r="I297" s="13">
        <f t="shared" si="4"/>
        <v>13.41231339369056</v>
      </c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ht="18" x14ac:dyDescent="0.35">
      <c r="A298" s="4">
        <v>297</v>
      </c>
      <c r="B298" s="4">
        <v>41.84</v>
      </c>
      <c r="C298" s="4">
        <v>42.93</v>
      </c>
      <c r="E298" s="13"/>
      <c r="F298" s="13">
        <v>272</v>
      </c>
      <c r="G298" s="13">
        <v>32.790292046391663</v>
      </c>
      <c r="H298" s="13">
        <v>-8.6002920463916617</v>
      </c>
      <c r="I298" s="13">
        <f t="shared" si="4"/>
        <v>8.6002920463916617</v>
      </c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ht="18" x14ac:dyDescent="0.35">
      <c r="A299" s="4">
        <v>298</v>
      </c>
      <c r="B299" s="4">
        <v>37.380000000000003</v>
      </c>
      <c r="C299" s="4">
        <v>41.84</v>
      </c>
      <c r="E299" s="13"/>
      <c r="F299" s="13">
        <v>273</v>
      </c>
      <c r="G299" s="13">
        <v>24.694800768102517</v>
      </c>
      <c r="H299" s="13">
        <v>-5.2548007681025162</v>
      </c>
      <c r="I299" s="13">
        <f t="shared" si="4"/>
        <v>5.2548007681025162</v>
      </c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ht="18" x14ac:dyDescent="0.35">
      <c r="A300" s="4">
        <v>299</v>
      </c>
      <c r="B300" s="4">
        <v>39.549999999999997</v>
      </c>
      <c r="C300" s="4">
        <v>37.380000000000003</v>
      </c>
      <c r="E300" s="13"/>
      <c r="F300" s="13">
        <v>274</v>
      </c>
      <c r="G300" s="13">
        <v>20.005339356898439</v>
      </c>
      <c r="H300" s="13">
        <v>1.6846606431015623</v>
      </c>
      <c r="I300" s="13">
        <f t="shared" si="4"/>
        <v>1.6846606431015623</v>
      </c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ht="18" x14ac:dyDescent="0.35">
      <c r="A301" s="4">
        <v>300</v>
      </c>
      <c r="B301" s="4">
        <v>39.78</v>
      </c>
      <c r="C301" s="4">
        <v>39.549999999999997</v>
      </c>
      <c r="E301" s="13"/>
      <c r="F301" s="13">
        <v>275</v>
      </c>
      <c r="G301" s="13">
        <v>22.226663183258268</v>
      </c>
      <c r="H301" s="13">
        <v>2.1833368167417326</v>
      </c>
      <c r="I301" s="13">
        <f t="shared" si="4"/>
        <v>2.1833368167417326</v>
      </c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ht="18" x14ac:dyDescent="0.35">
      <c r="A302" s="4">
        <v>301</v>
      </c>
      <c r="B302" s="4">
        <v>38.99</v>
      </c>
      <c r="C302" s="4">
        <v>39.78</v>
      </c>
      <c r="E302" s="13"/>
      <c r="F302" s="13">
        <v>276</v>
      </c>
      <c r="G302" s="13">
        <v>24.911996875568811</v>
      </c>
      <c r="H302" s="13">
        <v>-4.7919968755688096</v>
      </c>
      <c r="I302" s="13">
        <f t="shared" si="4"/>
        <v>4.7919968755688096</v>
      </c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ht="18" x14ac:dyDescent="0.35">
      <c r="A303" s="4">
        <v>302</v>
      </c>
      <c r="B303" s="4">
        <v>40.19</v>
      </c>
      <c r="C303" s="4">
        <v>38.99</v>
      </c>
      <c r="E303" s="13"/>
      <c r="F303" s="13">
        <v>277</v>
      </c>
      <c r="G303" s="13">
        <v>20.676672779976077</v>
      </c>
      <c r="H303" s="13">
        <v>-17.356672779976076</v>
      </c>
      <c r="I303" s="13">
        <f t="shared" si="4"/>
        <v>17.356672779976076</v>
      </c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ht="18" x14ac:dyDescent="0.35">
      <c r="A304" s="4">
        <v>303</v>
      </c>
      <c r="B304" s="4">
        <v>40.33</v>
      </c>
      <c r="C304" s="4">
        <v>40.19</v>
      </c>
      <c r="E304" s="13"/>
      <c r="F304" s="13">
        <v>278</v>
      </c>
      <c r="G304" s="13">
        <v>4.0907882098227049</v>
      </c>
      <c r="H304" s="13">
        <v>11.619211790177296</v>
      </c>
      <c r="I304" s="13">
        <f t="shared" si="4"/>
        <v>11.619211790177296</v>
      </c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ht="18" x14ac:dyDescent="0.35">
      <c r="A305" s="4">
        <v>304</v>
      </c>
      <c r="B305" s="4">
        <v>40.43</v>
      </c>
      <c r="C305" s="4">
        <v>40.33</v>
      </c>
      <c r="E305" s="13"/>
      <c r="F305" s="13">
        <v>279</v>
      </c>
      <c r="G305" s="13">
        <v>16.322878080310815</v>
      </c>
      <c r="H305" s="13">
        <v>7.1371219196891857</v>
      </c>
      <c r="I305" s="13">
        <f t="shared" si="4"/>
        <v>7.1371219196891857</v>
      </c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ht="18" x14ac:dyDescent="0.35">
      <c r="A306" s="4">
        <v>305</v>
      </c>
      <c r="B306" s="4">
        <v>37.32</v>
      </c>
      <c r="C306" s="4">
        <v>40.43</v>
      </c>
      <c r="E306" s="13"/>
      <c r="F306" s="13">
        <v>280</v>
      </c>
      <c r="G306" s="13">
        <v>23.974104593327997</v>
      </c>
      <c r="H306" s="13">
        <v>2.4258954066720015</v>
      </c>
      <c r="I306" s="13">
        <f t="shared" si="4"/>
        <v>2.4258954066720015</v>
      </c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ht="18" x14ac:dyDescent="0.35">
      <c r="A307" s="4">
        <v>306</v>
      </c>
      <c r="B307" s="4">
        <v>37.71</v>
      </c>
      <c r="C307" s="4">
        <v>37.32</v>
      </c>
      <c r="E307" s="13"/>
      <c r="F307" s="13">
        <v>281</v>
      </c>
      <c r="G307" s="13">
        <v>26.876634393104833</v>
      </c>
      <c r="H307" s="13">
        <v>6.2233656068951682</v>
      </c>
      <c r="I307" s="13">
        <f t="shared" si="4"/>
        <v>6.2233656068951682</v>
      </c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ht="18" x14ac:dyDescent="0.35">
      <c r="A308" s="4">
        <v>307</v>
      </c>
      <c r="B308" s="4">
        <v>40.659999999999997</v>
      </c>
      <c r="C308" s="4">
        <v>37.71</v>
      </c>
      <c r="E308" s="13"/>
      <c r="F308" s="13">
        <v>282</v>
      </c>
      <c r="G308" s="13">
        <v>33.491243120487432</v>
      </c>
      <c r="H308" s="13">
        <v>0.69875687951256538</v>
      </c>
      <c r="I308" s="13">
        <f t="shared" si="4"/>
        <v>0.69875687951256538</v>
      </c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ht="18" x14ac:dyDescent="0.35">
      <c r="A309" s="4">
        <v>308</v>
      </c>
      <c r="B309" s="4">
        <v>41.52</v>
      </c>
      <c r="C309" s="4">
        <v>40.659999999999997</v>
      </c>
      <c r="E309" s="13"/>
      <c r="F309" s="13">
        <v>283</v>
      </c>
      <c r="G309" s="13">
        <v>34.567351107479524</v>
      </c>
      <c r="H309" s="13">
        <v>2.752648892520476</v>
      </c>
      <c r="I309" s="13">
        <f t="shared" si="4"/>
        <v>2.752648892520476</v>
      </c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ht="18" x14ac:dyDescent="0.35">
      <c r="A310" s="4">
        <v>309</v>
      </c>
      <c r="B310" s="4">
        <v>44.4</v>
      </c>
      <c r="C310" s="4">
        <v>41.52</v>
      </c>
      <c r="E310" s="13"/>
      <c r="F310" s="13">
        <v>284</v>
      </c>
      <c r="G310" s="13">
        <v>37.657459363704525</v>
      </c>
      <c r="H310" s="13">
        <v>0.21254063629547204</v>
      </c>
      <c r="I310" s="13">
        <f t="shared" si="4"/>
        <v>0.21254063629547204</v>
      </c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ht="18" x14ac:dyDescent="0.35">
      <c r="A311" s="4">
        <v>310</v>
      </c>
      <c r="B311" s="4">
        <v>45.37</v>
      </c>
      <c r="C311" s="4">
        <v>44.4</v>
      </c>
      <c r="E311" s="13"/>
      <c r="F311" s="13">
        <v>285</v>
      </c>
      <c r="G311" s="13">
        <v>38.200449632370258</v>
      </c>
      <c r="H311" s="13">
        <v>0.14955036762974316</v>
      </c>
      <c r="I311" s="13">
        <f t="shared" si="4"/>
        <v>0.14955036762974316</v>
      </c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ht="18" x14ac:dyDescent="0.35">
      <c r="A312" s="4">
        <v>311</v>
      </c>
      <c r="B312" s="4">
        <v>46.04</v>
      </c>
      <c r="C312" s="4">
        <v>45.37</v>
      </c>
      <c r="E312" s="13"/>
      <c r="F312" s="13">
        <v>286</v>
      </c>
      <c r="G312" s="13">
        <v>38.674332048660361</v>
      </c>
      <c r="H312" s="13">
        <v>0.54566795133963808</v>
      </c>
      <c r="I312" s="13">
        <f t="shared" si="4"/>
        <v>0.54566795133963808</v>
      </c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ht="18" x14ac:dyDescent="0.35">
      <c r="A313" s="4">
        <v>312</v>
      </c>
      <c r="B313" s="4">
        <v>47.97</v>
      </c>
      <c r="C313" s="4">
        <v>46.04</v>
      </c>
      <c r="E313" s="13"/>
      <c r="F313" s="13">
        <v>287</v>
      </c>
      <c r="G313" s="13">
        <v>39.53324392818616</v>
      </c>
      <c r="H313" s="13">
        <v>0.3167560718138418</v>
      </c>
      <c r="I313" s="13">
        <f t="shared" si="4"/>
        <v>0.3167560718138418</v>
      </c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ht="18" x14ac:dyDescent="0.35">
      <c r="A314" s="4">
        <v>313</v>
      </c>
      <c r="B314" s="4">
        <v>47.73</v>
      </c>
      <c r="C314" s="4">
        <v>47.97</v>
      </c>
      <c r="E314" s="13"/>
      <c r="F314" s="13">
        <v>288</v>
      </c>
      <c r="G314" s="13">
        <v>40.155214599566911</v>
      </c>
      <c r="H314" s="13">
        <v>0.28478540043308698</v>
      </c>
      <c r="I314" s="13">
        <f t="shared" si="4"/>
        <v>0.28478540043308698</v>
      </c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ht="18" x14ac:dyDescent="0.35">
      <c r="A315" s="4">
        <v>314</v>
      </c>
      <c r="B315" s="4">
        <v>47.98</v>
      </c>
      <c r="C315" s="4">
        <v>47.73</v>
      </c>
      <c r="E315" s="13"/>
      <c r="F315" s="13">
        <v>289</v>
      </c>
      <c r="G315" s="13">
        <v>40.737695069590153</v>
      </c>
      <c r="H315" s="13">
        <v>-0.16769506959015246</v>
      </c>
      <c r="I315" s="13">
        <f t="shared" si="4"/>
        <v>0.16769506959015246</v>
      </c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ht="18" x14ac:dyDescent="0.35">
      <c r="A316" s="4">
        <v>315</v>
      </c>
      <c r="B316" s="4">
        <v>50.09</v>
      </c>
      <c r="C316" s="4">
        <v>47.98</v>
      </c>
      <c r="E316" s="13"/>
      <c r="F316" s="13">
        <v>290</v>
      </c>
      <c r="G316" s="13">
        <v>40.866038224002054</v>
      </c>
      <c r="H316" s="13">
        <v>0.47396177599794953</v>
      </c>
      <c r="I316" s="13">
        <f t="shared" si="4"/>
        <v>0.47396177599794953</v>
      </c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ht="18" x14ac:dyDescent="0.35">
      <c r="A317" s="4">
        <v>316</v>
      </c>
      <c r="B317" s="4">
        <v>52.75</v>
      </c>
      <c r="C317" s="4">
        <v>50.09</v>
      </c>
      <c r="E317" s="13"/>
      <c r="F317" s="13">
        <v>291</v>
      </c>
      <c r="G317" s="13">
        <v>41.626224600134087</v>
      </c>
      <c r="H317" s="13">
        <v>-0.93622460013408926</v>
      </c>
      <c r="I317" s="13">
        <f t="shared" si="4"/>
        <v>0.93622460013408926</v>
      </c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ht="18" x14ac:dyDescent="0.35">
      <c r="A318" s="4">
        <v>317</v>
      </c>
      <c r="B318" s="4">
        <v>52.82</v>
      </c>
      <c r="C318" s="4">
        <v>52.75</v>
      </c>
      <c r="E318" s="13"/>
      <c r="F318" s="13">
        <v>292</v>
      </c>
      <c r="G318" s="13">
        <v>40.984508828074574</v>
      </c>
      <c r="H318" s="13">
        <v>0.5854911719254261</v>
      </c>
      <c r="I318" s="13">
        <f t="shared" si="4"/>
        <v>0.5854911719254261</v>
      </c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ht="18" x14ac:dyDescent="0.35">
      <c r="A319" s="4">
        <v>318</v>
      </c>
      <c r="B319" s="4">
        <v>52.52</v>
      </c>
      <c r="C319" s="4">
        <v>52.82</v>
      </c>
      <c r="E319" s="13"/>
      <c r="F319" s="13">
        <v>293</v>
      </c>
      <c r="G319" s="13">
        <v>41.853293257939754</v>
      </c>
      <c r="H319" s="13">
        <v>0.22670674206024444</v>
      </c>
      <c r="I319" s="13">
        <f t="shared" si="4"/>
        <v>0.22670674206024444</v>
      </c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ht="18" x14ac:dyDescent="0.35">
      <c r="A320" s="4">
        <v>319</v>
      </c>
      <c r="B320" s="4">
        <v>55.39</v>
      </c>
      <c r="C320" s="4">
        <v>52.52</v>
      </c>
      <c r="E320" s="13"/>
      <c r="F320" s="13">
        <v>294</v>
      </c>
      <c r="G320" s="13">
        <v>42.356793325247978</v>
      </c>
      <c r="H320" s="13">
        <v>0.3732066747520193</v>
      </c>
      <c r="I320" s="13">
        <f t="shared" si="4"/>
        <v>0.3732066747520193</v>
      </c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ht="18" x14ac:dyDescent="0.35">
      <c r="A321" s="4">
        <v>320</v>
      </c>
      <c r="B321" s="4">
        <v>58.54</v>
      </c>
      <c r="C321" s="4">
        <v>55.39</v>
      </c>
      <c r="E321" s="13"/>
      <c r="F321" s="13">
        <v>295</v>
      </c>
      <c r="G321" s="13">
        <v>42.998509097307483</v>
      </c>
      <c r="H321" s="13">
        <v>-6.8509097307483557E-2</v>
      </c>
      <c r="I321" s="13">
        <f t="shared" si="4"/>
        <v>6.8509097307483557E-2</v>
      </c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ht="18" x14ac:dyDescent="0.35">
      <c r="A322" s="4">
        <v>321</v>
      </c>
      <c r="B322" s="4">
        <v>60.17</v>
      </c>
      <c r="C322" s="4">
        <v>58.54</v>
      </c>
      <c r="E322" s="13"/>
      <c r="F322" s="13">
        <v>296</v>
      </c>
      <c r="G322" s="13">
        <v>43.195960104095029</v>
      </c>
      <c r="H322" s="13">
        <v>-1.3559601040950255</v>
      </c>
      <c r="I322" s="13">
        <f t="shared" si="4"/>
        <v>1.3559601040950255</v>
      </c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ht="18" x14ac:dyDescent="0.35">
      <c r="A323" s="4">
        <v>322</v>
      </c>
      <c r="B323" s="4">
        <v>62.3</v>
      </c>
      <c r="C323" s="4">
        <v>60.17</v>
      </c>
      <c r="E323" s="13"/>
      <c r="F323" s="13">
        <v>297</v>
      </c>
      <c r="G323" s="13">
        <v>42.119852117102937</v>
      </c>
      <c r="H323" s="13">
        <v>-4.7398521171029344</v>
      </c>
      <c r="I323" s="13">
        <f t="shared" si="4"/>
        <v>4.7398521171029344</v>
      </c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ht="18" x14ac:dyDescent="0.35">
      <c r="A324" s="4">
        <v>323</v>
      </c>
      <c r="B324" s="4">
        <v>62.29</v>
      </c>
      <c r="C324" s="4">
        <v>62.3</v>
      </c>
      <c r="E324" s="13"/>
      <c r="F324" s="13">
        <v>298</v>
      </c>
      <c r="G324" s="13">
        <v>37.716694665740789</v>
      </c>
      <c r="H324" s="13">
        <v>1.8333053342592081</v>
      </c>
      <c r="I324" s="13">
        <f t="shared" si="4"/>
        <v>1.8333053342592081</v>
      </c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ht="18" x14ac:dyDescent="0.35">
      <c r="A325" s="4">
        <v>324</v>
      </c>
      <c r="B325" s="4">
        <v>65.02</v>
      </c>
      <c r="C325" s="4">
        <v>62.29</v>
      </c>
      <c r="E325" s="13"/>
      <c r="F325" s="13">
        <v>299</v>
      </c>
      <c r="G325" s="13">
        <v>39.859038089385599</v>
      </c>
      <c r="H325" s="13">
        <v>-7.9038089385598198E-2</v>
      </c>
      <c r="I325" s="13">
        <f t="shared" si="4"/>
        <v>7.9038089385598198E-2</v>
      </c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ht="18" x14ac:dyDescent="0.35">
      <c r="A326" s="4">
        <v>325</v>
      </c>
      <c r="B326" s="4">
        <v>63.22</v>
      </c>
      <c r="C326" s="4">
        <v>65.02</v>
      </c>
      <c r="E326" s="13"/>
      <c r="F326" s="13">
        <v>300</v>
      </c>
      <c r="G326" s="13">
        <v>40.086106747191273</v>
      </c>
      <c r="H326" s="13">
        <v>-1.0961067471912713</v>
      </c>
      <c r="I326" s="13">
        <f t="shared" si="4"/>
        <v>1.0961067471912713</v>
      </c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ht="18" x14ac:dyDescent="0.35">
      <c r="A327" s="4">
        <v>326</v>
      </c>
      <c r="B327" s="4">
        <v>59.95</v>
      </c>
      <c r="C327" s="4">
        <v>63.22</v>
      </c>
      <c r="E327" s="13"/>
      <c r="F327" s="13">
        <v>301</v>
      </c>
      <c r="G327" s="13">
        <v>39.306175270380486</v>
      </c>
      <c r="H327" s="13">
        <v>0.88382472961951208</v>
      </c>
      <c r="I327" s="13">
        <f t="shared" si="4"/>
        <v>0.88382472961951208</v>
      </c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ht="18" x14ac:dyDescent="0.35">
      <c r="A328" s="4">
        <v>327</v>
      </c>
      <c r="B328" s="4">
        <v>60.66</v>
      </c>
      <c r="C328" s="4">
        <v>59.95</v>
      </c>
      <c r="E328" s="13"/>
      <c r="F328" s="13">
        <v>302</v>
      </c>
      <c r="G328" s="13">
        <v>40.490881311105724</v>
      </c>
      <c r="H328" s="13">
        <v>-0.1608813111057259</v>
      </c>
      <c r="I328" s="13">
        <f t="shared" si="4"/>
        <v>0.1608813111057259</v>
      </c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ht="18" x14ac:dyDescent="0.35">
      <c r="A329" s="4">
        <v>328</v>
      </c>
      <c r="B329" s="4">
        <v>59.35</v>
      </c>
      <c r="C329" s="4">
        <v>60.66</v>
      </c>
      <c r="E329" s="13"/>
      <c r="F329" s="13">
        <v>303</v>
      </c>
      <c r="G329" s="13">
        <v>40.629097015857006</v>
      </c>
      <c r="H329" s="13">
        <v>-0.19909701585700645</v>
      </c>
      <c r="I329" s="13">
        <f t="shared" si="4"/>
        <v>0.19909701585700645</v>
      </c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ht="18" x14ac:dyDescent="0.35">
      <c r="A330" s="4">
        <v>329</v>
      </c>
      <c r="B330" s="4">
        <v>61.93</v>
      </c>
      <c r="C330" s="4">
        <v>59.35</v>
      </c>
      <c r="E330" s="13"/>
      <c r="F330" s="13">
        <v>304</v>
      </c>
      <c r="G330" s="13">
        <v>40.727822519250779</v>
      </c>
      <c r="H330" s="13">
        <v>-3.4078225192507787</v>
      </c>
      <c r="I330" s="13">
        <f t="shared" si="4"/>
        <v>3.4078225192507787</v>
      </c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ht="18" x14ac:dyDescent="0.35">
      <c r="A331" s="4">
        <v>330</v>
      </c>
      <c r="B331" s="4">
        <v>62.18</v>
      </c>
      <c r="C331" s="4">
        <v>61.93</v>
      </c>
      <c r="E331" s="13"/>
      <c r="F331" s="13">
        <v>305</v>
      </c>
      <c r="G331" s="13">
        <v>37.657459363704525</v>
      </c>
      <c r="H331" s="13">
        <v>5.2540636295475451E-2</v>
      </c>
      <c r="I331" s="13">
        <f t="shared" si="4"/>
        <v>5.2540636295475451E-2</v>
      </c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ht="18" x14ac:dyDescent="0.35">
      <c r="A332" s="4">
        <v>331</v>
      </c>
      <c r="B332" s="4">
        <v>63.47</v>
      </c>
      <c r="C332" s="4">
        <v>62.18</v>
      </c>
      <c r="E332" s="13"/>
      <c r="F332" s="13">
        <v>306</v>
      </c>
      <c r="G332" s="13">
        <v>38.042488826940229</v>
      </c>
      <c r="H332" s="13">
        <v>2.6175111730597678</v>
      </c>
      <c r="I332" s="13">
        <f t="shared" si="4"/>
        <v>2.6175111730597678</v>
      </c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ht="18" x14ac:dyDescent="0.35">
      <c r="A333" s="4">
        <v>332</v>
      </c>
      <c r="B333" s="4">
        <v>65.099999999999994</v>
      </c>
      <c r="C333" s="4">
        <v>63.47</v>
      </c>
      <c r="E333" s="13"/>
      <c r="F333" s="13">
        <v>307</v>
      </c>
      <c r="G333" s="13">
        <v>40.954891177056446</v>
      </c>
      <c r="H333" s="13">
        <v>0.56510882294355724</v>
      </c>
      <c r="I333" s="13">
        <f t="shared" si="4"/>
        <v>0.56510882294355724</v>
      </c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ht="18" x14ac:dyDescent="0.35">
      <c r="A334" s="4">
        <v>333</v>
      </c>
      <c r="B334" s="4">
        <v>65.069999999999993</v>
      </c>
      <c r="C334" s="4">
        <v>65.099999999999994</v>
      </c>
      <c r="E334" s="13"/>
      <c r="F334" s="13">
        <v>308</v>
      </c>
      <c r="G334" s="13">
        <v>41.803930506242871</v>
      </c>
      <c r="H334" s="13">
        <v>2.5960694937571276</v>
      </c>
      <c r="I334" s="13">
        <f t="shared" si="4"/>
        <v>2.5960694937571276</v>
      </c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ht="18" x14ac:dyDescent="0.35">
      <c r="A335" s="4">
        <v>334</v>
      </c>
      <c r="B335" s="4">
        <v>64.11</v>
      </c>
      <c r="C335" s="4">
        <v>65.069999999999993</v>
      </c>
      <c r="E335" s="13"/>
      <c r="F335" s="13">
        <v>309</v>
      </c>
      <c r="G335" s="13">
        <v>44.647225003983444</v>
      </c>
      <c r="H335" s="13">
        <v>0.72277499601655393</v>
      </c>
      <c r="I335" s="13">
        <f t="shared" si="4"/>
        <v>0.72277499601655393</v>
      </c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ht="18" x14ac:dyDescent="0.35">
      <c r="A336" s="4">
        <v>335</v>
      </c>
      <c r="B336" s="4">
        <v>66.400000000000006</v>
      </c>
      <c r="C336" s="4">
        <v>64.11</v>
      </c>
      <c r="E336" s="13"/>
      <c r="F336" s="13">
        <v>310</v>
      </c>
      <c r="G336" s="13">
        <v>45.604862386903015</v>
      </c>
      <c r="H336" s="13">
        <v>0.43513761309698396</v>
      </c>
      <c r="I336" s="13">
        <f t="shared" si="4"/>
        <v>0.43513761309698396</v>
      </c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ht="18" x14ac:dyDescent="0.35">
      <c r="A337" s="4">
        <v>336</v>
      </c>
      <c r="B337" s="4">
        <v>68.739999999999995</v>
      </c>
      <c r="C337" s="4">
        <v>66.400000000000006</v>
      </c>
      <c r="E337" s="13"/>
      <c r="F337" s="13">
        <v>311</v>
      </c>
      <c r="G337" s="13">
        <v>46.266323259641275</v>
      </c>
      <c r="H337" s="13">
        <v>1.7036767403587234</v>
      </c>
      <c r="I337" s="13">
        <f t="shared" si="4"/>
        <v>1.7036767403587234</v>
      </c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ht="18" x14ac:dyDescent="0.35">
      <c r="A338" s="4">
        <v>337</v>
      </c>
      <c r="B338" s="4">
        <v>70.11</v>
      </c>
      <c r="C338" s="4">
        <v>68.739999999999995</v>
      </c>
      <c r="E338" s="13"/>
      <c r="F338" s="13">
        <v>312</v>
      </c>
      <c r="G338" s="13">
        <v>48.171725475141038</v>
      </c>
      <c r="H338" s="13">
        <v>-0.4417254751410411</v>
      </c>
      <c r="I338" s="13">
        <f t="shared" si="4"/>
        <v>0.4417254751410411</v>
      </c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ht="18" x14ac:dyDescent="0.35">
      <c r="A339" s="4">
        <v>338</v>
      </c>
      <c r="B339" s="4">
        <v>71.55</v>
      </c>
      <c r="C339" s="4">
        <v>70.11</v>
      </c>
      <c r="E339" s="13"/>
      <c r="F339" s="13">
        <v>313</v>
      </c>
      <c r="G339" s="13">
        <v>47.93478426699599</v>
      </c>
      <c r="H339" s="13">
        <v>4.5215733004006609E-2</v>
      </c>
      <c r="I339" s="13">
        <f t="shared" si="4"/>
        <v>4.5215733004006609E-2</v>
      </c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ht="18" x14ac:dyDescent="0.35">
      <c r="A340" s="4">
        <v>339</v>
      </c>
      <c r="B340" s="4">
        <v>73.48</v>
      </c>
      <c r="C340" s="4">
        <v>71.55</v>
      </c>
      <c r="E340" s="13"/>
      <c r="F340" s="13">
        <v>314</v>
      </c>
      <c r="G340" s="13">
        <v>48.181598025480412</v>
      </c>
      <c r="H340" s="13">
        <v>1.9084019745195917</v>
      </c>
      <c r="I340" s="13">
        <f t="shared" si="4"/>
        <v>1.9084019745195917</v>
      </c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ht="18" x14ac:dyDescent="0.35">
      <c r="A341" s="4">
        <v>340</v>
      </c>
      <c r="B341" s="4">
        <v>74.069999999999993</v>
      </c>
      <c r="C341" s="4">
        <v>73.48</v>
      </c>
      <c r="E341" s="13"/>
      <c r="F341" s="13">
        <v>315</v>
      </c>
      <c r="G341" s="13">
        <v>50.264706147088965</v>
      </c>
      <c r="H341" s="13">
        <v>2.4852938529110347</v>
      </c>
      <c r="I341" s="13">
        <f t="shared" si="4"/>
        <v>2.4852938529110347</v>
      </c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ht="18" x14ac:dyDescent="0.35">
      <c r="A342" s="4">
        <v>341</v>
      </c>
      <c r="B342" s="4">
        <v>73.349999999999994</v>
      </c>
      <c r="C342" s="4">
        <v>74.069999999999993</v>
      </c>
      <c r="E342" s="13"/>
      <c r="F342" s="13">
        <v>316</v>
      </c>
      <c r="G342" s="13">
        <v>52.890804537363245</v>
      </c>
      <c r="H342" s="13">
        <v>-7.0804537363244435E-2</v>
      </c>
      <c r="I342" s="13">
        <f t="shared" si="4"/>
        <v>7.0804537363244435E-2</v>
      </c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ht="18" x14ac:dyDescent="0.35">
      <c r="A343" s="4">
        <v>342</v>
      </c>
      <c r="B343" s="4">
        <v>73.19</v>
      </c>
      <c r="C343" s="4">
        <v>73.349999999999994</v>
      </c>
      <c r="E343" s="13"/>
      <c r="F343" s="13">
        <v>317</v>
      </c>
      <c r="G343" s="13">
        <v>52.959912389738889</v>
      </c>
      <c r="H343" s="13">
        <v>-0.43991238973888613</v>
      </c>
      <c r="I343" s="13">
        <f t="shared" si="4"/>
        <v>0.43991238973888613</v>
      </c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ht="18" x14ac:dyDescent="0.35">
      <c r="A344" s="4">
        <v>343</v>
      </c>
      <c r="B344" s="4">
        <v>69.680000000000007</v>
      </c>
      <c r="C344" s="4">
        <v>73.19</v>
      </c>
      <c r="E344" s="13"/>
      <c r="F344" s="13">
        <v>318</v>
      </c>
      <c r="G344" s="13">
        <v>52.663735879557578</v>
      </c>
      <c r="H344" s="13">
        <v>2.7262641204424227</v>
      </c>
      <c r="I344" s="13">
        <f t="shared" si="4"/>
        <v>2.7262641204424227</v>
      </c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ht="18" x14ac:dyDescent="0.35">
      <c r="A345" s="4">
        <v>344</v>
      </c>
      <c r="B345" s="4">
        <v>72.75</v>
      </c>
      <c r="C345" s="4">
        <v>69.680000000000007</v>
      </c>
      <c r="E345" s="13"/>
      <c r="F345" s="13">
        <v>319</v>
      </c>
      <c r="G345" s="13">
        <v>55.497157826958777</v>
      </c>
      <c r="H345" s="13">
        <v>3.0428421730412225</v>
      </c>
      <c r="I345" s="13">
        <f t="shared" si="4"/>
        <v>3.0428421730412225</v>
      </c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ht="18" x14ac:dyDescent="0.35">
      <c r="A346" s="4">
        <v>345</v>
      </c>
      <c r="B346" s="4">
        <v>69.5</v>
      </c>
      <c r="C346" s="4">
        <v>72.75</v>
      </c>
      <c r="E346" s="13"/>
      <c r="F346" s="13">
        <v>320</v>
      </c>
      <c r="G346" s="13">
        <v>58.607011183862532</v>
      </c>
      <c r="H346" s="13">
        <v>1.5629888161374694</v>
      </c>
      <c r="I346" s="13">
        <f t="shared" si="4"/>
        <v>1.5629888161374694</v>
      </c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ht="18" x14ac:dyDescent="0.35">
      <c r="A347" s="4">
        <v>346</v>
      </c>
      <c r="B347" s="4">
        <v>68.33</v>
      </c>
      <c r="C347" s="4">
        <v>69.5</v>
      </c>
      <c r="E347" s="13"/>
      <c r="F347" s="13">
        <v>321</v>
      </c>
      <c r="G347" s="13">
        <v>60.21623688918099</v>
      </c>
      <c r="H347" s="13">
        <v>2.0837631108190067</v>
      </c>
      <c r="I347" s="13">
        <f t="shared" si="4"/>
        <v>2.0837631108190067</v>
      </c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ht="18" x14ac:dyDescent="0.35">
      <c r="A348" s="4">
        <v>347</v>
      </c>
      <c r="B348" s="4">
        <v>65.05</v>
      </c>
      <c r="C348" s="4">
        <v>68.33</v>
      </c>
      <c r="E348" s="13"/>
      <c r="F348" s="13">
        <v>322</v>
      </c>
      <c r="G348" s="13">
        <v>62.319090111468284</v>
      </c>
      <c r="H348" s="13">
        <v>-2.9090111468285329E-2</v>
      </c>
      <c r="I348" s="13">
        <f t="shared" si="4"/>
        <v>2.9090111468285329E-2</v>
      </c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ht="18" x14ac:dyDescent="0.35">
      <c r="A349" s="4">
        <v>348</v>
      </c>
      <c r="B349" s="4">
        <v>67.59</v>
      </c>
      <c r="C349" s="4">
        <v>65.05</v>
      </c>
      <c r="E349" s="13"/>
      <c r="F349" s="13">
        <v>323</v>
      </c>
      <c r="G349" s="13">
        <v>62.309217561128911</v>
      </c>
      <c r="H349" s="13">
        <v>2.7107824388710853</v>
      </c>
      <c r="I349" s="13">
        <f t="shared" ref="I349:I412" si="5">ABS(H349)</f>
        <v>2.7107824388710853</v>
      </c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ht="18" x14ac:dyDescent="0.35">
      <c r="A350" s="4">
        <v>349</v>
      </c>
      <c r="B350" s="4">
        <v>69.150000000000006</v>
      </c>
      <c r="C350" s="4">
        <v>67.59</v>
      </c>
      <c r="E350" s="13"/>
      <c r="F350" s="13">
        <v>324</v>
      </c>
      <c r="G350" s="13">
        <v>65.00442380377882</v>
      </c>
      <c r="H350" s="13">
        <v>-1.7844238037788216</v>
      </c>
      <c r="I350" s="13">
        <f t="shared" si="5"/>
        <v>1.7844238037788216</v>
      </c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ht="18" x14ac:dyDescent="0.35">
      <c r="A351" s="4">
        <v>350</v>
      </c>
      <c r="B351" s="4">
        <v>68.98</v>
      </c>
      <c r="C351" s="4">
        <v>69.150000000000006</v>
      </c>
      <c r="E351" s="13"/>
      <c r="F351" s="13">
        <v>325</v>
      </c>
      <c r="G351" s="13">
        <v>63.227364742690973</v>
      </c>
      <c r="H351" s="13">
        <v>-3.2773647426909704</v>
      </c>
      <c r="I351" s="13">
        <f t="shared" si="5"/>
        <v>3.2773647426909704</v>
      </c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ht="18" x14ac:dyDescent="0.35">
      <c r="A352" s="4">
        <v>351</v>
      </c>
      <c r="B352" s="4">
        <v>71.69</v>
      </c>
      <c r="C352" s="4">
        <v>68.98</v>
      </c>
      <c r="E352" s="13"/>
      <c r="F352" s="13">
        <v>326</v>
      </c>
      <c r="G352" s="13">
        <v>59.999040781714697</v>
      </c>
      <c r="H352" s="13">
        <v>0.66095921828529924</v>
      </c>
      <c r="I352" s="13">
        <f t="shared" si="5"/>
        <v>0.66095921828529924</v>
      </c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ht="18" x14ac:dyDescent="0.35">
      <c r="A353" s="4">
        <v>352</v>
      </c>
      <c r="B353" s="4">
        <v>72.180000000000007</v>
      </c>
      <c r="C353" s="4">
        <v>71.69</v>
      </c>
      <c r="E353" s="13"/>
      <c r="F353" s="13">
        <v>327</v>
      </c>
      <c r="G353" s="13">
        <v>60.69999185581046</v>
      </c>
      <c r="H353" s="13">
        <v>-1.3499918558104582</v>
      </c>
      <c r="I353" s="13">
        <f t="shared" si="5"/>
        <v>1.3499918558104582</v>
      </c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ht="18" x14ac:dyDescent="0.35">
      <c r="A354" s="4">
        <v>353</v>
      </c>
      <c r="B354" s="4">
        <v>75.45</v>
      </c>
      <c r="C354" s="4">
        <v>72.180000000000007</v>
      </c>
      <c r="E354" s="13"/>
      <c r="F354" s="13">
        <v>328</v>
      </c>
      <c r="G354" s="13">
        <v>59.406687761352075</v>
      </c>
      <c r="H354" s="13">
        <v>2.5233122386479252</v>
      </c>
      <c r="I354" s="13">
        <f t="shared" si="5"/>
        <v>2.5233122386479252</v>
      </c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ht="18" x14ac:dyDescent="0.35">
      <c r="A355" s="4">
        <v>354</v>
      </c>
      <c r="B355" s="4">
        <v>78.5</v>
      </c>
      <c r="C355" s="4">
        <v>75.45</v>
      </c>
      <c r="E355" s="13"/>
      <c r="F355" s="13">
        <v>329</v>
      </c>
      <c r="G355" s="13">
        <v>61.953805748911343</v>
      </c>
      <c r="H355" s="13">
        <v>0.22619425108865698</v>
      </c>
      <c r="I355" s="13">
        <f t="shared" si="5"/>
        <v>0.22619425108865698</v>
      </c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ht="18" x14ac:dyDescent="0.35">
      <c r="A356" s="4">
        <v>355</v>
      </c>
      <c r="B356" s="4">
        <v>81.180000000000007</v>
      </c>
      <c r="C356" s="4">
        <v>78.5</v>
      </c>
      <c r="E356" s="13"/>
      <c r="F356" s="13">
        <v>330</v>
      </c>
      <c r="G356" s="13">
        <v>62.200619507395764</v>
      </c>
      <c r="H356" s="13">
        <v>1.2693804926042347</v>
      </c>
      <c r="I356" s="13">
        <f t="shared" si="5"/>
        <v>1.2693804926042347</v>
      </c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ht="18" x14ac:dyDescent="0.35">
      <c r="A357" s="4">
        <v>356</v>
      </c>
      <c r="B357" s="4">
        <v>83.48</v>
      </c>
      <c r="C357" s="4">
        <v>81.180000000000007</v>
      </c>
      <c r="E357" s="13"/>
      <c r="F357" s="13">
        <v>331</v>
      </c>
      <c r="G357" s="13">
        <v>63.474178501175395</v>
      </c>
      <c r="H357" s="13">
        <v>1.6258214988245996</v>
      </c>
      <c r="I357" s="13">
        <f t="shared" si="5"/>
        <v>1.6258214988245996</v>
      </c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ht="18" x14ac:dyDescent="0.35">
      <c r="A358" s="4">
        <v>357</v>
      </c>
      <c r="B358" s="4">
        <v>83.84</v>
      </c>
      <c r="C358" s="4">
        <v>83.48</v>
      </c>
      <c r="E358" s="13"/>
      <c r="F358" s="13">
        <v>332</v>
      </c>
      <c r="G358" s="13">
        <v>65.083404206493839</v>
      </c>
      <c r="H358" s="13">
        <v>-1.340420649384555E-2</v>
      </c>
      <c r="I358" s="13">
        <f t="shared" si="5"/>
        <v>1.340420649384555E-2</v>
      </c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ht="18" x14ac:dyDescent="0.35">
      <c r="A359" s="4">
        <v>358</v>
      </c>
      <c r="B359" s="4">
        <v>81.790000000000006</v>
      </c>
      <c r="C359" s="4">
        <v>83.84</v>
      </c>
      <c r="E359" s="13"/>
      <c r="F359" s="13">
        <v>333</v>
      </c>
      <c r="G359" s="13">
        <v>65.05378655547571</v>
      </c>
      <c r="H359" s="13">
        <v>-0.943786555475711</v>
      </c>
      <c r="I359" s="13">
        <f t="shared" si="5"/>
        <v>0.943786555475711</v>
      </c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ht="18" x14ac:dyDescent="0.35">
      <c r="A360" s="4">
        <v>359</v>
      </c>
      <c r="B360" s="4">
        <v>81.93</v>
      </c>
      <c r="C360" s="4">
        <v>81.790000000000006</v>
      </c>
      <c r="E360" s="13"/>
      <c r="F360" s="13">
        <v>334</v>
      </c>
      <c r="G360" s="13">
        <v>64.10602172289552</v>
      </c>
      <c r="H360" s="13">
        <v>2.2939782771044861</v>
      </c>
      <c r="I360" s="13">
        <f t="shared" si="5"/>
        <v>2.2939782771044861</v>
      </c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ht="18" x14ac:dyDescent="0.35">
      <c r="A361" s="4">
        <v>360</v>
      </c>
      <c r="B361" s="4">
        <v>78.989999999999995</v>
      </c>
      <c r="C361" s="4">
        <v>81.93</v>
      </c>
      <c r="E361" s="13"/>
      <c r="F361" s="13">
        <v>335</v>
      </c>
      <c r="G361" s="13">
        <v>66.366835750612864</v>
      </c>
      <c r="H361" s="13">
        <v>2.3731642493871306</v>
      </c>
      <c r="I361" s="13">
        <f t="shared" si="5"/>
        <v>2.3731642493871306</v>
      </c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ht="18" x14ac:dyDescent="0.35">
      <c r="A362" s="4">
        <v>361</v>
      </c>
      <c r="B362" s="4">
        <v>77.790000000000006</v>
      </c>
      <c r="C362" s="4">
        <v>78.989999999999995</v>
      </c>
      <c r="E362" s="13"/>
      <c r="F362" s="13">
        <v>336</v>
      </c>
      <c r="G362" s="13">
        <v>68.677012530027071</v>
      </c>
      <c r="H362" s="13">
        <v>1.4329874699729288</v>
      </c>
      <c r="I362" s="13">
        <f t="shared" si="5"/>
        <v>1.4329874699729288</v>
      </c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ht="18" x14ac:dyDescent="0.35">
      <c r="A363" s="4">
        <v>362</v>
      </c>
      <c r="B363" s="4">
        <v>66.89</v>
      </c>
      <c r="C363" s="4">
        <v>77.790000000000006</v>
      </c>
      <c r="E363" s="13"/>
      <c r="F363" s="13">
        <v>337</v>
      </c>
      <c r="G363" s="13">
        <v>70.029551926521719</v>
      </c>
      <c r="H363" s="13">
        <v>1.5204480734782777</v>
      </c>
      <c r="I363" s="13">
        <f t="shared" si="5"/>
        <v>1.5204480734782777</v>
      </c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ht="18" x14ac:dyDescent="0.35">
      <c r="A364" s="4">
        <v>363</v>
      </c>
      <c r="B364" s="4">
        <v>71.31</v>
      </c>
      <c r="C364" s="4">
        <v>66.89</v>
      </c>
      <c r="E364" s="13"/>
      <c r="F364" s="13">
        <v>338</v>
      </c>
      <c r="G364" s="13">
        <v>71.45119917539202</v>
      </c>
      <c r="H364" s="13">
        <v>2.0288008246079841</v>
      </c>
      <c r="I364" s="13">
        <f t="shared" si="5"/>
        <v>2.0288008246079841</v>
      </c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ht="18" x14ac:dyDescent="0.35">
      <c r="A365" s="4">
        <v>364</v>
      </c>
      <c r="B365" s="4">
        <v>71.180000000000007</v>
      </c>
      <c r="C365" s="4">
        <v>71.31</v>
      </c>
      <c r="E365" s="13"/>
      <c r="F365" s="13">
        <v>339</v>
      </c>
      <c r="G365" s="13">
        <v>73.356601390891797</v>
      </c>
      <c r="H365" s="13">
        <v>0.71339860910819652</v>
      </c>
      <c r="I365" s="13">
        <f t="shared" si="5"/>
        <v>0.71339860910819652</v>
      </c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ht="18" x14ac:dyDescent="0.35">
      <c r="A366" s="4">
        <v>365</v>
      </c>
      <c r="B366" s="4">
        <v>71.63</v>
      </c>
      <c r="C366" s="4">
        <v>71.180000000000007</v>
      </c>
      <c r="E366" s="13"/>
      <c r="F366" s="13">
        <v>340</v>
      </c>
      <c r="G366" s="13">
        <v>73.939081860915024</v>
      </c>
      <c r="H366" s="13">
        <v>-0.58908186091503012</v>
      </c>
      <c r="I366" s="13">
        <f t="shared" si="5"/>
        <v>0.58908186091503012</v>
      </c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ht="18" x14ac:dyDescent="0.35">
      <c r="A367" s="4">
        <v>366</v>
      </c>
      <c r="B367" s="4">
        <v>76.05</v>
      </c>
      <c r="C367" s="4">
        <v>71.63</v>
      </c>
      <c r="E367" s="13"/>
      <c r="F367" s="13">
        <v>341</v>
      </c>
      <c r="G367" s="13">
        <v>73.228258236479888</v>
      </c>
      <c r="H367" s="13">
        <v>-3.8258236479890684E-2</v>
      </c>
      <c r="I367" s="13">
        <f t="shared" si="5"/>
        <v>3.8258236479890684E-2</v>
      </c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ht="18" x14ac:dyDescent="0.35">
      <c r="A368" s="4">
        <v>367</v>
      </c>
      <c r="B368" s="4">
        <v>77.86</v>
      </c>
      <c r="C368" s="4">
        <v>76.05</v>
      </c>
      <c r="E368" s="13"/>
      <c r="F368" s="13">
        <v>342</v>
      </c>
      <c r="G368" s="13">
        <v>73.070297431049852</v>
      </c>
      <c r="H368" s="13">
        <v>-3.390297431049845</v>
      </c>
      <c r="I368" s="13">
        <f t="shared" si="5"/>
        <v>3.390297431049845</v>
      </c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ht="18" x14ac:dyDescent="0.35">
      <c r="A369" s="4">
        <v>368</v>
      </c>
      <c r="B369" s="4">
        <v>81.52</v>
      </c>
      <c r="C369" s="4">
        <v>77.86</v>
      </c>
      <c r="E369" s="13"/>
      <c r="F369" s="13">
        <v>343</v>
      </c>
      <c r="G369" s="13">
        <v>69.605032261928528</v>
      </c>
      <c r="H369" s="13">
        <v>3.1449677380714718</v>
      </c>
      <c r="I369" s="13">
        <f t="shared" si="5"/>
        <v>3.1449677380714718</v>
      </c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ht="18" x14ac:dyDescent="0.35">
      <c r="A370" s="4">
        <v>369</v>
      </c>
      <c r="B370" s="4">
        <v>85.93</v>
      </c>
      <c r="C370" s="4">
        <v>81.52</v>
      </c>
      <c r="E370" s="13"/>
      <c r="F370" s="13">
        <v>344</v>
      </c>
      <c r="G370" s="13">
        <v>72.635905216117266</v>
      </c>
      <c r="H370" s="13">
        <v>-3.1359052161172656</v>
      </c>
      <c r="I370" s="13">
        <f t="shared" si="5"/>
        <v>3.1359052161172656</v>
      </c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ht="18" x14ac:dyDescent="0.35">
      <c r="A371" s="4">
        <v>370</v>
      </c>
      <c r="B371" s="4">
        <v>86.94</v>
      </c>
      <c r="C371" s="4">
        <v>85.93</v>
      </c>
      <c r="E371" s="13"/>
      <c r="F371" s="13">
        <v>345</v>
      </c>
      <c r="G371" s="13">
        <v>69.42732635581973</v>
      </c>
      <c r="H371" s="13">
        <v>-1.0973263558197317</v>
      </c>
      <c r="I371" s="13">
        <f t="shared" si="5"/>
        <v>1.0973263558197317</v>
      </c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ht="18" x14ac:dyDescent="0.35">
      <c r="A372" s="4">
        <v>371</v>
      </c>
      <c r="B372" s="4">
        <v>89.6</v>
      </c>
      <c r="C372" s="4">
        <v>86.94</v>
      </c>
      <c r="E372" s="13"/>
      <c r="F372" s="13">
        <v>346</v>
      </c>
      <c r="G372" s="13">
        <v>68.272237966112613</v>
      </c>
      <c r="H372" s="13">
        <v>-3.2222379661126155</v>
      </c>
      <c r="I372" s="13">
        <f t="shared" si="5"/>
        <v>3.2222379661126155</v>
      </c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ht="18" x14ac:dyDescent="0.35">
      <c r="A373" s="4">
        <v>372</v>
      </c>
      <c r="B373" s="4">
        <v>90.61</v>
      </c>
      <c r="C373" s="4">
        <v>89.6</v>
      </c>
      <c r="E373" s="13"/>
      <c r="F373" s="13">
        <v>347</v>
      </c>
      <c r="G373" s="13">
        <v>65.034041454796977</v>
      </c>
      <c r="H373" s="13">
        <v>2.5559585452030262</v>
      </c>
      <c r="I373" s="13">
        <f t="shared" si="5"/>
        <v>2.5559585452030262</v>
      </c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ht="18" x14ac:dyDescent="0.35">
      <c r="A374" s="4">
        <v>373</v>
      </c>
      <c r="B374" s="4">
        <v>92.89</v>
      </c>
      <c r="C374" s="4">
        <v>90.61</v>
      </c>
      <c r="E374" s="13"/>
      <c r="F374" s="13">
        <v>348</v>
      </c>
      <c r="G374" s="13">
        <v>67.541669240998715</v>
      </c>
      <c r="H374" s="13">
        <v>1.6083307590012907</v>
      </c>
      <c r="I374" s="13">
        <f t="shared" si="5"/>
        <v>1.6083307590012907</v>
      </c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ht="18" x14ac:dyDescent="0.35">
      <c r="A375" s="4">
        <v>374</v>
      </c>
      <c r="B375" s="4">
        <v>92.18</v>
      </c>
      <c r="C375" s="4">
        <v>92.89</v>
      </c>
      <c r="E375" s="13"/>
      <c r="F375" s="13">
        <v>349</v>
      </c>
      <c r="G375" s="13">
        <v>69.081787093941557</v>
      </c>
      <c r="H375" s="13">
        <v>-0.10178709394155305</v>
      </c>
      <c r="I375" s="13">
        <f t="shared" si="5"/>
        <v>0.10178709394155305</v>
      </c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ht="18" x14ac:dyDescent="0.35">
      <c r="A376" s="4">
        <v>375</v>
      </c>
      <c r="B376" s="4">
        <v>106.8</v>
      </c>
      <c r="C376" s="4">
        <v>92.18</v>
      </c>
      <c r="E376" s="13"/>
      <c r="F376" s="13">
        <v>350</v>
      </c>
      <c r="G376" s="13">
        <v>68.913953738172125</v>
      </c>
      <c r="H376" s="13">
        <v>2.7760462618278723</v>
      </c>
      <c r="I376" s="13">
        <f t="shared" si="5"/>
        <v>2.7760462618278723</v>
      </c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ht="18" x14ac:dyDescent="0.35">
      <c r="A377" s="4">
        <v>376</v>
      </c>
      <c r="B377" s="4">
        <v>113.39</v>
      </c>
      <c r="C377" s="4">
        <v>106.8</v>
      </c>
      <c r="E377" s="13"/>
      <c r="F377" s="13">
        <v>351</v>
      </c>
      <c r="G377" s="13">
        <v>71.589414880143295</v>
      </c>
      <c r="H377" s="13">
        <v>0.59058511985671203</v>
      </c>
      <c r="I377" s="13">
        <f t="shared" si="5"/>
        <v>0.59058511985671203</v>
      </c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ht="18" x14ac:dyDescent="0.35">
      <c r="A378" s="4">
        <v>377</v>
      </c>
      <c r="B378" s="4">
        <v>100.43</v>
      </c>
      <c r="C378" s="4">
        <v>113.39</v>
      </c>
      <c r="E378" s="13"/>
      <c r="F378" s="13">
        <v>352</v>
      </c>
      <c r="G378" s="13">
        <v>72.073169846772771</v>
      </c>
      <c r="H378" s="13">
        <v>3.3768301532272318</v>
      </c>
      <c r="I378" s="13">
        <f t="shared" si="5"/>
        <v>3.3768301532272318</v>
      </c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ht="18" x14ac:dyDescent="0.35">
      <c r="A379" s="4">
        <v>378</v>
      </c>
      <c r="B379" s="4">
        <v>113.69</v>
      </c>
      <c r="C379" s="4">
        <v>100.43</v>
      </c>
      <c r="E379" s="13"/>
      <c r="F379" s="13">
        <v>353</v>
      </c>
      <c r="G379" s="13">
        <v>75.301493807749068</v>
      </c>
      <c r="H379" s="13">
        <v>3.1985061922509317</v>
      </c>
      <c r="I379" s="13">
        <f t="shared" si="5"/>
        <v>3.1985061922509317</v>
      </c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ht="18" x14ac:dyDescent="0.35">
      <c r="A380" s="4">
        <v>379</v>
      </c>
      <c r="B380" s="4">
        <v>103.89</v>
      </c>
      <c r="C380" s="4">
        <v>113.69</v>
      </c>
      <c r="E380" s="13"/>
      <c r="F380" s="13">
        <v>354</v>
      </c>
      <c r="G380" s="13">
        <v>78.312621661259044</v>
      </c>
      <c r="H380" s="13">
        <v>2.8673783387409628</v>
      </c>
      <c r="I380" s="13">
        <f t="shared" si="5"/>
        <v>2.8673783387409628</v>
      </c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ht="18" x14ac:dyDescent="0.35">
      <c r="A381" s="4">
        <v>380</v>
      </c>
      <c r="B381" s="4">
        <v>99.21</v>
      </c>
      <c r="C381" s="4">
        <v>103.89</v>
      </c>
      <c r="E381" s="13"/>
      <c r="F381" s="13">
        <v>355</v>
      </c>
      <c r="G381" s="13">
        <v>80.958465152212085</v>
      </c>
      <c r="H381" s="13">
        <v>2.5215348477879189</v>
      </c>
      <c r="I381" s="13">
        <f t="shared" si="5"/>
        <v>2.5215348477879189</v>
      </c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ht="18" x14ac:dyDescent="0.35">
      <c r="A382" s="4">
        <v>381</v>
      </c>
      <c r="B382" s="4">
        <v>101.46</v>
      </c>
      <c r="C382" s="4">
        <v>99.21</v>
      </c>
      <c r="E382" s="13"/>
      <c r="F382" s="13">
        <v>356</v>
      </c>
      <c r="G382" s="13">
        <v>83.229151730268796</v>
      </c>
      <c r="H382" s="13">
        <v>0.61084826973120698</v>
      </c>
      <c r="I382" s="13">
        <f t="shared" si="5"/>
        <v>0.61084826973120698</v>
      </c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ht="18" x14ac:dyDescent="0.35">
      <c r="A383" s="4">
        <v>382</v>
      </c>
      <c r="B383" s="4">
        <v>104.02</v>
      </c>
      <c r="C383" s="4">
        <v>101.46</v>
      </c>
      <c r="E383" s="13"/>
      <c r="F383" s="13">
        <v>357</v>
      </c>
      <c r="G383" s="13">
        <v>83.584563542486364</v>
      </c>
      <c r="H383" s="13">
        <v>-1.7945635424863582</v>
      </c>
      <c r="I383" s="13">
        <f t="shared" si="5"/>
        <v>1.7945635424863582</v>
      </c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ht="18" x14ac:dyDescent="0.35">
      <c r="A384" s="4">
        <v>383</v>
      </c>
      <c r="B384" s="4">
        <v>102.85</v>
      </c>
      <c r="C384" s="4">
        <v>104.02</v>
      </c>
      <c r="E384" s="13"/>
      <c r="F384" s="13">
        <v>358</v>
      </c>
      <c r="G384" s="13">
        <v>81.560690722914075</v>
      </c>
      <c r="H384" s="13">
        <v>0.36930927708593231</v>
      </c>
      <c r="I384" s="13">
        <f t="shared" si="5"/>
        <v>0.36930927708593231</v>
      </c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ht="18" x14ac:dyDescent="0.35">
      <c r="A385" s="4">
        <v>384</v>
      </c>
      <c r="B385" s="4">
        <v>106.69</v>
      </c>
      <c r="C385" s="4">
        <v>102.85</v>
      </c>
      <c r="E385" s="13"/>
      <c r="F385" s="13">
        <v>359</v>
      </c>
      <c r="G385" s="13">
        <v>81.698906427665349</v>
      </c>
      <c r="H385" s="13">
        <v>-2.7089064276653545</v>
      </c>
      <c r="I385" s="13">
        <f t="shared" si="5"/>
        <v>2.7089064276653545</v>
      </c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ht="18" x14ac:dyDescent="0.35">
      <c r="A386" s="4">
        <v>385</v>
      </c>
      <c r="B386" s="4">
        <v>105</v>
      </c>
      <c r="C386" s="4">
        <v>106.69</v>
      </c>
      <c r="E386" s="13"/>
      <c r="F386" s="13">
        <v>360</v>
      </c>
      <c r="G386" s="13">
        <v>78.79637662788852</v>
      </c>
      <c r="H386" s="13">
        <v>-1.006376627888514</v>
      </c>
      <c r="I386" s="13">
        <f t="shared" si="5"/>
        <v>1.006376627888514</v>
      </c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ht="18" x14ac:dyDescent="0.35">
      <c r="A387" s="4">
        <v>386</v>
      </c>
      <c r="B387" s="4">
        <v>112.18</v>
      </c>
      <c r="C387" s="4">
        <v>105</v>
      </c>
      <c r="E387" s="13"/>
      <c r="F387" s="13">
        <v>361</v>
      </c>
      <c r="G387" s="13">
        <v>77.611670587163275</v>
      </c>
      <c r="H387" s="13">
        <v>-10.721670587163274</v>
      </c>
      <c r="I387" s="13">
        <f t="shared" si="5"/>
        <v>10.721670587163274</v>
      </c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ht="18" x14ac:dyDescent="0.35">
      <c r="A388" s="4">
        <v>387</v>
      </c>
      <c r="B388" s="4">
        <v>113.38</v>
      </c>
      <c r="C388" s="4">
        <v>112.18</v>
      </c>
      <c r="E388" s="13"/>
      <c r="F388" s="13">
        <v>362</v>
      </c>
      <c r="G388" s="13">
        <v>66.850590717242341</v>
      </c>
      <c r="H388" s="13">
        <v>4.4594092827576617</v>
      </c>
      <c r="I388" s="13">
        <f t="shared" si="5"/>
        <v>4.4594092827576617</v>
      </c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ht="18" x14ac:dyDescent="0.35">
      <c r="A389" s="4">
        <v>388</v>
      </c>
      <c r="B389" s="4">
        <v>116.37</v>
      </c>
      <c r="C389" s="4">
        <v>113.38</v>
      </c>
      <c r="E389" s="13"/>
      <c r="F389" s="13">
        <v>363</v>
      </c>
      <c r="G389" s="13">
        <v>71.214257967246965</v>
      </c>
      <c r="H389" s="13">
        <v>-3.4257967246958287E-2</v>
      </c>
      <c r="I389" s="13">
        <f t="shared" si="5"/>
        <v>3.4257967246958287E-2</v>
      </c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ht="18" x14ac:dyDescent="0.35">
      <c r="A390" s="4">
        <v>389</v>
      </c>
      <c r="B390" s="4">
        <v>120.43</v>
      </c>
      <c r="C390" s="4">
        <v>116.37</v>
      </c>
      <c r="E390" s="13"/>
      <c r="F390" s="13">
        <v>364</v>
      </c>
      <c r="G390" s="13">
        <v>71.085914812835085</v>
      </c>
      <c r="H390" s="13">
        <v>0.54408518716491017</v>
      </c>
      <c r="I390" s="13">
        <f t="shared" si="5"/>
        <v>0.54408518716491017</v>
      </c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ht="18" x14ac:dyDescent="0.35">
      <c r="A391" s="4">
        <v>390</v>
      </c>
      <c r="B391" s="4">
        <v>116.46</v>
      </c>
      <c r="C391" s="4">
        <v>120.43</v>
      </c>
      <c r="E391" s="13"/>
      <c r="F391" s="13">
        <v>365</v>
      </c>
      <c r="G391" s="13">
        <v>71.530179578107038</v>
      </c>
      <c r="H391" s="13">
        <v>4.519820421892959</v>
      </c>
      <c r="I391" s="13">
        <f t="shared" si="5"/>
        <v>4.519820421892959</v>
      </c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ht="18" x14ac:dyDescent="0.35">
      <c r="A392" s="4">
        <v>391</v>
      </c>
      <c r="B392" s="4">
        <v>107.88</v>
      </c>
      <c r="C392" s="4">
        <v>116.46</v>
      </c>
      <c r="E392" s="13"/>
      <c r="F392" s="13">
        <v>366</v>
      </c>
      <c r="G392" s="13">
        <v>75.893846828111663</v>
      </c>
      <c r="H392" s="13">
        <v>1.9661531718883367</v>
      </c>
      <c r="I392" s="13">
        <f t="shared" si="5"/>
        <v>1.9661531718883367</v>
      </c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ht="18" x14ac:dyDescent="0.35">
      <c r="A393" s="4">
        <v>392</v>
      </c>
      <c r="B393" s="4">
        <v>110.96</v>
      </c>
      <c r="C393" s="4">
        <v>107.88</v>
      </c>
      <c r="E393" s="13"/>
      <c r="F393" s="13">
        <v>367</v>
      </c>
      <c r="G393" s="13">
        <v>77.680778439538898</v>
      </c>
      <c r="H393" s="13">
        <v>3.8392215604610982</v>
      </c>
      <c r="I393" s="13">
        <f t="shared" si="5"/>
        <v>3.8392215604610982</v>
      </c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ht="18" x14ac:dyDescent="0.35">
      <c r="A394" s="4">
        <v>393</v>
      </c>
      <c r="B394" s="4">
        <v>103.32</v>
      </c>
      <c r="C394" s="4">
        <v>110.96</v>
      </c>
      <c r="E394" s="13"/>
      <c r="F394" s="13">
        <v>368</v>
      </c>
      <c r="G394" s="13">
        <v>81.294131863750891</v>
      </c>
      <c r="H394" s="13">
        <v>4.6358681362491154</v>
      </c>
      <c r="I394" s="13">
        <f t="shared" si="5"/>
        <v>4.6358681362491154</v>
      </c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ht="18" x14ac:dyDescent="0.35">
      <c r="A395" s="4">
        <v>394</v>
      </c>
      <c r="B395" s="4">
        <v>99.92</v>
      </c>
      <c r="C395" s="4">
        <v>103.32</v>
      </c>
      <c r="E395" s="13"/>
      <c r="F395" s="13">
        <v>369</v>
      </c>
      <c r="G395" s="13">
        <v>85.647926563416149</v>
      </c>
      <c r="H395" s="13">
        <v>1.2920734365838484</v>
      </c>
      <c r="I395" s="13">
        <f t="shared" si="5"/>
        <v>1.2920734365838484</v>
      </c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ht="18" x14ac:dyDescent="0.35">
      <c r="A396" s="4">
        <v>395</v>
      </c>
      <c r="B396" s="4">
        <v>102.24</v>
      </c>
      <c r="C396" s="4">
        <v>99.92</v>
      </c>
      <c r="E396" s="13"/>
      <c r="F396" s="13">
        <v>370</v>
      </c>
      <c r="G396" s="13">
        <v>86.64505414769323</v>
      </c>
      <c r="H396" s="13">
        <v>2.9549458523067642</v>
      </c>
      <c r="I396" s="13">
        <f t="shared" si="5"/>
        <v>2.9549458523067642</v>
      </c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ht="18" x14ac:dyDescent="0.35">
      <c r="A397" s="4">
        <v>396</v>
      </c>
      <c r="B397" s="4">
        <v>99.6</v>
      </c>
      <c r="C397" s="4">
        <v>102.24</v>
      </c>
      <c r="E397" s="13"/>
      <c r="F397" s="13">
        <v>371</v>
      </c>
      <c r="G397" s="13">
        <v>89.271152537967509</v>
      </c>
      <c r="H397" s="13">
        <v>1.3388474620324899</v>
      </c>
      <c r="I397" s="13">
        <f t="shared" si="5"/>
        <v>1.3388474620324899</v>
      </c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ht="18" x14ac:dyDescent="0.35">
      <c r="A398" s="4">
        <v>397</v>
      </c>
      <c r="B398" s="4">
        <v>94.01</v>
      </c>
      <c r="C398" s="4">
        <v>99.6</v>
      </c>
      <c r="E398" s="13"/>
      <c r="F398" s="13">
        <v>372</v>
      </c>
      <c r="G398" s="13">
        <v>90.26828012224459</v>
      </c>
      <c r="H398" s="13">
        <v>2.6217198777554103</v>
      </c>
      <c r="I398" s="13">
        <f t="shared" si="5"/>
        <v>2.6217198777554103</v>
      </c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ht="18" x14ac:dyDescent="0.35">
      <c r="A399" s="4">
        <v>398</v>
      </c>
      <c r="B399" s="4">
        <v>94.65</v>
      </c>
      <c r="C399" s="4">
        <v>94.01</v>
      </c>
      <c r="E399" s="13"/>
      <c r="F399" s="13">
        <v>373</v>
      </c>
      <c r="G399" s="13">
        <v>92.51922159962254</v>
      </c>
      <c r="H399" s="13">
        <v>-0.33922159962253318</v>
      </c>
      <c r="I399" s="13">
        <f t="shared" si="5"/>
        <v>0.33922159962253318</v>
      </c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ht="18" x14ac:dyDescent="0.35">
      <c r="A400" s="4">
        <v>399</v>
      </c>
      <c r="B400" s="4">
        <v>91.81</v>
      </c>
      <c r="C400" s="4">
        <v>94.65</v>
      </c>
      <c r="E400" s="13"/>
      <c r="F400" s="13">
        <v>374</v>
      </c>
      <c r="G400" s="13">
        <v>91.818270525526799</v>
      </c>
      <c r="H400" s="13">
        <v>14.981729474473198</v>
      </c>
      <c r="I400" s="13">
        <f t="shared" si="5"/>
        <v>14.981729474473198</v>
      </c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ht="18" x14ac:dyDescent="0.35">
      <c r="A401" s="4">
        <v>400</v>
      </c>
      <c r="B401" s="4">
        <v>94.47</v>
      </c>
      <c r="C401" s="4">
        <v>91.81</v>
      </c>
      <c r="E401" s="13"/>
      <c r="F401" s="13">
        <v>375</v>
      </c>
      <c r="G401" s="13">
        <v>106.25193912169595</v>
      </c>
      <c r="H401" s="13">
        <v>7.1380608783040458</v>
      </c>
      <c r="I401" s="13">
        <f t="shared" si="5"/>
        <v>7.1380608783040458</v>
      </c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ht="18" x14ac:dyDescent="0.35">
      <c r="A402" s="4">
        <v>401</v>
      </c>
      <c r="B402" s="4">
        <v>90.79</v>
      </c>
      <c r="C402" s="4">
        <v>94.47</v>
      </c>
      <c r="E402" s="13"/>
      <c r="F402" s="13">
        <v>376</v>
      </c>
      <c r="G402" s="13">
        <v>112.75794979534541</v>
      </c>
      <c r="H402" s="13">
        <v>-12.327949795345404</v>
      </c>
      <c r="I402" s="13">
        <f t="shared" si="5"/>
        <v>12.327949795345404</v>
      </c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ht="18" x14ac:dyDescent="0.35">
      <c r="A403" s="4">
        <v>402</v>
      </c>
      <c r="B403" s="4">
        <v>85.29</v>
      </c>
      <c r="C403" s="4">
        <v>90.79</v>
      </c>
      <c r="E403" s="13"/>
      <c r="F403" s="13">
        <v>377</v>
      </c>
      <c r="G403" s="13">
        <v>99.96312455551282</v>
      </c>
      <c r="H403" s="13">
        <v>13.726875444487177</v>
      </c>
      <c r="I403" s="13">
        <f t="shared" si="5"/>
        <v>13.726875444487177</v>
      </c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ht="18" x14ac:dyDescent="0.35">
      <c r="A404" s="4">
        <v>403</v>
      </c>
      <c r="B404" s="4">
        <v>87.24</v>
      </c>
      <c r="C404" s="4">
        <v>85.29</v>
      </c>
      <c r="E404" s="13"/>
      <c r="F404" s="13">
        <v>378</v>
      </c>
      <c r="G404" s="13">
        <v>113.05412630552672</v>
      </c>
      <c r="H404" s="13">
        <v>-9.1641263055267217</v>
      </c>
      <c r="I404" s="13">
        <f t="shared" si="5"/>
        <v>9.1641263055267217</v>
      </c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ht="18" x14ac:dyDescent="0.35">
      <c r="A405" s="4">
        <v>404</v>
      </c>
      <c r="B405" s="4">
        <v>83.46</v>
      </c>
      <c r="C405" s="4">
        <v>87.24</v>
      </c>
      <c r="E405" s="13"/>
      <c r="F405" s="13">
        <v>379</v>
      </c>
      <c r="G405" s="13">
        <v>103.37902697293725</v>
      </c>
      <c r="H405" s="13">
        <v>-4.1690269729372602</v>
      </c>
      <c r="I405" s="13">
        <f t="shared" si="5"/>
        <v>4.1690269729372602</v>
      </c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ht="18" x14ac:dyDescent="0.35">
      <c r="A406" s="4">
        <v>405</v>
      </c>
      <c r="B406" s="4">
        <v>80.08</v>
      </c>
      <c r="C406" s="4">
        <v>83.46</v>
      </c>
      <c r="E406" s="13"/>
      <c r="F406" s="13">
        <v>380</v>
      </c>
      <c r="G406" s="13">
        <v>98.758673414108813</v>
      </c>
      <c r="H406" s="13">
        <v>2.7013265858911808</v>
      </c>
      <c r="I406" s="13">
        <f t="shared" si="5"/>
        <v>2.7013265858911808</v>
      </c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ht="18" x14ac:dyDescent="0.35">
      <c r="A407" s="4">
        <v>406</v>
      </c>
      <c r="B407" s="4">
        <v>88.22</v>
      </c>
      <c r="C407" s="4">
        <v>80.08</v>
      </c>
      <c r="E407" s="13"/>
      <c r="F407" s="13">
        <v>381</v>
      </c>
      <c r="G407" s="13">
        <v>100.97999724046863</v>
      </c>
      <c r="H407" s="13">
        <v>3.0400027595313617</v>
      </c>
      <c r="I407" s="13">
        <f t="shared" si="5"/>
        <v>3.0400027595313617</v>
      </c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ht="18" x14ac:dyDescent="0.35">
      <c r="A408" s="4">
        <v>407</v>
      </c>
      <c r="B408" s="4">
        <v>88.97</v>
      </c>
      <c r="C408" s="4">
        <v>88.22</v>
      </c>
      <c r="E408" s="13"/>
      <c r="F408" s="13">
        <v>382</v>
      </c>
      <c r="G408" s="13">
        <v>103.50737012734916</v>
      </c>
      <c r="H408" s="13">
        <v>-0.65737012734916789</v>
      </c>
      <c r="I408" s="13">
        <f t="shared" si="5"/>
        <v>0.65737012734916789</v>
      </c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ht="18" x14ac:dyDescent="0.35">
      <c r="A409" s="4">
        <v>408</v>
      </c>
      <c r="B409" s="4">
        <v>85.36</v>
      </c>
      <c r="C409" s="4">
        <v>88.97</v>
      </c>
      <c r="E409" s="13"/>
      <c r="F409" s="13">
        <v>383</v>
      </c>
      <c r="G409" s="13">
        <v>102.35228173764204</v>
      </c>
      <c r="H409" s="13">
        <v>4.3377182623579529</v>
      </c>
      <c r="I409" s="13">
        <f t="shared" si="5"/>
        <v>4.3377182623579529</v>
      </c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ht="18" x14ac:dyDescent="0.35">
      <c r="A410" s="4">
        <v>409</v>
      </c>
      <c r="B410" s="4">
        <v>87.87</v>
      </c>
      <c r="C410" s="4">
        <v>85.36</v>
      </c>
      <c r="E410" s="13"/>
      <c r="F410" s="13">
        <v>384</v>
      </c>
      <c r="G410" s="13">
        <v>106.14334106796281</v>
      </c>
      <c r="H410" s="13">
        <v>-1.1433410679628082</v>
      </c>
      <c r="I410" s="13">
        <f t="shared" si="5"/>
        <v>1.1433410679628082</v>
      </c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ht="18" x14ac:dyDescent="0.35">
      <c r="A411" s="4">
        <v>410</v>
      </c>
      <c r="B411" s="4">
        <v>89.14</v>
      </c>
      <c r="C411" s="4">
        <v>87.87</v>
      </c>
      <c r="E411" s="13"/>
      <c r="F411" s="13">
        <v>385</v>
      </c>
      <c r="G411" s="13">
        <v>104.47488006060811</v>
      </c>
      <c r="H411" s="13">
        <v>7.7051199393918921</v>
      </c>
      <c r="I411" s="13">
        <f t="shared" si="5"/>
        <v>7.7051199393918921</v>
      </c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ht="18" x14ac:dyDescent="0.35">
      <c r="A412" s="4">
        <v>411</v>
      </c>
      <c r="B412" s="4">
        <v>88.41</v>
      </c>
      <c r="C412" s="4">
        <v>89.14</v>
      </c>
      <c r="E412" s="13"/>
      <c r="F412" s="13">
        <v>386</v>
      </c>
      <c r="G412" s="13">
        <v>111.5633712042808</v>
      </c>
      <c r="H412" s="13">
        <v>1.8166287957191969</v>
      </c>
      <c r="I412" s="13">
        <f t="shared" si="5"/>
        <v>1.8166287957191969</v>
      </c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ht="18" x14ac:dyDescent="0.35">
      <c r="A413" s="4">
        <v>412</v>
      </c>
      <c r="B413" s="4">
        <v>84.02</v>
      </c>
      <c r="C413" s="4">
        <v>88.41</v>
      </c>
      <c r="E413" s="13"/>
      <c r="F413" s="13">
        <v>387</v>
      </c>
      <c r="G413" s="13">
        <v>112.74807724500604</v>
      </c>
      <c r="H413" s="13">
        <v>3.6219227549939603</v>
      </c>
      <c r="I413" s="13">
        <f t="shared" ref="I413:I476" si="6">ABS(H413)</f>
        <v>3.6219227549939603</v>
      </c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ht="18" x14ac:dyDescent="0.35">
      <c r="A414" s="4">
        <v>413</v>
      </c>
      <c r="B414" s="4">
        <v>78.739999999999995</v>
      </c>
      <c r="C414" s="4">
        <v>84.02</v>
      </c>
      <c r="E414" s="13"/>
      <c r="F414" s="13">
        <v>388</v>
      </c>
      <c r="G414" s="13">
        <v>115.69996979647976</v>
      </c>
      <c r="H414" s="13">
        <v>4.7300302035202435</v>
      </c>
      <c r="I414" s="13">
        <f t="shared" si="6"/>
        <v>4.7300302035202435</v>
      </c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ht="18" x14ac:dyDescent="0.35">
      <c r="A415" s="4">
        <v>414</v>
      </c>
      <c r="B415" s="4">
        <v>79.290000000000006</v>
      </c>
      <c r="C415" s="4">
        <v>78.739999999999995</v>
      </c>
      <c r="E415" s="13"/>
      <c r="F415" s="13">
        <v>389</v>
      </c>
      <c r="G415" s="13">
        <v>119.70822523426685</v>
      </c>
      <c r="H415" s="13">
        <v>-3.2482252342668545</v>
      </c>
      <c r="I415" s="13">
        <f t="shared" si="6"/>
        <v>3.2482252342668545</v>
      </c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ht="18" x14ac:dyDescent="0.35">
      <c r="A416" s="4">
        <v>415</v>
      </c>
      <c r="B416" s="4">
        <v>73.06</v>
      </c>
      <c r="C416" s="4">
        <v>79.290000000000006</v>
      </c>
      <c r="E416" s="13"/>
      <c r="F416" s="13">
        <v>390</v>
      </c>
      <c r="G416" s="13">
        <v>115.78882274953415</v>
      </c>
      <c r="H416" s="13">
        <v>-7.9088227495341528</v>
      </c>
      <c r="I416" s="13">
        <f t="shared" si="6"/>
        <v>7.9088227495341528</v>
      </c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ht="18" x14ac:dyDescent="0.35">
      <c r="A417" s="4">
        <v>416</v>
      </c>
      <c r="B417" s="4">
        <v>75.12</v>
      </c>
      <c r="C417" s="4">
        <v>73.06</v>
      </c>
      <c r="E417" s="13"/>
      <c r="F417" s="13">
        <v>391</v>
      </c>
      <c r="G417" s="13">
        <v>107.31817455834869</v>
      </c>
      <c r="H417" s="13">
        <v>3.6418254416513065</v>
      </c>
      <c r="I417" s="13">
        <f t="shared" si="6"/>
        <v>3.6418254416513065</v>
      </c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ht="18" x14ac:dyDescent="0.35">
      <c r="A418" s="4">
        <v>417</v>
      </c>
      <c r="B418" s="4">
        <v>77.28</v>
      </c>
      <c r="C418" s="4">
        <v>75.12</v>
      </c>
      <c r="E418" s="13"/>
      <c r="F418" s="13">
        <v>392</v>
      </c>
      <c r="G418" s="13">
        <v>110.35892006287679</v>
      </c>
      <c r="H418" s="13">
        <v>-7.0389200628767981</v>
      </c>
      <c r="I418" s="13">
        <f t="shared" si="6"/>
        <v>7.0389200628767981</v>
      </c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ht="18" x14ac:dyDescent="0.35">
      <c r="A419" s="4">
        <v>418</v>
      </c>
      <c r="B419" s="4">
        <v>79.23</v>
      </c>
      <c r="C419" s="4">
        <v>77.28</v>
      </c>
      <c r="E419" s="13"/>
      <c r="F419" s="13">
        <v>393</v>
      </c>
      <c r="G419" s="13">
        <v>102.81629160359276</v>
      </c>
      <c r="H419" s="13">
        <v>-2.8962916035927577</v>
      </c>
      <c r="I419" s="13">
        <f t="shared" si="6"/>
        <v>2.8962916035927577</v>
      </c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ht="18" x14ac:dyDescent="0.35">
      <c r="A420" s="4">
        <v>419</v>
      </c>
      <c r="B420" s="4">
        <v>74.27</v>
      </c>
      <c r="C420" s="4">
        <v>79.23</v>
      </c>
      <c r="E420" s="13"/>
      <c r="F420" s="13">
        <v>394</v>
      </c>
      <c r="G420" s="13">
        <v>99.459624488204582</v>
      </c>
      <c r="H420" s="13">
        <v>2.7803755117954125</v>
      </c>
      <c r="I420" s="13">
        <f t="shared" si="6"/>
        <v>2.7803755117954125</v>
      </c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ht="18" x14ac:dyDescent="0.35">
      <c r="A421" s="4">
        <v>420</v>
      </c>
      <c r="B421" s="4">
        <v>77.099999999999994</v>
      </c>
      <c r="C421" s="4">
        <v>74.27</v>
      </c>
      <c r="E421" s="13"/>
      <c r="F421" s="13">
        <v>395</v>
      </c>
      <c r="G421" s="13">
        <v>101.75005616694006</v>
      </c>
      <c r="H421" s="13">
        <v>-2.1500561669400611</v>
      </c>
      <c r="I421" s="13">
        <f t="shared" si="6"/>
        <v>2.1500561669400611</v>
      </c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ht="18" x14ac:dyDescent="0.35">
      <c r="A422" s="4">
        <v>421</v>
      </c>
      <c r="B422" s="4">
        <v>80.34</v>
      </c>
      <c r="C422" s="4">
        <v>77.099999999999994</v>
      </c>
      <c r="E422" s="13"/>
      <c r="F422" s="13">
        <v>396</v>
      </c>
      <c r="G422" s="13">
        <v>99.143702877344509</v>
      </c>
      <c r="H422" s="13">
        <v>-5.1337028773445041</v>
      </c>
      <c r="I422" s="13">
        <f t="shared" si="6"/>
        <v>5.1337028773445041</v>
      </c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ht="18" x14ac:dyDescent="0.35">
      <c r="A423" s="4">
        <v>422</v>
      </c>
      <c r="B423" s="4">
        <v>80.33</v>
      </c>
      <c r="C423" s="4">
        <v>80.34</v>
      </c>
      <c r="E423" s="13"/>
      <c r="F423" s="13">
        <v>397</v>
      </c>
      <c r="G423" s="13">
        <v>93.624947237632767</v>
      </c>
      <c r="H423" s="13">
        <v>1.0250527623672383</v>
      </c>
      <c r="I423" s="13">
        <f t="shared" si="6"/>
        <v>1.0250527623672383</v>
      </c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ht="18" x14ac:dyDescent="0.35">
      <c r="A424" s="4">
        <v>423</v>
      </c>
      <c r="B424" s="4">
        <v>76.510000000000005</v>
      </c>
      <c r="C424" s="4">
        <v>80.33</v>
      </c>
      <c r="E424" s="13"/>
      <c r="F424" s="13">
        <v>398</v>
      </c>
      <c r="G424" s="13">
        <v>94.256790459352914</v>
      </c>
      <c r="H424" s="13">
        <v>-2.4467904593529113</v>
      </c>
      <c r="I424" s="13">
        <f t="shared" si="6"/>
        <v>2.4467904593529113</v>
      </c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ht="18" x14ac:dyDescent="0.35">
      <c r="A425" s="4">
        <v>424</v>
      </c>
      <c r="B425" s="4">
        <v>77.510000000000005</v>
      </c>
      <c r="C425" s="4">
        <v>76.510000000000005</v>
      </c>
      <c r="E425" s="13"/>
      <c r="F425" s="13">
        <v>399</v>
      </c>
      <c r="G425" s="13">
        <v>91.452986162969836</v>
      </c>
      <c r="H425" s="13">
        <v>3.0170138370301629</v>
      </c>
      <c r="I425" s="13">
        <f t="shared" si="6"/>
        <v>3.0170138370301629</v>
      </c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ht="18" x14ac:dyDescent="0.35">
      <c r="A426" s="4">
        <v>425</v>
      </c>
      <c r="B426" s="4">
        <v>78.510000000000005</v>
      </c>
      <c r="C426" s="4">
        <v>77.510000000000005</v>
      </c>
      <c r="E426" s="13"/>
      <c r="F426" s="13">
        <v>400</v>
      </c>
      <c r="G426" s="13">
        <v>94.079084553244115</v>
      </c>
      <c r="H426" s="13">
        <v>-3.2890845532441091</v>
      </c>
      <c r="I426" s="13">
        <f t="shared" si="6"/>
        <v>3.2890845532441091</v>
      </c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ht="18" x14ac:dyDescent="0.35">
      <c r="A427" s="4">
        <v>426</v>
      </c>
      <c r="B427" s="4">
        <v>75.42</v>
      </c>
      <c r="C427" s="4">
        <v>78.510000000000005</v>
      </c>
      <c r="E427" s="13"/>
      <c r="F427" s="13">
        <v>401</v>
      </c>
      <c r="G427" s="13">
        <v>90.445986028353389</v>
      </c>
      <c r="H427" s="13">
        <v>-5.1559860283533823</v>
      </c>
      <c r="I427" s="13">
        <f t="shared" si="6"/>
        <v>5.1559860283533823</v>
      </c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ht="18" x14ac:dyDescent="0.35">
      <c r="A428" s="4">
        <v>427</v>
      </c>
      <c r="B428" s="4">
        <v>77.540000000000006</v>
      </c>
      <c r="C428" s="4">
        <v>75.42</v>
      </c>
      <c r="E428" s="13"/>
      <c r="F428" s="13">
        <v>402</v>
      </c>
      <c r="G428" s="13">
        <v>85.016083341696032</v>
      </c>
      <c r="H428" s="13">
        <v>2.2239166583039633</v>
      </c>
      <c r="I428" s="13">
        <f t="shared" si="6"/>
        <v>2.2239166583039633</v>
      </c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ht="18" x14ac:dyDescent="0.35">
      <c r="A429" s="4">
        <v>428</v>
      </c>
      <c r="B429" s="4">
        <v>77.31</v>
      </c>
      <c r="C429" s="4">
        <v>77.540000000000006</v>
      </c>
      <c r="E429" s="13"/>
      <c r="F429" s="13">
        <v>403</v>
      </c>
      <c r="G429" s="13">
        <v>86.941230657874542</v>
      </c>
      <c r="H429" s="13">
        <v>-3.4812306578745478</v>
      </c>
      <c r="I429" s="13">
        <f t="shared" si="6"/>
        <v>3.4812306578745478</v>
      </c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ht="18" x14ac:dyDescent="0.35">
      <c r="A430" s="4">
        <v>429</v>
      </c>
      <c r="B430" s="4">
        <v>69.599999999999994</v>
      </c>
      <c r="C430" s="4">
        <v>77.31</v>
      </c>
      <c r="E430" s="13"/>
      <c r="F430" s="13">
        <v>404</v>
      </c>
      <c r="G430" s="13">
        <v>83.209406629590035</v>
      </c>
      <c r="H430" s="13">
        <v>-3.1294066295900365</v>
      </c>
      <c r="I430" s="13">
        <f t="shared" si="6"/>
        <v>3.1294066295900365</v>
      </c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ht="18" x14ac:dyDescent="0.35">
      <c r="A431" s="4">
        <v>430</v>
      </c>
      <c r="B431" s="4">
        <v>69.33</v>
      </c>
      <c r="C431" s="4">
        <v>69.599999999999994</v>
      </c>
      <c r="E431" s="13"/>
      <c r="F431" s="13">
        <v>405</v>
      </c>
      <c r="G431" s="13">
        <v>79.872484614880591</v>
      </c>
      <c r="H431" s="13">
        <v>8.3475153851194079</v>
      </c>
      <c r="I431" s="13">
        <f t="shared" si="6"/>
        <v>8.3475153851194079</v>
      </c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ht="18" x14ac:dyDescent="0.35">
      <c r="A432" s="4">
        <v>431</v>
      </c>
      <c r="B432" s="4">
        <v>73.790000000000006</v>
      </c>
      <c r="C432" s="4">
        <v>69.33</v>
      </c>
      <c r="E432" s="13"/>
      <c r="F432" s="13">
        <v>406</v>
      </c>
      <c r="G432" s="13">
        <v>87.908740591133494</v>
      </c>
      <c r="H432" s="13">
        <v>1.0612594088665048</v>
      </c>
      <c r="I432" s="13">
        <f t="shared" si="6"/>
        <v>1.0612594088665048</v>
      </c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ht="18" x14ac:dyDescent="0.35">
      <c r="A433" s="4">
        <v>432</v>
      </c>
      <c r="B433" s="4">
        <v>80.62</v>
      </c>
      <c r="C433" s="4">
        <v>73.790000000000006</v>
      </c>
      <c r="E433" s="13"/>
      <c r="F433" s="13">
        <v>407</v>
      </c>
      <c r="G433" s="13">
        <v>88.649181866586758</v>
      </c>
      <c r="H433" s="13">
        <v>-3.2891818665867589</v>
      </c>
      <c r="I433" s="13">
        <f t="shared" si="6"/>
        <v>3.2891818665867589</v>
      </c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ht="18" x14ac:dyDescent="0.35">
      <c r="A434" s="4">
        <v>433</v>
      </c>
      <c r="B434" s="4">
        <v>81.87</v>
      </c>
      <c r="C434" s="4">
        <v>80.62</v>
      </c>
      <c r="E434" s="13"/>
      <c r="F434" s="13">
        <v>408</v>
      </c>
      <c r="G434" s="13">
        <v>85.085191194071655</v>
      </c>
      <c r="H434" s="13">
        <v>2.7848088059283498</v>
      </c>
      <c r="I434" s="13">
        <f t="shared" si="6"/>
        <v>2.7848088059283498</v>
      </c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ht="18" x14ac:dyDescent="0.35">
      <c r="A435" s="4">
        <v>434</v>
      </c>
      <c r="B435" s="4">
        <v>79.22</v>
      </c>
      <c r="C435" s="4">
        <v>81.87</v>
      </c>
      <c r="E435" s="13"/>
      <c r="F435" s="13">
        <v>409</v>
      </c>
      <c r="G435" s="13">
        <v>87.563201329255293</v>
      </c>
      <c r="H435" s="13">
        <v>1.5767986707447079</v>
      </c>
      <c r="I435" s="13">
        <f t="shared" si="6"/>
        <v>1.5767986707447079</v>
      </c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ht="18" x14ac:dyDescent="0.35">
      <c r="A436" s="4">
        <v>435</v>
      </c>
      <c r="B436" s="4">
        <v>76.31</v>
      </c>
      <c r="C436" s="4">
        <v>79.22</v>
      </c>
      <c r="E436" s="13"/>
      <c r="F436" s="13">
        <v>410</v>
      </c>
      <c r="G436" s="13">
        <v>88.817015222356162</v>
      </c>
      <c r="H436" s="13">
        <v>-0.40701522235616494</v>
      </c>
      <c r="I436" s="13">
        <f t="shared" si="6"/>
        <v>0.40701522235616494</v>
      </c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ht="18" x14ac:dyDescent="0.35">
      <c r="A437" s="4">
        <v>436</v>
      </c>
      <c r="B437" s="4">
        <v>71.16</v>
      </c>
      <c r="C437" s="4">
        <v>76.31</v>
      </c>
      <c r="E437" s="13"/>
      <c r="F437" s="13">
        <v>411</v>
      </c>
      <c r="G437" s="13">
        <v>88.096319047581659</v>
      </c>
      <c r="H437" s="13">
        <v>-4.0763190475816629</v>
      </c>
      <c r="I437" s="13">
        <f t="shared" si="6"/>
        <v>4.0763190475816629</v>
      </c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ht="18" x14ac:dyDescent="0.35">
      <c r="A438" s="4">
        <v>437</v>
      </c>
      <c r="B438" s="4">
        <v>72.03</v>
      </c>
      <c r="C438" s="4">
        <v>71.16</v>
      </c>
      <c r="E438" s="13"/>
      <c r="F438" s="13">
        <v>412</v>
      </c>
      <c r="G438" s="13">
        <v>83.762269448595134</v>
      </c>
      <c r="H438" s="13">
        <v>-5.0222694485951394</v>
      </c>
      <c r="I438" s="13">
        <f t="shared" si="6"/>
        <v>5.0222694485951394</v>
      </c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ht="18" x14ac:dyDescent="0.35">
      <c r="A439" s="4">
        <v>438</v>
      </c>
      <c r="B439" s="4">
        <v>71.62</v>
      </c>
      <c r="C439" s="4">
        <v>72.03</v>
      </c>
      <c r="E439" s="13"/>
      <c r="F439" s="13">
        <v>413</v>
      </c>
      <c r="G439" s="13">
        <v>78.54956286940407</v>
      </c>
      <c r="H439" s="13">
        <v>0.74043713059593586</v>
      </c>
      <c r="I439" s="13">
        <f t="shared" si="6"/>
        <v>0.74043713059593586</v>
      </c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ht="18" x14ac:dyDescent="0.35">
      <c r="A440" s="4">
        <v>439</v>
      </c>
      <c r="B440" s="4">
        <v>72.62</v>
      </c>
      <c r="C440" s="4">
        <v>71.62</v>
      </c>
      <c r="E440" s="13"/>
      <c r="F440" s="13">
        <v>414</v>
      </c>
      <c r="G440" s="13">
        <v>79.092553138069832</v>
      </c>
      <c r="H440" s="13">
        <v>-6.0325531380698294</v>
      </c>
      <c r="I440" s="13">
        <f t="shared" si="6"/>
        <v>6.0325531380698294</v>
      </c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ht="18" x14ac:dyDescent="0.35">
      <c r="A441" s="4">
        <v>440</v>
      </c>
      <c r="B441" s="4">
        <v>69.849999999999994</v>
      </c>
      <c r="C441" s="4">
        <v>72.62</v>
      </c>
      <c r="E441" s="13"/>
      <c r="F441" s="13">
        <v>415</v>
      </c>
      <c r="G441" s="13">
        <v>72.941954276637944</v>
      </c>
      <c r="H441" s="13">
        <v>2.1780457233620609</v>
      </c>
      <c r="I441" s="13">
        <f t="shared" si="6"/>
        <v>2.1780457233620609</v>
      </c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ht="18" x14ac:dyDescent="0.35">
      <c r="A442" s="4">
        <v>441</v>
      </c>
      <c r="B442" s="4">
        <v>71.56</v>
      </c>
      <c r="C442" s="4">
        <v>69.849999999999994</v>
      </c>
      <c r="E442" s="13"/>
      <c r="F442" s="13">
        <v>416</v>
      </c>
      <c r="G442" s="13">
        <v>74.975699646549629</v>
      </c>
      <c r="H442" s="13">
        <v>2.3043003534503725</v>
      </c>
      <c r="I442" s="13">
        <f t="shared" si="6"/>
        <v>2.3043003534503725</v>
      </c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ht="18" x14ac:dyDescent="0.35">
      <c r="A443" s="4">
        <v>442</v>
      </c>
      <c r="B443" s="4">
        <v>69.42</v>
      </c>
      <c r="C443" s="4">
        <v>71.56</v>
      </c>
      <c r="E443" s="13"/>
      <c r="F443" s="13">
        <v>417</v>
      </c>
      <c r="G443" s="13">
        <v>77.108170519855037</v>
      </c>
      <c r="H443" s="13">
        <v>2.1218294801449673</v>
      </c>
      <c r="I443" s="13">
        <f t="shared" si="6"/>
        <v>2.1218294801449673</v>
      </c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ht="18" x14ac:dyDescent="0.35">
      <c r="A444" s="4">
        <v>443</v>
      </c>
      <c r="B444" s="4">
        <v>70.41</v>
      </c>
      <c r="C444" s="4">
        <v>69.42</v>
      </c>
      <c r="E444" s="13"/>
      <c r="F444" s="13">
        <v>418</v>
      </c>
      <c r="G444" s="13">
        <v>79.033317836033575</v>
      </c>
      <c r="H444" s="13">
        <v>-4.7633178360335791</v>
      </c>
      <c r="I444" s="13">
        <f t="shared" si="6"/>
        <v>4.7633178360335791</v>
      </c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ht="18" x14ac:dyDescent="0.35">
      <c r="A445" s="4">
        <v>444</v>
      </c>
      <c r="B445" s="4">
        <v>69.36</v>
      </c>
      <c r="C445" s="4">
        <v>70.41</v>
      </c>
      <c r="E445" s="13"/>
      <c r="F445" s="13">
        <v>419</v>
      </c>
      <c r="G445" s="13">
        <v>74.136532867702556</v>
      </c>
      <c r="H445" s="13">
        <v>2.9634671322974384</v>
      </c>
      <c r="I445" s="13">
        <f t="shared" si="6"/>
        <v>2.9634671322974384</v>
      </c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ht="18" x14ac:dyDescent="0.35">
      <c r="A446" s="4">
        <v>445</v>
      </c>
      <c r="B446" s="4">
        <v>71.790000000000006</v>
      </c>
      <c r="C446" s="4">
        <v>69.36</v>
      </c>
      <c r="E446" s="13"/>
      <c r="F446" s="13">
        <v>420</v>
      </c>
      <c r="G446" s="13">
        <v>76.930464613746267</v>
      </c>
      <c r="H446" s="13">
        <v>3.4095353862537365</v>
      </c>
      <c r="I446" s="13">
        <f t="shared" si="6"/>
        <v>3.4095353862537365</v>
      </c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ht="18" x14ac:dyDescent="0.35">
      <c r="A447" s="4">
        <v>446</v>
      </c>
      <c r="B447" s="4">
        <v>75.2</v>
      </c>
      <c r="C447" s="4">
        <v>71.790000000000006</v>
      </c>
      <c r="E447" s="13"/>
      <c r="F447" s="13">
        <v>421</v>
      </c>
      <c r="G447" s="13">
        <v>80.129170923704407</v>
      </c>
      <c r="H447" s="13">
        <v>0.20082907629559088</v>
      </c>
      <c r="I447" s="13">
        <f t="shared" si="6"/>
        <v>0.20082907629559088</v>
      </c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ht="18" x14ac:dyDescent="0.35">
      <c r="A448" s="4">
        <v>447</v>
      </c>
      <c r="B448" s="4">
        <v>75.61</v>
      </c>
      <c r="C448" s="4">
        <v>75.2</v>
      </c>
      <c r="E448" s="13"/>
      <c r="F448" s="13">
        <v>422</v>
      </c>
      <c r="G448" s="13">
        <v>80.119298373365041</v>
      </c>
      <c r="H448" s="13">
        <v>-3.6092983733650357</v>
      </c>
      <c r="I448" s="13">
        <f t="shared" si="6"/>
        <v>3.6092983733650357</v>
      </c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ht="18" x14ac:dyDescent="0.35">
      <c r="A449" s="4">
        <v>448</v>
      </c>
      <c r="B449" s="4">
        <v>79.680000000000007</v>
      </c>
      <c r="C449" s="4">
        <v>75.61</v>
      </c>
      <c r="E449" s="13"/>
      <c r="F449" s="13">
        <v>423</v>
      </c>
      <c r="G449" s="13">
        <v>76.347984143723011</v>
      </c>
      <c r="H449" s="13">
        <v>1.1620158562769944</v>
      </c>
      <c r="I449" s="13">
        <f t="shared" si="6"/>
        <v>1.1620158562769944</v>
      </c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ht="18" x14ac:dyDescent="0.35">
      <c r="A450" s="4">
        <v>449</v>
      </c>
      <c r="B450" s="4">
        <v>81.400000000000006</v>
      </c>
      <c r="C450" s="4">
        <v>79.680000000000007</v>
      </c>
      <c r="E450" s="13"/>
      <c r="F450" s="13">
        <v>424</v>
      </c>
      <c r="G450" s="13">
        <v>77.335239177660725</v>
      </c>
      <c r="H450" s="13">
        <v>1.1747608223392803</v>
      </c>
      <c r="I450" s="13">
        <f t="shared" si="6"/>
        <v>1.1747608223392803</v>
      </c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ht="18" x14ac:dyDescent="0.35">
      <c r="A451" s="4">
        <v>450</v>
      </c>
      <c r="B451" s="4">
        <v>83.04</v>
      </c>
      <c r="C451" s="4">
        <v>81.400000000000006</v>
      </c>
      <c r="E451" s="13"/>
      <c r="F451" s="13">
        <v>425</v>
      </c>
      <c r="G451" s="13">
        <v>78.322494211598411</v>
      </c>
      <c r="H451" s="13">
        <v>-2.9024942115984089</v>
      </c>
      <c r="I451" s="13">
        <f t="shared" si="6"/>
        <v>2.9024942115984089</v>
      </c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ht="18" x14ac:dyDescent="0.35">
      <c r="A452" s="4">
        <v>451</v>
      </c>
      <c r="B452" s="4">
        <v>80.930000000000007</v>
      </c>
      <c r="C452" s="4">
        <v>83.04</v>
      </c>
      <c r="E452" s="13"/>
      <c r="F452" s="13">
        <v>426</v>
      </c>
      <c r="G452" s="13">
        <v>75.271876156730912</v>
      </c>
      <c r="H452" s="13">
        <v>2.2681238432690947</v>
      </c>
      <c r="I452" s="13">
        <f t="shared" si="6"/>
        <v>2.2681238432690947</v>
      </c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ht="18" x14ac:dyDescent="0.35">
      <c r="A453" s="4">
        <v>452</v>
      </c>
      <c r="B453" s="4">
        <v>79.97</v>
      </c>
      <c r="C453" s="4">
        <v>80.930000000000007</v>
      </c>
      <c r="E453" s="13"/>
      <c r="F453" s="13">
        <v>427</v>
      </c>
      <c r="G453" s="13">
        <v>77.364856828678853</v>
      </c>
      <c r="H453" s="13">
        <v>-5.4856828678850889E-2</v>
      </c>
      <c r="I453" s="13">
        <f t="shared" si="6"/>
        <v>5.4856828678850889E-2</v>
      </c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ht="18" x14ac:dyDescent="0.35">
      <c r="A454" s="4">
        <v>453</v>
      </c>
      <c r="B454" s="4">
        <v>82.5</v>
      </c>
      <c r="C454" s="4">
        <v>79.97</v>
      </c>
      <c r="E454" s="13"/>
      <c r="F454" s="13">
        <v>428</v>
      </c>
      <c r="G454" s="13">
        <v>77.137788170873165</v>
      </c>
      <c r="H454" s="13">
        <v>-7.5377881708731707</v>
      </c>
      <c r="I454" s="13">
        <f t="shared" si="6"/>
        <v>7.5377881708731707</v>
      </c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ht="18" x14ac:dyDescent="0.35">
      <c r="A455" s="4">
        <v>454</v>
      </c>
      <c r="B455" s="4">
        <v>87.17</v>
      </c>
      <c r="C455" s="4">
        <v>82.5</v>
      </c>
      <c r="E455" s="13"/>
      <c r="F455" s="13">
        <v>429</v>
      </c>
      <c r="G455" s="13">
        <v>69.52605185921351</v>
      </c>
      <c r="H455" s="13">
        <v>-0.19605185921351165</v>
      </c>
      <c r="I455" s="13">
        <f t="shared" si="6"/>
        <v>0.19605185921351165</v>
      </c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ht="18" x14ac:dyDescent="0.35">
      <c r="A456" s="4">
        <v>455</v>
      </c>
      <c r="B456" s="4">
        <v>89.14</v>
      </c>
      <c r="C456" s="4">
        <v>87.17</v>
      </c>
      <c r="E456" s="13"/>
      <c r="F456" s="13">
        <v>430</v>
      </c>
      <c r="G456" s="13">
        <v>69.259493000050327</v>
      </c>
      <c r="H456" s="13">
        <v>4.5305069999496794</v>
      </c>
      <c r="I456" s="13">
        <f t="shared" si="6"/>
        <v>4.5305069999496794</v>
      </c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ht="18" x14ac:dyDescent="0.35">
      <c r="A457" s="4">
        <v>456</v>
      </c>
      <c r="B457" s="4">
        <v>90.28</v>
      </c>
      <c r="C457" s="4">
        <v>89.14</v>
      </c>
      <c r="E457" s="13"/>
      <c r="F457" s="13">
        <v>431</v>
      </c>
      <c r="G457" s="13">
        <v>73.662650451412475</v>
      </c>
      <c r="H457" s="13">
        <v>6.9573495485875299</v>
      </c>
      <c r="I457" s="13">
        <f t="shared" si="6"/>
        <v>6.9573495485875299</v>
      </c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ht="18" x14ac:dyDescent="0.35">
      <c r="A458" s="4">
        <v>457</v>
      </c>
      <c r="B458" s="4">
        <v>91.44</v>
      </c>
      <c r="C458" s="4">
        <v>90.28</v>
      </c>
      <c r="E458" s="13"/>
      <c r="F458" s="13">
        <v>432</v>
      </c>
      <c r="G458" s="13">
        <v>80.405602333206957</v>
      </c>
      <c r="H458" s="13">
        <v>1.4643976667930474</v>
      </c>
      <c r="I458" s="13">
        <f t="shared" si="6"/>
        <v>1.4643976667930474</v>
      </c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ht="18" x14ac:dyDescent="0.35">
      <c r="A459" s="4">
        <v>458</v>
      </c>
      <c r="B459" s="4">
        <v>85.5</v>
      </c>
      <c r="C459" s="4">
        <v>91.44</v>
      </c>
      <c r="E459" s="13"/>
      <c r="F459" s="13">
        <v>433</v>
      </c>
      <c r="G459" s="13">
        <v>81.639671125629093</v>
      </c>
      <c r="H459" s="13">
        <v>-2.4196711256290939</v>
      </c>
      <c r="I459" s="13">
        <f t="shared" si="6"/>
        <v>2.4196711256290939</v>
      </c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ht="18" x14ac:dyDescent="0.35">
      <c r="A460" s="4">
        <v>459</v>
      </c>
      <c r="B460" s="4">
        <v>85.03</v>
      </c>
      <c r="C460" s="4">
        <v>85.5</v>
      </c>
      <c r="E460" s="13"/>
      <c r="F460" s="13">
        <v>434</v>
      </c>
      <c r="G460" s="13">
        <v>79.02344528569418</v>
      </c>
      <c r="H460" s="13">
        <v>-2.7134452856941778</v>
      </c>
      <c r="I460" s="13">
        <f t="shared" si="6"/>
        <v>2.7134452856941778</v>
      </c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ht="18" x14ac:dyDescent="0.35">
      <c r="A461" s="4">
        <v>460</v>
      </c>
      <c r="B461" s="4">
        <v>88.03</v>
      </c>
      <c r="C461" s="4">
        <v>85.03</v>
      </c>
      <c r="E461" s="13"/>
      <c r="F461" s="13">
        <v>435</v>
      </c>
      <c r="G461" s="13">
        <v>76.150533136935479</v>
      </c>
      <c r="H461" s="13">
        <v>-4.9905331369354826</v>
      </c>
      <c r="I461" s="13">
        <f t="shared" si="6"/>
        <v>4.9905331369354826</v>
      </c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ht="18" x14ac:dyDescent="0.35">
      <c r="A462" s="4">
        <v>461</v>
      </c>
      <c r="B462" s="4">
        <v>85.2</v>
      </c>
      <c r="C462" s="4">
        <v>88.03</v>
      </c>
      <c r="E462" s="13"/>
      <c r="F462" s="13">
        <v>436</v>
      </c>
      <c r="G462" s="13">
        <v>71.066169712156324</v>
      </c>
      <c r="H462" s="13">
        <v>0.96383028784367752</v>
      </c>
      <c r="I462" s="13">
        <f t="shared" si="6"/>
        <v>0.96383028784367752</v>
      </c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ht="18" x14ac:dyDescent="0.35">
      <c r="A463" s="4">
        <v>462</v>
      </c>
      <c r="B463" s="4">
        <v>81.99</v>
      </c>
      <c r="C463" s="4">
        <v>85.2</v>
      </c>
      <c r="E463" s="13"/>
      <c r="F463" s="13">
        <v>437</v>
      </c>
      <c r="G463" s="13">
        <v>71.92508159168213</v>
      </c>
      <c r="H463" s="13">
        <v>-0.30508159168212501</v>
      </c>
      <c r="I463" s="13">
        <f t="shared" si="6"/>
        <v>0.30508159168212501</v>
      </c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ht="18" x14ac:dyDescent="0.35">
      <c r="A464" s="4">
        <v>463</v>
      </c>
      <c r="B464" s="4">
        <v>77.92</v>
      </c>
      <c r="C464" s="4">
        <v>81.99</v>
      </c>
      <c r="E464" s="13"/>
      <c r="F464" s="13">
        <v>438</v>
      </c>
      <c r="G464" s="13">
        <v>71.520307027767672</v>
      </c>
      <c r="H464" s="13">
        <v>1.099692972232333</v>
      </c>
      <c r="I464" s="13">
        <f t="shared" si="6"/>
        <v>1.099692972232333</v>
      </c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ht="18" x14ac:dyDescent="0.35">
      <c r="A465" s="4">
        <v>464</v>
      </c>
      <c r="B465" s="4">
        <v>76.98</v>
      </c>
      <c r="C465" s="4">
        <v>77.92</v>
      </c>
      <c r="E465" s="13"/>
      <c r="F465" s="13">
        <v>439</v>
      </c>
      <c r="G465" s="13">
        <v>72.507562061705357</v>
      </c>
      <c r="H465" s="13">
        <v>-2.657562061705363</v>
      </c>
      <c r="I465" s="13">
        <f t="shared" si="6"/>
        <v>2.657562061705363</v>
      </c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ht="18" x14ac:dyDescent="0.35">
      <c r="A466" s="4">
        <v>465</v>
      </c>
      <c r="B466" s="4">
        <v>77.02</v>
      </c>
      <c r="C466" s="4">
        <v>76.98</v>
      </c>
      <c r="E466" s="13"/>
      <c r="F466" s="13">
        <v>440</v>
      </c>
      <c r="G466" s="13">
        <v>69.772865617697931</v>
      </c>
      <c r="H466" s="13">
        <v>1.7871343823020709</v>
      </c>
      <c r="I466" s="13">
        <f t="shared" si="6"/>
        <v>1.7871343823020709</v>
      </c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ht="18" x14ac:dyDescent="0.35">
      <c r="A467" s="4">
        <v>466</v>
      </c>
      <c r="B467" s="4">
        <v>75.489999999999995</v>
      </c>
      <c r="C467" s="4">
        <v>77.02</v>
      </c>
      <c r="E467" s="13"/>
      <c r="F467" s="13">
        <v>441</v>
      </c>
      <c r="G467" s="13">
        <v>71.461071725731387</v>
      </c>
      <c r="H467" s="13">
        <v>-2.0410717257313848</v>
      </c>
      <c r="I467" s="13">
        <f t="shared" si="6"/>
        <v>2.0410717257313848</v>
      </c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ht="18" x14ac:dyDescent="0.35">
      <c r="A468" s="4">
        <v>467</v>
      </c>
      <c r="B468" s="4">
        <v>70.709999999999994</v>
      </c>
      <c r="C468" s="4">
        <v>75.489999999999995</v>
      </c>
      <c r="E468" s="13"/>
      <c r="F468" s="13">
        <v>442</v>
      </c>
      <c r="G468" s="13">
        <v>69.348345953104712</v>
      </c>
      <c r="H468" s="13">
        <v>1.0616540468952849</v>
      </c>
      <c r="I468" s="13">
        <f t="shared" si="6"/>
        <v>1.0616540468952849</v>
      </c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ht="18" x14ac:dyDescent="0.35">
      <c r="A469" s="4">
        <v>468</v>
      </c>
      <c r="B469" s="4">
        <v>70.11</v>
      </c>
      <c r="C469" s="4">
        <v>70.709999999999994</v>
      </c>
      <c r="E469" s="13"/>
      <c r="F469" s="13">
        <v>443</v>
      </c>
      <c r="G469" s="13">
        <v>70.325728436703031</v>
      </c>
      <c r="H469" s="13">
        <v>-0.96572843670303143</v>
      </c>
      <c r="I469" s="13">
        <f t="shared" si="6"/>
        <v>0.96572843670303143</v>
      </c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ht="18" x14ac:dyDescent="0.35">
      <c r="A470" s="4">
        <v>469</v>
      </c>
      <c r="B470" s="4">
        <v>73.23</v>
      </c>
      <c r="C470" s="4">
        <v>70.11</v>
      </c>
      <c r="E470" s="13"/>
      <c r="F470" s="13">
        <v>444</v>
      </c>
      <c r="G470" s="13">
        <v>69.289110651068455</v>
      </c>
      <c r="H470" s="13">
        <v>2.5008893489315511</v>
      </c>
      <c r="I470" s="13">
        <f t="shared" si="6"/>
        <v>2.5008893489315511</v>
      </c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ht="18" x14ac:dyDescent="0.35">
      <c r="A471" s="4">
        <v>470</v>
      </c>
      <c r="B471" s="4">
        <v>73.52</v>
      </c>
      <c r="C471" s="4">
        <v>73.23</v>
      </c>
      <c r="E471" s="13"/>
      <c r="F471" s="13">
        <v>445</v>
      </c>
      <c r="G471" s="13">
        <v>71.688140383537075</v>
      </c>
      <c r="H471" s="13">
        <v>3.5118596164629281</v>
      </c>
      <c r="I471" s="13">
        <f t="shared" si="6"/>
        <v>3.5118596164629281</v>
      </c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ht="18" x14ac:dyDescent="0.35">
      <c r="C472" s="30">
        <v>73.52</v>
      </c>
      <c r="E472" s="13"/>
      <c r="F472" s="13">
        <v>446</v>
      </c>
      <c r="G472" s="13">
        <v>75.054680049264618</v>
      </c>
      <c r="H472" s="13">
        <v>0.55531995073538098</v>
      </c>
      <c r="I472" s="13">
        <f t="shared" si="6"/>
        <v>0.55531995073538098</v>
      </c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ht="18" x14ac:dyDescent="0.35">
      <c r="E473" s="13"/>
      <c r="F473" s="13">
        <v>447</v>
      </c>
      <c r="G473" s="13">
        <v>75.459454613179076</v>
      </c>
      <c r="H473" s="13">
        <v>4.2205453868209304</v>
      </c>
      <c r="I473" s="13">
        <f t="shared" si="6"/>
        <v>4.2205453868209304</v>
      </c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ht="18" x14ac:dyDescent="0.35">
      <c r="E474" s="13"/>
      <c r="F474" s="13">
        <v>448</v>
      </c>
      <c r="G474" s="13">
        <v>79.477582601305528</v>
      </c>
      <c r="H474" s="13">
        <v>1.9224173986944777</v>
      </c>
      <c r="I474" s="13">
        <f t="shared" si="6"/>
        <v>1.9224173986944777</v>
      </c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ht="18" x14ac:dyDescent="0.35">
      <c r="E475" s="13"/>
      <c r="F475" s="13">
        <v>449</v>
      </c>
      <c r="G475" s="13">
        <v>81.175661259678378</v>
      </c>
      <c r="H475" s="13">
        <v>1.8643387403216281</v>
      </c>
      <c r="I475" s="13">
        <f t="shared" si="6"/>
        <v>1.8643387403216281</v>
      </c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ht="18" x14ac:dyDescent="0.35">
      <c r="E476" s="13"/>
      <c r="F476" s="13">
        <v>450</v>
      </c>
      <c r="G476" s="13">
        <v>82.79475951533621</v>
      </c>
      <c r="H476" s="13">
        <v>-1.8647595153362033</v>
      </c>
      <c r="I476" s="13">
        <f t="shared" si="6"/>
        <v>1.8647595153362033</v>
      </c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ht="18" x14ac:dyDescent="0.35">
      <c r="E477" s="13"/>
      <c r="F477" s="13">
        <v>451</v>
      </c>
      <c r="G477" s="13">
        <v>80.711651393727664</v>
      </c>
      <c r="H477" s="13">
        <v>-0.74165139372766475</v>
      </c>
      <c r="I477" s="13">
        <f t="shared" ref="I477:I495" si="7">ABS(H477)</f>
        <v>0.74165139372766475</v>
      </c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ht="18" x14ac:dyDescent="0.35">
      <c r="E478" s="13"/>
      <c r="F478" s="13">
        <v>452</v>
      </c>
      <c r="G478" s="13">
        <v>79.763886561147444</v>
      </c>
      <c r="H478" s="13">
        <v>2.7361134388525556</v>
      </c>
      <c r="I478" s="13">
        <f t="shared" si="7"/>
        <v>2.7361134388525556</v>
      </c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ht="18" x14ac:dyDescent="0.35">
      <c r="E479" s="13"/>
      <c r="F479" s="13">
        <v>453</v>
      </c>
      <c r="G479" s="13">
        <v>82.261641797009844</v>
      </c>
      <c r="H479" s="13">
        <v>4.9083582029901578</v>
      </c>
      <c r="I479" s="13">
        <f t="shared" si="7"/>
        <v>4.9083582029901578</v>
      </c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ht="18" x14ac:dyDescent="0.35">
      <c r="E480" s="13"/>
      <c r="F480" s="13">
        <v>454</v>
      </c>
      <c r="G480" s="13">
        <v>86.872122805498918</v>
      </c>
      <c r="H480" s="13">
        <v>2.2678771945010823</v>
      </c>
      <c r="I480" s="13">
        <f t="shared" si="7"/>
        <v>2.2678771945010823</v>
      </c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5:18" ht="18" x14ac:dyDescent="0.35">
      <c r="E481" s="13"/>
      <c r="F481" s="13">
        <v>455</v>
      </c>
      <c r="G481" s="13">
        <v>88.817015222356162</v>
      </c>
      <c r="H481" s="13">
        <v>1.4629847776438396</v>
      </c>
      <c r="I481" s="13">
        <f t="shared" si="7"/>
        <v>1.4629847776438396</v>
      </c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5:18" ht="18" x14ac:dyDescent="0.35">
      <c r="E482" s="13"/>
      <c r="F482" s="13">
        <v>456</v>
      </c>
      <c r="G482" s="13">
        <v>89.942485961045151</v>
      </c>
      <c r="H482" s="13">
        <v>1.4975140389548471</v>
      </c>
      <c r="I482" s="13">
        <f t="shared" si="7"/>
        <v>1.4975140389548471</v>
      </c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5:18" ht="18" x14ac:dyDescent="0.35">
      <c r="E483" s="13"/>
      <c r="F483" s="13">
        <v>457</v>
      </c>
      <c r="G483" s="13">
        <v>91.087701800412873</v>
      </c>
      <c r="H483" s="13">
        <v>-5.5877018004128729</v>
      </c>
      <c r="I483" s="13">
        <f t="shared" si="7"/>
        <v>5.5877018004128729</v>
      </c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5:18" ht="18" x14ac:dyDescent="0.35">
      <c r="E484" s="13"/>
      <c r="F484" s="13">
        <v>458</v>
      </c>
      <c r="G484" s="13">
        <v>85.223406898822958</v>
      </c>
      <c r="H484" s="13">
        <v>-0.19340689882295692</v>
      </c>
      <c r="I484" s="13">
        <f t="shared" si="7"/>
        <v>0.19340689882295692</v>
      </c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5:18" ht="18" x14ac:dyDescent="0.35">
      <c r="E485" s="13"/>
      <c r="F485" s="13">
        <v>459</v>
      </c>
      <c r="G485" s="13">
        <v>84.759397032872215</v>
      </c>
      <c r="H485" s="13">
        <v>3.2706029671277861</v>
      </c>
      <c r="I485" s="13">
        <f t="shared" si="7"/>
        <v>3.2706029671277861</v>
      </c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5:18" ht="18" x14ac:dyDescent="0.35">
      <c r="E486" s="13"/>
      <c r="F486" s="13">
        <v>460</v>
      </c>
      <c r="G486" s="13">
        <v>87.721162134685329</v>
      </c>
      <c r="H486" s="13">
        <v>-2.5211621346853264</v>
      </c>
      <c r="I486" s="13">
        <f t="shared" si="7"/>
        <v>2.5211621346853264</v>
      </c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5:18" ht="18" x14ac:dyDescent="0.35">
      <c r="E487" s="13"/>
      <c r="F487" s="13">
        <v>461</v>
      </c>
      <c r="G487" s="13">
        <v>84.927230388641647</v>
      </c>
      <c r="H487" s="13">
        <v>-2.9372303886416518</v>
      </c>
      <c r="I487" s="13">
        <f t="shared" si="7"/>
        <v>2.9372303886416518</v>
      </c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5:18" ht="18" x14ac:dyDescent="0.35">
      <c r="E488" s="13"/>
      <c r="F488" s="13">
        <v>462</v>
      </c>
      <c r="G488" s="13">
        <v>81.758141729701606</v>
      </c>
      <c r="H488" s="13">
        <v>-3.8381417297016043</v>
      </c>
      <c r="I488" s="13">
        <f t="shared" si="7"/>
        <v>3.8381417297016043</v>
      </c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5:18" ht="18" x14ac:dyDescent="0.35">
      <c r="E489" s="13"/>
      <c r="F489" s="13">
        <v>463</v>
      </c>
      <c r="G489" s="13">
        <v>77.740013741575183</v>
      </c>
      <c r="H489" s="13">
        <v>-0.76001374157517887</v>
      </c>
      <c r="I489" s="13">
        <f t="shared" si="7"/>
        <v>0.76001374157517887</v>
      </c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5:18" ht="18" x14ac:dyDescent="0.35">
      <c r="E490" s="13"/>
      <c r="F490" s="13">
        <v>464</v>
      </c>
      <c r="G490" s="13">
        <v>76.811994009673725</v>
      </c>
      <c r="H490" s="13">
        <v>0.20800599032627076</v>
      </c>
      <c r="I490" s="13">
        <f t="shared" si="7"/>
        <v>0.20800599032627076</v>
      </c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5:18" ht="18" x14ac:dyDescent="0.35">
      <c r="E491" s="13"/>
      <c r="F491" s="13">
        <v>465</v>
      </c>
      <c r="G491" s="13">
        <v>76.851484211031249</v>
      </c>
      <c r="H491" s="13">
        <v>-1.3614842110312537</v>
      </c>
      <c r="I491" s="13">
        <f t="shared" si="7"/>
        <v>1.3614842110312537</v>
      </c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5:18" ht="18" x14ac:dyDescent="0.35">
      <c r="E492" s="13"/>
      <c r="F492" s="13">
        <v>466</v>
      </c>
      <c r="G492" s="13">
        <v>75.340984009106563</v>
      </c>
      <c r="H492" s="13">
        <v>-4.6309840091065695</v>
      </c>
      <c r="I492" s="13">
        <f t="shared" si="7"/>
        <v>4.6309840091065695</v>
      </c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5:18" ht="18" x14ac:dyDescent="0.35">
      <c r="E493" s="13"/>
      <c r="F493" s="13">
        <v>467</v>
      </c>
      <c r="G493" s="13">
        <v>70.621904946884342</v>
      </c>
      <c r="H493" s="13">
        <v>-0.51190494688434285</v>
      </c>
      <c r="I493" s="13">
        <f t="shared" si="7"/>
        <v>0.51190494688434285</v>
      </c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5:18" ht="18" x14ac:dyDescent="0.35">
      <c r="E494" s="13"/>
      <c r="F494" s="13">
        <v>468</v>
      </c>
      <c r="G494" s="13">
        <v>70.029551926521719</v>
      </c>
      <c r="H494" s="13">
        <v>3.2004480734782845</v>
      </c>
      <c r="I494" s="13">
        <f t="shared" si="7"/>
        <v>3.2004480734782845</v>
      </c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5:18" ht="18.600000000000001" thickBot="1" x14ac:dyDescent="0.4">
      <c r="E495" s="13"/>
      <c r="F495" s="24">
        <v>469</v>
      </c>
      <c r="G495" s="24">
        <v>73.109787632407347</v>
      </c>
      <c r="H495" s="24">
        <v>0.41021236759264923</v>
      </c>
      <c r="I495" s="13">
        <f t="shared" si="7"/>
        <v>0.41021236759264923</v>
      </c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5:18" ht="18" x14ac:dyDescent="0.35"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</sheetData>
  <mergeCells count="1">
    <mergeCell ref="I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C147-6C25-4069-AC83-33D0E2E6F76A}">
  <sheetPr>
    <tabColor rgb="FFFFCCFF"/>
  </sheetPr>
  <dimension ref="A1:K473"/>
  <sheetViews>
    <sheetView workbookViewId="0">
      <selection activeCell="K13" sqref="K13"/>
    </sheetView>
  </sheetViews>
  <sheetFormatPr defaultRowHeight="14.4" x14ac:dyDescent="0.3"/>
  <cols>
    <col min="1" max="1" width="17.21875" customWidth="1"/>
    <col min="2" max="2" width="17.88671875" customWidth="1"/>
    <col min="3" max="3" width="17.5546875" customWidth="1"/>
    <col min="4" max="4" width="16.6640625" customWidth="1"/>
    <col min="5" max="5" width="12.88671875" customWidth="1"/>
  </cols>
  <sheetData>
    <row r="1" spans="1:11" ht="18" x14ac:dyDescent="0.35">
      <c r="A1" s="23"/>
      <c r="B1" s="23"/>
      <c r="C1" s="36" t="s">
        <v>43</v>
      </c>
      <c r="D1" s="37" t="s">
        <v>44</v>
      </c>
      <c r="E1" s="37" t="s">
        <v>45</v>
      </c>
    </row>
    <row r="2" spans="1:11" ht="18" x14ac:dyDescent="0.35">
      <c r="A2" s="13"/>
      <c r="B2" s="13"/>
      <c r="C2" s="38">
        <v>-4.8020105107802564</v>
      </c>
      <c r="D2" s="38"/>
      <c r="E2" s="38"/>
      <c r="G2" s="35" t="s">
        <v>42</v>
      </c>
      <c r="H2" s="3">
        <f>E473/C473</f>
        <v>1.8377164309365455</v>
      </c>
      <c r="J2" s="35" t="s">
        <v>46</v>
      </c>
      <c r="K2" s="3">
        <f>H3*H4</f>
        <v>1.7572395776870711</v>
      </c>
    </row>
    <row r="3" spans="1:11" ht="18" x14ac:dyDescent="0.35">
      <c r="A3" s="13"/>
      <c r="B3" s="13"/>
      <c r="C3" s="38">
        <v>-1.8915295022911991</v>
      </c>
      <c r="D3" s="38">
        <v>-4.8020105107802564</v>
      </c>
      <c r="E3" s="38">
        <f>(C3-D3)^2</f>
        <v>8.4708997007754796</v>
      </c>
      <c r="H3">
        <f>1-0.5*H2</f>
        <v>8.1141784531727268E-2</v>
      </c>
    </row>
    <row r="4" spans="1:11" ht="18" x14ac:dyDescent="0.35">
      <c r="A4" s="13"/>
      <c r="B4" s="13"/>
      <c r="C4" s="38">
        <v>-0.82319594459710999</v>
      </c>
      <c r="D4" s="38">
        <v>-1.8915295022911991</v>
      </c>
      <c r="E4" s="38">
        <f t="shared" ref="E4:E8" si="0">(C4-D4)^2</f>
        <v>1.1413365904953097</v>
      </c>
      <c r="H4">
        <f>SQRT(469/(1-469*DW!H20))</f>
        <v>21.656407827707714</v>
      </c>
    </row>
    <row r="5" spans="1:11" ht="18" x14ac:dyDescent="0.35">
      <c r="A5" s="13"/>
      <c r="B5" s="13"/>
      <c r="C5" s="38">
        <v>-1.360970373895114</v>
      </c>
      <c r="D5" s="38">
        <v>-0.82319594459710999</v>
      </c>
      <c r="E5" s="38">
        <f t="shared" si="0"/>
        <v>0.28920133680679388</v>
      </c>
    </row>
    <row r="6" spans="1:11" ht="18" x14ac:dyDescent="0.35">
      <c r="A6" s="13"/>
      <c r="B6" s="13"/>
      <c r="C6" s="38">
        <v>5.024500364793866</v>
      </c>
      <c r="D6" s="38">
        <v>-1.360970373895114</v>
      </c>
      <c r="E6" s="38">
        <f t="shared" si="0"/>
        <v>40.774236554653186</v>
      </c>
    </row>
    <row r="7" spans="1:11" ht="18" x14ac:dyDescent="0.35">
      <c r="A7" s="13"/>
      <c r="B7" s="13"/>
      <c r="C7" s="38">
        <v>0.39153888628156608</v>
      </c>
      <c r="D7" s="38">
        <v>5.024500364793866</v>
      </c>
      <c r="E7" s="38">
        <f t="shared" si="0"/>
        <v>21.464332061378876</v>
      </c>
    </row>
    <row r="8" spans="1:11" ht="18" x14ac:dyDescent="0.35">
      <c r="A8" s="13"/>
      <c r="B8" s="13"/>
      <c r="C8" s="38">
        <v>0.38867606727644954</v>
      </c>
      <c r="D8" s="38">
        <v>0.39153888628156608</v>
      </c>
      <c r="E8" s="38">
        <f t="shared" si="0"/>
        <v>8.195732656056426E-6</v>
      </c>
    </row>
    <row r="9" spans="1:11" ht="18" x14ac:dyDescent="0.35">
      <c r="A9" s="13"/>
      <c r="B9" s="13"/>
      <c r="C9" s="38">
        <v>-2.6843142013892844</v>
      </c>
      <c r="D9" s="38">
        <v>0.38867606727644954</v>
      </c>
      <c r="E9" s="38">
        <f>(C9-D9)^2</f>
        <v>9.4432691913143003</v>
      </c>
    </row>
    <row r="10" spans="1:11" ht="18" x14ac:dyDescent="0.35">
      <c r="A10" s="13"/>
      <c r="B10" s="13"/>
      <c r="C10" s="38">
        <v>1.0334410344731069</v>
      </c>
      <c r="D10" s="38">
        <v>-2.6843142013892844</v>
      </c>
      <c r="E10" s="38">
        <f t="shared" ref="E10:E73" si="1">(C10-D10)^2</f>
        <v>13.821703993782226</v>
      </c>
    </row>
    <row r="11" spans="1:11" ht="18" x14ac:dyDescent="0.35">
      <c r="A11" s="13"/>
      <c r="B11" s="13"/>
      <c r="C11" s="38">
        <v>-2.8610101069309053</v>
      </c>
      <c r="D11" s="38">
        <v>1.0334410344731069</v>
      </c>
      <c r="E11" s="38">
        <f t="shared" si="1"/>
        <v>15.166749692783013</v>
      </c>
    </row>
    <row r="12" spans="1:11" ht="18" x14ac:dyDescent="0.35">
      <c r="A12" s="13"/>
      <c r="B12" s="13"/>
      <c r="C12" s="38">
        <v>-3.5052940656384806</v>
      </c>
      <c r="D12" s="38">
        <v>-2.8610101069309053</v>
      </c>
      <c r="E12" s="38">
        <f t="shared" si="1"/>
        <v>0.41510181944790453</v>
      </c>
    </row>
    <row r="13" spans="1:11" ht="18" x14ac:dyDescent="0.35">
      <c r="A13" s="13"/>
      <c r="B13" s="13"/>
      <c r="C13" s="38">
        <v>4.0426475463559299</v>
      </c>
      <c r="D13" s="38">
        <v>-3.5052940656384806</v>
      </c>
      <c r="E13" s="38">
        <f t="shared" si="1"/>
        <v>56.971422578076783</v>
      </c>
    </row>
    <row r="14" spans="1:11" ht="18" x14ac:dyDescent="0.35">
      <c r="A14" s="13"/>
      <c r="B14" s="13"/>
      <c r="C14" s="38">
        <v>3.7323450763189214E-2</v>
      </c>
      <c r="D14" s="38">
        <v>4.0426475463559299</v>
      </c>
      <c r="E14" s="38">
        <f t="shared" si="1"/>
        <v>16.042621110735805</v>
      </c>
    </row>
    <row r="15" spans="1:11" ht="18" x14ac:dyDescent="0.35">
      <c r="A15" s="13"/>
      <c r="B15" s="13"/>
      <c r="C15" s="38">
        <v>2.6802547929575269</v>
      </c>
      <c r="D15" s="38">
        <v>3.7323450763189214E-2</v>
      </c>
      <c r="E15" s="38">
        <f t="shared" si="1"/>
        <v>6.9850860795531631</v>
      </c>
    </row>
    <row r="16" spans="1:11" ht="18" x14ac:dyDescent="0.35">
      <c r="A16" s="13"/>
      <c r="B16" s="13"/>
      <c r="C16" s="38">
        <v>2.846832845556321</v>
      </c>
      <c r="D16" s="38">
        <v>2.6802547929575269</v>
      </c>
      <c r="E16" s="38">
        <f t="shared" si="1"/>
        <v>2.7748247607606615E-2</v>
      </c>
    </row>
    <row r="17" spans="1:5" ht="18" x14ac:dyDescent="0.35">
      <c r="A17" s="13"/>
      <c r="B17" s="13"/>
      <c r="C17" s="38">
        <v>1.2450677437432205</v>
      </c>
      <c r="D17" s="38">
        <v>2.846832845556321</v>
      </c>
      <c r="E17" s="38">
        <f t="shared" si="1"/>
        <v>2.5656514413863323</v>
      </c>
    </row>
    <row r="18" spans="1:5" ht="18" x14ac:dyDescent="0.35">
      <c r="A18" s="13"/>
      <c r="B18" s="13"/>
      <c r="C18" s="38">
        <v>1.7424008975879417</v>
      </c>
      <c r="D18" s="38">
        <v>1.2450677437432205</v>
      </c>
      <c r="E18" s="38">
        <f t="shared" si="1"/>
        <v>0.24734026591313713</v>
      </c>
    </row>
    <row r="19" spans="1:5" ht="18" x14ac:dyDescent="0.35">
      <c r="A19" s="13"/>
      <c r="B19" s="13"/>
      <c r="C19" s="38">
        <v>1.6758516351425783</v>
      </c>
      <c r="D19" s="38">
        <v>1.7424008975879417</v>
      </c>
      <c r="E19" s="38">
        <f t="shared" si="1"/>
        <v>4.4288043320218568E-3</v>
      </c>
    </row>
    <row r="20" spans="1:5" ht="18" x14ac:dyDescent="0.35">
      <c r="A20" s="13"/>
      <c r="B20" s="13"/>
      <c r="C20" s="38">
        <v>0.22815532575160091</v>
      </c>
      <c r="D20" s="38">
        <v>1.6758516351425783</v>
      </c>
      <c r="E20" s="38">
        <f t="shared" si="1"/>
        <v>2.0958246042242563</v>
      </c>
    </row>
    <row r="21" spans="1:5" ht="18" x14ac:dyDescent="0.35">
      <c r="A21" s="13"/>
      <c r="B21" s="13"/>
      <c r="C21" s="38">
        <v>-1.1082760837509511</v>
      </c>
      <c r="D21" s="38">
        <v>0.22815532575160091</v>
      </c>
      <c r="E21" s="38">
        <f t="shared" si="1"/>
        <v>1.7860489123049779</v>
      </c>
    </row>
    <row r="22" spans="1:5" ht="18" x14ac:dyDescent="0.35">
      <c r="A22" s="13"/>
      <c r="B22" s="13"/>
      <c r="C22" s="38">
        <v>-0.82178574777699964</v>
      </c>
      <c r="D22" s="38">
        <v>-1.1082760837509511</v>
      </c>
      <c r="E22" s="38">
        <f t="shared" si="1"/>
        <v>8.2076712606467581E-2</v>
      </c>
    </row>
    <row r="23" spans="1:5" ht="18" x14ac:dyDescent="0.35">
      <c r="A23" s="13"/>
      <c r="B23" s="13"/>
      <c r="C23" s="38">
        <v>1.3985280780156586</v>
      </c>
      <c r="D23" s="38">
        <v>-0.82178574777699964</v>
      </c>
      <c r="E23" s="38">
        <f t="shared" si="1"/>
        <v>4.929793485006031</v>
      </c>
    </row>
    <row r="24" spans="1:5" ht="18" x14ac:dyDescent="0.35">
      <c r="A24" s="13"/>
      <c r="B24" s="13"/>
      <c r="C24" s="38">
        <v>0.35726317812724773</v>
      </c>
      <c r="D24" s="38">
        <v>1.3985280780156586</v>
      </c>
      <c r="E24" s="38">
        <f t="shared" si="1"/>
        <v>1.0842325917396223</v>
      </c>
    </row>
    <row r="25" spans="1:5" ht="18" x14ac:dyDescent="0.35">
      <c r="A25" s="13"/>
      <c r="B25" s="13"/>
      <c r="C25" s="38">
        <v>-0.22751138578721708</v>
      </c>
      <c r="D25" s="38">
        <v>0.35726317812724773</v>
      </c>
      <c r="E25" s="38">
        <f t="shared" si="1"/>
        <v>0.3419612906013525</v>
      </c>
    </row>
    <row r="26" spans="1:5" ht="18" x14ac:dyDescent="0.35">
      <c r="A26" s="13"/>
      <c r="B26" s="13"/>
      <c r="C26" s="38">
        <v>7.0194520321564369E-2</v>
      </c>
      <c r="D26" s="38">
        <v>-0.22751138578721708</v>
      </c>
      <c r="E26" s="38">
        <f t="shared" si="1"/>
        <v>8.8628806532050589E-2</v>
      </c>
    </row>
    <row r="27" spans="1:5" ht="18" x14ac:dyDescent="0.35">
      <c r="A27" s="13"/>
      <c r="B27" s="13"/>
      <c r="C27" s="38">
        <v>-2.1382760837509522</v>
      </c>
      <c r="D27" s="38">
        <v>7.0194520321564369E-2</v>
      </c>
      <c r="E27" s="38">
        <f t="shared" si="1"/>
        <v>4.8773424090524262</v>
      </c>
    </row>
    <row r="28" spans="1:5" ht="18" x14ac:dyDescent="0.35">
      <c r="A28" s="13"/>
      <c r="B28" s="13"/>
      <c r="C28" s="38">
        <v>-5.6149130628211594</v>
      </c>
      <c r="D28" s="38">
        <v>-2.1382760837509522</v>
      </c>
      <c r="E28" s="38">
        <f t="shared" si="1"/>
        <v>12.087004684238416</v>
      </c>
    </row>
    <row r="29" spans="1:5" ht="18" x14ac:dyDescent="0.35">
      <c r="A29" s="13"/>
      <c r="B29" s="13"/>
      <c r="C29" s="38">
        <v>-0.84552017480630326</v>
      </c>
      <c r="D29" s="38">
        <v>-5.6149130628211594</v>
      </c>
      <c r="E29" s="38">
        <f t="shared" si="1"/>
        <v>22.747108520246691</v>
      </c>
    </row>
    <row r="30" spans="1:5" ht="18" x14ac:dyDescent="0.35">
      <c r="A30" s="13"/>
      <c r="B30" s="13"/>
      <c r="C30" s="38">
        <v>-2.6244416510499065</v>
      </c>
      <c r="D30" s="38">
        <v>-0.84552017480630326</v>
      </c>
      <c r="E30" s="38">
        <f t="shared" si="1"/>
        <v>3.1645616186407204</v>
      </c>
    </row>
    <row r="31" spans="1:5" ht="18" x14ac:dyDescent="0.35">
      <c r="A31" s="13"/>
      <c r="B31" s="13"/>
      <c r="C31" s="38">
        <v>-1.4859217172237891</v>
      </c>
      <c r="D31" s="38">
        <v>-2.6244416510499065</v>
      </c>
      <c r="E31" s="38">
        <f t="shared" si="1"/>
        <v>1.2962276397194268</v>
      </c>
    </row>
    <row r="32" spans="1:5" ht="18" x14ac:dyDescent="0.35">
      <c r="A32" s="13"/>
      <c r="B32" s="13"/>
      <c r="C32" s="38">
        <v>-3.1724901731047765</v>
      </c>
      <c r="D32" s="38">
        <v>-1.4859217172237891</v>
      </c>
      <c r="E32" s="38">
        <f t="shared" si="1"/>
        <v>2.8445131563727784</v>
      </c>
    </row>
    <row r="33" spans="1:5" ht="18" x14ac:dyDescent="0.35">
      <c r="A33" s="13"/>
      <c r="B33" s="13"/>
      <c r="C33" s="38">
        <v>-1.9803427223097998</v>
      </c>
      <c r="D33" s="38">
        <v>-3.1724901731047765</v>
      </c>
      <c r="E33" s="38">
        <f t="shared" si="1"/>
        <v>1.4212155444369614</v>
      </c>
    </row>
    <row r="34" spans="1:5" ht="18" x14ac:dyDescent="0.35">
      <c r="A34" s="13"/>
      <c r="B34" s="13"/>
      <c r="C34" s="38">
        <v>-2.1225189632582087</v>
      </c>
      <c r="D34" s="38">
        <v>-1.9803427223097998</v>
      </c>
      <c r="E34" s="38">
        <f t="shared" si="1"/>
        <v>2.0214083490220011E-2</v>
      </c>
    </row>
    <row r="35" spans="1:5" ht="18" x14ac:dyDescent="0.35">
      <c r="A35" s="13"/>
      <c r="B35" s="13"/>
      <c r="C35" s="38">
        <v>-0.89622460013409011</v>
      </c>
      <c r="D35" s="38">
        <v>-2.1225189632582087</v>
      </c>
      <c r="E35" s="38">
        <f t="shared" si="1"/>
        <v>1.5037978650299875</v>
      </c>
    </row>
    <row r="36" spans="1:5" ht="18" x14ac:dyDescent="0.35">
      <c r="A36" s="13"/>
      <c r="B36" s="13"/>
      <c r="C36" s="38">
        <v>5.7060009705679136</v>
      </c>
      <c r="D36" s="38">
        <v>-0.89622460013409011</v>
      </c>
      <c r="E36" s="38">
        <f t="shared" si="1"/>
        <v>43.589382486431397</v>
      </c>
    </row>
    <row r="37" spans="1:5" ht="18" x14ac:dyDescent="0.35">
      <c r="A37" s="13"/>
      <c r="B37" s="13"/>
      <c r="C37" s="38">
        <v>-1.7875292330582937</v>
      </c>
      <c r="D37" s="38">
        <v>5.7060009705679136</v>
      </c>
      <c r="E37" s="38">
        <f t="shared" si="1"/>
        <v>56.15299491265823</v>
      </c>
    </row>
    <row r="38" spans="1:5" ht="18" x14ac:dyDescent="0.35">
      <c r="A38" s="13"/>
      <c r="B38" s="13"/>
      <c r="C38" s="38">
        <v>8.2461170223901092E-2</v>
      </c>
      <c r="D38" s="38">
        <v>-1.7875292330582937</v>
      </c>
      <c r="E38" s="38">
        <f t="shared" si="1"/>
        <v>3.4968641083675056</v>
      </c>
    </row>
    <row r="39" spans="1:5" ht="18" x14ac:dyDescent="0.35">
      <c r="A39" s="13"/>
      <c r="B39" s="13"/>
      <c r="C39" s="38">
        <v>-0.14346044063616148</v>
      </c>
      <c r="D39" s="38">
        <v>8.2461170223901092E-2</v>
      </c>
      <c r="E39" s="38">
        <f t="shared" si="1"/>
        <v>5.1040574253605545E-2</v>
      </c>
    </row>
    <row r="40" spans="1:5" ht="18" x14ac:dyDescent="0.35">
      <c r="A40" s="13"/>
      <c r="B40" s="13"/>
      <c r="C40" s="38">
        <v>-0.80231339369056087</v>
      </c>
      <c r="D40" s="38">
        <v>-0.14346044063616148</v>
      </c>
      <c r="E40" s="38">
        <f t="shared" si="1"/>
        <v>0.43408721374850262</v>
      </c>
    </row>
    <row r="41" spans="1:5" ht="18" x14ac:dyDescent="0.35">
      <c r="A41" s="13"/>
      <c r="B41" s="13"/>
      <c r="C41" s="38">
        <v>3.1204219756539331</v>
      </c>
      <c r="D41" s="38">
        <v>-0.80231339369056087</v>
      </c>
      <c r="E41" s="38">
        <f t="shared" si="1"/>
        <v>15.387852777906284</v>
      </c>
    </row>
    <row r="42" spans="1:5" ht="18" x14ac:dyDescent="0.35">
      <c r="A42" s="13"/>
      <c r="B42" s="13"/>
      <c r="C42" s="38">
        <v>-1.7367549383767411</v>
      </c>
      <c r="D42" s="38">
        <v>3.1204219756539331</v>
      </c>
      <c r="E42" s="38">
        <f t="shared" si="1"/>
        <v>23.592167574192544</v>
      </c>
    </row>
    <row r="43" spans="1:5" ht="18" x14ac:dyDescent="0.35">
      <c r="A43" s="13"/>
      <c r="B43" s="13"/>
      <c r="C43" s="38">
        <v>-1.8763821861126857</v>
      </c>
      <c r="D43" s="38">
        <v>-1.7367549383767411</v>
      </c>
      <c r="E43" s="38">
        <f t="shared" si="1"/>
        <v>1.9495768310314843E-2</v>
      </c>
    </row>
    <row r="44" spans="1:5" ht="18" x14ac:dyDescent="0.35">
      <c r="A44" s="13"/>
      <c r="B44" s="13"/>
      <c r="C44" s="38">
        <v>-0.40753882977609379</v>
      </c>
      <c r="D44" s="38">
        <v>-1.8763821861126857</v>
      </c>
      <c r="E44" s="38">
        <f t="shared" si="1"/>
        <v>2.1575008054541445</v>
      </c>
    </row>
    <row r="45" spans="1:5" ht="18" x14ac:dyDescent="0.35">
      <c r="A45" s="13"/>
      <c r="B45" s="13"/>
      <c r="C45" s="38">
        <v>0.75029452599330426</v>
      </c>
      <c r="D45" s="38">
        <v>-0.40753882977609379</v>
      </c>
      <c r="E45" s="38">
        <f t="shared" si="1"/>
        <v>1.3405780797322255</v>
      </c>
    </row>
    <row r="46" spans="1:5" ht="18" x14ac:dyDescent="0.35">
      <c r="A46" s="13"/>
      <c r="B46" s="13"/>
      <c r="C46" s="38">
        <v>-3.5070879576050089</v>
      </c>
      <c r="D46" s="38">
        <v>0.75029452599330426</v>
      </c>
      <c r="E46" s="38">
        <f t="shared" si="1"/>
        <v>18.12530561164974</v>
      </c>
    </row>
    <row r="47" spans="1:5" ht="18" x14ac:dyDescent="0.35">
      <c r="A47" s="13"/>
      <c r="B47" s="13"/>
      <c r="C47" s="38">
        <v>-2.3488914462893646</v>
      </c>
      <c r="D47" s="38">
        <v>-3.5070879576050089</v>
      </c>
      <c r="E47" s="38">
        <f t="shared" si="1"/>
        <v>1.3414191588237294</v>
      </c>
    </row>
    <row r="48" spans="1:5" ht="18" x14ac:dyDescent="0.35">
      <c r="A48" s="13"/>
      <c r="B48" s="13"/>
      <c r="C48" s="38">
        <v>-0.42540097569893476</v>
      </c>
      <c r="D48" s="38">
        <v>-2.3488914462893646</v>
      </c>
      <c r="E48" s="38">
        <f t="shared" si="1"/>
        <v>3.6998155904521934</v>
      </c>
    </row>
    <row r="49" spans="1:5" ht="18" x14ac:dyDescent="0.35">
      <c r="A49" s="13"/>
      <c r="B49" s="13"/>
      <c r="C49" s="38">
        <v>-0.38705782128704413</v>
      </c>
      <c r="D49" s="38">
        <v>-0.42540097569893476</v>
      </c>
      <c r="E49" s="38">
        <f t="shared" si="1"/>
        <v>1.4701974902540875E-3</v>
      </c>
    </row>
    <row r="50" spans="1:5" ht="18" x14ac:dyDescent="0.35">
      <c r="A50" s="13"/>
      <c r="B50" s="13"/>
      <c r="C50" s="38">
        <v>-3.7682048682326439</v>
      </c>
      <c r="D50" s="38">
        <v>-0.38705782128704413</v>
      </c>
      <c r="E50" s="38">
        <f t="shared" si="1"/>
        <v>11.43215535306895</v>
      </c>
    </row>
    <row r="51" spans="1:5" ht="18" x14ac:dyDescent="0.35">
      <c r="A51" s="13"/>
      <c r="B51" s="13"/>
      <c r="C51" s="38">
        <v>-1.4924299004688208</v>
      </c>
      <c r="D51" s="38">
        <v>-3.7682048682326439</v>
      </c>
      <c r="E51" s="38">
        <f t="shared" si="1"/>
        <v>5.1791517039004296</v>
      </c>
    </row>
    <row r="52" spans="1:5" ht="18" x14ac:dyDescent="0.35">
      <c r="A52" s="13"/>
      <c r="B52" s="13"/>
      <c r="C52" s="38">
        <v>0.12291338855953171</v>
      </c>
      <c r="D52" s="38">
        <v>-1.4924299004688208</v>
      </c>
      <c r="E52" s="38">
        <f t="shared" si="1"/>
        <v>2.6093339414089356</v>
      </c>
    </row>
    <row r="53" spans="1:5" ht="18" x14ac:dyDescent="0.35">
      <c r="A53" s="13"/>
      <c r="B53" s="13"/>
      <c r="C53" s="38">
        <v>0.37903097226944027</v>
      </c>
      <c r="D53" s="38">
        <v>0.12291338855953171</v>
      </c>
      <c r="E53" s="38">
        <f t="shared" si="1"/>
        <v>6.5596216685402012E-2</v>
      </c>
    </row>
    <row r="54" spans="1:5" ht="18" x14ac:dyDescent="0.35">
      <c r="A54" s="13"/>
      <c r="B54" s="13"/>
      <c r="C54" s="38">
        <v>-2.6816652025050871</v>
      </c>
      <c r="D54" s="38">
        <v>0.37903097226944027</v>
      </c>
      <c r="E54" s="38">
        <f t="shared" si="1"/>
        <v>9.3678610742794248</v>
      </c>
    </row>
    <row r="55" spans="1:5" ht="18" x14ac:dyDescent="0.35">
      <c r="A55" s="13"/>
      <c r="B55" s="13"/>
      <c r="C55" s="38">
        <v>-4.4314884230908653</v>
      </c>
      <c r="D55" s="38">
        <v>-2.6816652025050871</v>
      </c>
      <c r="E55" s="38">
        <f t="shared" si="1"/>
        <v>3.0618813033011851</v>
      </c>
    </row>
    <row r="56" spans="1:5" ht="18" x14ac:dyDescent="0.35">
      <c r="A56" s="13"/>
      <c r="B56" s="13"/>
      <c r="C56" s="38">
        <v>-1.8232329853038003</v>
      </c>
      <c r="D56" s="38">
        <v>-4.4314884230908653</v>
      </c>
      <c r="E56" s="38">
        <f t="shared" si="1"/>
        <v>6.8029964287457947</v>
      </c>
    </row>
    <row r="57" spans="1:5" ht="18" x14ac:dyDescent="0.35">
      <c r="A57" s="13"/>
      <c r="B57" s="13"/>
      <c r="C57" s="38">
        <v>2.1789240622089778</v>
      </c>
      <c r="D57" s="38">
        <v>-1.8232329853038003</v>
      </c>
      <c r="E57" s="38">
        <f t="shared" si="1"/>
        <v>16.017261032956199</v>
      </c>
    </row>
    <row r="58" spans="1:5" ht="18" x14ac:dyDescent="0.35">
      <c r="A58" s="13"/>
      <c r="B58" s="13"/>
      <c r="C58" s="38">
        <v>-0.95768412670779313</v>
      </c>
      <c r="D58" s="38">
        <v>2.1789240622089778</v>
      </c>
      <c r="E58" s="38">
        <f t="shared" si="1"/>
        <v>9.8383109307797465</v>
      </c>
    </row>
    <row r="59" spans="1:5" ht="18" x14ac:dyDescent="0.35">
      <c r="A59" s="13"/>
      <c r="B59" s="13"/>
      <c r="C59" s="38">
        <v>-3.5346938580420613</v>
      </c>
      <c r="D59" s="38">
        <v>-0.95768412670779313</v>
      </c>
      <c r="E59" s="38">
        <f t="shared" si="1"/>
        <v>6.6409791553915172</v>
      </c>
    </row>
    <row r="60" spans="1:5" ht="18" x14ac:dyDescent="0.35">
      <c r="A60" s="13"/>
      <c r="B60" s="13"/>
      <c r="C60" s="38">
        <v>1.4255418478435651</v>
      </c>
      <c r="D60" s="38">
        <v>-3.5346938580420613</v>
      </c>
      <c r="E60" s="38">
        <f t="shared" si="1"/>
        <v>24.603938257942676</v>
      </c>
    </row>
    <row r="61" spans="1:5" ht="18" x14ac:dyDescent="0.35">
      <c r="A61" s="13"/>
      <c r="B61" s="13"/>
      <c r="C61" s="38">
        <v>0.86950238404068969</v>
      </c>
      <c r="D61" s="38">
        <v>1.4255418478435651</v>
      </c>
      <c r="E61" s="38">
        <f t="shared" si="1"/>
        <v>0.30917988530618917</v>
      </c>
    </row>
    <row r="62" spans="1:5" ht="18" x14ac:dyDescent="0.35">
      <c r="A62" s="13"/>
      <c r="B62" s="13"/>
      <c r="C62" s="38">
        <v>2.6960708399216777</v>
      </c>
      <c r="D62" s="38">
        <v>0.86950238404068969</v>
      </c>
      <c r="E62" s="38">
        <f t="shared" si="1"/>
        <v>3.3363523240194568</v>
      </c>
    </row>
    <row r="63" spans="1:5" ht="18" x14ac:dyDescent="0.35">
      <c r="A63" s="13"/>
      <c r="B63" s="13"/>
      <c r="C63" s="38">
        <v>2.8857076843754257</v>
      </c>
      <c r="D63" s="38">
        <v>2.6960708399216777</v>
      </c>
      <c r="E63" s="38">
        <f t="shared" si="1"/>
        <v>3.5962132774374996E-2</v>
      </c>
    </row>
    <row r="64" spans="1:5" ht="18" x14ac:dyDescent="0.35">
      <c r="A64" s="13"/>
      <c r="B64" s="13"/>
      <c r="C64" s="38">
        <v>0.29725627373852603</v>
      </c>
      <c r="D64" s="38">
        <v>2.8857076843754257</v>
      </c>
      <c r="E64" s="38">
        <f t="shared" si="1"/>
        <v>6.7000807052281557</v>
      </c>
    </row>
    <row r="65" spans="1:5" ht="18" x14ac:dyDescent="0.35">
      <c r="A65" s="13"/>
      <c r="B65" s="13"/>
      <c r="C65" s="38">
        <v>0.80528560235777746</v>
      </c>
      <c r="D65" s="38">
        <v>0.29725627373852603</v>
      </c>
      <c r="E65" s="38">
        <f t="shared" si="1"/>
        <v>0.25809379873732735</v>
      </c>
    </row>
    <row r="66" spans="1:5" ht="18" x14ac:dyDescent="0.35">
      <c r="A66" s="13"/>
      <c r="B66" s="13"/>
      <c r="C66" s="38">
        <v>-2.9403125859918333</v>
      </c>
      <c r="D66" s="38">
        <v>0.80528560235777746</v>
      </c>
      <c r="E66" s="38">
        <f t="shared" si="1"/>
        <v>14.029505788567887</v>
      </c>
    </row>
    <row r="67" spans="1:5" ht="18" x14ac:dyDescent="0.35">
      <c r="A67" s="13"/>
      <c r="B67" s="13"/>
      <c r="C67" s="38">
        <v>-0.44383184673567655</v>
      </c>
      <c r="D67" s="38">
        <v>-2.9403125859918333</v>
      </c>
      <c r="E67" s="38">
        <f t="shared" si="1"/>
        <v>6.2324160814769671</v>
      </c>
    </row>
    <row r="68" spans="1:5" ht="18" x14ac:dyDescent="0.35">
      <c r="A68" s="13"/>
      <c r="B68" s="13"/>
      <c r="C68" s="38">
        <v>4.1648936566580943</v>
      </c>
      <c r="D68" s="38">
        <v>-0.44383184673567655</v>
      </c>
      <c r="E68" s="38">
        <f t="shared" si="1"/>
        <v>21.240350765632165</v>
      </c>
    </row>
    <row r="69" spans="1:5" ht="18" x14ac:dyDescent="0.35">
      <c r="A69" s="13"/>
      <c r="B69" s="13"/>
      <c r="C69" s="38">
        <v>0.34237345359906612</v>
      </c>
      <c r="D69" s="38">
        <v>4.1648936566580943</v>
      </c>
      <c r="E69" s="38">
        <f t="shared" si="1"/>
        <v>14.611660702794435</v>
      </c>
    </row>
    <row r="70" spans="1:5" ht="18" x14ac:dyDescent="0.35">
      <c r="A70" s="13"/>
      <c r="B70" s="13"/>
      <c r="C70" s="38">
        <v>2.1604027822183127</v>
      </c>
      <c r="D70" s="38">
        <v>0.34237345359906612</v>
      </c>
      <c r="E70" s="38">
        <f t="shared" si="1"/>
        <v>3.3052306397197486</v>
      </c>
    </row>
    <row r="71" spans="1:5" ht="18" x14ac:dyDescent="0.35">
      <c r="A71" s="13"/>
      <c r="B71" s="13"/>
      <c r="C71" s="38">
        <v>-0.32849950058967892</v>
      </c>
      <c r="D71" s="38">
        <v>2.1604027822183127</v>
      </c>
      <c r="E71" s="38">
        <f t="shared" si="1"/>
        <v>6.194634573366832</v>
      </c>
    </row>
    <row r="72" spans="1:5" ht="18" x14ac:dyDescent="0.35">
      <c r="A72" s="13"/>
      <c r="B72" s="13"/>
      <c r="C72" s="38">
        <v>0.97048090212533822</v>
      </c>
      <c r="D72" s="38">
        <v>-0.32849950058967892</v>
      </c>
      <c r="E72" s="38">
        <f t="shared" si="1"/>
        <v>1.6873500866376681</v>
      </c>
    </row>
    <row r="73" spans="1:5" ht="18" x14ac:dyDescent="0.35">
      <c r="A73" s="13"/>
      <c r="B73" s="13"/>
      <c r="C73" s="38">
        <v>2.3160297607213494</v>
      </c>
      <c r="D73" s="38">
        <v>0.97048090212533822</v>
      </c>
      <c r="E73" s="38">
        <f t="shared" si="1"/>
        <v>1.8105017308690283</v>
      </c>
    </row>
    <row r="74" spans="1:5" ht="18" x14ac:dyDescent="0.35">
      <c r="A74" s="13"/>
      <c r="B74" s="13"/>
      <c r="C74" s="38">
        <v>0.52852942418020632</v>
      </c>
      <c r="D74" s="38">
        <v>2.3160297607213494</v>
      </c>
      <c r="E74" s="38">
        <f t="shared" ref="E74:E137" si="2">(C74-D74)^2</f>
        <v>3.1951574531346996</v>
      </c>
    </row>
    <row r="75" spans="1:5" ht="18" x14ac:dyDescent="0.35">
      <c r="A75" s="13"/>
      <c r="B75" s="13"/>
      <c r="C75" s="38">
        <v>8.7833249405683489E-2</v>
      </c>
      <c r="D75" s="38">
        <v>0.52852942418020632</v>
      </c>
      <c r="E75" s="38">
        <f t="shared" si="2"/>
        <v>0.19421311846089678</v>
      </c>
    </row>
    <row r="76" spans="1:5" ht="18" x14ac:dyDescent="0.35">
      <c r="A76" s="13"/>
      <c r="B76" s="13"/>
      <c r="C76" s="38">
        <v>0.99140183990312636</v>
      </c>
      <c r="D76" s="38">
        <v>8.7833249405683489E-2</v>
      </c>
      <c r="E76" s="38">
        <f t="shared" si="2"/>
        <v>0.8164361977335356</v>
      </c>
    </row>
    <row r="77" spans="1:5" ht="18" x14ac:dyDescent="0.35">
      <c r="A77" s="13"/>
      <c r="B77" s="13"/>
      <c r="C77" s="38">
        <v>-2.4635591001433568</v>
      </c>
      <c r="D77" s="38">
        <v>0.99140183990312636</v>
      </c>
      <c r="E77" s="38">
        <f t="shared" si="2"/>
        <v>11.936755097246879</v>
      </c>
    </row>
    <row r="78" spans="1:5" ht="18" x14ac:dyDescent="0.35">
      <c r="A78" s="13"/>
      <c r="B78" s="13"/>
      <c r="C78" s="38">
        <v>0.61725492757397404</v>
      </c>
      <c r="D78" s="38">
        <v>-2.4635591001433568</v>
      </c>
      <c r="E78" s="38">
        <f t="shared" si="2"/>
        <v>9.4914150733798817</v>
      </c>
    </row>
    <row r="79" spans="1:5" ht="18" x14ac:dyDescent="0.35">
      <c r="A79" s="13"/>
      <c r="B79" s="13"/>
      <c r="C79" s="38">
        <v>-0.73229420025493397</v>
      </c>
      <c r="D79" s="38">
        <v>0.61725492757397404</v>
      </c>
      <c r="E79" s="38">
        <f t="shared" si="2"/>
        <v>1.8212828484237662</v>
      </c>
    </row>
    <row r="80" spans="1:5" ht="18" x14ac:dyDescent="0.35">
      <c r="A80" s="13"/>
      <c r="B80" s="13"/>
      <c r="C80" s="38">
        <v>-2.1991764819285819</v>
      </c>
      <c r="D80" s="38">
        <v>-0.73229420025493397</v>
      </c>
      <c r="E80" s="38">
        <f t="shared" si="2"/>
        <v>2.1517436282880875</v>
      </c>
    </row>
    <row r="81" spans="1:5" ht="18" x14ac:dyDescent="0.35">
      <c r="A81" s="13"/>
      <c r="B81" s="13"/>
      <c r="C81" s="38">
        <v>-0.79466641405317517</v>
      </c>
      <c r="D81" s="38">
        <v>-2.1991764819285819</v>
      </c>
      <c r="E81" s="38">
        <f t="shared" si="2"/>
        <v>1.9726485307633796</v>
      </c>
    </row>
    <row r="82" spans="1:5" ht="18" x14ac:dyDescent="0.35">
      <c r="A82" s="13"/>
      <c r="B82" s="13"/>
      <c r="C82" s="38">
        <v>-1.3919310447086914</v>
      </c>
      <c r="D82" s="38">
        <v>-0.79466641405317517</v>
      </c>
      <c r="E82" s="38">
        <f t="shared" si="2"/>
        <v>0.35672503903207026</v>
      </c>
    </row>
    <row r="83" spans="1:5" ht="18" x14ac:dyDescent="0.35">
      <c r="A83" s="13"/>
      <c r="B83" s="13"/>
      <c r="C83" s="38">
        <v>-2.8567152053409544</v>
      </c>
      <c r="D83" s="38">
        <v>-1.3919310447086914</v>
      </c>
      <c r="E83" s="38">
        <f t="shared" si="2"/>
        <v>2.1455926372391629</v>
      </c>
    </row>
    <row r="84" spans="1:5" ht="18" x14ac:dyDescent="0.35">
      <c r="A84" s="13"/>
      <c r="B84" s="13"/>
      <c r="C84" s="38">
        <v>-1.2899795667635559</v>
      </c>
      <c r="D84" s="38">
        <v>-2.8567152053409544</v>
      </c>
      <c r="E84" s="38">
        <f t="shared" si="2"/>
        <v>2.4546605611885286</v>
      </c>
    </row>
    <row r="85" spans="1:5" ht="18" x14ac:dyDescent="0.35">
      <c r="A85" s="13"/>
      <c r="B85" s="13"/>
      <c r="C85" s="38">
        <v>1.997148017513517</v>
      </c>
      <c r="D85" s="38">
        <v>-1.2899795667635559</v>
      </c>
      <c r="E85" s="38">
        <f t="shared" si="2"/>
        <v>10.805207755315225</v>
      </c>
    </row>
    <row r="86" spans="1:5" ht="18" x14ac:dyDescent="0.35">
      <c r="A86" s="13"/>
      <c r="B86" s="13"/>
      <c r="C86" s="38">
        <v>3.7863339897961836</v>
      </c>
      <c r="D86" s="38">
        <v>1.997148017513517</v>
      </c>
      <c r="E86" s="38">
        <f t="shared" si="2"/>
        <v>3.201186443413071</v>
      </c>
    </row>
    <row r="87" spans="1:5" ht="18" x14ac:dyDescent="0.35">
      <c r="A87" s="13"/>
      <c r="B87" s="13"/>
      <c r="C87" s="38">
        <v>-0.32204889765149858</v>
      </c>
      <c r="D87" s="38">
        <v>3.7863339897961836</v>
      </c>
      <c r="E87" s="38">
        <f t="shared" si="2"/>
        <v>16.878809949872956</v>
      </c>
    </row>
    <row r="88" spans="1:5" ht="18" x14ac:dyDescent="0.35">
      <c r="A88" s="13"/>
      <c r="B88" s="13"/>
      <c r="C88" s="38">
        <v>-2.1534508439183497</v>
      </c>
      <c r="D88" s="38">
        <v>-0.32204889765149858</v>
      </c>
      <c r="E88" s="38">
        <f t="shared" si="2"/>
        <v>3.3540330887900103</v>
      </c>
    </row>
    <row r="89" spans="1:5" ht="18" x14ac:dyDescent="0.35">
      <c r="A89" s="13"/>
      <c r="B89" s="13"/>
      <c r="C89" s="38">
        <v>0.61182392192078794</v>
      </c>
      <c r="D89" s="38">
        <v>-2.1534508439183497</v>
      </c>
      <c r="E89" s="38">
        <f t="shared" si="2"/>
        <v>7.6467445305866981</v>
      </c>
    </row>
    <row r="90" spans="1:5" ht="18" x14ac:dyDescent="0.35">
      <c r="A90" s="13"/>
      <c r="B90" s="13"/>
      <c r="C90" s="38">
        <v>-1.8473428569262609</v>
      </c>
      <c r="D90" s="38">
        <v>0.61182392192078794</v>
      </c>
      <c r="E90" s="38">
        <f t="shared" si="2"/>
        <v>6.0475012461849698</v>
      </c>
    </row>
    <row r="91" spans="1:5" ht="18" x14ac:dyDescent="0.35">
      <c r="A91" s="13"/>
      <c r="B91" s="13"/>
      <c r="C91" s="38">
        <v>2.0102980528164949E-3</v>
      </c>
      <c r="D91" s="38">
        <v>-1.8473428569262609</v>
      </c>
      <c r="E91" s="38">
        <f t="shared" si="2"/>
        <v>3.4201070918310674</v>
      </c>
    </row>
    <row r="92" spans="1:5" ht="18" x14ac:dyDescent="0.35">
      <c r="A92" s="13"/>
      <c r="B92" s="13"/>
      <c r="C92" s="38">
        <v>1.7151965395683817</v>
      </c>
      <c r="D92" s="38">
        <v>2.0102980528164949E-3</v>
      </c>
      <c r="E92" s="38">
        <f t="shared" si="2"/>
        <v>2.9350070981182284</v>
      </c>
    </row>
    <row r="93" spans="1:5" ht="18" x14ac:dyDescent="0.35">
      <c r="A93" s="13"/>
      <c r="B93" s="13"/>
      <c r="C93" s="38">
        <v>2.7101766730504977</v>
      </c>
      <c r="D93" s="38">
        <v>1.7151965395683817</v>
      </c>
      <c r="E93" s="38">
        <f t="shared" si="2"/>
        <v>0.98998546602408943</v>
      </c>
    </row>
    <row r="94" spans="1:5" ht="18" x14ac:dyDescent="0.35">
      <c r="A94" s="13"/>
      <c r="B94" s="13"/>
      <c r="C94" s="38">
        <v>0.62751942361303747</v>
      </c>
      <c r="D94" s="38">
        <v>2.7101766730504977</v>
      </c>
      <c r="E94" s="38">
        <f t="shared" si="2"/>
        <v>4.3374612186344077</v>
      </c>
    </row>
    <row r="95" spans="1:5" ht="18" x14ac:dyDescent="0.35">
      <c r="A95" s="13"/>
      <c r="B95" s="13"/>
      <c r="C95" s="38">
        <v>9.7842846123498362E-2</v>
      </c>
      <c r="D95" s="38">
        <v>0.62751942361303747</v>
      </c>
      <c r="E95" s="38">
        <f t="shared" si="2"/>
        <v>0.28055727674103176</v>
      </c>
    </row>
    <row r="96" spans="1:5" ht="18" x14ac:dyDescent="0.35">
      <c r="A96" s="13"/>
      <c r="B96" s="13"/>
      <c r="C96" s="38">
        <v>-1.3687160130396876</v>
      </c>
      <c r="D96" s="38">
        <v>9.7842846123498362E-2</v>
      </c>
      <c r="E96" s="38">
        <f t="shared" si="2"/>
        <v>2.1507948873900253</v>
      </c>
    </row>
    <row r="97" spans="1:5" ht="18" x14ac:dyDescent="0.35">
      <c r="A97" s="13"/>
      <c r="B97" s="13"/>
      <c r="C97" s="38">
        <v>-4.0340099723144434</v>
      </c>
      <c r="D97" s="38">
        <v>-1.3687160130396876</v>
      </c>
      <c r="E97" s="38">
        <f t="shared" si="2"/>
        <v>7.1037918893465033</v>
      </c>
    </row>
    <row r="98" spans="1:5" ht="18" x14ac:dyDescent="0.35">
      <c r="A98" s="13"/>
      <c r="B98" s="13"/>
      <c r="C98" s="38">
        <v>-1.1330780916542906</v>
      </c>
      <c r="D98" s="38">
        <v>-4.0340099723144434</v>
      </c>
      <c r="E98" s="38">
        <f t="shared" si="2"/>
        <v>8.4154057762304504</v>
      </c>
    </row>
    <row r="99" spans="1:5" ht="18" x14ac:dyDescent="0.35">
      <c r="A99" s="13"/>
      <c r="B99" s="13"/>
      <c r="C99" s="38">
        <v>0.29545143888963565</v>
      </c>
      <c r="D99" s="38">
        <v>-1.1330780916542906</v>
      </c>
      <c r="E99" s="38">
        <f t="shared" si="2"/>
        <v>2.0406966196360505</v>
      </c>
    </row>
    <row r="100" spans="1:5" ht="18" x14ac:dyDescent="0.35">
      <c r="A100" s="13"/>
      <c r="B100" s="13"/>
      <c r="C100" s="38">
        <v>1.862333720563278</v>
      </c>
      <c r="D100" s="38">
        <v>0.29545143888963565</v>
      </c>
      <c r="E100" s="38">
        <f t="shared" si="2"/>
        <v>2.4551200846227994</v>
      </c>
    </row>
    <row r="101" spans="1:5" ht="18" x14ac:dyDescent="0.35">
      <c r="A101" s="13"/>
      <c r="B101" s="13"/>
      <c r="C101" s="38">
        <v>1.1690981492941077</v>
      </c>
      <c r="D101" s="38">
        <v>1.862333720563278</v>
      </c>
      <c r="E101" s="38">
        <f t="shared" si="2"/>
        <v>0.48057555727289281</v>
      </c>
    </row>
    <row r="102" spans="1:5" ht="18" x14ac:dyDescent="0.35">
      <c r="A102" s="13"/>
      <c r="B102" s="13"/>
      <c r="C102" s="38">
        <v>2.1466862024600744</v>
      </c>
      <c r="D102" s="38">
        <v>1.1690981492941077</v>
      </c>
      <c r="E102" s="38">
        <f t="shared" si="2"/>
        <v>0.95567840169282481</v>
      </c>
    </row>
    <row r="103" spans="1:5" ht="18" x14ac:dyDescent="0.35">
      <c r="A103" s="13"/>
      <c r="B103" s="13"/>
      <c r="C103" s="38">
        <v>0.77650942304585868</v>
      </c>
      <c r="D103" s="38">
        <v>2.1466862024600744</v>
      </c>
      <c r="E103" s="38">
        <f t="shared" si="2"/>
        <v>1.8773844068459122</v>
      </c>
    </row>
    <row r="104" spans="1:5" ht="18" x14ac:dyDescent="0.35">
      <c r="A104" s="13"/>
      <c r="B104" s="13"/>
      <c r="C104" s="38">
        <v>-0.11151030885557134</v>
      </c>
      <c r="D104" s="38">
        <v>0.77650942304585868</v>
      </c>
      <c r="E104" s="38">
        <f t="shared" si="2"/>
        <v>0.78857904424628766</v>
      </c>
    </row>
    <row r="105" spans="1:5" ht="18" x14ac:dyDescent="0.35">
      <c r="A105" s="13"/>
      <c r="B105" s="13"/>
      <c r="C105" s="38">
        <v>1.498999489786911</v>
      </c>
      <c r="D105" s="38">
        <v>-0.11151030885557134</v>
      </c>
      <c r="E105" s="38">
        <f t="shared" si="2"/>
        <v>2.593741811523449</v>
      </c>
    </row>
    <row r="106" spans="1:5" ht="18" x14ac:dyDescent="0.35">
      <c r="A106" s="13"/>
      <c r="B106" s="13"/>
      <c r="C106" s="38">
        <v>-0.38997131621029268</v>
      </c>
      <c r="D106" s="38">
        <v>1.498999489786911</v>
      </c>
      <c r="E106" s="38">
        <f t="shared" si="2"/>
        <v>3.5682107059097254</v>
      </c>
    </row>
    <row r="107" spans="1:5" ht="18" x14ac:dyDescent="0.35">
      <c r="A107" s="13"/>
      <c r="B107" s="13"/>
      <c r="C107" s="38">
        <v>-1.4032850073864935</v>
      </c>
      <c r="D107" s="38">
        <v>-0.38997131621029268</v>
      </c>
      <c r="E107" s="38">
        <f t="shared" si="2"/>
        <v>1.0268046367251369</v>
      </c>
    </row>
    <row r="108" spans="1:5" ht="18" x14ac:dyDescent="0.35">
      <c r="A108" s="13"/>
      <c r="B108" s="13"/>
      <c r="C108" s="38">
        <v>-0.39947111428561044</v>
      </c>
      <c r="D108" s="38">
        <v>-1.4032850073864935</v>
      </c>
      <c r="E108" s="38">
        <f t="shared" si="2"/>
        <v>1.0076423319823511</v>
      </c>
    </row>
    <row r="109" spans="1:5" ht="18" x14ac:dyDescent="0.35">
      <c r="A109" s="13"/>
      <c r="B109" s="13"/>
      <c r="C109" s="38">
        <v>0.76734264419881271</v>
      </c>
      <c r="D109" s="38">
        <v>-0.39947111428561044</v>
      </c>
      <c r="E109" s="38">
        <f t="shared" si="2"/>
        <v>1.3614543469885458</v>
      </c>
    </row>
    <row r="110" spans="1:5" ht="18" x14ac:dyDescent="0.35">
      <c r="A110" s="13"/>
      <c r="B110" s="13"/>
      <c r="C110" s="38">
        <v>0.44906801297612731</v>
      </c>
      <c r="D110" s="38">
        <v>0.76734264419881271</v>
      </c>
      <c r="E110" s="38">
        <f t="shared" si="2"/>
        <v>0.10129874087993639</v>
      </c>
    </row>
    <row r="111" spans="1:5" ht="18" x14ac:dyDescent="0.35">
      <c r="A111" s="13"/>
      <c r="B111" s="13"/>
      <c r="C111" s="38">
        <v>-0.58341245704711042</v>
      </c>
      <c r="D111" s="38">
        <v>0.44906801297612731</v>
      </c>
      <c r="E111" s="38">
        <f t="shared" si="2"/>
        <v>1.066015920979406</v>
      </c>
    </row>
    <row r="112" spans="1:5" ht="18" x14ac:dyDescent="0.35">
      <c r="A112" s="13"/>
      <c r="B112" s="13"/>
      <c r="C112" s="38">
        <v>0.2008523082248459</v>
      </c>
      <c r="D112" s="38">
        <v>-0.58341245704711042</v>
      </c>
      <c r="E112" s="38">
        <f t="shared" si="2"/>
        <v>0.61507122204707676</v>
      </c>
    </row>
    <row r="113" spans="1:5" ht="18" x14ac:dyDescent="0.35">
      <c r="A113" s="13"/>
      <c r="B113" s="13"/>
      <c r="C113" s="38">
        <v>0.67518559668603473</v>
      </c>
      <c r="D113" s="38">
        <v>0.2008523082248459</v>
      </c>
      <c r="E113" s="38">
        <f t="shared" si="2"/>
        <v>0.22499206854240536</v>
      </c>
    </row>
    <row r="114" spans="1:5" ht="18" x14ac:dyDescent="0.35">
      <c r="A114" s="13"/>
      <c r="B114" s="13"/>
      <c r="C114" s="38">
        <v>-0.59449098080350637</v>
      </c>
      <c r="D114" s="38">
        <v>0.67518559668603473</v>
      </c>
      <c r="E114" s="38">
        <f t="shared" si="2"/>
        <v>1.6120786114255548</v>
      </c>
    </row>
    <row r="115" spans="1:5" ht="18" x14ac:dyDescent="0.35">
      <c r="A115" s="13"/>
      <c r="B115" s="13"/>
      <c r="C115" s="38">
        <v>-3.190481114852787</v>
      </c>
      <c r="D115" s="38">
        <v>-0.59449098080350637</v>
      </c>
      <c r="E115" s="38">
        <f t="shared" si="2"/>
        <v>6.7391647760812017</v>
      </c>
    </row>
    <row r="116" spans="1:5" ht="18" x14ac:dyDescent="0.35">
      <c r="A116" s="13"/>
      <c r="B116" s="13"/>
      <c r="C116" s="38">
        <v>-2.6394807110034222</v>
      </c>
      <c r="D116" s="38">
        <v>-3.190481114852787</v>
      </c>
      <c r="E116" s="38">
        <f t="shared" si="2"/>
        <v>0.30360144504216308</v>
      </c>
    </row>
    <row r="117" spans="1:5" ht="18" x14ac:dyDescent="0.35">
      <c r="A117" s="13"/>
      <c r="B117" s="13"/>
      <c r="C117" s="38">
        <v>-0.95096077717730054</v>
      </c>
      <c r="D117" s="38">
        <v>-2.6394807110034222</v>
      </c>
      <c r="E117" s="38">
        <f t="shared" si="2"/>
        <v>2.8510995669281702</v>
      </c>
    </row>
    <row r="118" spans="1:5" ht="18" x14ac:dyDescent="0.35">
      <c r="A118" s="13"/>
      <c r="B118" s="13"/>
      <c r="C118" s="38">
        <v>1.6494804982759774</v>
      </c>
      <c r="D118" s="38">
        <v>-0.95096077717730054</v>
      </c>
      <c r="E118" s="38">
        <f t="shared" si="2"/>
        <v>6.762294827081071</v>
      </c>
    </row>
    <row r="119" spans="1:5" ht="18" x14ac:dyDescent="0.35">
      <c r="A119" s="13"/>
      <c r="B119" s="13"/>
      <c r="C119" s="38">
        <v>1.9331861351518498</v>
      </c>
      <c r="D119" s="38">
        <v>1.6494804982759774</v>
      </c>
      <c r="E119" s="38">
        <f t="shared" si="2"/>
        <v>8.0488888395144342E-2</v>
      </c>
    </row>
    <row r="120" spans="1:5" ht="18" x14ac:dyDescent="0.35">
      <c r="A120" s="13"/>
      <c r="B120" s="13"/>
      <c r="C120" s="38">
        <v>1.7702054632039292</v>
      </c>
      <c r="D120" s="38">
        <v>1.9331861351518498</v>
      </c>
      <c r="E120" s="38">
        <f t="shared" si="2"/>
        <v>2.6562699428595692E-2</v>
      </c>
    </row>
    <row r="121" spans="1:5" ht="18" x14ac:dyDescent="0.35">
      <c r="A121" s="13"/>
      <c r="B121" s="13"/>
      <c r="C121" s="38">
        <v>-2.2351967522958276</v>
      </c>
      <c r="D121" s="38">
        <v>1.7702054632039292</v>
      </c>
      <c r="E121" s="38">
        <f t="shared" si="2"/>
        <v>16.04324690793036</v>
      </c>
    </row>
    <row r="122" spans="1:5" ht="18" x14ac:dyDescent="0.35">
      <c r="A122" s="13"/>
      <c r="B122" s="13"/>
      <c r="C122" s="38">
        <v>-2.1319611810266679</v>
      </c>
      <c r="D122" s="38">
        <v>-2.2351967522958276</v>
      </c>
      <c r="E122" s="38">
        <f t="shared" si="2"/>
        <v>1.0657583175269755E-2</v>
      </c>
    </row>
    <row r="123" spans="1:5" ht="18" x14ac:dyDescent="0.35">
      <c r="A123" s="13"/>
      <c r="B123" s="13"/>
      <c r="C123" s="38">
        <v>-2.0970687641693928</v>
      </c>
      <c r="D123" s="38">
        <v>-2.1319611810266679</v>
      </c>
      <c r="E123" s="38">
        <f t="shared" si="2"/>
        <v>1.2174807541418531E-3</v>
      </c>
    </row>
    <row r="124" spans="1:5" ht="18" x14ac:dyDescent="0.35">
      <c r="A124" s="13"/>
      <c r="B124" s="13"/>
      <c r="C124" s="38">
        <v>-0.38141164934838656</v>
      </c>
      <c r="D124" s="38">
        <v>-2.0970687641693928</v>
      </c>
      <c r="E124" s="38">
        <f t="shared" si="2"/>
        <v>2.9434793356359394</v>
      </c>
    </row>
    <row r="125" spans="1:5" ht="18" x14ac:dyDescent="0.35">
      <c r="A125" s="13"/>
      <c r="B125" s="13"/>
      <c r="C125" s="38">
        <v>1.9864217064210266</v>
      </c>
      <c r="D125" s="38">
        <v>-0.38141164934838656</v>
      </c>
      <c r="E125" s="38">
        <f t="shared" si="2"/>
        <v>5.6066348006942404</v>
      </c>
    </row>
    <row r="126" spans="1:5" ht="18" x14ac:dyDescent="0.35">
      <c r="A126" s="13"/>
      <c r="B126" s="13"/>
      <c r="C126" s="38">
        <v>0.78446063175807978</v>
      </c>
      <c r="D126" s="38">
        <v>1.9864217064210266</v>
      </c>
      <c r="E126" s="38">
        <f t="shared" si="2"/>
        <v>1.4447104250049059</v>
      </c>
    </row>
    <row r="127" spans="1:5" ht="18" x14ac:dyDescent="0.35">
      <c r="A127" s="13"/>
      <c r="B127" s="13"/>
      <c r="C127" s="38">
        <v>-1.9031767511614888</v>
      </c>
      <c r="D127" s="38">
        <v>0.78446063175807978</v>
      </c>
      <c r="E127" s="38">
        <f t="shared" si="2"/>
        <v>7.2233947020667477</v>
      </c>
    </row>
    <row r="128" spans="1:5" ht="18" x14ac:dyDescent="0.35">
      <c r="A128" s="13"/>
      <c r="B128" s="13"/>
      <c r="C128" s="38">
        <v>-2.1052255424492614</v>
      </c>
      <c r="D128" s="38">
        <v>-1.9031767511614888</v>
      </c>
      <c r="E128" s="38">
        <f t="shared" si="2"/>
        <v>4.0823714060849912E-2</v>
      </c>
    </row>
    <row r="129" spans="1:5" ht="18" x14ac:dyDescent="0.35">
      <c r="A129" s="13"/>
      <c r="B129" s="13"/>
      <c r="C129" s="38">
        <v>-1.4895684276282637</v>
      </c>
      <c r="D129" s="38">
        <v>-2.1052255424492614</v>
      </c>
      <c r="E129" s="38">
        <f t="shared" si="2"/>
        <v>0.37903368302971518</v>
      </c>
    </row>
    <row r="130" spans="1:5" ht="18" x14ac:dyDescent="0.35">
      <c r="A130" s="13"/>
      <c r="B130" s="13"/>
      <c r="C130" s="38">
        <v>-2.4457545345273743</v>
      </c>
      <c r="D130" s="38">
        <v>-1.4895684276282637</v>
      </c>
      <c r="E130" s="38">
        <f t="shared" si="2"/>
        <v>0.91429187102687748</v>
      </c>
    </row>
    <row r="131" spans="1:5" ht="18" x14ac:dyDescent="0.35">
      <c r="A131" s="13"/>
      <c r="B131" s="13"/>
      <c r="C131" s="38">
        <v>1.2760790904749371</v>
      </c>
      <c r="D131" s="38">
        <v>-2.4457545345273743</v>
      </c>
      <c r="E131" s="38">
        <f t="shared" si="2"/>
        <v>13.852045532197845</v>
      </c>
    </row>
    <row r="132" spans="1:5" ht="18" x14ac:dyDescent="0.35">
      <c r="A132" s="13"/>
      <c r="B132" s="13"/>
      <c r="C132" s="38">
        <v>8.5706338210876254E-2</v>
      </c>
      <c r="D132" s="38">
        <v>1.2760790904749371</v>
      </c>
      <c r="E132" s="38">
        <f t="shared" si="2"/>
        <v>1.4169872893327151</v>
      </c>
    </row>
    <row r="133" spans="1:5" ht="18" x14ac:dyDescent="0.35">
      <c r="A133" s="13"/>
      <c r="B133" s="13"/>
      <c r="C133" s="38">
        <v>0.3099121770114408</v>
      </c>
      <c r="D133" s="38">
        <v>8.5706338210876254E-2</v>
      </c>
      <c r="E133" s="38">
        <f t="shared" si="2"/>
        <v>5.0268258152264739E-2</v>
      </c>
    </row>
    <row r="134" spans="1:5" ht="18" x14ac:dyDescent="0.35">
      <c r="A134" s="13"/>
      <c r="B134" s="13"/>
      <c r="C134" s="38">
        <v>0.66692190834570653</v>
      </c>
      <c r="D134" s="38">
        <v>0.3099121770114408</v>
      </c>
      <c r="E134" s="38">
        <f t="shared" si="2"/>
        <v>0.12745594826736459</v>
      </c>
    </row>
    <row r="135" spans="1:5" ht="18" x14ac:dyDescent="0.35">
      <c r="A135" s="13"/>
      <c r="B135" s="13"/>
      <c r="C135" s="38">
        <v>1.6383923778017788</v>
      </c>
      <c r="D135" s="38">
        <v>0.66692190834570653</v>
      </c>
      <c r="E135" s="38">
        <f t="shared" si="2"/>
        <v>0.94375487302520145</v>
      </c>
    </row>
    <row r="136" spans="1:5" ht="18" x14ac:dyDescent="0.35">
      <c r="A136" s="13"/>
      <c r="B136" s="13"/>
      <c r="C136" s="38">
        <v>1.0520980146776537</v>
      </c>
      <c r="D136" s="38">
        <v>1.6383923778017788</v>
      </c>
      <c r="E136" s="38">
        <f t="shared" si="2"/>
        <v>0.34374108023112343</v>
      </c>
    </row>
    <row r="137" spans="1:5" ht="18" x14ac:dyDescent="0.35">
      <c r="A137" s="13"/>
      <c r="B137" s="13"/>
      <c r="C137" s="38">
        <v>-0.62197077774447962</v>
      </c>
      <c r="D137" s="38">
        <v>1.0520980146776537</v>
      </c>
      <c r="E137" s="38">
        <f t="shared" si="2"/>
        <v>2.8025063217616997</v>
      </c>
    </row>
    <row r="138" spans="1:5" ht="18" x14ac:dyDescent="0.35">
      <c r="A138" s="13"/>
      <c r="B138" s="13"/>
      <c r="C138" s="38">
        <v>-1.7475785628118814</v>
      </c>
      <c r="D138" s="38">
        <v>-0.62197077774447962</v>
      </c>
      <c r="E138" s="38">
        <f t="shared" ref="E138:E201" si="3">(C138-D138)^2</f>
        <v>1.2669928858043422</v>
      </c>
    </row>
    <row r="139" spans="1:5" ht="18" x14ac:dyDescent="0.35">
      <c r="A139" s="13"/>
      <c r="B139" s="13"/>
      <c r="C139" s="38">
        <v>-4.7460709869078244E-2</v>
      </c>
      <c r="D139" s="38">
        <v>-1.7475785628118814</v>
      </c>
      <c r="E139" s="38">
        <f t="shared" si="3"/>
        <v>2.8904007138948469</v>
      </c>
    </row>
    <row r="140" spans="1:5" ht="18" x14ac:dyDescent="0.35">
      <c r="A140" s="13"/>
      <c r="B140" s="13"/>
      <c r="C140" s="38">
        <v>-1.2054215152991077</v>
      </c>
      <c r="D140" s="38">
        <v>-4.7460709869078244E-2</v>
      </c>
      <c r="E140" s="38">
        <f t="shared" si="3"/>
        <v>1.3408732269121626</v>
      </c>
    </row>
    <row r="141" spans="1:5" ht="18" x14ac:dyDescent="0.35">
      <c r="A141" s="13"/>
      <c r="B141" s="13"/>
      <c r="C141" s="38">
        <v>1.6818335186385909</v>
      </c>
      <c r="D141" s="38">
        <v>-1.2054215152991077</v>
      </c>
      <c r="E141" s="38">
        <f t="shared" si="3"/>
        <v>8.3362416309985807</v>
      </c>
    </row>
    <row r="142" spans="1:5" ht="18" x14ac:dyDescent="0.35">
      <c r="A142" s="13"/>
      <c r="B142" s="13"/>
      <c r="C142" s="38">
        <v>0.29604895415696575</v>
      </c>
      <c r="D142" s="38">
        <v>1.6818335186385909</v>
      </c>
      <c r="E142" s="38">
        <f t="shared" si="3"/>
        <v>1.9203988591555274</v>
      </c>
    </row>
    <row r="143" spans="1:5" ht="18" x14ac:dyDescent="0.35">
      <c r="A143" s="13"/>
      <c r="B143" s="13"/>
      <c r="C143" s="38">
        <v>0.86229398752748665</v>
      </c>
      <c r="D143" s="38">
        <v>0.29604895415696575</v>
      </c>
      <c r="E143" s="38">
        <f t="shared" si="3"/>
        <v>0.32063343781678233</v>
      </c>
    </row>
    <row r="144" spans="1:5" ht="18" x14ac:dyDescent="0.35">
      <c r="A144" s="13"/>
      <c r="B144" s="13"/>
      <c r="C144" s="38">
        <v>1.4756762018929095</v>
      </c>
      <c r="D144" s="38">
        <v>0.86229398752748665</v>
      </c>
      <c r="E144" s="38">
        <f t="shared" si="3"/>
        <v>0.37623774089982953</v>
      </c>
    </row>
    <row r="145" spans="1:5" ht="18" x14ac:dyDescent="0.35">
      <c r="A145" s="13"/>
      <c r="B145" s="13"/>
      <c r="C145" s="38">
        <v>-1.6932946041043095</v>
      </c>
      <c r="D145" s="38">
        <v>1.4756762018929095</v>
      </c>
      <c r="E145" s="38">
        <f t="shared" si="3"/>
        <v>10.042375969262665</v>
      </c>
    </row>
    <row r="146" spans="1:5" ht="18" x14ac:dyDescent="0.35">
      <c r="A146" s="13"/>
      <c r="B146" s="13"/>
      <c r="C146" s="38">
        <v>0.36707814815976292</v>
      </c>
      <c r="D146" s="38">
        <v>-1.6932946041043095</v>
      </c>
      <c r="E146" s="38">
        <f t="shared" si="3"/>
        <v>4.2451358782722286</v>
      </c>
    </row>
    <row r="147" spans="1:5" ht="18" x14ac:dyDescent="0.35">
      <c r="A147" s="13"/>
      <c r="B147" s="13"/>
      <c r="C147" s="38">
        <v>0.80396042983339555</v>
      </c>
      <c r="D147" s="38">
        <v>0.36707814815976292</v>
      </c>
      <c r="E147" s="38">
        <f t="shared" si="3"/>
        <v>0.1908661280403593</v>
      </c>
    </row>
    <row r="148" spans="1:5" ht="18" x14ac:dyDescent="0.35">
      <c r="A148" s="13"/>
      <c r="B148" s="13"/>
      <c r="C148" s="38">
        <v>0.616323046913827</v>
      </c>
      <c r="D148" s="38">
        <v>0.80396042983339555</v>
      </c>
      <c r="E148" s="38">
        <f t="shared" si="3"/>
        <v>3.5207787468904794E-2</v>
      </c>
    </row>
    <row r="149" spans="1:5" ht="18" x14ac:dyDescent="0.35">
      <c r="A149" s="13"/>
      <c r="B149" s="13"/>
      <c r="C149" s="38">
        <v>1.9361366707818064</v>
      </c>
      <c r="D149" s="38">
        <v>0.616323046913827</v>
      </c>
      <c r="E149" s="38">
        <f t="shared" si="3"/>
        <v>1.7419080017475281</v>
      </c>
    </row>
    <row r="150" spans="1:5" ht="18" x14ac:dyDescent="0.35">
      <c r="A150" s="13"/>
      <c r="B150" s="13"/>
      <c r="C150" s="38">
        <v>2.3426462001913748</v>
      </c>
      <c r="D150" s="38">
        <v>1.9361366707818064</v>
      </c>
      <c r="E150" s="38">
        <f t="shared" si="3"/>
        <v>0.16524999750078878</v>
      </c>
    </row>
    <row r="151" spans="1:5" ht="18" x14ac:dyDescent="0.35">
      <c r="A151" s="13"/>
      <c r="B151" s="13"/>
      <c r="C151" s="38">
        <v>-1.3260011832953538</v>
      </c>
      <c r="D151" s="38">
        <v>2.3426462001913748</v>
      </c>
      <c r="E151" s="38">
        <f t="shared" si="3"/>
        <v>13.45897362436402</v>
      </c>
    </row>
    <row r="152" spans="1:5" ht="18" x14ac:dyDescent="0.35">
      <c r="A152" s="13"/>
      <c r="B152" s="13"/>
      <c r="C152" s="38">
        <v>1.5581950587873834</v>
      </c>
      <c r="D152" s="38">
        <v>-1.3260011832953538</v>
      </c>
      <c r="E152" s="38">
        <f t="shared" si="3"/>
        <v>8.3185879628441839</v>
      </c>
    </row>
    <row r="153" spans="1:5" ht="18" x14ac:dyDescent="0.35">
      <c r="A153" s="13"/>
      <c r="B153" s="13"/>
      <c r="C153" s="38">
        <v>0.25935170245080741</v>
      </c>
      <c r="D153" s="38">
        <v>1.5581950587873834</v>
      </c>
      <c r="E153" s="38">
        <f t="shared" si="3"/>
        <v>1.6869940642996617</v>
      </c>
    </row>
    <row r="154" spans="1:5" ht="18" x14ac:dyDescent="0.35">
      <c r="A154" s="13"/>
      <c r="B154" s="13"/>
      <c r="C154" s="38">
        <v>-0.96631500908801371</v>
      </c>
      <c r="D154" s="38">
        <v>0.25935170245080741</v>
      </c>
      <c r="E154" s="38">
        <f t="shared" si="3"/>
        <v>1.5022588877743877</v>
      </c>
    </row>
    <row r="155" spans="1:5" ht="18" x14ac:dyDescent="0.35">
      <c r="A155" s="13"/>
      <c r="B155" s="13"/>
      <c r="C155" s="38">
        <v>0.1623419711165397</v>
      </c>
      <c r="D155" s="38">
        <v>-0.96631500908801371</v>
      </c>
      <c r="E155" s="38">
        <f t="shared" si="3"/>
        <v>1.2738665789644616</v>
      </c>
    </row>
    <row r="156" spans="1:5" ht="18" x14ac:dyDescent="0.35">
      <c r="A156" s="13"/>
      <c r="B156" s="13"/>
      <c r="C156" s="38">
        <v>0.61552821263211399</v>
      </c>
      <c r="D156" s="38">
        <v>0.1623419711165397</v>
      </c>
      <c r="E156" s="38">
        <f t="shared" si="3"/>
        <v>0.20537776949901243</v>
      </c>
    </row>
    <row r="157" spans="1:5" ht="18" x14ac:dyDescent="0.35">
      <c r="A157" s="13"/>
      <c r="B157" s="13"/>
      <c r="C157" s="38">
        <v>1.9344496888757305</v>
      </c>
      <c r="D157" s="38">
        <v>0.61552821263211399</v>
      </c>
      <c r="E157" s="38">
        <f t="shared" si="3"/>
        <v>1.7395538604966407</v>
      </c>
    </row>
    <row r="158" spans="1:5" ht="18" x14ac:dyDescent="0.35">
      <c r="A158" s="13"/>
      <c r="B158" s="13"/>
      <c r="C158" s="38">
        <v>1.4300670706609466</v>
      </c>
      <c r="D158" s="38">
        <v>1.9344496888757305</v>
      </c>
      <c r="E158" s="38">
        <f t="shared" si="3"/>
        <v>0.25440182555720048</v>
      </c>
    </row>
    <row r="159" spans="1:5" ht="18" x14ac:dyDescent="0.35">
      <c r="A159" s="13"/>
      <c r="B159" s="13"/>
      <c r="C159" s="38">
        <v>1.8689296204331498</v>
      </c>
      <c r="D159" s="38">
        <v>1.4300670706609466</v>
      </c>
      <c r="E159" s="38">
        <f t="shared" si="3"/>
        <v>0.19260033759255951</v>
      </c>
    </row>
    <row r="160" spans="1:5" ht="18" x14ac:dyDescent="0.35">
      <c r="A160" s="13"/>
      <c r="B160" s="13"/>
      <c r="C160" s="38">
        <v>0.5031450559515207</v>
      </c>
      <c r="D160" s="38">
        <v>1.8689296204331498</v>
      </c>
      <c r="E160" s="38">
        <f t="shared" si="3"/>
        <v>1.8653674765762733</v>
      </c>
    </row>
    <row r="161" spans="1:5" ht="18" x14ac:dyDescent="0.35">
      <c r="A161" s="13"/>
      <c r="B161" s="13"/>
      <c r="C161" s="38">
        <v>1.3696449886432873</v>
      </c>
      <c r="D161" s="38">
        <v>0.5031450559515207</v>
      </c>
      <c r="E161" s="38">
        <f t="shared" si="3"/>
        <v>0.75082213335483605</v>
      </c>
    </row>
    <row r="162" spans="1:5" ht="18" x14ac:dyDescent="0.35">
      <c r="A162" s="13"/>
      <c r="B162" s="13"/>
      <c r="C162" s="38">
        <v>0.1971055921486311</v>
      </c>
      <c r="D162" s="38">
        <v>1.3696449886432873</v>
      </c>
      <c r="E162" s="38">
        <f t="shared" si="3"/>
        <v>1.3748486363320527</v>
      </c>
    </row>
    <row r="163" spans="1:5" ht="18" x14ac:dyDescent="0.35">
      <c r="A163" s="13"/>
      <c r="B163" s="13"/>
      <c r="C163" s="38">
        <v>-3.2906003139601339</v>
      </c>
      <c r="D163" s="38">
        <v>0.1971055921486311</v>
      </c>
      <c r="E163" s="38">
        <f t="shared" si="3"/>
        <v>12.164092487505961</v>
      </c>
    </row>
    <row r="164" spans="1:5" ht="18" x14ac:dyDescent="0.35">
      <c r="A164" s="13"/>
      <c r="B164" s="13"/>
      <c r="C164" s="38">
        <v>-1.4727861516263516</v>
      </c>
      <c r="D164" s="38">
        <v>-3.2906003139601339</v>
      </c>
      <c r="E164" s="38">
        <f t="shared" si="3"/>
        <v>3.3044483287812705</v>
      </c>
    </row>
    <row r="165" spans="1:5" ht="18" x14ac:dyDescent="0.35">
      <c r="A165" s="13"/>
      <c r="B165" s="13"/>
      <c r="C165" s="38">
        <v>1.868733647583305</v>
      </c>
      <c r="D165" s="38">
        <v>-1.4727861516263516</v>
      </c>
      <c r="E165" s="38">
        <f t="shared" si="3"/>
        <v>11.165754568510144</v>
      </c>
    </row>
    <row r="166" spans="1:5" ht="18" x14ac:dyDescent="0.35">
      <c r="A166" s="13"/>
      <c r="B166" s="13"/>
      <c r="C166" s="38">
        <v>-0.41692346723769447</v>
      </c>
      <c r="D166" s="38">
        <v>1.868733647583305</v>
      </c>
      <c r="E166" s="38">
        <f t="shared" si="3"/>
        <v>5.2242284465318551</v>
      </c>
    </row>
    <row r="167" spans="1:5" ht="18" x14ac:dyDescent="0.35">
      <c r="A167" s="13"/>
      <c r="B167" s="13"/>
      <c r="C167" s="38">
        <v>-0.44202145366261902</v>
      </c>
      <c r="D167" s="38">
        <v>-0.41692346723769447</v>
      </c>
      <c r="E167" s="38">
        <f t="shared" si="3"/>
        <v>6.2990892258569728E-4</v>
      </c>
    </row>
    <row r="168" spans="1:5" ht="18" x14ac:dyDescent="0.35">
      <c r="A168" s="13"/>
      <c r="B168" s="13"/>
      <c r="C168" s="38">
        <v>-0.39737433940877764</v>
      </c>
      <c r="D168" s="38">
        <v>-0.44202145366261902</v>
      </c>
      <c r="E168" s="38">
        <f t="shared" si="3"/>
        <v>1.9933648111955661E-3</v>
      </c>
    </row>
    <row r="169" spans="1:5" ht="18" x14ac:dyDescent="0.35">
      <c r="A169" s="13"/>
      <c r="B169" s="13"/>
      <c r="C169" s="38">
        <v>2.7979100231481624</v>
      </c>
      <c r="D169" s="38">
        <v>-0.39737433940877764</v>
      </c>
      <c r="E169" s="38">
        <f t="shared" si="3"/>
        <v>10.20984215760091</v>
      </c>
    </row>
    <row r="170" spans="1:5" ht="18" x14ac:dyDescent="0.35">
      <c r="A170" s="13"/>
      <c r="B170" s="13"/>
      <c r="C170" s="38">
        <v>0.86397827710447928</v>
      </c>
      <c r="D170" s="38">
        <v>2.7979100231481624</v>
      </c>
      <c r="E170" s="38">
        <f t="shared" si="3"/>
        <v>3.7400919983555689</v>
      </c>
    </row>
    <row r="171" spans="1:5" ht="18" x14ac:dyDescent="0.35">
      <c r="A171" s="13"/>
      <c r="B171" s="13"/>
      <c r="C171" s="38">
        <v>-1.8850610520819586</v>
      </c>
      <c r="D171" s="38">
        <v>0.86397827710447928</v>
      </c>
      <c r="E171" s="38">
        <f t="shared" si="3"/>
        <v>7.5572172334138203</v>
      </c>
    </row>
    <row r="172" spans="1:5" ht="18" x14ac:dyDescent="0.35">
      <c r="A172" s="13"/>
      <c r="B172" s="13"/>
      <c r="C172" s="38">
        <v>2.9407235123996784</v>
      </c>
      <c r="D172" s="38">
        <v>-1.8850610520819586</v>
      </c>
      <c r="E172" s="38">
        <f t="shared" si="3"/>
        <v>23.288196662789222</v>
      </c>
    </row>
    <row r="173" spans="1:5" ht="18" x14ac:dyDescent="0.35">
      <c r="A173" s="13"/>
      <c r="B173" s="13"/>
      <c r="C173" s="38">
        <v>1.5583211622834625</v>
      </c>
      <c r="D173" s="38">
        <v>2.9407235123996784</v>
      </c>
      <c r="E173" s="38">
        <f t="shared" si="3"/>
        <v>1.9110362576068369</v>
      </c>
    </row>
    <row r="174" spans="1:5" ht="18" x14ac:dyDescent="0.35">
      <c r="A174" s="13"/>
      <c r="B174" s="13"/>
      <c r="C174" s="38">
        <v>0.40782096035877657</v>
      </c>
      <c r="D174" s="38">
        <v>1.5583211622834625</v>
      </c>
      <c r="E174" s="38">
        <f t="shared" si="3"/>
        <v>1.3236507146287431</v>
      </c>
    </row>
    <row r="175" spans="1:5" ht="18" x14ac:dyDescent="0.35">
      <c r="A175" s="13"/>
      <c r="B175" s="13"/>
      <c r="C175" s="38">
        <v>0.52240914814120742</v>
      </c>
      <c r="D175" s="38">
        <v>0.40782096035877657</v>
      </c>
      <c r="E175" s="38">
        <f t="shared" si="3"/>
        <v>1.3130452779261635E-2</v>
      </c>
    </row>
    <row r="176" spans="1:5" ht="18" x14ac:dyDescent="0.35">
      <c r="A176" s="13"/>
      <c r="B176" s="13"/>
      <c r="C176" s="38">
        <v>2.2383992821904997</v>
      </c>
      <c r="D176" s="38">
        <v>0.52240914814120742</v>
      </c>
      <c r="E176" s="38">
        <f t="shared" si="3"/>
        <v>2.9446221401545078</v>
      </c>
    </row>
    <row r="177" spans="1:5" ht="18" x14ac:dyDescent="0.35">
      <c r="A177" s="13"/>
      <c r="B177" s="13"/>
      <c r="C177" s="38">
        <v>0.82618330820629637</v>
      </c>
      <c r="D177" s="38">
        <v>2.2383992821904997</v>
      </c>
      <c r="E177" s="38">
        <f t="shared" si="3"/>
        <v>1.9943539571761519</v>
      </c>
    </row>
    <row r="178" spans="1:5" ht="18" x14ac:dyDescent="0.35">
      <c r="A178" s="13"/>
      <c r="B178" s="13"/>
      <c r="C178" s="38">
        <v>-0.2243854169075945</v>
      </c>
      <c r="D178" s="38">
        <v>0.82618330820629637</v>
      </c>
      <c r="E178" s="38">
        <f t="shared" si="3"/>
        <v>1.103694646187426</v>
      </c>
    </row>
    <row r="179" spans="1:5" ht="18" x14ac:dyDescent="0.35">
      <c r="A179" s="13"/>
      <c r="B179" s="13"/>
      <c r="C179" s="38">
        <v>-3.9284638060475316</v>
      </c>
      <c r="D179" s="38">
        <v>-0.2243854169075945</v>
      </c>
      <c r="E179" s="38">
        <f t="shared" si="3"/>
        <v>13.720196712893511</v>
      </c>
    </row>
    <row r="180" spans="1:5" ht="18" x14ac:dyDescent="0.35">
      <c r="A180" s="13"/>
      <c r="B180" s="13"/>
      <c r="C180" s="38">
        <v>-1.5696985696179695</v>
      </c>
      <c r="D180" s="38">
        <v>-3.9284638060475316</v>
      </c>
      <c r="E180" s="38">
        <f t="shared" si="3"/>
        <v>5.5637734405886086</v>
      </c>
    </row>
    <row r="181" spans="1:5" ht="18" x14ac:dyDescent="0.35">
      <c r="A181" s="13"/>
      <c r="B181" s="13"/>
      <c r="C181" s="38">
        <v>0.87978203502173358</v>
      </c>
      <c r="D181" s="38">
        <v>-1.5696985696179695</v>
      </c>
      <c r="E181" s="38">
        <f t="shared" si="3"/>
        <v>5.9999552325060854</v>
      </c>
    </row>
    <row r="182" spans="1:5" ht="18" x14ac:dyDescent="0.35">
      <c r="A182" s="13"/>
      <c r="B182" s="13"/>
      <c r="C182" s="38">
        <v>0.14074270583529369</v>
      </c>
      <c r="D182" s="38">
        <v>0.87978203502173358</v>
      </c>
      <c r="E182" s="38">
        <f t="shared" si="3"/>
        <v>0.54617913008434305</v>
      </c>
    </row>
    <row r="183" spans="1:5" ht="18" x14ac:dyDescent="0.35">
      <c r="A183" s="13"/>
      <c r="B183" s="13"/>
      <c r="C183" s="38">
        <v>7.7421446521021551</v>
      </c>
      <c r="D183" s="38">
        <v>0.14074270583529369</v>
      </c>
      <c r="E183" s="38">
        <f t="shared" si="3"/>
        <v>57.781311548709631</v>
      </c>
    </row>
    <row r="184" spans="1:5" ht="18" x14ac:dyDescent="0.35">
      <c r="A184" s="13"/>
      <c r="B184" s="13"/>
      <c r="C184" s="38">
        <v>-0.16959165955752553</v>
      </c>
      <c r="D184" s="38">
        <v>7.7421446521021551</v>
      </c>
      <c r="E184" s="38">
        <f t="shared" si="3"/>
        <v>62.595571465234329</v>
      </c>
    </row>
    <row r="185" spans="1:5" ht="18" x14ac:dyDescent="0.35">
      <c r="A185" s="13"/>
      <c r="B185" s="13"/>
      <c r="C185" s="38">
        <v>-1.6434151493762243</v>
      </c>
      <c r="D185" s="38">
        <v>-0.16959165955752553</v>
      </c>
      <c r="E185" s="38">
        <f t="shared" si="3"/>
        <v>2.1721556791413681</v>
      </c>
    </row>
    <row r="186" spans="1:5" ht="18" x14ac:dyDescent="0.35">
      <c r="A186" s="13"/>
      <c r="B186" s="13"/>
      <c r="C186" s="38">
        <v>-2.9059737393064751</v>
      </c>
      <c r="D186" s="38">
        <v>-1.6434151493762243</v>
      </c>
      <c r="E186" s="38">
        <f t="shared" si="3"/>
        <v>1.594054193006663</v>
      </c>
    </row>
    <row r="187" spans="1:5" ht="18" x14ac:dyDescent="0.35">
      <c r="A187" s="13"/>
      <c r="B187" s="13"/>
      <c r="C187" s="38">
        <v>1.125663912846008</v>
      </c>
      <c r="D187" s="38">
        <v>-2.9059737393064751</v>
      </c>
      <c r="E187" s="38">
        <f t="shared" si="3"/>
        <v>16.254102158253588</v>
      </c>
    </row>
    <row r="188" spans="1:5" ht="18" x14ac:dyDescent="0.35">
      <c r="A188" s="13"/>
      <c r="B188" s="13"/>
      <c r="C188" s="38">
        <v>-0.47082642312797418</v>
      </c>
      <c r="D188" s="38">
        <v>1.125663912846008</v>
      </c>
      <c r="E188" s="38">
        <f t="shared" si="3"/>
        <v>2.5487813928583183</v>
      </c>
    </row>
    <row r="189" spans="1:5" ht="18" x14ac:dyDescent="0.35">
      <c r="A189" s="13"/>
      <c r="B189" s="13"/>
      <c r="C189" s="38">
        <v>-1.487836154462201</v>
      </c>
      <c r="D189" s="38">
        <v>-0.47082642312797418</v>
      </c>
      <c r="E189" s="38">
        <f t="shared" si="3"/>
        <v>1.0343087936285162</v>
      </c>
    </row>
    <row r="190" spans="1:5" ht="18" x14ac:dyDescent="0.35">
      <c r="A190" s="13"/>
      <c r="B190" s="13"/>
      <c r="C190" s="38">
        <v>-1.6977183015194157</v>
      </c>
      <c r="D190" s="38">
        <v>-1.487836154462201</v>
      </c>
      <c r="E190" s="38">
        <f t="shared" si="3"/>
        <v>4.405051565334632E-2</v>
      </c>
    </row>
    <row r="191" spans="1:5" ht="18" x14ac:dyDescent="0.35">
      <c r="A191" s="13"/>
      <c r="B191" s="13"/>
      <c r="C191" s="38">
        <v>1.9799780078715514</v>
      </c>
      <c r="D191" s="38">
        <v>-1.6977183015194157</v>
      </c>
      <c r="E191" s="38">
        <f t="shared" si="3"/>
        <v>13.525450144107941</v>
      </c>
    </row>
    <row r="192" spans="1:5" ht="18" x14ac:dyDescent="0.35">
      <c r="A192" s="13"/>
      <c r="B192" s="13"/>
      <c r="C192" s="38">
        <v>1.6148306916930437</v>
      </c>
      <c r="D192" s="38">
        <v>1.9799780078715514</v>
      </c>
      <c r="E192" s="38">
        <f t="shared" si="3"/>
        <v>0.13333256251236708</v>
      </c>
    </row>
    <row r="193" spans="1:5" ht="18" x14ac:dyDescent="0.35">
      <c r="A193" s="13"/>
      <c r="B193" s="13"/>
      <c r="C193" s="38">
        <v>-1.0752871612497614</v>
      </c>
      <c r="D193" s="38">
        <v>1.6148306916930437</v>
      </c>
      <c r="E193" s="38">
        <f t="shared" si="3"/>
        <v>7.2367340627216077</v>
      </c>
    </row>
    <row r="194" spans="1:5" ht="18" x14ac:dyDescent="0.35">
      <c r="A194" s="13"/>
      <c r="B194" s="13"/>
      <c r="C194" s="38">
        <v>0.51005612777858289</v>
      </c>
      <c r="D194" s="38">
        <v>-1.0752871612497614</v>
      </c>
      <c r="E194" s="38">
        <f t="shared" si="3"/>
        <v>2.5133133440672086</v>
      </c>
    </row>
    <row r="195" spans="1:5" ht="18" x14ac:dyDescent="0.35">
      <c r="A195" s="13"/>
      <c r="B195" s="13"/>
      <c r="C195" s="38">
        <v>1.3857913625066374</v>
      </c>
      <c r="D195" s="38">
        <v>0.51005612777858289</v>
      </c>
      <c r="E195" s="38">
        <f t="shared" si="3"/>
        <v>0.76691220134420068</v>
      </c>
    </row>
    <row r="196" spans="1:5" ht="18" x14ac:dyDescent="0.35">
      <c r="A196" s="13"/>
      <c r="B196" s="13"/>
      <c r="C196" s="38">
        <v>2.6426147177088524</v>
      </c>
      <c r="D196" s="38">
        <v>1.3857913625066374</v>
      </c>
      <c r="E196" s="38">
        <f t="shared" si="3"/>
        <v>1.5796049461817532</v>
      </c>
    </row>
    <row r="197" spans="1:5" ht="18" x14ac:dyDescent="0.35">
      <c r="A197" s="13"/>
      <c r="B197" s="13"/>
      <c r="C197" s="38">
        <v>2.405241830828345</v>
      </c>
      <c r="D197" s="38">
        <v>2.6426147177088524</v>
      </c>
      <c r="E197" s="38">
        <f t="shared" si="3"/>
        <v>5.634588742598616E-2</v>
      </c>
    </row>
    <row r="198" spans="1:5" ht="18" x14ac:dyDescent="0.35">
      <c r="A198" s="13"/>
      <c r="B198" s="13"/>
      <c r="C198" s="38">
        <v>-2.0255721968890015</v>
      </c>
      <c r="D198" s="38">
        <v>2.405241830828345</v>
      </c>
      <c r="E198" s="38">
        <f t="shared" si="3"/>
        <v>19.632112948216815</v>
      </c>
    </row>
    <row r="199" spans="1:5" ht="18" x14ac:dyDescent="0.35">
      <c r="A199" s="13"/>
      <c r="B199" s="13"/>
      <c r="C199" s="38">
        <v>-2.6032287732441688</v>
      </c>
      <c r="D199" s="38">
        <v>-2.0255721968890015</v>
      </c>
      <c r="E199" s="38">
        <f t="shared" si="3"/>
        <v>0.33368712020637326</v>
      </c>
    </row>
    <row r="200" spans="1:5" ht="18" x14ac:dyDescent="0.35">
      <c r="A200" s="13"/>
      <c r="B200" s="13"/>
      <c r="C200" s="38">
        <v>-2.7278950809336209</v>
      </c>
      <c r="D200" s="38">
        <v>-2.6032287732441688</v>
      </c>
      <c r="E200" s="38">
        <f t="shared" si="3"/>
        <v>1.554168827292114E-2</v>
      </c>
    </row>
    <row r="201" spans="1:5" ht="18" x14ac:dyDescent="0.35">
      <c r="A201" s="13"/>
      <c r="B201" s="13"/>
      <c r="C201" s="38">
        <v>-2.3237084355687045</v>
      </c>
      <c r="D201" s="38">
        <v>-2.7278950809336209</v>
      </c>
      <c r="E201" s="38">
        <f t="shared" si="3"/>
        <v>0.16336684429134463</v>
      </c>
    </row>
    <row r="202" spans="1:5" ht="18" x14ac:dyDescent="0.35">
      <c r="A202" s="13"/>
      <c r="B202" s="13"/>
      <c r="C202" s="38">
        <v>-3.4739140051363435</v>
      </c>
      <c r="D202" s="38">
        <v>-2.3237084355687045</v>
      </c>
      <c r="E202" s="38">
        <f t="shared" ref="E202:E265" si="4">(C202-D202)^2</f>
        <v>1.3229728522644169</v>
      </c>
    </row>
    <row r="203" spans="1:5" ht="18" x14ac:dyDescent="0.35">
      <c r="A203" s="13"/>
      <c r="B203" s="13"/>
      <c r="C203" s="38">
        <v>-4.6783939366937659</v>
      </c>
      <c r="D203" s="38">
        <v>-3.4739140051363435</v>
      </c>
      <c r="E203" s="38">
        <f t="shared" si="4"/>
        <v>1.4507719055245729</v>
      </c>
    </row>
    <row r="204" spans="1:5" ht="18" x14ac:dyDescent="0.35">
      <c r="A204" s="13"/>
      <c r="B204" s="13"/>
      <c r="C204" s="38">
        <v>-2.01765802888346</v>
      </c>
      <c r="D204" s="38">
        <v>-4.6783939366937659</v>
      </c>
      <c r="E204" s="38">
        <f t="shared" si="4"/>
        <v>7.0795155711111324</v>
      </c>
    </row>
    <row r="205" spans="1:5" ht="18" x14ac:dyDescent="0.35">
      <c r="A205" s="13"/>
      <c r="B205" s="13"/>
      <c r="C205" s="38">
        <v>-4.0922558133837015</v>
      </c>
      <c r="D205" s="38">
        <v>-2.01765802888346</v>
      </c>
      <c r="E205" s="38">
        <f t="shared" si="4"/>
        <v>4.3039559674533105</v>
      </c>
    </row>
    <row r="206" spans="1:5" ht="18" x14ac:dyDescent="0.35">
      <c r="A206" s="13"/>
      <c r="B206" s="13"/>
      <c r="C206" s="38">
        <v>1.4570192216883555</v>
      </c>
      <c r="D206" s="38">
        <v>-4.0922558133837015</v>
      </c>
      <c r="E206" s="38">
        <f t="shared" si="4"/>
        <v>30.794453414873978</v>
      </c>
    </row>
    <row r="207" spans="1:5" ht="18" x14ac:dyDescent="0.35">
      <c r="A207" s="13"/>
      <c r="B207" s="13"/>
      <c r="C207" s="38">
        <v>-1.2323339332907253</v>
      </c>
      <c r="D207" s="38">
        <v>1.4570192216883555</v>
      </c>
      <c r="E207" s="38">
        <f t="shared" si="4"/>
        <v>7.232620392195936</v>
      </c>
    </row>
    <row r="208" spans="1:5" ht="18" x14ac:dyDescent="0.35">
      <c r="A208" s="13"/>
      <c r="B208" s="13"/>
      <c r="C208" s="38">
        <v>-4.7162259462986356</v>
      </c>
      <c r="D208" s="38">
        <v>-1.2323339332907253</v>
      </c>
      <c r="E208" s="38">
        <f t="shared" si="4"/>
        <v>12.13750355830031</v>
      </c>
    </row>
    <row r="209" spans="1:5" ht="18" x14ac:dyDescent="0.35">
      <c r="A209" s="13"/>
      <c r="B209" s="13"/>
      <c r="C209" s="38">
        <v>-1.9743429915427129</v>
      </c>
      <c r="D209" s="38">
        <v>-4.7162259462986356</v>
      </c>
      <c r="E209" s="38">
        <f t="shared" si="4"/>
        <v>7.5179221375810696</v>
      </c>
    </row>
    <row r="210" spans="1:5" ht="18" x14ac:dyDescent="0.35">
      <c r="A210" s="13"/>
      <c r="B210" s="13"/>
      <c r="C210" s="38">
        <v>1.5432258681876405</v>
      </c>
      <c r="D210" s="38">
        <v>-1.9743429915427129</v>
      </c>
      <c r="E210" s="38">
        <f t="shared" si="4"/>
        <v>12.373290682944699</v>
      </c>
    </row>
    <row r="211" spans="1:5" ht="18" x14ac:dyDescent="0.35">
      <c r="A211" s="13"/>
      <c r="B211" s="13"/>
      <c r="C211" s="38">
        <v>3.5659119077785348</v>
      </c>
      <c r="D211" s="38">
        <v>1.5432258681876405</v>
      </c>
      <c r="E211" s="38">
        <f t="shared" si="4"/>
        <v>4.0912588147558973</v>
      </c>
    </row>
    <row r="212" spans="1:5" ht="18" x14ac:dyDescent="0.35">
      <c r="A212" s="13"/>
      <c r="B212" s="13"/>
      <c r="C212" s="38">
        <v>0.97408787949402154</v>
      </c>
      <c r="D212" s="38">
        <v>3.5659119077785348</v>
      </c>
      <c r="E212" s="38">
        <f t="shared" si="4"/>
        <v>6.7175517935929614</v>
      </c>
    </row>
    <row r="213" spans="1:5" ht="18" x14ac:dyDescent="0.35">
      <c r="A213" s="13"/>
      <c r="B213" s="13"/>
      <c r="C213" s="38">
        <v>0.80861714080504754</v>
      </c>
      <c r="D213" s="38">
        <v>0.97408787949402154</v>
      </c>
      <c r="E213" s="38">
        <f t="shared" si="4"/>
        <v>2.7380565362274716E-2</v>
      </c>
    </row>
    <row r="214" spans="1:5" ht="18" x14ac:dyDescent="0.35">
      <c r="A214" s="13"/>
      <c r="B214" s="13"/>
      <c r="C214" s="38">
        <v>0.61085230822484959</v>
      </c>
      <c r="D214" s="38">
        <v>0.80861714080504754</v>
      </c>
      <c r="E214" s="38">
        <f t="shared" si="4"/>
        <v>3.9110929005473721E-2</v>
      </c>
    </row>
    <row r="215" spans="1:5" ht="18" x14ac:dyDescent="0.35">
      <c r="A215" s="13"/>
      <c r="B215" s="13"/>
      <c r="C215" s="38">
        <v>-0.22958896722842326</v>
      </c>
      <c r="D215" s="38">
        <v>0.61085230822484959</v>
      </c>
      <c r="E215" s="38">
        <f t="shared" si="4"/>
        <v>0.70634153748552408</v>
      </c>
    </row>
    <row r="216" spans="1:5" ht="18" x14ac:dyDescent="0.35">
      <c r="A216" s="13"/>
      <c r="B216" s="13"/>
      <c r="C216" s="38">
        <v>0.2191365361653439</v>
      </c>
      <c r="D216" s="38">
        <v>-0.22958896722842326</v>
      </c>
      <c r="E216" s="38">
        <f t="shared" si="4"/>
        <v>0.20135457739598975</v>
      </c>
    </row>
    <row r="217" spans="1:5" ht="18" x14ac:dyDescent="0.35">
      <c r="A217" s="13"/>
      <c r="B217" s="13"/>
      <c r="C217" s="38">
        <v>2.733597274287149</v>
      </c>
      <c r="D217" s="38">
        <v>0.2191365361653439</v>
      </c>
      <c r="E217" s="38">
        <f t="shared" si="4"/>
        <v>6.3225128035560534</v>
      </c>
    </row>
    <row r="218" spans="1:5" ht="18" x14ac:dyDescent="0.35">
      <c r="A218" s="13"/>
      <c r="B218" s="13"/>
      <c r="C218" s="38">
        <v>-0.70995212277468056</v>
      </c>
      <c r="D218" s="38">
        <v>2.733597274287149</v>
      </c>
      <c r="E218" s="38">
        <f t="shared" si="4"/>
        <v>11.85803245000489</v>
      </c>
    </row>
    <row r="219" spans="1:5" ht="18" x14ac:dyDescent="0.35">
      <c r="A219" s="13"/>
      <c r="B219" s="13"/>
      <c r="C219" s="38">
        <v>0.13214599826670792</v>
      </c>
      <c r="D219" s="38">
        <v>-0.70995212277468056</v>
      </c>
      <c r="E219" s="38">
        <f t="shared" si="4"/>
        <v>0.70912924546143696</v>
      </c>
    </row>
    <row r="220" spans="1:5" ht="18" x14ac:dyDescent="0.35">
      <c r="A220" s="13"/>
      <c r="B220" s="13"/>
      <c r="C220" s="38">
        <v>1.3650773404610277</v>
      </c>
      <c r="D220" s="38">
        <v>0.13214599826670792</v>
      </c>
      <c r="E220" s="38">
        <f t="shared" si="4"/>
        <v>1.5201196945650868</v>
      </c>
    </row>
    <row r="221" spans="1:5" ht="18" x14ac:dyDescent="0.35">
      <c r="A221" s="13"/>
      <c r="B221" s="13"/>
      <c r="C221" s="38">
        <v>1.5536849909119823</v>
      </c>
      <c r="D221" s="38">
        <v>1.3650773404610277</v>
      </c>
      <c r="E221" s="38">
        <f t="shared" si="4"/>
        <v>3.5572845808629482E-2</v>
      </c>
    </row>
    <row r="222" spans="1:5" ht="18" x14ac:dyDescent="0.35">
      <c r="A222" s="13"/>
      <c r="B222" s="13"/>
      <c r="C222" s="38">
        <v>-5.5407144064574254E-3</v>
      </c>
      <c r="D222" s="38">
        <v>1.5536849909119823</v>
      </c>
      <c r="E222" s="38">
        <f t="shared" si="4"/>
        <v>2.4311848001257861</v>
      </c>
    </row>
    <row r="223" spans="1:5" ht="18" x14ac:dyDescent="0.35">
      <c r="A223" s="13"/>
      <c r="B223" s="13"/>
      <c r="C223" s="38">
        <v>2.81509653389665</v>
      </c>
      <c r="D223" s="38">
        <v>-5.5407144064574254E-3</v>
      </c>
      <c r="E223" s="38">
        <f t="shared" si="4"/>
        <v>7.9559944865149257</v>
      </c>
    </row>
    <row r="224" spans="1:5" ht="18" x14ac:dyDescent="0.35">
      <c r="A224" s="13"/>
      <c r="B224" s="13"/>
      <c r="C224" s="38">
        <v>1.7216745864954461</v>
      </c>
      <c r="D224" s="38">
        <v>2.81509653389665</v>
      </c>
      <c r="E224" s="38">
        <f t="shared" si="4"/>
        <v>1.1955715550586412</v>
      </c>
    </row>
    <row r="225" spans="1:5" ht="18" x14ac:dyDescent="0.35">
      <c r="A225" s="13"/>
      <c r="B225" s="13"/>
      <c r="C225" s="38">
        <v>-0.2961491725561558</v>
      </c>
      <c r="D225" s="38">
        <v>1.7216745864954461</v>
      </c>
      <c r="E225" s="38">
        <f t="shared" si="4"/>
        <v>4.0716127225931373</v>
      </c>
    </row>
    <row r="226" spans="1:5" ht="18" x14ac:dyDescent="0.35">
      <c r="A226" s="13"/>
      <c r="B226" s="13"/>
      <c r="C226" s="38">
        <v>1.4800273376251667</v>
      </c>
      <c r="D226" s="38">
        <v>-0.2961491725561558</v>
      </c>
      <c r="E226" s="38">
        <f t="shared" si="4"/>
        <v>3.1548029953199017</v>
      </c>
    </row>
    <row r="227" spans="1:5" ht="18" x14ac:dyDescent="0.35">
      <c r="A227" s="13"/>
      <c r="B227" s="13"/>
      <c r="C227" s="38">
        <v>-2.3611101126026384</v>
      </c>
      <c r="D227" s="38">
        <v>1.4800273376251667</v>
      </c>
      <c r="E227" s="38">
        <f t="shared" si="4"/>
        <v>14.754336911542564</v>
      </c>
    </row>
    <row r="228" spans="1:5" ht="18" x14ac:dyDescent="0.35">
      <c r="A228" s="13"/>
      <c r="B228" s="13"/>
      <c r="C228" s="38">
        <v>-1.101443131830905</v>
      </c>
      <c r="D228" s="38">
        <v>-2.3611101126026384</v>
      </c>
      <c r="E228" s="38">
        <f t="shared" si="4"/>
        <v>1.5867609024465743</v>
      </c>
    </row>
    <row r="229" spans="1:5" ht="18" x14ac:dyDescent="0.35">
      <c r="A229" s="13"/>
      <c r="B229" s="13"/>
      <c r="C229" s="38">
        <v>0.2646648551611861</v>
      </c>
      <c r="D229" s="38">
        <v>-1.101443131830905</v>
      </c>
      <c r="E229" s="38">
        <f t="shared" si="4"/>
        <v>1.8662510321235835</v>
      </c>
    </row>
    <row r="230" spans="1:5" ht="18" x14ac:dyDescent="0.35">
      <c r="A230" s="13"/>
      <c r="B230" s="13"/>
      <c r="C230" s="38">
        <v>-1.4016391046807541</v>
      </c>
      <c r="D230" s="38">
        <v>0.2646648551611861</v>
      </c>
      <c r="E230" s="38">
        <f t="shared" si="4"/>
        <v>2.7765688865849305</v>
      </c>
    </row>
    <row r="231" spans="1:5" ht="18" x14ac:dyDescent="0.35">
      <c r="A231" s="13"/>
      <c r="B231" s="13"/>
      <c r="C231" s="38">
        <v>-3.8292271578467236</v>
      </c>
      <c r="D231" s="38">
        <v>-1.4016391046807541</v>
      </c>
      <c r="E231" s="38">
        <f t="shared" si="4"/>
        <v>5.8931837558741416</v>
      </c>
    </row>
    <row r="232" spans="1:5" ht="18" x14ac:dyDescent="0.35">
      <c r="A232" s="13"/>
      <c r="B232" s="13"/>
      <c r="C232" s="38">
        <v>-4.0475305792228369</v>
      </c>
      <c r="D232" s="38">
        <v>-3.8292271578467236</v>
      </c>
      <c r="E232" s="38">
        <f t="shared" si="4"/>
        <v>4.7656383784516858E-2</v>
      </c>
    </row>
    <row r="233" spans="1:5" ht="18" x14ac:dyDescent="0.35">
      <c r="A233" s="13"/>
      <c r="B233" s="13"/>
      <c r="C233" s="38">
        <v>-0.58800064482953474</v>
      </c>
      <c r="D233" s="38">
        <v>-4.0475305792228369</v>
      </c>
      <c r="E233" s="38">
        <f t="shared" si="4"/>
        <v>11.968347366963325</v>
      </c>
    </row>
    <row r="234" spans="1:5" ht="18" x14ac:dyDescent="0.35">
      <c r="A234" s="13"/>
      <c r="B234" s="13"/>
      <c r="C234" s="38">
        <v>2.0862641204424222</v>
      </c>
      <c r="D234" s="38">
        <v>-0.58800064482953474</v>
      </c>
      <c r="E234" s="38">
        <f t="shared" si="4"/>
        <v>7.151692034775075</v>
      </c>
    </row>
    <row r="235" spans="1:5" ht="18" x14ac:dyDescent="0.35">
      <c r="A235" s="13"/>
      <c r="B235" s="13"/>
      <c r="C235" s="38">
        <v>3.5146853947613508</v>
      </c>
      <c r="D235" s="38">
        <v>2.0862641204424222</v>
      </c>
      <c r="E235" s="38">
        <f t="shared" si="4"/>
        <v>2.0403873369269121</v>
      </c>
    </row>
    <row r="236" spans="1:5" ht="18" x14ac:dyDescent="0.35">
      <c r="A236" s="13"/>
      <c r="B236" s="13"/>
      <c r="C236" s="38">
        <v>-1.1290503784325026</v>
      </c>
      <c r="D236" s="38">
        <v>3.5146853947613508</v>
      </c>
      <c r="E236" s="38">
        <f t="shared" si="4"/>
        <v>21.564281931240316</v>
      </c>
    </row>
    <row r="237" spans="1:5" ht="18" x14ac:dyDescent="0.35">
      <c r="A237" s="13"/>
      <c r="B237" s="13"/>
      <c r="C237" s="38">
        <v>1.617439957541464</v>
      </c>
      <c r="D237" s="38">
        <v>-1.1290503784325026</v>
      </c>
      <c r="E237" s="38">
        <f t="shared" si="4"/>
        <v>7.5432091655983919</v>
      </c>
    </row>
    <row r="238" spans="1:5" ht="18" x14ac:dyDescent="0.35">
      <c r="A238" s="13"/>
      <c r="B238" s="13"/>
      <c r="C238" s="38">
        <v>-2.3408936001526328</v>
      </c>
      <c r="D238" s="38">
        <v>1.617439957541464</v>
      </c>
      <c r="E238" s="38">
        <f t="shared" si="4"/>
        <v>15.668404553967205</v>
      </c>
    </row>
    <row r="239" spans="1:5" ht="18" x14ac:dyDescent="0.35">
      <c r="A239" s="13"/>
      <c r="B239" s="13"/>
      <c r="C239" s="38">
        <v>-0.77995212277468084</v>
      </c>
      <c r="D239" s="38">
        <v>-2.3408936001526328</v>
      </c>
      <c r="E239" s="38">
        <f t="shared" si="4"/>
        <v>2.4365382957988633</v>
      </c>
    </row>
    <row r="240" spans="1:5" ht="18" x14ac:dyDescent="0.35">
      <c r="A240" s="13"/>
      <c r="B240" s="13"/>
      <c r="C240" s="38">
        <v>0.40125385064234109</v>
      </c>
      <c r="D240" s="38">
        <v>-0.77995212277468084</v>
      </c>
      <c r="E240" s="38">
        <f t="shared" si="4"/>
        <v>1.3952475516360543</v>
      </c>
    </row>
    <row r="241" spans="1:5" ht="18" x14ac:dyDescent="0.35">
      <c r="A241" s="13"/>
      <c r="B241" s="13"/>
      <c r="C241" s="38">
        <v>-3.3623736663265049</v>
      </c>
      <c r="D241" s="38">
        <v>0.40125385064234109</v>
      </c>
      <c r="E241" s="38">
        <f t="shared" si="4"/>
        <v>14.16489208648508</v>
      </c>
    </row>
    <row r="242" spans="1:5" ht="18" x14ac:dyDescent="0.35">
      <c r="A242" s="13"/>
      <c r="B242" s="13"/>
      <c r="C242" s="38">
        <v>1.8959502946497722</v>
      </c>
      <c r="D242" s="38">
        <v>-3.3623736663265049</v>
      </c>
      <c r="E242" s="38">
        <f t="shared" si="4"/>
        <v>27.649970878577243</v>
      </c>
    </row>
    <row r="243" spans="1:5" ht="18" x14ac:dyDescent="0.35">
      <c r="A243" s="13"/>
      <c r="B243" s="13"/>
      <c r="C243" s="38">
        <v>8.1822575756234528E-2</v>
      </c>
      <c r="D243" s="38">
        <v>1.8959502946497722</v>
      </c>
      <c r="E243" s="38">
        <f t="shared" si="4"/>
        <v>3.2910593804578703</v>
      </c>
    </row>
    <row r="244" spans="1:5" ht="18" x14ac:dyDescent="0.35">
      <c r="A244" s="13"/>
      <c r="B244" s="13"/>
      <c r="C244" s="38">
        <v>-0.39575588069192236</v>
      </c>
      <c r="D244" s="38">
        <v>8.1822575756234528E-2</v>
      </c>
      <c r="E244" s="38">
        <f t="shared" si="4"/>
        <v>0.22808118206340408</v>
      </c>
    </row>
    <row r="245" spans="1:5" ht="18" x14ac:dyDescent="0.35">
      <c r="A245" s="13"/>
      <c r="B245" s="13"/>
      <c r="C245" s="38">
        <v>0.41054807915000424</v>
      </c>
      <c r="D245" s="38">
        <v>-0.39575588069192236</v>
      </c>
      <c r="E245" s="38">
        <f t="shared" si="4"/>
        <v>0.65012607565677116</v>
      </c>
    </row>
    <row r="246" spans="1:5" ht="18" x14ac:dyDescent="0.35">
      <c r="A246" s="13"/>
      <c r="B246" s="13"/>
      <c r="C246" s="38">
        <v>0.32717546150240651</v>
      </c>
      <c r="D246" s="38">
        <v>0.41054807915000424</v>
      </c>
      <c r="E246" s="38">
        <f t="shared" si="4"/>
        <v>6.9509933734125257E-3</v>
      </c>
    </row>
    <row r="247" spans="1:5" ht="18" x14ac:dyDescent="0.35">
      <c r="A247" s="13"/>
      <c r="B247" s="13"/>
      <c r="C247" s="38">
        <v>3.0726557969091957</v>
      </c>
      <c r="D247" s="38">
        <v>0.32717546150240651</v>
      </c>
      <c r="E247" s="38">
        <f t="shared" si="4"/>
        <v>7.5376622721053756</v>
      </c>
    </row>
    <row r="248" spans="1:5" ht="18" x14ac:dyDescent="0.35">
      <c r="A248" s="13"/>
      <c r="B248" s="13"/>
      <c r="C248" s="38">
        <v>-2.4869426606733214</v>
      </c>
      <c r="D248" s="38">
        <v>3.0726557969091957</v>
      </c>
      <c r="E248" s="38">
        <f t="shared" si="4"/>
        <v>30.909135009553903</v>
      </c>
    </row>
    <row r="249" spans="1:5" ht="18" x14ac:dyDescent="0.35">
      <c r="A249" s="13"/>
      <c r="B249" s="13"/>
      <c r="C249" s="38">
        <v>-3.86791292820471</v>
      </c>
      <c r="D249" s="38">
        <v>-2.4869426606733214</v>
      </c>
      <c r="E249" s="38">
        <f t="shared" si="4"/>
        <v>1.907078879805715</v>
      </c>
    </row>
    <row r="250" spans="1:5" ht="18" x14ac:dyDescent="0.35">
      <c r="A250" s="13"/>
      <c r="B250" s="13"/>
      <c r="C250" s="38">
        <v>1.3911100079809557E-2</v>
      </c>
      <c r="D250" s="38">
        <v>-3.86791292820471</v>
      </c>
      <c r="E250" s="38">
        <f t="shared" si="4"/>
        <v>15.068557786567055</v>
      </c>
    </row>
    <row r="251" spans="1:5" ht="18" x14ac:dyDescent="0.35">
      <c r="A251" s="13"/>
      <c r="B251" s="13"/>
      <c r="C251" s="38">
        <v>8.5822844989145608E-2</v>
      </c>
      <c r="D251" s="38">
        <v>1.3911100079809557E-2</v>
      </c>
      <c r="E251" s="38">
        <f t="shared" si="4"/>
        <v>5.171299055905419E-3</v>
      </c>
    </row>
    <row r="252" spans="1:5" ht="18" x14ac:dyDescent="0.35">
      <c r="A252" s="13"/>
      <c r="B252" s="13"/>
      <c r="C252" s="38">
        <v>1.5786267375228533</v>
      </c>
      <c r="D252" s="38">
        <v>8.5822844989145608E-2</v>
      </c>
      <c r="E252" s="38">
        <f t="shared" si="4"/>
        <v>2.2284634615637895</v>
      </c>
    </row>
    <row r="253" spans="1:5" ht="18" x14ac:dyDescent="0.35">
      <c r="A253" s="13"/>
      <c r="B253" s="13"/>
      <c r="C253" s="38">
        <v>-0.1395793705106172</v>
      </c>
      <c r="D253" s="38">
        <v>1.5786267375228533</v>
      </c>
      <c r="E253" s="38">
        <f t="shared" si="4"/>
        <v>2.9522322296835259</v>
      </c>
    </row>
    <row r="254" spans="1:5" ht="18" x14ac:dyDescent="0.35">
      <c r="A254" s="13"/>
      <c r="B254" s="13"/>
      <c r="C254" s="38">
        <v>1.4100382805075142</v>
      </c>
      <c r="D254" s="38">
        <v>-0.1395793705106172</v>
      </c>
      <c r="E254" s="38">
        <f t="shared" si="4"/>
        <v>2.4013148643469515</v>
      </c>
    </row>
    <row r="255" spans="1:5" ht="18" x14ac:dyDescent="0.35">
      <c r="A255" s="13"/>
      <c r="B255" s="13"/>
      <c r="C255" s="38">
        <v>6.9410628922213391E-2</v>
      </c>
      <c r="D255" s="38">
        <v>1.4100382805075142</v>
      </c>
      <c r="E255" s="38">
        <f t="shared" si="4"/>
        <v>1.7972825001951187</v>
      </c>
    </row>
    <row r="256" spans="1:5" ht="18" x14ac:dyDescent="0.35">
      <c r="A256" s="13"/>
      <c r="B256" s="13"/>
      <c r="C256" s="38">
        <v>-3.8550176507825995E-2</v>
      </c>
      <c r="D256" s="38">
        <v>6.9410628922213391E-2</v>
      </c>
      <c r="E256" s="38">
        <f t="shared" si="4"/>
        <v>1.1655535509102822E-2</v>
      </c>
    </row>
    <row r="257" spans="1:5" ht="18" x14ac:dyDescent="0.35">
      <c r="A257" s="13"/>
      <c r="B257" s="13"/>
      <c r="C257" s="38">
        <v>1.0820870717952928</v>
      </c>
      <c r="D257" s="38">
        <v>-3.8550176507825995E-2</v>
      </c>
      <c r="E257" s="38">
        <f t="shared" si="4"/>
        <v>1.255827842284386</v>
      </c>
    </row>
    <row r="258" spans="1:5" ht="18" x14ac:dyDescent="0.35">
      <c r="A258" s="13"/>
      <c r="B258" s="13"/>
      <c r="C258" s="38">
        <v>-0.50300131791181713</v>
      </c>
      <c r="D258" s="38">
        <v>1.0820870717952928</v>
      </c>
      <c r="E258" s="38">
        <f t="shared" si="4"/>
        <v>2.5125052031842787</v>
      </c>
    </row>
    <row r="259" spans="1:5" ht="18" x14ac:dyDescent="0.35">
      <c r="A259" s="13"/>
      <c r="B259" s="13"/>
      <c r="C259" s="38">
        <v>1.5315183466813949</v>
      </c>
      <c r="D259" s="38">
        <v>-0.50300131791181713</v>
      </c>
      <c r="E259" s="38">
        <f t="shared" si="4"/>
        <v>4.1392702656164762</v>
      </c>
    </row>
    <row r="260" spans="1:5" ht="18" x14ac:dyDescent="0.35">
      <c r="A260" s="13"/>
      <c r="B260" s="13"/>
      <c r="C260" s="38">
        <v>1.4420377420416983</v>
      </c>
      <c r="D260" s="38">
        <v>1.5315183466813949</v>
      </c>
      <c r="E260" s="38">
        <f t="shared" si="4"/>
        <v>8.0067786066856817E-3</v>
      </c>
    </row>
    <row r="261" spans="1:5" ht="18" x14ac:dyDescent="0.35">
      <c r="A261" s="13"/>
      <c r="B261" s="13"/>
      <c r="C261" s="38">
        <v>0.5011551911351475</v>
      </c>
      <c r="D261" s="38">
        <v>1.4420377420416983</v>
      </c>
      <c r="E261" s="38">
        <f t="shared" si="4"/>
        <v>0.88525997460041816</v>
      </c>
    </row>
    <row r="262" spans="1:5" ht="18" x14ac:dyDescent="0.35">
      <c r="A262" s="13"/>
      <c r="B262" s="13"/>
      <c r="C262" s="38">
        <v>0.76803747280879264</v>
      </c>
      <c r="D262" s="38">
        <v>0.5011551911351475</v>
      </c>
      <c r="E262" s="38">
        <f t="shared" si="4"/>
        <v>7.1226152271330861E-2</v>
      </c>
    </row>
    <row r="263" spans="1:5" ht="18" x14ac:dyDescent="0.35">
      <c r="A263" s="13"/>
      <c r="B263" s="13"/>
      <c r="C263" s="38">
        <v>-1.2717665543413688</v>
      </c>
      <c r="D263" s="38">
        <v>0.76803747280879264</v>
      </c>
      <c r="E263" s="38">
        <f t="shared" si="4"/>
        <v>4.1608004691780165</v>
      </c>
    </row>
    <row r="264" spans="1:5" ht="18" x14ac:dyDescent="0.35">
      <c r="A264" s="13"/>
      <c r="B264" s="13"/>
      <c r="C264" s="38">
        <v>-2.5876977619192516</v>
      </c>
      <c r="D264" s="38">
        <v>-1.2717665543413688</v>
      </c>
      <c r="E264" s="38">
        <f t="shared" si="4"/>
        <v>1.731674943077385</v>
      </c>
    </row>
    <row r="265" spans="1:5" ht="18" x14ac:dyDescent="0.35">
      <c r="A265" s="13"/>
      <c r="B265" s="13"/>
      <c r="C265" s="38">
        <v>-2.2101974253781123</v>
      </c>
      <c r="D265" s="38">
        <v>-2.5876977619192516</v>
      </c>
      <c r="E265" s="38">
        <f t="shared" si="4"/>
        <v>0.14250650408867346</v>
      </c>
    </row>
    <row r="266" spans="1:5" ht="18" x14ac:dyDescent="0.35">
      <c r="A266" s="13"/>
      <c r="B266" s="13"/>
      <c r="C266" s="38">
        <v>-3.5474716527514261</v>
      </c>
      <c r="D266" s="38">
        <v>-2.2101974253781123</v>
      </c>
      <c r="E266" s="38">
        <f t="shared" ref="E266:E329" si="5">(C266-D266)^2</f>
        <v>1.7883023591968934</v>
      </c>
    </row>
    <row r="267" spans="1:5" ht="18" x14ac:dyDescent="0.35">
      <c r="A267" s="13"/>
      <c r="B267" s="13"/>
      <c r="C267" s="38">
        <v>-2.4814417856663695</v>
      </c>
      <c r="D267" s="38">
        <v>-3.5474716527514261</v>
      </c>
      <c r="E267" s="38">
        <f t="shared" si="5"/>
        <v>1.1364196775173834</v>
      </c>
    </row>
    <row r="268" spans="1:5" ht="18" x14ac:dyDescent="0.35">
      <c r="A268" s="13"/>
      <c r="B268" s="13"/>
      <c r="C268" s="38">
        <v>0.29873499374785695</v>
      </c>
      <c r="D268" s="38">
        <v>-2.4814417856663695</v>
      </c>
      <c r="E268" s="38">
        <f t="shared" si="5"/>
        <v>7.7293829247940602</v>
      </c>
    </row>
    <row r="269" spans="1:5" ht="18" x14ac:dyDescent="0.35">
      <c r="A269" s="13"/>
      <c r="B269" s="13"/>
      <c r="C269" s="38">
        <v>2.1447251277971375</v>
      </c>
      <c r="D269" s="38">
        <v>0.29873499374785695</v>
      </c>
      <c r="E269" s="38">
        <f t="shared" si="5"/>
        <v>3.4076795750072808</v>
      </c>
    </row>
    <row r="270" spans="1:5" ht="18" x14ac:dyDescent="0.35">
      <c r="A270" s="13"/>
      <c r="B270" s="13"/>
      <c r="C270" s="38">
        <v>-4.9158340005989558</v>
      </c>
      <c r="D270" s="38">
        <v>2.1447251277971375</v>
      </c>
      <c r="E270" s="38">
        <f t="shared" si="5"/>
        <v>49.8514952055774</v>
      </c>
    </row>
    <row r="271" spans="1:5" ht="18" x14ac:dyDescent="0.35">
      <c r="A271" s="13"/>
      <c r="B271" s="13"/>
      <c r="C271" s="38">
        <v>-2.9867549383767411</v>
      </c>
      <c r="D271" s="38">
        <v>-4.9158340005989558</v>
      </c>
      <c r="E271" s="38">
        <f t="shared" si="5"/>
        <v>3.7213460283041395</v>
      </c>
    </row>
    <row r="272" spans="1:5" ht="18" x14ac:dyDescent="0.35">
      <c r="A272" s="13"/>
      <c r="B272" s="13"/>
      <c r="C272" s="38">
        <v>-13.41231339369056</v>
      </c>
      <c r="D272" s="38">
        <v>-2.9867549383767411</v>
      </c>
      <c r="E272" s="38">
        <f t="shared" si="5"/>
        <v>108.69226910516547</v>
      </c>
    </row>
    <row r="273" spans="1:5" ht="18" x14ac:dyDescent="0.35">
      <c r="A273" s="13"/>
      <c r="B273" s="13"/>
      <c r="C273" s="38">
        <v>-8.6002920463916617</v>
      </c>
      <c r="D273" s="38">
        <v>-13.41231339369056</v>
      </c>
      <c r="E273" s="38">
        <f t="shared" si="5"/>
        <v>23.155549446860309</v>
      </c>
    </row>
    <row r="274" spans="1:5" ht="18" x14ac:dyDescent="0.35">
      <c r="A274" s="13"/>
      <c r="B274" s="13"/>
      <c r="C274" s="38">
        <v>-5.2548007681025162</v>
      </c>
      <c r="D274" s="38">
        <v>-8.6002920463916617</v>
      </c>
      <c r="E274" s="38">
        <f t="shared" si="5"/>
        <v>11.192311893108741</v>
      </c>
    </row>
    <row r="275" spans="1:5" ht="18" x14ac:dyDescent="0.35">
      <c r="A275" s="13"/>
      <c r="B275" s="13"/>
      <c r="C275" s="38">
        <v>1.6846606431015623</v>
      </c>
      <c r="D275" s="38">
        <v>-5.2548007681025162</v>
      </c>
      <c r="E275" s="38">
        <f t="shared" si="5"/>
        <v>48.156124677590498</v>
      </c>
    </row>
    <row r="276" spans="1:5" ht="18" x14ac:dyDescent="0.35">
      <c r="A276" s="13"/>
      <c r="B276" s="13"/>
      <c r="C276" s="38">
        <v>2.1833368167417326</v>
      </c>
      <c r="D276" s="38">
        <v>1.6846606431015623</v>
      </c>
      <c r="E276" s="38">
        <f t="shared" si="5"/>
        <v>0.24867792615640133</v>
      </c>
    </row>
    <row r="277" spans="1:5" ht="18" x14ac:dyDescent="0.35">
      <c r="A277" s="13"/>
      <c r="B277" s="13"/>
      <c r="C277" s="38">
        <v>-4.7919968755688096</v>
      </c>
      <c r="D277" s="38">
        <v>2.1833368167417326</v>
      </c>
      <c r="E277" s="38">
        <f t="shared" si="5"/>
        <v>48.655280119082619</v>
      </c>
    </row>
    <row r="278" spans="1:5" ht="18" x14ac:dyDescent="0.35">
      <c r="A278" s="13"/>
      <c r="B278" s="13"/>
      <c r="C278" s="38">
        <v>-17.356672779976076</v>
      </c>
      <c r="D278" s="38">
        <v>-4.7919968755688096</v>
      </c>
      <c r="E278" s="38">
        <f t="shared" si="5"/>
        <v>157.87108058279256</v>
      </c>
    </row>
    <row r="279" spans="1:5" ht="18" x14ac:dyDescent="0.35">
      <c r="A279" s="13"/>
      <c r="B279" s="13"/>
      <c r="C279" s="38">
        <v>11.619211790177296</v>
      </c>
      <c r="D279" s="38">
        <v>-17.356672779976076</v>
      </c>
      <c r="E279" s="38">
        <f t="shared" si="5"/>
        <v>839.60188662285225</v>
      </c>
    </row>
    <row r="280" spans="1:5" ht="18" x14ac:dyDescent="0.35">
      <c r="A280" s="13"/>
      <c r="B280" s="13"/>
      <c r="C280" s="38">
        <v>7.1371219196891857</v>
      </c>
      <c r="D280" s="38">
        <v>11.619211790177296</v>
      </c>
      <c r="E280" s="38">
        <f t="shared" si="5"/>
        <v>20.089129607132126</v>
      </c>
    </row>
    <row r="281" spans="1:5" ht="18" x14ac:dyDescent="0.35">
      <c r="A281" s="13"/>
      <c r="B281" s="13"/>
      <c r="C281" s="38">
        <v>2.4258954066720015</v>
      </c>
      <c r="D281" s="38">
        <v>7.1371219196891857</v>
      </c>
      <c r="E281" s="38">
        <f t="shared" si="5"/>
        <v>22.195655256956055</v>
      </c>
    </row>
    <row r="282" spans="1:5" ht="18" x14ac:dyDescent="0.35">
      <c r="A282" s="13"/>
      <c r="B282" s="13"/>
      <c r="C282" s="38">
        <v>6.2233656068951682</v>
      </c>
      <c r="D282" s="38">
        <v>2.4258954066720015</v>
      </c>
      <c r="E282" s="38">
        <f t="shared" si="5"/>
        <v>14.420779921582977</v>
      </c>
    </row>
    <row r="283" spans="1:5" ht="18" x14ac:dyDescent="0.35">
      <c r="A283" s="13"/>
      <c r="B283" s="13"/>
      <c r="C283" s="38">
        <v>0.69875687951256538</v>
      </c>
      <c r="D283" s="38">
        <v>6.2233656068951682</v>
      </c>
      <c r="E283" s="38">
        <f t="shared" si="5"/>
        <v>30.521301590672021</v>
      </c>
    </row>
    <row r="284" spans="1:5" ht="18" x14ac:dyDescent="0.35">
      <c r="A284" s="13"/>
      <c r="B284" s="13"/>
      <c r="C284" s="38">
        <v>2.752648892520476</v>
      </c>
      <c r="D284" s="38">
        <v>0.69875687951256538</v>
      </c>
      <c r="E284" s="38">
        <f t="shared" si="5"/>
        <v>4.2184724010976868</v>
      </c>
    </row>
    <row r="285" spans="1:5" ht="18" x14ac:dyDescent="0.35">
      <c r="A285" s="13"/>
      <c r="B285" s="13"/>
      <c r="C285" s="38">
        <v>0.21254063629547204</v>
      </c>
      <c r="D285" s="38">
        <v>2.752648892520476</v>
      </c>
      <c r="E285" s="38">
        <f t="shared" si="5"/>
        <v>6.4521499533424302</v>
      </c>
    </row>
    <row r="286" spans="1:5" ht="18" x14ac:dyDescent="0.35">
      <c r="A286" s="13"/>
      <c r="B286" s="13"/>
      <c r="C286" s="38">
        <v>0.14955036762974316</v>
      </c>
      <c r="D286" s="38">
        <v>0.21254063629547204</v>
      </c>
      <c r="E286" s="38">
        <f t="shared" si="5"/>
        <v>3.9677739465807053E-3</v>
      </c>
    </row>
    <row r="287" spans="1:5" ht="18" x14ac:dyDescent="0.35">
      <c r="A287" s="13"/>
      <c r="B287" s="13"/>
      <c r="C287" s="38">
        <v>0.54566795133963808</v>
      </c>
      <c r="D287" s="38">
        <v>0.14955036762974316</v>
      </c>
      <c r="E287" s="38">
        <f t="shared" si="5"/>
        <v>0.1569091401241656</v>
      </c>
    </row>
    <row r="288" spans="1:5" ht="18" x14ac:dyDescent="0.35">
      <c r="A288" s="13"/>
      <c r="B288" s="13"/>
      <c r="C288" s="38">
        <v>0.3167560718138418</v>
      </c>
      <c r="D288" s="38">
        <v>0.54566795133963808</v>
      </c>
      <c r="E288" s="38">
        <f t="shared" si="5"/>
        <v>5.2400648588032672E-2</v>
      </c>
    </row>
    <row r="289" spans="1:5" ht="18" x14ac:dyDescent="0.35">
      <c r="A289" s="13"/>
      <c r="B289" s="13"/>
      <c r="C289" s="38">
        <v>0.28478540043308698</v>
      </c>
      <c r="D289" s="38">
        <v>0.3167560718138418</v>
      </c>
      <c r="E289" s="38">
        <f t="shared" si="5"/>
        <v>1.0221238285362155E-3</v>
      </c>
    </row>
    <row r="290" spans="1:5" ht="18" x14ac:dyDescent="0.35">
      <c r="A290" s="13"/>
      <c r="B290" s="13"/>
      <c r="C290" s="38">
        <v>-0.16769506959015246</v>
      </c>
      <c r="D290" s="38">
        <v>0.28478540043308698</v>
      </c>
      <c r="E290" s="38">
        <f t="shared" si="5"/>
        <v>0.20473857575245169</v>
      </c>
    </row>
    <row r="291" spans="1:5" ht="18" x14ac:dyDescent="0.35">
      <c r="A291" s="13"/>
      <c r="B291" s="13"/>
      <c r="C291" s="38">
        <v>0.47396177599794953</v>
      </c>
      <c r="D291" s="38">
        <v>-0.16769506959015246</v>
      </c>
      <c r="E291" s="38">
        <f t="shared" si="5"/>
        <v>0.41172350749007336</v>
      </c>
    </row>
    <row r="292" spans="1:5" ht="18" x14ac:dyDescent="0.35">
      <c r="A292" s="13"/>
      <c r="B292" s="13"/>
      <c r="C292" s="38">
        <v>-0.93622460013408926</v>
      </c>
      <c r="D292" s="38">
        <v>0.47396177599794953</v>
      </c>
      <c r="E292" s="38">
        <f t="shared" si="5"/>
        <v>1.9886256154284119</v>
      </c>
    </row>
    <row r="293" spans="1:5" ht="18" x14ac:dyDescent="0.35">
      <c r="A293" s="13"/>
      <c r="B293" s="13"/>
      <c r="C293" s="38">
        <v>0.5854911719254261</v>
      </c>
      <c r="D293" s="38">
        <v>-0.93622460013408926</v>
      </c>
      <c r="E293" s="38">
        <f t="shared" si="5"/>
        <v>2.3156188909346871</v>
      </c>
    </row>
    <row r="294" spans="1:5" ht="18" x14ac:dyDescent="0.35">
      <c r="A294" s="13"/>
      <c r="B294" s="13"/>
      <c r="C294" s="38">
        <v>0.22670674206024444</v>
      </c>
      <c r="D294" s="38">
        <v>0.5854911719254261</v>
      </c>
      <c r="E294" s="38">
        <f t="shared" si="5"/>
        <v>0.12872626711368346</v>
      </c>
    </row>
    <row r="295" spans="1:5" ht="18" x14ac:dyDescent="0.35">
      <c r="A295" s="13"/>
      <c r="B295" s="13"/>
      <c r="C295" s="38">
        <v>0.3732066747520193</v>
      </c>
      <c r="D295" s="38">
        <v>0.22670674206024444</v>
      </c>
      <c r="E295" s="38">
        <f t="shared" si="5"/>
        <v>2.1462230278694563E-2</v>
      </c>
    </row>
    <row r="296" spans="1:5" ht="18" x14ac:dyDescent="0.35">
      <c r="A296" s="13"/>
      <c r="B296" s="13"/>
      <c r="C296" s="38">
        <v>-6.8509097307483557E-2</v>
      </c>
      <c r="D296" s="38">
        <v>0.3732066747520193</v>
      </c>
      <c r="E296" s="38">
        <f t="shared" si="5"/>
        <v>0.19511282328612267</v>
      </c>
    </row>
    <row r="297" spans="1:5" ht="18" x14ac:dyDescent="0.35">
      <c r="A297" s="13"/>
      <c r="B297" s="13"/>
      <c r="C297" s="38">
        <v>-1.3559601040950255</v>
      </c>
      <c r="D297" s="38">
        <v>-6.8509097307483557E-2</v>
      </c>
      <c r="E297" s="38">
        <f t="shared" si="5"/>
        <v>1.6575300948782554</v>
      </c>
    </row>
    <row r="298" spans="1:5" ht="18" x14ac:dyDescent="0.35">
      <c r="A298" s="13"/>
      <c r="B298" s="13"/>
      <c r="C298" s="38">
        <v>-4.7398521171029344</v>
      </c>
      <c r="D298" s="38">
        <v>-1.3559601040950255</v>
      </c>
      <c r="E298" s="38">
        <f t="shared" si="5"/>
        <v>11.450725155698718</v>
      </c>
    </row>
    <row r="299" spans="1:5" ht="18" x14ac:dyDescent="0.35">
      <c r="A299" s="13"/>
      <c r="B299" s="13"/>
      <c r="C299" s="38">
        <v>1.8333053342592081</v>
      </c>
      <c r="D299" s="38">
        <v>-4.7398521171029344</v>
      </c>
      <c r="E299" s="38">
        <f t="shared" si="5"/>
        <v>43.206398880397657</v>
      </c>
    </row>
    <row r="300" spans="1:5" ht="18" x14ac:dyDescent="0.35">
      <c r="A300" s="13"/>
      <c r="B300" s="13"/>
      <c r="C300" s="38">
        <v>-7.9038089385598198E-2</v>
      </c>
      <c r="D300" s="38">
        <v>1.8333053342592081</v>
      </c>
      <c r="E300" s="38">
        <f t="shared" si="5"/>
        <v>3.6570573699575388</v>
      </c>
    </row>
    <row r="301" spans="1:5" ht="18" x14ac:dyDescent="0.35">
      <c r="A301" s="13"/>
      <c r="B301" s="13"/>
      <c r="C301" s="38">
        <v>-1.0961067471912713</v>
      </c>
      <c r="D301" s="38">
        <v>-7.9038089385598198E-2</v>
      </c>
      <c r="E301" s="38">
        <f t="shared" si="5"/>
        <v>1.0344286546906334</v>
      </c>
    </row>
    <row r="302" spans="1:5" ht="18" x14ac:dyDescent="0.35">
      <c r="A302" s="13"/>
      <c r="B302" s="13"/>
      <c r="C302" s="38">
        <v>0.88382472961951208</v>
      </c>
      <c r="D302" s="38">
        <v>-1.0961067471912713</v>
      </c>
      <c r="E302" s="38">
        <f t="shared" si="5"/>
        <v>3.9201286528661297</v>
      </c>
    </row>
    <row r="303" spans="1:5" ht="18" x14ac:dyDescent="0.35">
      <c r="A303" s="13"/>
      <c r="B303" s="13"/>
      <c r="C303" s="38">
        <v>-0.1608813111057259</v>
      </c>
      <c r="D303" s="38">
        <v>0.88382472961951208</v>
      </c>
      <c r="E303" s="38">
        <f t="shared" si="5"/>
        <v>1.0914107115278027</v>
      </c>
    </row>
    <row r="304" spans="1:5" ht="18" x14ac:dyDescent="0.35">
      <c r="A304" s="13"/>
      <c r="B304" s="13"/>
      <c r="C304" s="38">
        <v>-0.19909701585700645</v>
      </c>
      <c r="D304" s="38">
        <v>-0.1608813111057259</v>
      </c>
      <c r="E304" s="38">
        <f t="shared" si="5"/>
        <v>1.4604400896370473E-3</v>
      </c>
    </row>
    <row r="305" spans="1:5" ht="18" x14ac:dyDescent="0.35">
      <c r="A305" s="13"/>
      <c r="B305" s="13"/>
      <c r="C305" s="38">
        <v>-3.4078225192507787</v>
      </c>
      <c r="D305" s="38">
        <v>-0.19909701585700645</v>
      </c>
      <c r="E305" s="38">
        <f t="shared" si="5"/>
        <v>10.295919356129618</v>
      </c>
    </row>
    <row r="306" spans="1:5" ht="18" x14ac:dyDescent="0.35">
      <c r="A306" s="13"/>
      <c r="B306" s="13"/>
      <c r="C306" s="38">
        <v>5.2540636295475451E-2</v>
      </c>
      <c r="D306" s="38">
        <v>-3.4078225192507787</v>
      </c>
      <c r="E306" s="38">
        <f t="shared" si="5"/>
        <v>11.974113168262029</v>
      </c>
    </row>
    <row r="307" spans="1:5" ht="18" x14ac:dyDescent="0.35">
      <c r="A307" s="13"/>
      <c r="B307" s="13"/>
      <c r="C307" s="38">
        <v>2.6175111730597678</v>
      </c>
      <c r="D307" s="38">
        <v>5.2540636295475451E-2</v>
      </c>
      <c r="E307" s="38">
        <f t="shared" si="5"/>
        <v>6.579073854468902</v>
      </c>
    </row>
    <row r="308" spans="1:5" ht="18" x14ac:dyDescent="0.35">
      <c r="A308" s="13"/>
      <c r="B308" s="13"/>
      <c r="C308" s="38">
        <v>0.56510882294355724</v>
      </c>
      <c r="D308" s="38">
        <v>2.6175111730597678</v>
      </c>
      <c r="E308" s="38">
        <f t="shared" si="5"/>
        <v>4.2123554067625442</v>
      </c>
    </row>
    <row r="309" spans="1:5" ht="18" x14ac:dyDescent="0.35">
      <c r="A309" s="13"/>
      <c r="B309" s="13"/>
      <c r="C309" s="38">
        <v>2.5960694937571276</v>
      </c>
      <c r="D309" s="38">
        <v>0.56510882294355724</v>
      </c>
      <c r="E309" s="38">
        <f t="shared" si="5"/>
        <v>4.1248012463915078</v>
      </c>
    </row>
    <row r="310" spans="1:5" ht="18" x14ac:dyDescent="0.35">
      <c r="A310" s="13"/>
      <c r="B310" s="13"/>
      <c r="C310" s="38">
        <v>0.72277499601655393</v>
      </c>
      <c r="D310" s="38">
        <v>2.5960694937571276</v>
      </c>
      <c r="E310" s="38">
        <f t="shared" si="5"/>
        <v>3.5092322752651079</v>
      </c>
    </row>
    <row r="311" spans="1:5" ht="18" x14ac:dyDescent="0.35">
      <c r="A311" s="13"/>
      <c r="B311" s="13"/>
      <c r="C311" s="38">
        <v>0.43513761309698396</v>
      </c>
      <c r="D311" s="38">
        <v>0.72277499601655393</v>
      </c>
      <c r="E311" s="38">
        <f t="shared" si="5"/>
        <v>8.2735264052819321E-2</v>
      </c>
    </row>
    <row r="312" spans="1:5" ht="18" x14ac:dyDescent="0.35">
      <c r="A312" s="13"/>
      <c r="B312" s="13"/>
      <c r="C312" s="38">
        <v>1.7036767403587234</v>
      </c>
      <c r="D312" s="38">
        <v>0.43513761309698396</v>
      </c>
      <c r="E312" s="38">
        <f t="shared" si="5"/>
        <v>1.6091915173939757</v>
      </c>
    </row>
    <row r="313" spans="1:5" ht="18" x14ac:dyDescent="0.35">
      <c r="A313" s="13"/>
      <c r="B313" s="13"/>
      <c r="C313" s="38">
        <v>-0.4417254751410411</v>
      </c>
      <c r="D313" s="38">
        <v>1.7036767403587234</v>
      </c>
      <c r="E313" s="38">
        <f t="shared" si="5"/>
        <v>4.602750666271298</v>
      </c>
    </row>
    <row r="314" spans="1:5" ht="18" x14ac:dyDescent="0.35">
      <c r="A314" s="13"/>
      <c r="B314" s="13"/>
      <c r="C314" s="38">
        <v>4.5215733004006609E-2</v>
      </c>
      <c r="D314" s="38">
        <v>-0.4417254751410411</v>
      </c>
      <c r="E314" s="38">
        <f t="shared" si="5"/>
        <v>0.23711174018975867</v>
      </c>
    </row>
    <row r="315" spans="1:5" ht="18" x14ac:dyDescent="0.35">
      <c r="A315" s="13"/>
      <c r="B315" s="13"/>
      <c r="C315" s="38">
        <v>1.9084019745195917</v>
      </c>
      <c r="D315" s="38">
        <v>4.5215733004006609E-2</v>
      </c>
      <c r="E315" s="38">
        <f t="shared" si="5"/>
        <v>3.471462970572972</v>
      </c>
    </row>
    <row r="316" spans="1:5" ht="18" x14ac:dyDescent="0.35">
      <c r="A316" s="13"/>
      <c r="B316" s="13"/>
      <c r="C316" s="38">
        <v>2.4852938529110347</v>
      </c>
      <c r="D316" s="38">
        <v>1.9084019745195917</v>
      </c>
      <c r="E316" s="38">
        <f t="shared" si="5"/>
        <v>0.33280423935400744</v>
      </c>
    </row>
    <row r="317" spans="1:5" ht="18" x14ac:dyDescent="0.35">
      <c r="A317" s="13"/>
      <c r="B317" s="13"/>
      <c r="C317" s="38">
        <v>-7.0804537363244435E-2</v>
      </c>
      <c r="D317" s="38">
        <v>2.4852938529110347</v>
      </c>
      <c r="E317" s="38">
        <f t="shared" si="5"/>
        <v>6.5336389807627606</v>
      </c>
    </row>
    <row r="318" spans="1:5" ht="18" x14ac:dyDescent="0.35">
      <c r="A318" s="13"/>
      <c r="B318" s="13"/>
      <c r="C318" s="38">
        <v>-0.43991238973888613</v>
      </c>
      <c r="D318" s="38">
        <v>-7.0804537363244435E-2</v>
      </c>
      <c r="E318" s="38">
        <f t="shared" si="5"/>
        <v>0.13624060668535851</v>
      </c>
    </row>
    <row r="319" spans="1:5" ht="18" x14ac:dyDescent="0.35">
      <c r="A319" s="13"/>
      <c r="B319" s="13"/>
      <c r="C319" s="38">
        <v>2.7262641204424227</v>
      </c>
      <c r="D319" s="38">
        <v>-0.43991238973888613</v>
      </c>
      <c r="E319" s="38">
        <f t="shared" si="5"/>
        <v>10.024673693623892</v>
      </c>
    </row>
    <row r="320" spans="1:5" ht="18" x14ac:dyDescent="0.35">
      <c r="A320" s="13"/>
      <c r="B320" s="13"/>
      <c r="C320" s="38">
        <v>3.0428421730412225</v>
      </c>
      <c r="D320" s="38">
        <v>2.7262641204424227</v>
      </c>
      <c r="E320" s="38">
        <f t="shared" si="5"/>
        <v>0.10022166338724844</v>
      </c>
    </row>
    <row r="321" spans="1:5" ht="18" x14ac:dyDescent="0.35">
      <c r="A321" s="13"/>
      <c r="B321" s="13"/>
      <c r="C321" s="38">
        <v>1.5629888161374694</v>
      </c>
      <c r="D321" s="38">
        <v>3.0428421730412225</v>
      </c>
      <c r="E321" s="38">
        <f t="shared" si="5"/>
        <v>2.1899659579393069</v>
      </c>
    </row>
    <row r="322" spans="1:5" ht="18" x14ac:dyDescent="0.35">
      <c r="A322" s="13"/>
      <c r="B322" s="13"/>
      <c r="C322" s="38">
        <v>2.0837631108190067</v>
      </c>
      <c r="D322" s="38">
        <v>1.5629888161374694</v>
      </c>
      <c r="E322" s="38">
        <f t="shared" si="5"/>
        <v>0.27120586600105256</v>
      </c>
    </row>
    <row r="323" spans="1:5" ht="18" x14ac:dyDescent="0.35">
      <c r="A323" s="13"/>
      <c r="B323" s="13"/>
      <c r="C323" s="38">
        <v>-2.9090111468285329E-2</v>
      </c>
      <c r="D323" s="38">
        <v>2.0837631108190067</v>
      </c>
      <c r="E323" s="38">
        <f t="shared" si="5"/>
        <v>4.4641487389297927</v>
      </c>
    </row>
    <row r="324" spans="1:5" ht="18" x14ac:dyDescent="0.35">
      <c r="A324" s="13"/>
      <c r="B324" s="13"/>
      <c r="C324" s="38">
        <v>2.7107824388710853</v>
      </c>
      <c r="D324" s="38">
        <v>-2.9090111468285329E-2</v>
      </c>
      <c r="E324" s="38">
        <f t="shared" si="5"/>
        <v>7.5069015921031665</v>
      </c>
    </row>
    <row r="325" spans="1:5" ht="18" x14ac:dyDescent="0.35">
      <c r="A325" s="13"/>
      <c r="B325" s="13"/>
      <c r="C325" s="38">
        <v>-1.7844238037788216</v>
      </c>
      <c r="D325" s="38">
        <v>2.7107824388710853</v>
      </c>
      <c r="E325" s="38">
        <f t="shared" si="5"/>
        <v>20.206879163958693</v>
      </c>
    </row>
    <row r="326" spans="1:5" ht="18" x14ac:dyDescent="0.35">
      <c r="A326" s="13"/>
      <c r="B326" s="13"/>
      <c r="C326" s="38">
        <v>-3.2773647426909704</v>
      </c>
      <c r="D326" s="38">
        <v>-1.7844238037788216</v>
      </c>
      <c r="E326" s="38">
        <f t="shared" si="5"/>
        <v>2.2288726470798887</v>
      </c>
    </row>
    <row r="327" spans="1:5" ht="18" x14ac:dyDescent="0.35">
      <c r="A327" s="13"/>
      <c r="B327" s="13"/>
      <c r="C327" s="38">
        <v>0.66095921828529924</v>
      </c>
      <c r="D327" s="38">
        <v>-3.2773647426909704</v>
      </c>
      <c r="E327" s="38">
        <f t="shared" si="5"/>
        <v>15.510395621599814</v>
      </c>
    </row>
    <row r="328" spans="1:5" ht="18" x14ac:dyDescent="0.35">
      <c r="A328" s="13"/>
      <c r="B328" s="13"/>
      <c r="C328" s="38">
        <v>-1.3499918558104582</v>
      </c>
      <c r="D328" s="38">
        <v>0.66095921828529924</v>
      </c>
      <c r="E328" s="38">
        <f t="shared" si="5"/>
        <v>4.043924222406881</v>
      </c>
    </row>
    <row r="329" spans="1:5" ht="18" x14ac:dyDescent="0.35">
      <c r="A329" s="13"/>
      <c r="B329" s="13"/>
      <c r="C329" s="38">
        <v>2.5233122386479252</v>
      </c>
      <c r="D329" s="38">
        <v>-1.3499918558104582</v>
      </c>
      <c r="E329" s="38">
        <f t="shared" si="5"/>
        <v>15.002484608148077</v>
      </c>
    </row>
    <row r="330" spans="1:5" ht="18" x14ac:dyDescent="0.35">
      <c r="A330" s="13"/>
      <c r="B330" s="13"/>
      <c r="C330" s="38">
        <v>0.22619425108865698</v>
      </c>
      <c r="D330" s="38">
        <v>2.5233122386479252</v>
      </c>
      <c r="E330" s="38">
        <f t="shared" ref="E330:E393" si="6">(C330-D330)^2</f>
        <v>5.2767510487683422</v>
      </c>
    </row>
    <row r="331" spans="1:5" ht="18" x14ac:dyDescent="0.35">
      <c r="A331" s="13"/>
      <c r="B331" s="13"/>
      <c r="C331" s="38">
        <v>1.2693804926042347</v>
      </c>
      <c r="D331" s="38">
        <v>0.22619425108865698</v>
      </c>
      <c r="E331" s="38">
        <f t="shared" si="6"/>
        <v>1.0882375344873971</v>
      </c>
    </row>
    <row r="332" spans="1:5" ht="18" x14ac:dyDescent="0.35">
      <c r="A332" s="13"/>
      <c r="B332" s="13"/>
      <c r="C332" s="38">
        <v>1.6258214988245996</v>
      </c>
      <c r="D332" s="38">
        <v>1.2693804926042347</v>
      </c>
      <c r="E332" s="38">
        <f t="shared" si="6"/>
        <v>0.12705019091538622</v>
      </c>
    </row>
    <row r="333" spans="1:5" ht="18" x14ac:dyDescent="0.35">
      <c r="A333" s="13"/>
      <c r="B333" s="13"/>
      <c r="C333" s="38">
        <v>-1.340420649384555E-2</v>
      </c>
      <c r="D333" s="38">
        <v>1.6258214988245996</v>
      </c>
      <c r="E333" s="38">
        <f t="shared" si="6"/>
        <v>2.687060912976754</v>
      </c>
    </row>
    <row r="334" spans="1:5" ht="18" x14ac:dyDescent="0.35">
      <c r="A334" s="13"/>
      <c r="B334" s="13"/>
      <c r="C334" s="38">
        <v>-0.943786555475711</v>
      </c>
      <c r="D334" s="38">
        <v>-1.340420649384555E-2</v>
      </c>
      <c r="E334" s="38">
        <f t="shared" si="6"/>
        <v>0.86561131529701363</v>
      </c>
    </row>
    <row r="335" spans="1:5" ht="18" x14ac:dyDescent="0.35">
      <c r="A335" s="13"/>
      <c r="B335" s="13"/>
      <c r="C335" s="38">
        <v>2.2939782771044861</v>
      </c>
      <c r="D335" s="38">
        <v>-0.943786555475711</v>
      </c>
      <c r="E335" s="38">
        <f t="shared" si="6"/>
        <v>10.483121111093071</v>
      </c>
    </row>
    <row r="336" spans="1:5" ht="18" x14ac:dyDescent="0.35">
      <c r="A336" s="13"/>
      <c r="B336" s="13"/>
      <c r="C336" s="38">
        <v>2.3731642493871306</v>
      </c>
      <c r="D336" s="38">
        <v>2.2939782771044861</v>
      </c>
      <c r="E336" s="38">
        <f t="shared" si="6"/>
        <v>6.2704182063477365E-3</v>
      </c>
    </row>
    <row r="337" spans="1:5" ht="18" x14ac:dyDescent="0.35">
      <c r="A337" s="13"/>
      <c r="B337" s="13"/>
      <c r="C337" s="38">
        <v>1.4329874699729288</v>
      </c>
      <c r="D337" s="38">
        <v>2.3731642493871306</v>
      </c>
      <c r="E337" s="38">
        <f t="shared" si="6"/>
        <v>0.88393237654966061</v>
      </c>
    </row>
    <row r="338" spans="1:5" ht="18" x14ac:dyDescent="0.35">
      <c r="A338" s="13"/>
      <c r="B338" s="13"/>
      <c r="C338" s="38">
        <v>1.5204480734782777</v>
      </c>
      <c r="D338" s="38">
        <v>1.4329874699729288</v>
      </c>
      <c r="E338" s="38">
        <f t="shared" si="6"/>
        <v>7.6493571655198486E-3</v>
      </c>
    </row>
    <row r="339" spans="1:5" ht="18" x14ac:dyDescent="0.35">
      <c r="A339" s="13"/>
      <c r="B339" s="13"/>
      <c r="C339" s="38">
        <v>2.0288008246079841</v>
      </c>
      <c r="D339" s="38">
        <v>1.5204480734782777</v>
      </c>
      <c r="E339" s="38">
        <f t="shared" si="6"/>
        <v>0.25842251958114115</v>
      </c>
    </row>
    <row r="340" spans="1:5" ht="18" x14ac:dyDescent="0.35">
      <c r="A340" s="13"/>
      <c r="B340" s="13"/>
      <c r="C340" s="38">
        <v>0.71339860910819652</v>
      </c>
      <c r="D340" s="38">
        <v>2.0288008246079841</v>
      </c>
      <c r="E340" s="38">
        <f t="shared" si="6"/>
        <v>1.7302829885417494</v>
      </c>
    </row>
    <row r="341" spans="1:5" ht="18" x14ac:dyDescent="0.35">
      <c r="A341" s="13"/>
      <c r="B341" s="13"/>
      <c r="C341" s="38">
        <v>-0.58908186091503012</v>
      </c>
      <c r="D341" s="38">
        <v>0.71339860910819652</v>
      </c>
      <c r="E341" s="38">
        <f t="shared" si="6"/>
        <v>1.6964553747919253</v>
      </c>
    </row>
    <row r="342" spans="1:5" ht="18" x14ac:dyDescent="0.35">
      <c r="A342" s="13"/>
      <c r="B342" s="13"/>
      <c r="C342" s="38">
        <v>-3.8258236479890684E-2</v>
      </c>
      <c r="D342" s="38">
        <v>-0.58908186091503012</v>
      </c>
      <c r="E342" s="38">
        <f t="shared" si="6"/>
        <v>0.30340666523586352</v>
      </c>
    </row>
    <row r="343" spans="1:5" ht="18" x14ac:dyDescent="0.35">
      <c r="A343" s="13"/>
      <c r="B343" s="13"/>
      <c r="C343" s="38">
        <v>-3.390297431049845</v>
      </c>
      <c r="D343" s="38">
        <v>-3.8258236479890684E-2</v>
      </c>
      <c r="E343" s="38">
        <f t="shared" si="6"/>
        <v>11.236166761933188</v>
      </c>
    </row>
    <row r="344" spans="1:5" ht="18" x14ac:dyDescent="0.35">
      <c r="A344" s="13"/>
      <c r="B344" s="13"/>
      <c r="C344" s="38">
        <v>3.1449677380714718</v>
      </c>
      <c r="D344" s="38">
        <v>-3.390297431049845</v>
      </c>
      <c r="E344" s="38">
        <f t="shared" si="6"/>
        <v>42.709690830730274</v>
      </c>
    </row>
    <row r="345" spans="1:5" ht="18" x14ac:dyDescent="0.35">
      <c r="A345" s="13"/>
      <c r="B345" s="13"/>
      <c r="C345" s="38">
        <v>-3.1359052161172656</v>
      </c>
      <c r="D345" s="38">
        <v>3.1449677380714718</v>
      </c>
      <c r="E345" s="38">
        <f t="shared" si="6"/>
        <v>39.44936506665956</v>
      </c>
    </row>
    <row r="346" spans="1:5" ht="18" x14ac:dyDescent="0.35">
      <c r="A346" s="13"/>
      <c r="B346" s="13"/>
      <c r="C346" s="38">
        <v>-1.0973263558197317</v>
      </c>
      <c r="D346" s="38">
        <v>-3.1359052161172656</v>
      </c>
      <c r="E346" s="38">
        <f t="shared" si="6"/>
        <v>4.1558037696519925</v>
      </c>
    </row>
    <row r="347" spans="1:5" ht="18" x14ac:dyDescent="0.35">
      <c r="A347" s="13"/>
      <c r="B347" s="13"/>
      <c r="C347" s="38">
        <v>-3.2222379661126155</v>
      </c>
      <c r="D347" s="38">
        <v>-1.0973263558197317</v>
      </c>
      <c r="E347" s="38">
        <f t="shared" si="6"/>
        <v>4.5152493515574967</v>
      </c>
    </row>
    <row r="348" spans="1:5" ht="18" x14ac:dyDescent="0.35">
      <c r="A348" s="13"/>
      <c r="B348" s="13"/>
      <c r="C348" s="38">
        <v>2.5559585452030262</v>
      </c>
      <c r="D348" s="38">
        <v>-3.2222379661126155</v>
      </c>
      <c r="E348" s="38">
        <f t="shared" si="6"/>
        <v>33.38755492338025</v>
      </c>
    </row>
    <row r="349" spans="1:5" ht="18" x14ac:dyDescent="0.35">
      <c r="A349" s="13"/>
      <c r="B349" s="13"/>
      <c r="C349" s="38">
        <v>1.6083307590012907</v>
      </c>
      <c r="D349" s="38">
        <v>2.5559585452030262</v>
      </c>
      <c r="E349" s="38">
        <f t="shared" si="6"/>
        <v>0.89799842118160211</v>
      </c>
    </row>
    <row r="350" spans="1:5" ht="18" x14ac:dyDescent="0.35">
      <c r="A350" s="13"/>
      <c r="B350" s="13"/>
      <c r="C350" s="38">
        <v>-0.10178709394155305</v>
      </c>
      <c r="D350" s="38">
        <v>1.6083307590012907</v>
      </c>
      <c r="E350" s="38">
        <f t="shared" si="6"/>
        <v>2.924503070953842</v>
      </c>
    </row>
    <row r="351" spans="1:5" ht="18" x14ac:dyDescent="0.35">
      <c r="A351" s="13"/>
      <c r="B351" s="13"/>
      <c r="C351" s="38">
        <v>2.7760462618278723</v>
      </c>
      <c r="D351" s="38">
        <v>-0.10178709394155305</v>
      </c>
      <c r="E351" s="38">
        <f t="shared" si="6"/>
        <v>8.2819248235791125</v>
      </c>
    </row>
    <row r="352" spans="1:5" ht="18" x14ac:dyDescent="0.35">
      <c r="A352" s="13"/>
      <c r="B352" s="13"/>
      <c r="C352" s="38">
        <v>0.59058511985671203</v>
      </c>
      <c r="D352" s="38">
        <v>2.7760462618278723</v>
      </c>
      <c r="E352" s="38">
        <f t="shared" si="6"/>
        <v>4.7762404030658878</v>
      </c>
    </row>
    <row r="353" spans="1:5" ht="18" x14ac:dyDescent="0.35">
      <c r="A353" s="13"/>
      <c r="B353" s="13"/>
      <c r="C353" s="38">
        <v>3.3768301532272318</v>
      </c>
      <c r="D353" s="38">
        <v>0.59058511985671203</v>
      </c>
      <c r="E353" s="38">
        <f t="shared" si="6"/>
        <v>7.7631613859818884</v>
      </c>
    </row>
    <row r="354" spans="1:5" ht="18" x14ac:dyDescent="0.35">
      <c r="A354" s="13"/>
      <c r="B354" s="13"/>
      <c r="C354" s="38">
        <v>3.1985061922509317</v>
      </c>
      <c r="D354" s="38">
        <v>3.3768301532272318</v>
      </c>
      <c r="E354" s="38">
        <f t="shared" si="6"/>
        <v>3.1799435058277002E-2</v>
      </c>
    </row>
    <row r="355" spans="1:5" ht="18" x14ac:dyDescent="0.35">
      <c r="A355" s="13"/>
      <c r="B355" s="13"/>
      <c r="C355" s="38">
        <v>2.8673783387409628</v>
      </c>
      <c r="D355" s="38">
        <v>3.1985061922509317</v>
      </c>
      <c r="E355" s="38">
        <f t="shared" si="6"/>
        <v>0.1096456553701194</v>
      </c>
    </row>
    <row r="356" spans="1:5" ht="18" x14ac:dyDescent="0.35">
      <c r="A356" s="13"/>
      <c r="B356" s="13"/>
      <c r="C356" s="38">
        <v>2.5215348477879189</v>
      </c>
      <c r="D356" s="38">
        <v>2.8673783387409628</v>
      </c>
      <c r="E356" s="38">
        <f t="shared" si="6"/>
        <v>0.11960772023458816</v>
      </c>
    </row>
    <row r="357" spans="1:5" ht="18" x14ac:dyDescent="0.35">
      <c r="A357" s="13"/>
      <c r="B357" s="13"/>
      <c r="C357" s="38">
        <v>0.61084826973120698</v>
      </c>
      <c r="D357" s="38">
        <v>2.5215348477879189</v>
      </c>
      <c r="E357" s="38">
        <f t="shared" si="6"/>
        <v>3.6507231995660674</v>
      </c>
    </row>
    <row r="358" spans="1:5" ht="18" x14ac:dyDescent="0.35">
      <c r="A358" s="13"/>
      <c r="B358" s="13"/>
      <c r="C358" s="38">
        <v>-1.7945635424863582</v>
      </c>
      <c r="D358" s="38">
        <v>0.61084826973120698</v>
      </c>
      <c r="E358" s="38">
        <f t="shared" si="6"/>
        <v>5.7860059863557911</v>
      </c>
    </row>
    <row r="359" spans="1:5" ht="18" x14ac:dyDescent="0.35">
      <c r="A359" s="13"/>
      <c r="B359" s="13"/>
      <c r="C359" s="38">
        <v>0.36930927708593231</v>
      </c>
      <c r="D359" s="38">
        <v>-1.7945635424863582</v>
      </c>
      <c r="E359" s="38">
        <f t="shared" si="6"/>
        <v>4.6823455792837345</v>
      </c>
    </row>
    <row r="360" spans="1:5" ht="18" x14ac:dyDescent="0.35">
      <c r="A360" s="13"/>
      <c r="B360" s="13"/>
      <c r="C360" s="38">
        <v>-2.7089064276653545</v>
      </c>
      <c r="D360" s="38">
        <v>0.36930927708593231</v>
      </c>
      <c r="E360" s="38">
        <f t="shared" si="6"/>
        <v>9.4754119249774611</v>
      </c>
    </row>
    <row r="361" spans="1:5" ht="18" x14ac:dyDescent="0.35">
      <c r="A361" s="13"/>
      <c r="B361" s="13"/>
      <c r="C361" s="38">
        <v>-1.006376627888514</v>
      </c>
      <c r="D361" s="38">
        <v>-2.7089064276653545</v>
      </c>
      <c r="E361" s="38">
        <f t="shared" si="6"/>
        <v>2.8986077191281687</v>
      </c>
    </row>
    <row r="362" spans="1:5" ht="18" x14ac:dyDescent="0.35">
      <c r="A362" s="13"/>
      <c r="B362" s="13"/>
      <c r="C362" s="38">
        <v>-10.721670587163274</v>
      </c>
      <c r="D362" s="38">
        <v>-1.006376627888514</v>
      </c>
      <c r="E362" s="38">
        <f t="shared" si="6"/>
        <v>94.38693671512064</v>
      </c>
    </row>
    <row r="363" spans="1:5" ht="18" x14ac:dyDescent="0.35">
      <c r="A363" s="13"/>
      <c r="B363" s="13"/>
      <c r="C363" s="38">
        <v>4.4594092827576617</v>
      </c>
      <c r="D363" s="38">
        <v>-10.721670587163274</v>
      </c>
      <c r="E363" s="38">
        <f t="shared" si="6"/>
        <v>230.46518601691866</v>
      </c>
    </row>
    <row r="364" spans="1:5" ht="18" x14ac:dyDescent="0.35">
      <c r="A364" s="13"/>
      <c r="B364" s="13"/>
      <c r="C364" s="38">
        <v>-3.4257967246958287E-2</v>
      </c>
      <c r="D364" s="38">
        <v>4.4594092827576617</v>
      </c>
      <c r="E364" s="38">
        <f t="shared" si="6"/>
        <v>20.193045353764084</v>
      </c>
    </row>
    <row r="365" spans="1:5" ht="18" x14ac:dyDescent="0.35">
      <c r="A365" s="13"/>
      <c r="B365" s="13"/>
      <c r="C365" s="38">
        <v>0.54408518716491017</v>
      </c>
      <c r="D365" s="38">
        <v>-3.4257967246958287E-2</v>
      </c>
      <c r="E365" s="38">
        <f t="shared" si="6"/>
        <v>0.33448080425507032</v>
      </c>
    </row>
    <row r="366" spans="1:5" ht="18" x14ac:dyDescent="0.35">
      <c r="A366" s="13"/>
      <c r="B366" s="13"/>
      <c r="C366" s="38">
        <v>4.519820421892959</v>
      </c>
      <c r="D366" s="38">
        <v>0.54408518716491017</v>
      </c>
      <c r="E366" s="38">
        <f t="shared" si="6"/>
        <v>15.806470656658092</v>
      </c>
    </row>
    <row r="367" spans="1:5" ht="18" x14ac:dyDescent="0.35">
      <c r="A367" s="13"/>
      <c r="B367" s="13"/>
      <c r="C367" s="38">
        <v>1.9661531718883367</v>
      </c>
      <c r="D367" s="38">
        <v>4.519820421892959</v>
      </c>
      <c r="E367" s="38">
        <f t="shared" si="6"/>
        <v>6.5212164237461696</v>
      </c>
    </row>
    <row r="368" spans="1:5" ht="18" x14ac:dyDescent="0.35">
      <c r="A368" s="13"/>
      <c r="B368" s="13"/>
      <c r="C368" s="38">
        <v>3.8392215604610982</v>
      </c>
      <c r="D368" s="38">
        <v>1.9661531718883367</v>
      </c>
      <c r="E368" s="38">
        <f t="shared" si="6"/>
        <v>3.5083851882705614</v>
      </c>
    </row>
    <row r="369" spans="1:5" ht="18" x14ac:dyDescent="0.35">
      <c r="A369" s="13"/>
      <c r="B369" s="13"/>
      <c r="C369" s="38">
        <v>4.6358681362491154</v>
      </c>
      <c r="D369" s="38">
        <v>3.8392215604610982</v>
      </c>
      <c r="E369" s="38">
        <f t="shared" si="6"/>
        <v>0.63464576671477313</v>
      </c>
    </row>
    <row r="370" spans="1:5" ht="18" x14ac:dyDescent="0.35">
      <c r="A370" s="13"/>
      <c r="B370" s="13"/>
      <c r="C370" s="38">
        <v>1.2920734365838484</v>
      </c>
      <c r="D370" s="38">
        <v>4.6358681362491154</v>
      </c>
      <c r="E370" s="38">
        <f t="shared" si="6"/>
        <v>11.180962993509533</v>
      </c>
    </row>
    <row r="371" spans="1:5" ht="18" x14ac:dyDescent="0.35">
      <c r="A371" s="13"/>
      <c r="B371" s="13"/>
      <c r="C371" s="38">
        <v>2.9549458523067642</v>
      </c>
      <c r="D371" s="38">
        <v>1.2920734365838484</v>
      </c>
      <c r="E371" s="38">
        <f t="shared" si="6"/>
        <v>2.7651446709721657</v>
      </c>
    </row>
    <row r="372" spans="1:5" ht="18" x14ac:dyDescent="0.35">
      <c r="A372" s="13"/>
      <c r="B372" s="13"/>
      <c r="C372" s="38">
        <v>1.3388474620324899</v>
      </c>
      <c r="D372" s="38">
        <v>2.9549458523067642</v>
      </c>
      <c r="E372" s="38">
        <f t="shared" si="6"/>
        <v>2.6117740070471003</v>
      </c>
    </row>
    <row r="373" spans="1:5" ht="18" x14ac:dyDescent="0.35">
      <c r="A373" s="13"/>
      <c r="B373" s="13"/>
      <c r="C373" s="38">
        <v>2.6217198777554103</v>
      </c>
      <c r="D373" s="38">
        <v>1.3388474620324899</v>
      </c>
      <c r="E373" s="38">
        <f t="shared" si="6"/>
        <v>1.6457616350227613</v>
      </c>
    </row>
    <row r="374" spans="1:5" ht="18" x14ac:dyDescent="0.35">
      <c r="A374" s="13"/>
      <c r="B374" s="13"/>
      <c r="C374" s="38">
        <v>-0.33922159962253318</v>
      </c>
      <c r="D374" s="38">
        <v>2.6217198777554103</v>
      </c>
      <c r="E374" s="38">
        <f t="shared" si="6"/>
        <v>8.7671744324570788</v>
      </c>
    </row>
    <row r="375" spans="1:5" ht="18" x14ac:dyDescent="0.35">
      <c r="A375" s="13"/>
      <c r="B375" s="13"/>
      <c r="C375" s="38">
        <v>14.981729474473198</v>
      </c>
      <c r="D375" s="38">
        <v>-0.33922159962253318</v>
      </c>
      <c r="E375" s="38">
        <f t="shared" si="6"/>
        <v>234.73154181483514</v>
      </c>
    </row>
    <row r="376" spans="1:5" ht="18" x14ac:dyDescent="0.35">
      <c r="A376" s="13"/>
      <c r="B376" s="13"/>
      <c r="C376" s="38">
        <v>7.1380608783040458</v>
      </c>
      <c r="D376" s="38">
        <v>14.981729474473198</v>
      </c>
      <c r="E376" s="38">
        <f t="shared" si="6"/>
        <v>61.523137046530159</v>
      </c>
    </row>
    <row r="377" spans="1:5" ht="18" x14ac:dyDescent="0.35">
      <c r="A377" s="13"/>
      <c r="B377" s="13"/>
      <c r="C377" s="38">
        <v>-12.327949795345404</v>
      </c>
      <c r="D377" s="38">
        <v>7.1380608783040458</v>
      </c>
      <c r="E377" s="38">
        <f t="shared" si="6"/>
        <v>378.92557154663433</v>
      </c>
    </row>
    <row r="378" spans="1:5" ht="18" x14ac:dyDescent="0.35">
      <c r="A378" s="13"/>
      <c r="B378" s="13"/>
      <c r="C378" s="38">
        <v>13.726875444487177</v>
      </c>
      <c r="D378" s="38">
        <v>-12.327949795345404</v>
      </c>
      <c r="E378" s="38">
        <f t="shared" si="6"/>
        <v>678.85391827821695</v>
      </c>
    </row>
    <row r="379" spans="1:5" ht="18" x14ac:dyDescent="0.35">
      <c r="A379" s="13"/>
      <c r="B379" s="13"/>
      <c r="C379" s="38">
        <v>-9.1641263055267217</v>
      </c>
      <c r="D379" s="38">
        <v>13.726875444487177</v>
      </c>
      <c r="E379" s="38">
        <f t="shared" si="6"/>
        <v>523.9979611191394</v>
      </c>
    </row>
    <row r="380" spans="1:5" ht="18" x14ac:dyDescent="0.35">
      <c r="A380" s="13"/>
      <c r="B380" s="13"/>
      <c r="C380" s="38">
        <v>-4.1690269729372602</v>
      </c>
      <c r="D380" s="38">
        <v>-9.1641263055267217</v>
      </c>
      <c r="E380" s="38">
        <f t="shared" si="6"/>
        <v>24.951017342435684</v>
      </c>
    </row>
    <row r="381" spans="1:5" ht="18" x14ac:dyDescent="0.35">
      <c r="A381" s="13"/>
      <c r="B381" s="13"/>
      <c r="C381" s="38">
        <v>2.7013265858911808</v>
      </c>
      <c r="D381" s="38">
        <v>-4.1690269729372602</v>
      </c>
      <c r="E381" s="38">
        <f t="shared" si="6"/>
        <v>47.201758023306624</v>
      </c>
    </row>
    <row r="382" spans="1:5" ht="18" x14ac:dyDescent="0.35">
      <c r="A382" s="13"/>
      <c r="B382" s="13"/>
      <c r="C382" s="38">
        <v>3.0400027595313617</v>
      </c>
      <c r="D382" s="38">
        <v>2.7013265858911808</v>
      </c>
      <c r="E382" s="38">
        <f t="shared" si="6"/>
        <v>0.11470155059155394</v>
      </c>
    </row>
    <row r="383" spans="1:5" ht="18" x14ac:dyDescent="0.35">
      <c r="A383" s="13"/>
      <c r="B383" s="13"/>
      <c r="C383" s="38">
        <v>-0.65737012734916789</v>
      </c>
      <c r="D383" s="38">
        <v>3.0400027595313617</v>
      </c>
      <c r="E383" s="38">
        <f t="shared" si="6"/>
        <v>13.670566264639261</v>
      </c>
    </row>
    <row r="384" spans="1:5" ht="18" x14ac:dyDescent="0.35">
      <c r="A384" s="13"/>
      <c r="B384" s="13"/>
      <c r="C384" s="38">
        <v>4.3377182623579529</v>
      </c>
      <c r="D384" s="38">
        <v>-0.65737012734916789</v>
      </c>
      <c r="E384" s="38">
        <f t="shared" si="6"/>
        <v>24.950908020986876</v>
      </c>
    </row>
    <row r="385" spans="1:5" ht="18" x14ac:dyDescent="0.35">
      <c r="A385" s="13"/>
      <c r="B385" s="13"/>
      <c r="C385" s="38">
        <v>-1.1433410679628082</v>
      </c>
      <c r="D385" s="38">
        <v>4.3377182623579529</v>
      </c>
      <c r="E385" s="38">
        <f t="shared" si="6"/>
        <v>30.04201138249627</v>
      </c>
    </row>
    <row r="386" spans="1:5" ht="18" x14ac:dyDescent="0.35">
      <c r="A386" s="13"/>
      <c r="B386" s="13"/>
      <c r="C386" s="38">
        <v>7.7051199393918921</v>
      </c>
      <c r="D386" s="38">
        <v>-1.1433410679628082</v>
      </c>
      <c r="E386" s="38">
        <f t="shared" si="6"/>
        <v>78.295262198676554</v>
      </c>
    </row>
    <row r="387" spans="1:5" ht="18" x14ac:dyDescent="0.35">
      <c r="A387" s="13"/>
      <c r="B387" s="13"/>
      <c r="C387" s="38">
        <v>1.8166287957191969</v>
      </c>
      <c r="D387" s="38">
        <v>7.7051199393918921</v>
      </c>
      <c r="E387" s="38">
        <f t="shared" si="6"/>
        <v>34.674327949111763</v>
      </c>
    </row>
    <row r="388" spans="1:5" ht="18" x14ac:dyDescent="0.35">
      <c r="A388" s="13"/>
      <c r="B388" s="13"/>
      <c r="C388" s="38">
        <v>3.6219227549939603</v>
      </c>
      <c r="D388" s="38">
        <v>1.8166287957191969</v>
      </c>
      <c r="E388" s="38">
        <f t="shared" si="6"/>
        <v>3.259086279393951</v>
      </c>
    </row>
    <row r="389" spans="1:5" ht="18" x14ac:dyDescent="0.35">
      <c r="A389" s="13"/>
      <c r="B389" s="13"/>
      <c r="C389" s="38">
        <v>4.7300302035202435</v>
      </c>
      <c r="D389" s="38">
        <v>3.6219227549939603</v>
      </c>
      <c r="E389" s="38">
        <f t="shared" si="6"/>
        <v>1.2279021174794293</v>
      </c>
    </row>
    <row r="390" spans="1:5" ht="18" x14ac:dyDescent="0.35">
      <c r="A390" s="13"/>
      <c r="B390" s="13"/>
      <c r="C390" s="38">
        <v>-3.2482252342668545</v>
      </c>
      <c r="D390" s="38">
        <v>4.7300302035202435</v>
      </c>
      <c r="E390" s="38">
        <f t="shared" si="6"/>
        <v>63.652559830579399</v>
      </c>
    </row>
    <row r="391" spans="1:5" ht="18" x14ac:dyDescent="0.35">
      <c r="A391" s="13"/>
      <c r="B391" s="13"/>
      <c r="C391" s="38">
        <v>-7.9088227495341528</v>
      </c>
      <c r="D391" s="38">
        <v>-3.2482252342668545</v>
      </c>
      <c r="E391" s="38">
        <f t="shared" si="6"/>
        <v>21.721169199315714</v>
      </c>
    </row>
    <row r="392" spans="1:5" ht="18" x14ac:dyDescent="0.35">
      <c r="A392" s="13"/>
      <c r="B392" s="13"/>
      <c r="C392" s="38">
        <v>3.6418254416513065</v>
      </c>
      <c r="D392" s="38">
        <v>-7.9088227495341528</v>
      </c>
      <c r="E392" s="38">
        <f t="shared" si="6"/>
        <v>133.41747363653593</v>
      </c>
    </row>
    <row r="393" spans="1:5" ht="18" x14ac:dyDescent="0.35">
      <c r="A393" s="13"/>
      <c r="B393" s="13"/>
      <c r="C393" s="38">
        <v>-7.0389200628767981</v>
      </c>
      <c r="D393" s="38">
        <v>3.6418254416513065</v>
      </c>
      <c r="E393" s="38">
        <f t="shared" si="6"/>
        <v>114.07832453249732</v>
      </c>
    </row>
    <row r="394" spans="1:5" ht="18" x14ac:dyDescent="0.35">
      <c r="A394" s="13"/>
      <c r="B394" s="13"/>
      <c r="C394" s="38">
        <v>-2.8962916035927577</v>
      </c>
      <c r="D394" s="38">
        <v>-7.0389200628767981</v>
      </c>
      <c r="E394" s="38">
        <f t="shared" ref="E394:E457" si="7">(C394-D394)^2</f>
        <v>17.161370551670061</v>
      </c>
    </row>
    <row r="395" spans="1:5" ht="18" x14ac:dyDescent="0.35">
      <c r="A395" s="13"/>
      <c r="B395" s="13"/>
      <c r="C395" s="38">
        <v>2.7803755117954125</v>
      </c>
      <c r="D395" s="38">
        <v>-2.8962916035927577</v>
      </c>
      <c r="E395" s="38">
        <f t="shared" si="7"/>
        <v>32.224549538929452</v>
      </c>
    </row>
    <row r="396" spans="1:5" ht="18" x14ac:dyDescent="0.35">
      <c r="A396" s="13"/>
      <c r="B396" s="13"/>
      <c r="C396" s="38">
        <v>-2.1500561669400611</v>
      </c>
      <c r="D396" s="38">
        <v>2.7803755117954125</v>
      </c>
      <c r="E396" s="38">
        <f t="shared" si="7"/>
        <v>24.309156538678302</v>
      </c>
    </row>
    <row r="397" spans="1:5" ht="18" x14ac:dyDescent="0.35">
      <c r="A397" s="13"/>
      <c r="B397" s="13"/>
      <c r="C397" s="38">
        <v>-5.1337028773445041</v>
      </c>
      <c r="D397" s="38">
        <v>-2.1500561669400611</v>
      </c>
      <c r="E397" s="38">
        <f t="shared" si="7"/>
        <v>8.9021476925072545</v>
      </c>
    </row>
    <row r="398" spans="1:5" ht="18" x14ac:dyDescent="0.35">
      <c r="A398" s="13"/>
      <c r="B398" s="13"/>
      <c r="C398" s="38">
        <v>1.0250527623672383</v>
      </c>
      <c r="D398" s="38">
        <v>-5.1337028773445041</v>
      </c>
      <c r="E398" s="38">
        <f t="shared" si="7"/>
        <v>37.930271029681194</v>
      </c>
    </row>
    <row r="399" spans="1:5" ht="18" x14ac:dyDescent="0.35">
      <c r="A399" s="13"/>
      <c r="B399" s="13"/>
      <c r="C399" s="38">
        <v>-2.4467904593529113</v>
      </c>
      <c r="D399" s="38">
        <v>1.0250527623672383</v>
      </c>
      <c r="E399" s="38">
        <f t="shared" si="7"/>
        <v>12.053695356204148</v>
      </c>
    </row>
    <row r="400" spans="1:5" ht="18" x14ac:dyDescent="0.35">
      <c r="A400" s="13"/>
      <c r="B400" s="13"/>
      <c r="C400" s="38">
        <v>3.0170138370301629</v>
      </c>
      <c r="D400" s="38">
        <v>-2.4467904593529113</v>
      </c>
      <c r="E400" s="38">
        <f t="shared" si="7"/>
        <v>29.85315738917414</v>
      </c>
    </row>
    <row r="401" spans="1:5" ht="18" x14ac:dyDescent="0.35">
      <c r="A401" s="13"/>
      <c r="B401" s="13"/>
      <c r="C401" s="38">
        <v>-3.2890845532441091</v>
      </c>
      <c r="D401" s="38">
        <v>3.0170138370301629</v>
      </c>
      <c r="E401" s="38">
        <f t="shared" si="7"/>
        <v>39.766876907819764</v>
      </c>
    </row>
    <row r="402" spans="1:5" ht="18" x14ac:dyDescent="0.35">
      <c r="A402" s="13"/>
      <c r="B402" s="13"/>
      <c r="C402" s="38">
        <v>-5.1559860283533823</v>
      </c>
      <c r="D402" s="38">
        <v>-3.2890845532441091</v>
      </c>
      <c r="E402" s="38">
        <f t="shared" si="7"/>
        <v>3.4853211177651802</v>
      </c>
    </row>
    <row r="403" spans="1:5" ht="18" x14ac:dyDescent="0.35">
      <c r="A403" s="13"/>
      <c r="B403" s="13"/>
      <c r="C403" s="38">
        <v>2.2239166583039633</v>
      </c>
      <c r="D403" s="38">
        <v>-5.1559860283533823</v>
      </c>
      <c r="E403" s="38">
        <f t="shared" si="7"/>
        <v>54.46296366453231</v>
      </c>
    </row>
    <row r="404" spans="1:5" ht="18" x14ac:dyDescent="0.35">
      <c r="A404" s="13"/>
      <c r="B404" s="13"/>
      <c r="C404" s="38">
        <v>-3.4812306578745478</v>
      </c>
      <c r="D404" s="38">
        <v>2.2239166583039633</v>
      </c>
      <c r="E404" s="38">
        <f t="shared" si="7"/>
        <v>32.548705899298866</v>
      </c>
    </row>
    <row r="405" spans="1:5" ht="18" x14ac:dyDescent="0.35">
      <c r="A405" s="13"/>
      <c r="B405" s="13"/>
      <c r="C405" s="38">
        <v>-3.1294066295900365</v>
      </c>
      <c r="D405" s="38">
        <v>-3.4812306578745478</v>
      </c>
      <c r="E405" s="38">
        <f t="shared" si="7"/>
        <v>0.12378014687834062</v>
      </c>
    </row>
    <row r="406" spans="1:5" ht="18" x14ac:dyDescent="0.35">
      <c r="A406" s="13"/>
      <c r="B406" s="13"/>
      <c r="C406" s="38">
        <v>8.3475153851194079</v>
      </c>
      <c r="D406" s="38">
        <v>-3.1294066295900365</v>
      </c>
      <c r="E406" s="38">
        <f t="shared" si="7"/>
        <v>131.7197389317223</v>
      </c>
    </row>
    <row r="407" spans="1:5" ht="18" x14ac:dyDescent="0.35">
      <c r="A407" s="13"/>
      <c r="B407" s="13"/>
      <c r="C407" s="38">
        <v>1.0612594088665048</v>
      </c>
      <c r="D407" s="38">
        <v>8.3475153851194079</v>
      </c>
      <c r="E407" s="38">
        <f t="shared" si="7"/>
        <v>53.089526151481145</v>
      </c>
    </row>
    <row r="408" spans="1:5" ht="18" x14ac:dyDescent="0.35">
      <c r="A408" s="13"/>
      <c r="B408" s="13"/>
      <c r="C408" s="38">
        <v>-3.2891818665867589</v>
      </c>
      <c r="D408" s="38">
        <v>1.0612594088665048</v>
      </c>
      <c r="E408" s="38">
        <f t="shared" si="7"/>
        <v>18.92633929116742</v>
      </c>
    </row>
    <row r="409" spans="1:5" ht="18" x14ac:dyDescent="0.35">
      <c r="A409" s="13"/>
      <c r="B409" s="13"/>
      <c r="C409" s="38">
        <v>2.7848088059283498</v>
      </c>
      <c r="D409" s="38">
        <v>-3.2891818665867589</v>
      </c>
      <c r="E409" s="38">
        <f t="shared" si="7"/>
        <v>36.89336268980054</v>
      </c>
    </row>
    <row r="410" spans="1:5" ht="18" x14ac:dyDescent="0.35">
      <c r="A410" s="13"/>
      <c r="B410" s="13"/>
      <c r="C410" s="38">
        <v>1.5767986707447079</v>
      </c>
      <c r="D410" s="38">
        <v>2.7848088059283498</v>
      </c>
      <c r="E410" s="38">
        <f t="shared" si="7"/>
        <v>1.4592884867064007</v>
      </c>
    </row>
    <row r="411" spans="1:5" ht="18" x14ac:dyDescent="0.35">
      <c r="A411" s="13"/>
      <c r="B411" s="13"/>
      <c r="C411" s="38">
        <v>-0.40701522235616494</v>
      </c>
      <c r="D411" s="38">
        <v>1.5767986707447079</v>
      </c>
      <c r="E411" s="38">
        <f t="shared" si="7"/>
        <v>3.9355175624600416</v>
      </c>
    </row>
    <row r="412" spans="1:5" ht="18" x14ac:dyDescent="0.35">
      <c r="A412" s="13"/>
      <c r="B412" s="13"/>
      <c r="C412" s="38">
        <v>-4.0763190475816629</v>
      </c>
      <c r="D412" s="38">
        <v>-0.40701522235616494</v>
      </c>
      <c r="E412" s="38">
        <f t="shared" si="7"/>
        <v>13.463790561814472</v>
      </c>
    </row>
    <row r="413" spans="1:5" ht="18" x14ac:dyDescent="0.35">
      <c r="A413" s="13"/>
      <c r="B413" s="13"/>
      <c r="C413" s="38">
        <v>-5.0222694485951394</v>
      </c>
      <c r="D413" s="38">
        <v>-4.0763190475816629</v>
      </c>
      <c r="E413" s="38">
        <f t="shared" si="7"/>
        <v>0.89482216117755697</v>
      </c>
    </row>
    <row r="414" spans="1:5" ht="18" x14ac:dyDescent="0.35">
      <c r="A414" s="13"/>
      <c r="B414" s="13"/>
      <c r="C414" s="38">
        <v>0.74043713059593586</v>
      </c>
      <c r="D414" s="38">
        <v>-5.0222694485951394</v>
      </c>
      <c r="E414" s="38">
        <f t="shared" si="7"/>
        <v>33.208787117852104</v>
      </c>
    </row>
    <row r="415" spans="1:5" ht="18" x14ac:dyDescent="0.35">
      <c r="A415" s="13"/>
      <c r="B415" s="13"/>
      <c r="C415" s="38">
        <v>-6.0325531380698294</v>
      </c>
      <c r="D415" s="38">
        <v>0.74043713059593586</v>
      </c>
      <c r="E415" s="38">
        <f t="shared" si="7"/>
        <v>45.873397179441156</v>
      </c>
    </row>
    <row r="416" spans="1:5" ht="18" x14ac:dyDescent="0.35">
      <c r="A416" s="13"/>
      <c r="B416" s="13"/>
      <c r="C416" s="38">
        <v>2.1780457233620609</v>
      </c>
      <c r="D416" s="38">
        <v>-6.0325531380698294</v>
      </c>
      <c r="E416" s="38">
        <f t="shared" si="7"/>
        <v>67.413933663346654</v>
      </c>
    </row>
    <row r="417" spans="1:5" ht="18" x14ac:dyDescent="0.35">
      <c r="A417" s="13"/>
      <c r="B417" s="13"/>
      <c r="C417" s="38">
        <v>2.3043003534503725</v>
      </c>
      <c r="D417" s="38">
        <v>2.1780457233620609</v>
      </c>
      <c r="E417" s="38">
        <f t="shared" si="7"/>
        <v>1.5940231618736402E-2</v>
      </c>
    </row>
    <row r="418" spans="1:5" ht="18" x14ac:dyDescent="0.35">
      <c r="A418" s="13"/>
      <c r="B418" s="13"/>
      <c r="C418" s="38">
        <v>2.1218294801449673</v>
      </c>
      <c r="D418" s="38">
        <v>2.3043003534503725</v>
      </c>
      <c r="E418" s="38">
        <f t="shared" si="7"/>
        <v>3.3295619604837248E-2</v>
      </c>
    </row>
    <row r="419" spans="1:5" ht="18" x14ac:dyDescent="0.35">
      <c r="A419" s="13"/>
      <c r="B419" s="13"/>
      <c r="C419" s="38">
        <v>-4.7633178360335791</v>
      </c>
      <c r="D419" s="38">
        <v>2.1218294801449673</v>
      </c>
      <c r="E419" s="38">
        <f t="shared" si="7"/>
        <v>47.405253565480642</v>
      </c>
    </row>
    <row r="420" spans="1:5" ht="18" x14ac:dyDescent="0.35">
      <c r="A420" s="13"/>
      <c r="B420" s="13"/>
      <c r="C420" s="38">
        <v>2.9634671322974384</v>
      </c>
      <c r="D420" s="38">
        <v>-4.7633178360335791</v>
      </c>
      <c r="E420" s="38">
        <f t="shared" si="7"/>
        <v>59.703205946826159</v>
      </c>
    </row>
    <row r="421" spans="1:5" ht="18" x14ac:dyDescent="0.35">
      <c r="A421" s="13"/>
      <c r="B421" s="13"/>
      <c r="C421" s="38">
        <v>3.4095353862537365</v>
      </c>
      <c r="D421" s="38">
        <v>2.9634671322974384</v>
      </c>
      <c r="E421" s="38">
        <f t="shared" si="7"/>
        <v>0.19897688718762047</v>
      </c>
    </row>
    <row r="422" spans="1:5" ht="18" x14ac:dyDescent="0.35">
      <c r="A422" s="13"/>
      <c r="B422" s="13"/>
      <c r="C422" s="38">
        <v>0.20082907629559088</v>
      </c>
      <c r="D422" s="38">
        <v>3.4095353862537365</v>
      </c>
      <c r="E422" s="38">
        <f t="shared" si="7"/>
        <v>10.295796183565219</v>
      </c>
    </row>
    <row r="423" spans="1:5" ht="18" x14ac:dyDescent="0.35">
      <c r="A423" s="13"/>
      <c r="B423" s="13"/>
      <c r="C423" s="38">
        <v>-3.6092983733650357</v>
      </c>
      <c r="D423" s="38">
        <v>0.20082907629559088</v>
      </c>
      <c r="E423" s="38">
        <f t="shared" si="7"/>
        <v>14.517071182657391</v>
      </c>
    </row>
    <row r="424" spans="1:5" ht="18" x14ac:dyDescent="0.35">
      <c r="A424" s="13"/>
      <c r="B424" s="13"/>
      <c r="C424" s="38">
        <v>1.1620158562769944</v>
      </c>
      <c r="D424" s="38">
        <v>-3.6092983733650357</v>
      </c>
      <c r="E424" s="38">
        <f t="shared" si="7"/>
        <v>22.765439477984518</v>
      </c>
    </row>
    <row r="425" spans="1:5" ht="18" x14ac:dyDescent="0.35">
      <c r="A425" s="13"/>
      <c r="B425" s="13"/>
      <c r="C425" s="38">
        <v>1.1747608223392803</v>
      </c>
      <c r="D425" s="38">
        <v>1.1620158562769944</v>
      </c>
      <c r="E425" s="38">
        <f t="shared" si="7"/>
        <v>1.6243415992881711E-4</v>
      </c>
    </row>
    <row r="426" spans="1:5" ht="18" x14ac:dyDescent="0.35">
      <c r="A426" s="13"/>
      <c r="B426" s="13"/>
      <c r="C426" s="38">
        <v>-2.9024942115984089</v>
      </c>
      <c r="D426" s="38">
        <v>1.1747608223392803</v>
      </c>
      <c r="E426" s="38">
        <f t="shared" si="7"/>
        <v>16.624008611770225</v>
      </c>
    </row>
    <row r="427" spans="1:5" ht="18" x14ac:dyDescent="0.35">
      <c r="A427" s="13"/>
      <c r="B427" s="13"/>
      <c r="C427" s="38">
        <v>2.2681238432690947</v>
      </c>
      <c r="D427" s="38">
        <v>-2.9024942115984089</v>
      </c>
      <c r="E427" s="38">
        <f t="shared" si="7"/>
        <v>26.735291069321807</v>
      </c>
    </row>
    <row r="428" spans="1:5" ht="18" x14ac:dyDescent="0.35">
      <c r="A428" s="13"/>
      <c r="B428" s="13"/>
      <c r="C428" s="38">
        <v>-5.4856828678850889E-2</v>
      </c>
      <c r="D428" s="38">
        <v>2.2681238432690947</v>
      </c>
      <c r="E428" s="38">
        <f t="shared" si="7"/>
        <v>5.3962392022437289</v>
      </c>
    </row>
    <row r="429" spans="1:5" ht="18" x14ac:dyDescent="0.35">
      <c r="A429" s="13"/>
      <c r="B429" s="13"/>
      <c r="C429" s="38">
        <v>-7.5377881708731707</v>
      </c>
      <c r="D429" s="38">
        <v>-5.4856828678850889E-2</v>
      </c>
      <c r="E429" s="38">
        <f t="shared" si="7"/>
        <v>55.994261471994086</v>
      </c>
    </row>
    <row r="430" spans="1:5" ht="18" x14ac:dyDescent="0.35">
      <c r="A430" s="13"/>
      <c r="B430" s="13"/>
      <c r="C430" s="38">
        <v>-0.19605185921351165</v>
      </c>
      <c r="D430" s="38">
        <v>-7.5377881708731707</v>
      </c>
      <c r="E430" s="38">
        <f t="shared" si="7"/>
        <v>53.901092069941974</v>
      </c>
    </row>
    <row r="431" spans="1:5" ht="18" x14ac:dyDescent="0.35">
      <c r="A431" s="13"/>
      <c r="B431" s="13"/>
      <c r="C431" s="38">
        <v>4.5305069999496794</v>
      </c>
      <c r="D431" s="38">
        <v>-0.19605185921351165</v>
      </c>
      <c r="E431" s="38">
        <f t="shared" si="7"/>
        <v>22.340358649134046</v>
      </c>
    </row>
    <row r="432" spans="1:5" ht="18" x14ac:dyDescent="0.35">
      <c r="A432" s="13"/>
      <c r="B432" s="13"/>
      <c r="C432" s="38">
        <v>6.9573495485875299</v>
      </c>
      <c r="D432" s="38">
        <v>4.5305069999496794</v>
      </c>
      <c r="E432" s="38">
        <f t="shared" si="7"/>
        <v>5.8895647558790571</v>
      </c>
    </row>
    <row r="433" spans="1:5" ht="18" x14ac:dyDescent="0.35">
      <c r="A433" s="13"/>
      <c r="B433" s="13"/>
      <c r="C433" s="38">
        <v>1.4643976667930474</v>
      </c>
      <c r="D433" s="38">
        <v>6.9573495485875299</v>
      </c>
      <c r="E433" s="38">
        <f t="shared" si="7"/>
        <v>30.172520375709546</v>
      </c>
    </row>
    <row r="434" spans="1:5" ht="18" x14ac:dyDescent="0.35">
      <c r="A434" s="13"/>
      <c r="B434" s="13"/>
      <c r="C434" s="38">
        <v>-2.4196711256290939</v>
      </c>
      <c r="D434" s="38">
        <v>1.4643976667930474</v>
      </c>
      <c r="E434" s="38">
        <f t="shared" si="7"/>
        <v>15.085990384267591</v>
      </c>
    </row>
    <row r="435" spans="1:5" ht="18" x14ac:dyDescent="0.35">
      <c r="A435" s="13"/>
      <c r="B435" s="13"/>
      <c r="C435" s="38">
        <v>-2.7134452856941778</v>
      </c>
      <c r="D435" s="38">
        <v>-2.4196711256290939</v>
      </c>
      <c r="E435" s="38">
        <f t="shared" si="7"/>
        <v>8.6303257121945504E-2</v>
      </c>
    </row>
    <row r="436" spans="1:5" ht="18" x14ac:dyDescent="0.35">
      <c r="A436" s="13"/>
      <c r="B436" s="13"/>
      <c r="C436" s="38">
        <v>-4.9905331369354826</v>
      </c>
      <c r="D436" s="38">
        <v>-2.7134452856941778</v>
      </c>
      <c r="E436" s="38">
        <f t="shared" si="7"/>
        <v>5.185129082270743</v>
      </c>
    </row>
    <row r="437" spans="1:5" ht="18" x14ac:dyDescent="0.35">
      <c r="A437" s="13"/>
      <c r="B437" s="13"/>
      <c r="C437" s="38">
        <v>0.96383028784367752</v>
      </c>
      <c r="D437" s="38">
        <v>-4.9905331369354826</v>
      </c>
      <c r="E437" s="38">
        <f t="shared" si="7"/>
        <v>35.45444379434781</v>
      </c>
    </row>
    <row r="438" spans="1:5" ht="18" x14ac:dyDescent="0.35">
      <c r="A438" s="13"/>
      <c r="B438" s="13"/>
      <c r="C438" s="38">
        <v>-0.30508159168212501</v>
      </c>
      <c r="D438" s="38">
        <v>0.96383028784367752</v>
      </c>
      <c r="E438" s="38">
        <f t="shared" si="7"/>
        <v>1.6101373580017049</v>
      </c>
    </row>
    <row r="439" spans="1:5" ht="18" x14ac:dyDescent="0.35">
      <c r="A439" s="13"/>
      <c r="B439" s="13"/>
      <c r="C439" s="38">
        <v>1.099692972232333</v>
      </c>
      <c r="D439" s="38">
        <v>-0.30508159168212501</v>
      </c>
      <c r="E439" s="38">
        <f t="shared" si="7"/>
        <v>1.9733915754210556</v>
      </c>
    </row>
    <row r="440" spans="1:5" ht="18" x14ac:dyDescent="0.35">
      <c r="A440" s="13"/>
      <c r="B440" s="13"/>
      <c r="C440" s="38">
        <v>-2.657562061705363</v>
      </c>
      <c r="D440" s="38">
        <v>1.099692972232333</v>
      </c>
      <c r="E440" s="38">
        <f t="shared" si="7"/>
        <v>14.116965390050158</v>
      </c>
    </row>
    <row r="441" spans="1:5" ht="18" x14ac:dyDescent="0.35">
      <c r="A441" s="13"/>
      <c r="B441" s="13"/>
      <c r="C441" s="38">
        <v>1.7871343823020709</v>
      </c>
      <c r="D441" s="38">
        <v>-2.657562061705363</v>
      </c>
      <c r="E441" s="38">
        <f t="shared" si="7"/>
        <v>19.755326479372329</v>
      </c>
    </row>
    <row r="442" spans="1:5" ht="18" x14ac:dyDescent="0.35">
      <c r="A442" s="13"/>
      <c r="B442" s="13"/>
      <c r="C442" s="38">
        <v>-2.0410717257313848</v>
      </c>
      <c r="D442" s="38">
        <v>1.7871343823020709</v>
      </c>
      <c r="E442" s="38">
        <f t="shared" si="7"/>
        <v>14.655162005584659</v>
      </c>
    </row>
    <row r="443" spans="1:5" ht="18" x14ac:dyDescent="0.35">
      <c r="A443" s="13"/>
      <c r="B443" s="13"/>
      <c r="C443" s="38">
        <v>1.0616540468952849</v>
      </c>
      <c r="D443" s="38">
        <v>-2.0410717257313848</v>
      </c>
      <c r="E443" s="38">
        <f t="shared" si="7"/>
        <v>9.6269072201217654</v>
      </c>
    </row>
    <row r="444" spans="1:5" ht="18" x14ac:dyDescent="0.35">
      <c r="A444" s="13"/>
      <c r="B444" s="13"/>
      <c r="C444" s="38">
        <v>-0.96572843670303143</v>
      </c>
      <c r="D444" s="38">
        <v>1.0616540468952849</v>
      </c>
      <c r="E444" s="38">
        <f t="shared" si="7"/>
        <v>4.110279734801277</v>
      </c>
    </row>
    <row r="445" spans="1:5" ht="18" x14ac:dyDescent="0.35">
      <c r="A445" s="13"/>
      <c r="B445" s="13"/>
      <c r="C445" s="38">
        <v>2.5008893489315511</v>
      </c>
      <c r="D445" s="38">
        <v>-0.96572843670303143</v>
      </c>
      <c r="E445" s="38">
        <f t="shared" si="7"/>
        <v>12.017438871678017</v>
      </c>
    </row>
    <row r="446" spans="1:5" ht="18" x14ac:dyDescent="0.35">
      <c r="A446" s="13"/>
      <c r="B446" s="13"/>
      <c r="C446" s="38">
        <v>3.5118596164629281</v>
      </c>
      <c r="D446" s="38">
        <v>2.5008893489315511</v>
      </c>
      <c r="E446" s="38">
        <f t="shared" si="7"/>
        <v>1.0220608818324639</v>
      </c>
    </row>
    <row r="447" spans="1:5" ht="18" x14ac:dyDescent="0.35">
      <c r="A447" s="13"/>
      <c r="B447" s="13"/>
      <c r="C447" s="38">
        <v>0.55531995073538098</v>
      </c>
      <c r="D447" s="38">
        <v>3.5118596164629281</v>
      </c>
      <c r="E447" s="38">
        <f t="shared" si="7"/>
        <v>8.7411267950203566</v>
      </c>
    </row>
    <row r="448" spans="1:5" ht="18" x14ac:dyDescent="0.35">
      <c r="A448" s="13"/>
      <c r="B448" s="13"/>
      <c r="C448" s="38">
        <v>4.2205453868209304</v>
      </c>
      <c r="D448" s="38">
        <v>0.55531995073538098</v>
      </c>
      <c r="E448" s="38">
        <f t="shared" si="7"/>
        <v>13.433877497328506</v>
      </c>
    </row>
    <row r="449" spans="1:5" ht="18" x14ac:dyDescent="0.35">
      <c r="A449" s="13"/>
      <c r="B449" s="13"/>
      <c r="C449" s="38">
        <v>1.9224173986944777</v>
      </c>
      <c r="D449" s="38">
        <v>4.2205453868209304</v>
      </c>
      <c r="E449" s="38">
        <f t="shared" si="7"/>
        <v>5.2813922498101373</v>
      </c>
    </row>
    <row r="450" spans="1:5" ht="18" x14ac:dyDescent="0.35">
      <c r="A450" s="13"/>
      <c r="B450" s="13"/>
      <c r="C450" s="38">
        <v>1.8643387403216281</v>
      </c>
      <c r="D450" s="38">
        <v>1.9224173986944777</v>
      </c>
      <c r="E450" s="38">
        <f t="shared" si="7"/>
        <v>3.3731305583901781E-3</v>
      </c>
    </row>
    <row r="451" spans="1:5" ht="18" x14ac:dyDescent="0.35">
      <c r="A451" s="13"/>
      <c r="B451" s="13"/>
      <c r="C451" s="38">
        <v>-1.8647595153362033</v>
      </c>
      <c r="D451" s="38">
        <v>1.8643387403216281</v>
      </c>
      <c r="E451" s="38">
        <f t="shared" si="7"/>
        <v>13.906173800350281</v>
      </c>
    </row>
    <row r="452" spans="1:5" ht="18" x14ac:dyDescent="0.35">
      <c r="A452" s="13"/>
      <c r="B452" s="13"/>
      <c r="C452" s="38">
        <v>-0.74165139372766475</v>
      </c>
      <c r="D452" s="38">
        <v>-1.8647595153362033</v>
      </c>
      <c r="E452" s="38">
        <f t="shared" si="7"/>
        <v>1.2613718528230597</v>
      </c>
    </row>
    <row r="453" spans="1:5" ht="18" x14ac:dyDescent="0.35">
      <c r="A453" s="13"/>
      <c r="B453" s="13"/>
      <c r="C453" s="38">
        <v>2.7361134388525556</v>
      </c>
      <c r="D453" s="38">
        <v>-0.74165139372766475</v>
      </c>
      <c r="E453" s="38">
        <f t="shared" si="7"/>
        <v>12.094848230731728</v>
      </c>
    </row>
    <row r="454" spans="1:5" ht="18" x14ac:dyDescent="0.35">
      <c r="A454" s="13"/>
      <c r="B454" s="13"/>
      <c r="C454" s="38">
        <v>4.9083582029901578</v>
      </c>
      <c r="D454" s="38">
        <v>2.7361134388525556</v>
      </c>
      <c r="E454" s="38">
        <f t="shared" si="7"/>
        <v>4.7186473153232269</v>
      </c>
    </row>
    <row r="455" spans="1:5" ht="18" x14ac:dyDescent="0.35">
      <c r="A455" s="13"/>
      <c r="B455" s="13"/>
      <c r="C455" s="38">
        <v>2.2678771945010823</v>
      </c>
      <c r="D455" s="38">
        <v>4.9083582029901578</v>
      </c>
      <c r="E455" s="38">
        <f t="shared" si="7"/>
        <v>6.9721399561914854</v>
      </c>
    </row>
    <row r="456" spans="1:5" ht="18" x14ac:dyDescent="0.35">
      <c r="A456" s="13"/>
      <c r="B456" s="13"/>
      <c r="C456" s="38">
        <v>1.4629847776438396</v>
      </c>
      <c r="D456" s="38">
        <v>2.2678771945010823</v>
      </c>
      <c r="E456" s="38">
        <f t="shared" si="7"/>
        <v>0.64785180271429332</v>
      </c>
    </row>
    <row r="457" spans="1:5" ht="18" x14ac:dyDescent="0.35">
      <c r="A457" s="13"/>
      <c r="B457" s="13"/>
      <c r="C457" s="38">
        <v>1.4975140389548471</v>
      </c>
      <c r="D457" s="38">
        <v>1.4629847776438396</v>
      </c>
      <c r="E457" s="38">
        <f t="shared" si="7"/>
        <v>1.1922698866838415E-3</v>
      </c>
    </row>
    <row r="458" spans="1:5" ht="18" x14ac:dyDescent="0.35">
      <c r="A458" s="13"/>
      <c r="B458" s="13"/>
      <c r="C458" s="38">
        <v>-5.5877018004128729</v>
      </c>
      <c r="D458" s="38">
        <v>1.4975140389548471</v>
      </c>
      <c r="E458" s="38">
        <f t="shared" ref="E458:E470" si="8">(C458-D458)^2</f>
        <v>50.200283490427225</v>
      </c>
    </row>
    <row r="459" spans="1:5" ht="18" x14ac:dyDescent="0.35">
      <c r="A459" s="13"/>
      <c r="B459" s="13"/>
      <c r="C459" s="38">
        <v>-0.19340689882295692</v>
      </c>
      <c r="D459" s="38">
        <v>-5.5877018004128729</v>
      </c>
      <c r="E459" s="38">
        <f t="shared" si="8"/>
        <v>29.098417485318961</v>
      </c>
    </row>
    <row r="460" spans="1:5" ht="18" x14ac:dyDescent="0.35">
      <c r="A460" s="13"/>
      <c r="B460" s="13"/>
      <c r="C460" s="38">
        <v>3.2706029671277861</v>
      </c>
      <c r="D460" s="38">
        <v>-0.19340689882295692</v>
      </c>
      <c r="E460" s="38">
        <f t="shared" si="8"/>
        <v>11.999364351404084</v>
      </c>
    </row>
    <row r="461" spans="1:5" ht="18" x14ac:dyDescent="0.35">
      <c r="A461" s="13"/>
      <c r="B461" s="13"/>
      <c r="C461" s="38">
        <v>-2.5211621346853264</v>
      </c>
      <c r="D461" s="38">
        <v>3.2706029671277861</v>
      </c>
      <c r="E461" s="38">
        <f t="shared" si="8"/>
        <v>33.544542994580254</v>
      </c>
    </row>
    <row r="462" spans="1:5" ht="18" x14ac:dyDescent="0.35">
      <c r="A462" s="13"/>
      <c r="B462" s="13"/>
      <c r="C462" s="38">
        <v>-2.9372303886416518</v>
      </c>
      <c r="D462" s="38">
        <v>-2.5211621346853264</v>
      </c>
      <c r="E462" s="38">
        <f t="shared" si="8"/>
        <v>0.1731127919502653</v>
      </c>
    </row>
    <row r="463" spans="1:5" ht="18" x14ac:dyDescent="0.35">
      <c r="A463" s="13"/>
      <c r="B463" s="13"/>
      <c r="C463" s="38">
        <v>-3.8381417297016043</v>
      </c>
      <c r="D463" s="38">
        <v>-2.9372303886416518</v>
      </c>
      <c r="E463" s="38">
        <f t="shared" si="8"/>
        <v>0.81164124445044206</v>
      </c>
    </row>
    <row r="464" spans="1:5" ht="18" x14ac:dyDescent="0.35">
      <c r="A464" s="13"/>
      <c r="B464" s="13"/>
      <c r="C464" s="38">
        <v>-0.76001374157517887</v>
      </c>
      <c r="D464" s="38">
        <v>-3.8381417297016043</v>
      </c>
      <c r="E464" s="38">
        <f t="shared" si="8"/>
        <v>9.4748719112872362</v>
      </c>
    </row>
    <row r="465" spans="1:7" ht="18" x14ac:dyDescent="0.35">
      <c r="A465" s="13"/>
      <c r="B465" s="13"/>
      <c r="C465" s="38">
        <v>0.20800599032627076</v>
      </c>
      <c r="D465" s="38">
        <v>-0.76001374157517887</v>
      </c>
      <c r="E465" s="38">
        <f t="shared" si="8"/>
        <v>0.9370622013505544</v>
      </c>
    </row>
    <row r="466" spans="1:7" ht="18" x14ac:dyDescent="0.35">
      <c r="A466" s="13"/>
      <c r="B466" s="13"/>
      <c r="C466" s="38">
        <v>-1.3614842110312537</v>
      </c>
      <c r="D466" s="38">
        <v>0.20800599032627076</v>
      </c>
      <c r="E466" s="38">
        <f t="shared" si="8"/>
        <v>2.4632994921572826</v>
      </c>
    </row>
    <row r="467" spans="1:7" ht="18" x14ac:dyDescent="0.35">
      <c r="A467" s="13"/>
      <c r="B467" s="13"/>
      <c r="C467" s="38">
        <v>-4.6309840091065695</v>
      </c>
      <c r="D467" s="38">
        <v>-1.3614842110312537</v>
      </c>
      <c r="E467" s="38">
        <f t="shared" si="8"/>
        <v>10.68962892961453</v>
      </c>
    </row>
    <row r="468" spans="1:7" ht="18" x14ac:dyDescent="0.35">
      <c r="A468" s="13"/>
      <c r="B468" s="13"/>
      <c r="C468" s="38">
        <v>-0.51190494688434285</v>
      </c>
      <c r="D468" s="38">
        <v>-4.6309840091065695</v>
      </c>
      <c r="E468" s="38">
        <f t="shared" si="8"/>
        <v>16.966812320837537</v>
      </c>
    </row>
    <row r="469" spans="1:7" ht="18" x14ac:dyDescent="0.35">
      <c r="A469" s="13"/>
      <c r="B469" s="13"/>
      <c r="C469" s="38">
        <v>3.2004480734782845</v>
      </c>
      <c r="D469" s="38">
        <v>-0.51190494688434285</v>
      </c>
      <c r="E469" s="38">
        <f t="shared" si="8"/>
        <v>13.781564947795522</v>
      </c>
    </row>
    <row r="470" spans="1:7" ht="18.600000000000001" thickBot="1" x14ac:dyDescent="0.4">
      <c r="A470" s="24"/>
      <c r="B470" s="24"/>
      <c r="C470" s="38">
        <v>0.41021236759264923</v>
      </c>
      <c r="D470" s="38">
        <v>3.2004480734782845</v>
      </c>
      <c r="E470" s="38">
        <f t="shared" si="8"/>
        <v>7.7854152943991091</v>
      </c>
    </row>
    <row r="471" spans="1:7" ht="15.6" x14ac:dyDescent="0.3">
      <c r="C471" s="38"/>
      <c r="D471" s="38">
        <v>0.41021236759264923</v>
      </c>
      <c r="E471" s="38"/>
    </row>
    <row r="473" spans="1:7" x14ac:dyDescent="0.3">
      <c r="C473">
        <f>SUMSQ(C2:C470)</f>
        <v>4182.512210109574</v>
      </c>
      <c r="E473">
        <f>SUM(E3:E470)</f>
        <v>7686.271411111089</v>
      </c>
      <c r="G473">
        <f>E473/C473</f>
        <v>1.8377164309365455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9357-80B1-481F-AE32-D4D7D522C62C}">
  <sheetPr>
    <tabColor theme="9" tint="0.79998168889431442"/>
  </sheetPr>
  <dimension ref="A1:Q498"/>
  <sheetViews>
    <sheetView zoomScale="71" workbookViewId="0">
      <selection activeCell="G2" sqref="G2"/>
    </sheetView>
  </sheetViews>
  <sheetFormatPr defaultRowHeight="14.4" x14ac:dyDescent="0.3"/>
  <cols>
    <col min="1" max="1" width="18.109375" customWidth="1"/>
    <col min="2" max="2" width="16.44140625" customWidth="1"/>
    <col min="3" max="3" width="18.21875" customWidth="1"/>
    <col min="6" max="6" width="15.5546875" customWidth="1"/>
    <col min="7" max="7" width="17" customWidth="1"/>
    <col min="8" max="8" width="12.6640625" bestFit="1" customWidth="1"/>
    <col min="9" max="9" width="29.21875" customWidth="1"/>
    <col min="10" max="10" width="13" customWidth="1"/>
    <col min="11" max="14" width="9" bestFit="1" customWidth="1"/>
  </cols>
  <sheetData>
    <row r="1" spans="1:17" ht="90" x14ac:dyDescent="0.35">
      <c r="A1" s="9" t="s">
        <v>29</v>
      </c>
      <c r="B1" s="9" t="s">
        <v>30</v>
      </c>
      <c r="C1" s="11"/>
      <c r="D1" s="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8" x14ac:dyDescent="0.35">
      <c r="A2" s="4">
        <v>1</v>
      </c>
      <c r="B2" s="10">
        <v>53.44</v>
      </c>
      <c r="C2" s="3"/>
      <c r="D2" s="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8" x14ac:dyDescent="0.35">
      <c r="A3" s="4">
        <v>2</v>
      </c>
      <c r="B3" s="12">
        <v>48.77</v>
      </c>
      <c r="C3" s="12">
        <v>53.44</v>
      </c>
      <c r="D3" s="3"/>
      <c r="F3" s="13" t="s">
        <v>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18.600000000000001" thickBot="1" x14ac:dyDescent="0.4">
      <c r="A4" s="7">
        <v>3</v>
      </c>
      <c r="B4" s="7">
        <v>47.07</v>
      </c>
      <c r="C4" s="4">
        <v>48.77</v>
      </c>
      <c r="D4" s="4">
        <v>53.44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8" x14ac:dyDescent="0.35">
      <c r="A5" s="7">
        <v>4</v>
      </c>
      <c r="B5" s="7">
        <v>46.46</v>
      </c>
      <c r="C5" s="7">
        <v>47.07</v>
      </c>
      <c r="D5" s="4">
        <v>48.77</v>
      </c>
      <c r="F5" s="27" t="s">
        <v>1</v>
      </c>
      <c r="G5" s="27"/>
      <c r="H5" s="13"/>
      <c r="I5" s="39" t="s">
        <v>37</v>
      </c>
      <c r="J5" s="39"/>
      <c r="K5" s="13"/>
      <c r="L5" s="13"/>
      <c r="M5" s="13"/>
      <c r="N5" s="13"/>
      <c r="O5" s="13"/>
      <c r="P5" s="13"/>
      <c r="Q5" s="13"/>
    </row>
    <row r="6" spans="1:17" ht="18" x14ac:dyDescent="0.35">
      <c r="A6" s="7">
        <v>5</v>
      </c>
      <c r="B6" s="7">
        <v>45.32</v>
      </c>
      <c r="C6" s="7">
        <v>46.46</v>
      </c>
      <c r="D6" s="7">
        <v>47.07</v>
      </c>
      <c r="F6" s="13" t="s">
        <v>2</v>
      </c>
      <c r="G6" s="13">
        <v>0.98702737065737989</v>
      </c>
      <c r="H6" s="13"/>
      <c r="I6" s="21">
        <f>G20*B471+G21*B470+G19</f>
        <v>73.409302622073511</v>
      </c>
      <c r="J6" s="21" t="s">
        <v>38</v>
      </c>
      <c r="K6" s="13"/>
      <c r="L6" s="13"/>
      <c r="M6" s="13"/>
      <c r="N6" s="13"/>
      <c r="O6" s="13"/>
      <c r="P6" s="13"/>
      <c r="Q6" s="13"/>
    </row>
    <row r="7" spans="1:17" ht="18" x14ac:dyDescent="0.35">
      <c r="A7" s="7">
        <v>6</v>
      </c>
      <c r="B7" s="7">
        <v>50.58</v>
      </c>
      <c r="C7" s="7">
        <v>45.32</v>
      </c>
      <c r="D7" s="7">
        <v>46.46</v>
      </c>
      <c r="F7" s="13" t="s">
        <v>3</v>
      </c>
      <c r="G7" s="13">
        <v>0.97422303042682068</v>
      </c>
      <c r="H7" s="13"/>
      <c r="I7" s="21">
        <f>G20*I6+G21*B471+G19</f>
        <v>73.268242473219487</v>
      </c>
      <c r="J7" s="21" t="s">
        <v>39</v>
      </c>
      <c r="K7" s="13"/>
      <c r="L7" s="13"/>
      <c r="M7" s="13"/>
      <c r="N7" s="13"/>
      <c r="O7" s="13"/>
      <c r="P7" s="13"/>
      <c r="Q7" s="13"/>
    </row>
    <row r="8" spans="1:17" ht="18" x14ac:dyDescent="0.35">
      <c r="A8" s="7">
        <v>7</v>
      </c>
      <c r="B8" s="7">
        <v>51.14</v>
      </c>
      <c r="C8" s="7">
        <v>50.58</v>
      </c>
      <c r="D8" s="7">
        <v>45.32</v>
      </c>
      <c r="F8" s="13" t="s">
        <v>4</v>
      </c>
      <c r="G8" s="13">
        <v>0.97411216174048443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8" x14ac:dyDescent="0.35">
      <c r="A9" s="7">
        <v>8</v>
      </c>
      <c r="B9" s="7">
        <v>51.69</v>
      </c>
      <c r="C9" s="7">
        <v>51.14</v>
      </c>
      <c r="D9" s="7">
        <v>50.58</v>
      </c>
      <c r="F9" s="13" t="s">
        <v>5</v>
      </c>
      <c r="G9" s="13">
        <v>2.9812611577863035</v>
      </c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ht="18.600000000000001" thickBot="1" x14ac:dyDescent="0.4">
      <c r="A10" s="7">
        <v>9</v>
      </c>
      <c r="B10" s="7">
        <v>49.16</v>
      </c>
      <c r="C10" s="7">
        <v>51.69</v>
      </c>
      <c r="D10" s="7">
        <v>51.14</v>
      </c>
      <c r="F10" s="24" t="s">
        <v>6</v>
      </c>
      <c r="G10" s="24">
        <v>468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8" x14ac:dyDescent="0.35">
      <c r="A11" s="4">
        <v>10</v>
      </c>
      <c r="B11" s="4">
        <v>50.38</v>
      </c>
      <c r="C11" s="7">
        <v>49.16</v>
      </c>
      <c r="D11" s="7">
        <v>51.69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8.600000000000001" thickBot="1" x14ac:dyDescent="0.4">
      <c r="A12" s="4">
        <v>11</v>
      </c>
      <c r="B12" s="4">
        <v>47.69</v>
      </c>
      <c r="C12" s="4">
        <v>50.38</v>
      </c>
      <c r="D12" s="7">
        <v>49.16</v>
      </c>
      <c r="F12" s="13" t="s">
        <v>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8" x14ac:dyDescent="0.35">
      <c r="A13" s="4">
        <v>12</v>
      </c>
      <c r="B13" s="4">
        <v>44.39</v>
      </c>
      <c r="C13" s="4">
        <v>47.69</v>
      </c>
      <c r="D13" s="4">
        <v>50.38</v>
      </c>
      <c r="F13" s="23"/>
      <c r="G13" s="23" t="s">
        <v>12</v>
      </c>
      <c r="H13" s="23" t="s">
        <v>13</v>
      </c>
      <c r="I13" s="23" t="s">
        <v>14</v>
      </c>
      <c r="J13" s="23" t="s">
        <v>15</v>
      </c>
      <c r="K13" s="23" t="s">
        <v>16</v>
      </c>
      <c r="L13" s="13"/>
      <c r="M13" s="13"/>
      <c r="N13" s="13"/>
      <c r="O13" s="13"/>
      <c r="P13" s="13"/>
      <c r="Q13" s="13"/>
    </row>
    <row r="14" spans="1:17" ht="18" x14ac:dyDescent="0.35">
      <c r="A14" s="4">
        <v>13</v>
      </c>
      <c r="B14" s="4">
        <v>48.68</v>
      </c>
      <c r="C14" s="4">
        <v>44.39</v>
      </c>
      <c r="D14" s="4">
        <v>47.69</v>
      </c>
      <c r="F14" s="13" t="s">
        <v>8</v>
      </c>
      <c r="G14" s="13">
        <v>2</v>
      </c>
      <c r="H14" s="13">
        <v>156199.46051250614</v>
      </c>
      <c r="I14" s="13">
        <v>78099.730256253068</v>
      </c>
      <c r="J14" s="13">
        <v>8787.1793436073422</v>
      </c>
      <c r="K14" s="13">
        <v>0</v>
      </c>
      <c r="L14" s="13"/>
      <c r="M14" s="13"/>
      <c r="N14" s="13"/>
      <c r="O14" s="13"/>
      <c r="P14" s="13"/>
      <c r="Q14" s="13"/>
    </row>
    <row r="15" spans="1:17" ht="18" x14ac:dyDescent="0.35">
      <c r="A15" s="4">
        <v>14</v>
      </c>
      <c r="B15" s="4">
        <v>48.91</v>
      </c>
      <c r="C15" s="4">
        <v>48.68</v>
      </c>
      <c r="D15" s="4">
        <v>44.39</v>
      </c>
      <c r="F15" s="13" t="s">
        <v>9</v>
      </c>
      <c r="G15" s="13">
        <v>465</v>
      </c>
      <c r="H15" s="13">
        <v>4132.8819122802788</v>
      </c>
      <c r="I15" s="13">
        <v>8.8879180909253304</v>
      </c>
      <c r="J15" s="13"/>
      <c r="K15" s="13"/>
      <c r="L15" s="13"/>
      <c r="M15" s="13"/>
      <c r="N15" s="13"/>
      <c r="O15" s="13"/>
      <c r="P15" s="13"/>
      <c r="Q15" s="13"/>
    </row>
    <row r="16" spans="1:17" ht="18.600000000000001" thickBot="1" x14ac:dyDescent="0.4">
      <c r="A16" s="4">
        <v>15</v>
      </c>
      <c r="B16" s="4">
        <v>51.78</v>
      </c>
      <c r="C16" s="4">
        <v>48.91</v>
      </c>
      <c r="D16" s="4">
        <v>48.68</v>
      </c>
      <c r="F16" s="24" t="s">
        <v>10</v>
      </c>
      <c r="G16" s="24">
        <v>467</v>
      </c>
      <c r="H16" s="24">
        <v>160332.34242478642</v>
      </c>
      <c r="I16" s="24"/>
      <c r="J16" s="24"/>
      <c r="K16" s="24"/>
      <c r="L16" s="13"/>
      <c r="M16" s="13"/>
      <c r="N16" s="13"/>
      <c r="O16" s="13"/>
      <c r="P16" s="13"/>
      <c r="Q16" s="13"/>
    </row>
    <row r="17" spans="1:17" ht="18.600000000000001" thickBot="1" x14ac:dyDescent="0.4">
      <c r="A17" s="4">
        <v>16</v>
      </c>
      <c r="B17" s="4">
        <v>54.78</v>
      </c>
      <c r="C17" s="4">
        <v>51.78</v>
      </c>
      <c r="D17" s="4">
        <v>48.91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ht="18" x14ac:dyDescent="0.35">
      <c r="A18" s="4">
        <v>17</v>
      </c>
      <c r="B18" s="4">
        <v>56.14</v>
      </c>
      <c r="C18" s="4">
        <v>54.78</v>
      </c>
      <c r="D18" s="4">
        <v>51.78</v>
      </c>
      <c r="F18" s="23"/>
      <c r="G18" s="23" t="s">
        <v>17</v>
      </c>
      <c r="H18" s="23" t="s">
        <v>5</v>
      </c>
      <c r="I18" s="23" t="s">
        <v>18</v>
      </c>
      <c r="J18" s="23" t="s">
        <v>19</v>
      </c>
      <c r="K18" s="23" t="s">
        <v>20</v>
      </c>
      <c r="L18" s="23" t="s">
        <v>21</v>
      </c>
      <c r="M18" s="23" t="s">
        <v>22</v>
      </c>
      <c r="N18" s="23" t="s">
        <v>23</v>
      </c>
      <c r="O18" s="13"/>
      <c r="P18" s="13"/>
      <c r="Q18" s="13"/>
    </row>
    <row r="19" spans="1:17" ht="18" x14ac:dyDescent="0.35">
      <c r="A19" s="4">
        <v>18</v>
      </c>
      <c r="B19" s="4">
        <v>57.98</v>
      </c>
      <c r="C19" s="4">
        <v>56.14</v>
      </c>
      <c r="D19" s="4">
        <v>54.78</v>
      </c>
      <c r="F19" s="13" t="s">
        <v>11</v>
      </c>
      <c r="G19" s="13">
        <v>0.89762928994322078</v>
      </c>
      <c r="H19" s="13">
        <v>0.47211767564803808</v>
      </c>
      <c r="I19" s="13">
        <v>1.9012829560153981</v>
      </c>
      <c r="J19" s="13">
        <v>5.7882858385877478E-2</v>
      </c>
      <c r="K19" s="13">
        <v>-3.0119108790470306E-2</v>
      </c>
      <c r="L19" s="13">
        <v>1.825377688676912</v>
      </c>
      <c r="M19" s="13">
        <v>-3.0119108790470306E-2</v>
      </c>
      <c r="N19" s="13">
        <v>1.825377688676912</v>
      </c>
      <c r="O19" s="13"/>
      <c r="P19" s="13"/>
      <c r="Q19" s="13"/>
    </row>
    <row r="20" spans="1:17" ht="18" x14ac:dyDescent="0.35">
      <c r="A20" s="4">
        <v>19</v>
      </c>
      <c r="B20" s="4">
        <v>59.73</v>
      </c>
      <c r="C20" s="4">
        <v>57.98</v>
      </c>
      <c r="D20" s="4">
        <v>56.14</v>
      </c>
      <c r="F20" s="13" t="s">
        <v>24</v>
      </c>
      <c r="G20" s="13">
        <v>1.0656213644707018</v>
      </c>
      <c r="H20" s="13">
        <v>4.6098859113524585E-2</v>
      </c>
      <c r="I20" s="13">
        <v>23.11600297626601</v>
      </c>
      <c r="J20" s="13">
        <v>2.8289626855492095E-79</v>
      </c>
      <c r="K20" s="13">
        <v>0.97503347731456413</v>
      </c>
      <c r="L20" s="13">
        <v>1.1562092516268394</v>
      </c>
      <c r="M20" s="13">
        <v>0.97503347731456413</v>
      </c>
      <c r="N20" s="13">
        <v>1.1562092516268394</v>
      </c>
      <c r="O20" s="13"/>
      <c r="P20" s="13"/>
      <c r="Q20" s="13"/>
    </row>
    <row r="21" spans="1:17" ht="18.600000000000001" thickBot="1" x14ac:dyDescent="0.4">
      <c r="A21" s="4">
        <v>20</v>
      </c>
      <c r="B21" s="4">
        <v>60.01</v>
      </c>
      <c r="C21" s="4">
        <v>59.73</v>
      </c>
      <c r="D21" s="4">
        <v>57.98</v>
      </c>
      <c r="F21" s="24" t="s">
        <v>36</v>
      </c>
      <c r="G21" s="24">
        <v>-7.9650544636838669E-2</v>
      </c>
      <c r="H21" s="24">
        <v>4.6115387625091403E-2</v>
      </c>
      <c r="I21" s="24">
        <v>-1.7272010220185328</v>
      </c>
      <c r="J21" s="24">
        <v>8.4795614954563711E-2</v>
      </c>
      <c r="K21" s="24">
        <v>-0.17027091161936389</v>
      </c>
      <c r="L21" s="24">
        <v>1.0969822345686553E-2</v>
      </c>
      <c r="M21" s="24">
        <v>-0.17027091161936389</v>
      </c>
      <c r="N21" s="24">
        <v>1.0969822345686553E-2</v>
      </c>
      <c r="O21" s="13"/>
      <c r="P21" s="13"/>
      <c r="Q21" s="13"/>
    </row>
    <row r="22" spans="1:17" ht="18" x14ac:dyDescent="0.35">
      <c r="A22" s="4">
        <v>21</v>
      </c>
      <c r="B22" s="4">
        <v>58.95</v>
      </c>
      <c r="C22" s="4">
        <v>60.01</v>
      </c>
      <c r="D22" s="4">
        <v>59.73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8" x14ac:dyDescent="0.35">
      <c r="A23" s="4">
        <v>22</v>
      </c>
      <c r="B23" s="4">
        <v>58.19</v>
      </c>
      <c r="C23" s="4">
        <v>58.95</v>
      </c>
      <c r="D23" s="4">
        <v>60.01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8" x14ac:dyDescent="0.35">
      <c r="A24" s="4">
        <v>23</v>
      </c>
      <c r="B24" s="4">
        <v>59.66</v>
      </c>
      <c r="C24" s="4">
        <v>58.19</v>
      </c>
      <c r="D24" s="4">
        <v>58.95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8" x14ac:dyDescent="0.35">
      <c r="A25" s="4">
        <v>24</v>
      </c>
      <c r="B25" s="4">
        <v>60.07</v>
      </c>
      <c r="C25" s="4">
        <v>59.66</v>
      </c>
      <c r="D25" s="4">
        <v>58.19</v>
      </c>
      <c r="F25" s="13" t="s">
        <v>25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8.600000000000001" thickBot="1" x14ac:dyDescent="0.4">
      <c r="A26" s="4">
        <v>25</v>
      </c>
      <c r="B26" s="4">
        <v>59.89</v>
      </c>
      <c r="C26" s="4">
        <v>60.07</v>
      </c>
      <c r="D26" s="4">
        <v>59.66</v>
      </c>
      <c r="F26" s="13"/>
      <c r="G26" s="13"/>
      <c r="H26" s="13"/>
      <c r="I26" s="24"/>
      <c r="J26" s="24"/>
      <c r="K26" s="24"/>
      <c r="L26" s="13"/>
      <c r="M26" s="13"/>
      <c r="N26" s="13"/>
      <c r="O26" s="13"/>
      <c r="P26" s="13"/>
      <c r="Q26" s="13"/>
    </row>
    <row r="27" spans="1:17" ht="18" x14ac:dyDescent="0.35">
      <c r="A27" s="4">
        <v>26</v>
      </c>
      <c r="B27" s="4">
        <v>60.01</v>
      </c>
      <c r="C27" s="4">
        <v>59.89</v>
      </c>
      <c r="D27" s="4">
        <v>60.07</v>
      </c>
      <c r="F27" s="23" t="s">
        <v>26</v>
      </c>
      <c r="G27" s="23" t="s">
        <v>27</v>
      </c>
      <c r="H27" s="23" t="s">
        <v>28</v>
      </c>
      <c r="I27" s="28" t="s">
        <v>33</v>
      </c>
      <c r="J27" s="29" t="s">
        <v>34</v>
      </c>
      <c r="K27" s="29" t="s">
        <v>35</v>
      </c>
      <c r="L27" s="13"/>
      <c r="M27" s="13"/>
      <c r="N27" s="13"/>
      <c r="O27" s="13"/>
      <c r="P27" s="13"/>
      <c r="Q27" s="13"/>
    </row>
    <row r="28" spans="1:17" ht="18" x14ac:dyDescent="0.35">
      <c r="A28" s="4">
        <v>27</v>
      </c>
      <c r="B28" s="4">
        <v>57.92</v>
      </c>
      <c r="C28" s="4">
        <v>60.01</v>
      </c>
      <c r="D28" s="4">
        <v>59.89</v>
      </c>
      <c r="F28" s="13">
        <v>1</v>
      </c>
      <c r="G28" s="13">
        <v>48.611458129786683</v>
      </c>
      <c r="H28" s="13">
        <v>-1.5414581297866832</v>
      </c>
      <c r="I28" s="13">
        <f>ABS(H28)</f>
        <v>1.5414581297866832</v>
      </c>
      <c r="J28" s="13">
        <f>SUM(I28:I495)</f>
        <v>955.34334540658074</v>
      </c>
      <c r="K28" s="13">
        <f>J28/468</f>
        <v>2.0413319346294458</v>
      </c>
      <c r="L28" s="13"/>
      <c r="M28" s="13"/>
      <c r="N28" s="13"/>
      <c r="O28" s="13"/>
      <c r="P28" s="13"/>
      <c r="Q28" s="13"/>
    </row>
    <row r="29" spans="1:17" ht="18" x14ac:dyDescent="0.35">
      <c r="A29" s="4">
        <v>28</v>
      </c>
      <c r="B29" s="4">
        <v>52.38</v>
      </c>
      <c r="C29" s="4">
        <v>57.92</v>
      </c>
      <c r="D29" s="4">
        <v>60.01</v>
      </c>
      <c r="F29" s="13">
        <v>2</v>
      </c>
      <c r="G29" s="13">
        <v>47.17186985364053</v>
      </c>
      <c r="H29" s="13">
        <v>-0.71186985364052902</v>
      </c>
      <c r="I29" s="13">
        <f t="shared" ref="I29:I92" si="0">ABS(H29)</f>
        <v>0.71186985364052902</v>
      </c>
      <c r="J29" s="13"/>
      <c r="K29" s="13"/>
      <c r="L29" s="13"/>
      <c r="M29" s="13"/>
      <c r="N29" s="13"/>
      <c r="O29" s="13"/>
      <c r="P29" s="13"/>
      <c r="Q29" s="13"/>
    </row>
    <row r="30" spans="1:17" ht="18" x14ac:dyDescent="0.35">
      <c r="A30" s="4">
        <v>29</v>
      </c>
      <c r="B30" s="4">
        <v>51.68</v>
      </c>
      <c r="C30" s="4">
        <v>52.38</v>
      </c>
      <c r="D30" s="4">
        <v>57.92</v>
      </c>
      <c r="F30" s="13">
        <v>3</v>
      </c>
      <c r="G30" s="13">
        <v>46.657246747196027</v>
      </c>
      <c r="H30" s="13">
        <v>-1.3372467471960263</v>
      </c>
      <c r="I30" s="13">
        <f t="shared" si="0"/>
        <v>1.3372467471960263</v>
      </c>
      <c r="J30" s="13"/>
      <c r="K30" s="13"/>
      <c r="L30" s="13"/>
      <c r="M30" s="13"/>
      <c r="N30" s="13"/>
      <c r="O30" s="13"/>
      <c r="P30" s="13"/>
      <c r="Q30" s="13"/>
    </row>
    <row r="31" spans="1:17" ht="18" x14ac:dyDescent="0.35">
      <c r="A31" s="4">
        <v>30</v>
      </c>
      <c r="B31" s="4">
        <v>49.21</v>
      </c>
      <c r="C31" s="4">
        <v>51.68</v>
      </c>
      <c r="D31" s="4">
        <v>52.38</v>
      </c>
      <c r="F31" s="13">
        <v>4</v>
      </c>
      <c r="G31" s="13">
        <v>45.491025223927899</v>
      </c>
      <c r="H31" s="13">
        <v>5.0889747760720994</v>
      </c>
      <c r="I31" s="13">
        <f t="shared" si="0"/>
        <v>5.0889747760720994</v>
      </c>
      <c r="J31" s="13"/>
      <c r="K31" s="13"/>
      <c r="L31" s="13"/>
      <c r="M31" s="13"/>
      <c r="N31" s="13"/>
      <c r="O31" s="13"/>
      <c r="P31" s="13"/>
      <c r="Q31" s="13"/>
    </row>
    <row r="32" spans="1:17" ht="18" x14ac:dyDescent="0.35">
      <c r="A32" s="4">
        <v>31</v>
      </c>
      <c r="B32" s="4">
        <v>47.91</v>
      </c>
      <c r="C32" s="4">
        <v>49.21</v>
      </c>
      <c r="D32" s="4">
        <v>51.68</v>
      </c>
      <c r="F32" s="13">
        <v>5</v>
      </c>
      <c r="G32" s="13">
        <v>51.186995221929784</v>
      </c>
      <c r="H32" s="13">
        <v>-4.6995221929783781E-2</v>
      </c>
      <c r="I32" s="13">
        <f t="shared" si="0"/>
        <v>4.6995221929783781E-2</v>
      </c>
      <c r="J32" s="13"/>
      <c r="K32" s="13"/>
      <c r="L32" s="13"/>
      <c r="M32" s="13"/>
      <c r="N32" s="13"/>
      <c r="O32" s="13"/>
      <c r="P32" s="13"/>
      <c r="Q32" s="13"/>
    </row>
    <row r="33" spans="1:17" ht="18" x14ac:dyDescent="0.35">
      <c r="A33" s="4">
        <v>32</v>
      </c>
      <c r="B33" s="4">
        <v>44.94</v>
      </c>
      <c r="C33" s="4">
        <v>47.91</v>
      </c>
      <c r="D33" s="4">
        <v>49.21</v>
      </c>
      <c r="F33" s="13">
        <v>6</v>
      </c>
      <c r="G33" s="13">
        <v>51.364781321243605</v>
      </c>
      <c r="H33" s="13">
        <v>0.32521867875639288</v>
      </c>
      <c r="I33" s="13">
        <f t="shared" si="0"/>
        <v>0.32521867875639288</v>
      </c>
      <c r="J33" s="13"/>
      <c r="K33" s="13"/>
      <c r="L33" s="13"/>
      <c r="M33" s="13"/>
      <c r="N33" s="13"/>
      <c r="O33" s="13"/>
      <c r="P33" s="13"/>
      <c r="Q33" s="13"/>
    </row>
    <row r="34" spans="1:17" ht="18" x14ac:dyDescent="0.35">
      <c r="A34" s="4">
        <v>33</v>
      </c>
      <c r="B34" s="4">
        <v>43.2</v>
      </c>
      <c r="C34" s="4">
        <v>44.94</v>
      </c>
      <c r="D34" s="4">
        <v>47.91</v>
      </c>
      <c r="F34" s="13">
        <v>7</v>
      </c>
      <c r="G34" s="13">
        <v>51.906268766705864</v>
      </c>
      <c r="H34" s="13">
        <v>-2.7462687667058674</v>
      </c>
      <c r="I34" s="13">
        <f t="shared" si="0"/>
        <v>2.7462687667058674</v>
      </c>
      <c r="J34" s="13"/>
      <c r="K34" s="13"/>
      <c r="L34" s="13"/>
      <c r="M34" s="13"/>
      <c r="N34" s="13"/>
      <c r="O34" s="13"/>
      <c r="P34" s="13"/>
      <c r="Q34" s="13"/>
    </row>
    <row r="35" spans="1:17" ht="18" x14ac:dyDescent="0.35">
      <c r="A35" s="4">
        <v>34</v>
      </c>
      <c r="B35" s="4">
        <v>41.34</v>
      </c>
      <c r="C35" s="4">
        <v>43.2</v>
      </c>
      <c r="D35" s="4">
        <v>44.94</v>
      </c>
      <c r="F35" s="13">
        <v>8</v>
      </c>
      <c r="G35" s="13">
        <v>49.166438915044722</v>
      </c>
      <c r="H35" s="13">
        <v>1.2135610849552805</v>
      </c>
      <c r="I35" s="13">
        <f t="shared" si="0"/>
        <v>1.2135610849552805</v>
      </c>
      <c r="J35" s="13"/>
      <c r="K35" s="13"/>
      <c r="L35" s="13"/>
      <c r="M35" s="13"/>
      <c r="N35" s="13"/>
      <c r="O35" s="13"/>
      <c r="P35" s="13"/>
      <c r="Q35" s="13"/>
    </row>
    <row r="36" spans="1:17" ht="18" x14ac:dyDescent="0.35">
      <c r="A36" s="4">
        <v>35</v>
      </c>
      <c r="B36" s="4">
        <v>40.729999999999997</v>
      </c>
      <c r="C36" s="4">
        <v>41.34</v>
      </c>
      <c r="D36" s="4">
        <v>43.2</v>
      </c>
      <c r="F36" s="13">
        <v>9</v>
      </c>
      <c r="G36" s="13">
        <v>50.668012857630188</v>
      </c>
      <c r="H36" s="13">
        <v>-2.9780128576301905</v>
      </c>
      <c r="I36" s="13">
        <f t="shared" si="0"/>
        <v>2.9780128576301905</v>
      </c>
      <c r="J36" s="13"/>
      <c r="K36" s="13"/>
      <c r="L36" s="13"/>
      <c r="M36" s="13"/>
      <c r="N36" s="13"/>
      <c r="O36" s="13"/>
      <c r="P36" s="13"/>
      <c r="Q36" s="13"/>
    </row>
    <row r="37" spans="1:17" ht="18" x14ac:dyDescent="0.35">
      <c r="A37" s="4">
        <v>36</v>
      </c>
      <c r="B37" s="4">
        <v>46.73</v>
      </c>
      <c r="C37" s="4">
        <v>40.729999999999997</v>
      </c>
      <c r="D37" s="4">
        <v>41.34</v>
      </c>
      <c r="F37" s="13">
        <v>10</v>
      </c>
      <c r="G37" s="13">
        <v>47.704317722747057</v>
      </c>
      <c r="H37" s="13">
        <v>-3.3143177227470559</v>
      </c>
      <c r="I37" s="13">
        <f t="shared" si="0"/>
        <v>3.3143177227470559</v>
      </c>
      <c r="J37" s="13"/>
      <c r="K37" s="13"/>
      <c r="L37" s="13"/>
      <c r="M37" s="13"/>
      <c r="N37" s="13"/>
      <c r="O37" s="13"/>
      <c r="P37" s="13"/>
      <c r="Q37" s="13"/>
    </row>
    <row r="38" spans="1:17" ht="18" x14ac:dyDescent="0.35">
      <c r="A38" s="4">
        <v>37</v>
      </c>
      <c r="B38" s="4">
        <v>45.16</v>
      </c>
      <c r="C38" s="4">
        <v>46.73</v>
      </c>
      <c r="D38" s="4">
        <v>40.729999999999997</v>
      </c>
      <c r="F38" s="13">
        <v>11</v>
      </c>
      <c r="G38" s="13">
        <v>44.402027185066828</v>
      </c>
      <c r="H38" s="13">
        <v>4.2779728149331717</v>
      </c>
      <c r="I38" s="13">
        <f t="shared" si="0"/>
        <v>4.2779728149331717</v>
      </c>
      <c r="J38" s="13"/>
      <c r="K38" s="13"/>
      <c r="L38" s="13"/>
      <c r="M38" s="13"/>
      <c r="N38" s="13"/>
      <c r="O38" s="13"/>
      <c r="P38" s="13"/>
      <c r="Q38" s="13"/>
    </row>
    <row r="39" spans="1:17" ht="18" x14ac:dyDescent="0.35">
      <c r="A39" s="4">
        <v>38</v>
      </c>
      <c r="B39" s="4">
        <v>45.48</v>
      </c>
      <c r="C39" s="4">
        <v>45.16</v>
      </c>
      <c r="D39" s="4">
        <v>46.73</v>
      </c>
      <c r="F39" s="13">
        <v>12</v>
      </c>
      <c r="G39" s="13">
        <v>49.23638963594771</v>
      </c>
      <c r="H39" s="13">
        <v>-0.32638963594771297</v>
      </c>
      <c r="I39" s="13">
        <f t="shared" si="0"/>
        <v>0.32638963594771297</v>
      </c>
      <c r="J39" s="13"/>
      <c r="K39" s="13"/>
      <c r="L39" s="13"/>
      <c r="M39" s="13"/>
      <c r="N39" s="13"/>
      <c r="O39" s="13"/>
      <c r="P39" s="13"/>
      <c r="Q39" s="13"/>
    </row>
    <row r="40" spans="1:17" ht="18" x14ac:dyDescent="0.35">
      <c r="A40" s="4">
        <v>39</v>
      </c>
      <c r="B40" s="4">
        <v>45.57</v>
      </c>
      <c r="C40" s="4">
        <v>45.48</v>
      </c>
      <c r="D40" s="4">
        <v>45.16</v>
      </c>
      <c r="F40" s="13">
        <v>13</v>
      </c>
      <c r="G40" s="13">
        <v>49.139781713283931</v>
      </c>
      <c r="H40" s="13">
        <v>2.6402182867160704</v>
      </c>
      <c r="I40" s="13">
        <f t="shared" si="0"/>
        <v>2.6402182867160704</v>
      </c>
      <c r="J40" s="13"/>
      <c r="K40" s="13"/>
      <c r="L40" s="13"/>
      <c r="M40" s="13"/>
      <c r="N40" s="13"/>
      <c r="O40" s="13"/>
      <c r="P40" s="13"/>
      <c r="Q40" s="13"/>
    </row>
    <row r="41" spans="1:17" ht="18" x14ac:dyDescent="0.35">
      <c r="A41" s="4">
        <v>40</v>
      </c>
      <c r="B41" s="4">
        <v>45</v>
      </c>
      <c r="C41" s="4">
        <v>45.57</v>
      </c>
      <c r="D41" s="4">
        <v>45.48</v>
      </c>
      <c r="F41" s="13">
        <v>14</v>
      </c>
      <c r="G41" s="13">
        <v>52.179795404048377</v>
      </c>
      <c r="H41" s="13">
        <v>2.6002045959516238</v>
      </c>
      <c r="I41" s="13">
        <f t="shared" si="0"/>
        <v>2.6002045959516238</v>
      </c>
      <c r="J41" s="13"/>
      <c r="K41" s="13"/>
      <c r="L41" s="13"/>
      <c r="M41" s="13"/>
      <c r="N41" s="13"/>
      <c r="O41" s="13"/>
      <c r="P41" s="13"/>
      <c r="Q41" s="13"/>
    </row>
    <row r="42" spans="1:17" ht="18" x14ac:dyDescent="0.35">
      <c r="A42" s="4">
        <v>41</v>
      </c>
      <c r="B42" s="4">
        <v>48.36</v>
      </c>
      <c r="C42" s="4">
        <v>45</v>
      </c>
      <c r="D42" s="4">
        <v>45.57</v>
      </c>
      <c r="F42" s="13">
        <v>15</v>
      </c>
      <c r="G42" s="13">
        <v>55.148062434352759</v>
      </c>
      <c r="H42" s="13">
        <v>0.99193756564724112</v>
      </c>
      <c r="I42" s="13">
        <f t="shared" si="0"/>
        <v>0.99193756564724112</v>
      </c>
      <c r="J42" s="13"/>
      <c r="K42" s="13"/>
      <c r="L42" s="13"/>
      <c r="M42" s="13"/>
      <c r="N42" s="13"/>
      <c r="O42" s="13"/>
      <c r="P42" s="13"/>
      <c r="Q42" s="13"/>
    </row>
    <row r="43" spans="1:17" ht="18" x14ac:dyDescent="0.35">
      <c r="A43" s="4">
        <v>42</v>
      </c>
      <c r="B43" s="4">
        <v>46.82</v>
      </c>
      <c r="C43" s="4">
        <v>48.36</v>
      </c>
      <c r="D43" s="4">
        <v>45</v>
      </c>
      <c r="F43" s="13">
        <v>16</v>
      </c>
      <c r="G43" s="13">
        <v>56.358355856122394</v>
      </c>
      <c r="H43" s="13">
        <v>1.621644143877603</v>
      </c>
      <c r="I43" s="13">
        <f t="shared" si="0"/>
        <v>1.621644143877603</v>
      </c>
      <c r="J43" s="13"/>
      <c r="K43" s="13"/>
      <c r="L43" s="13"/>
      <c r="M43" s="13"/>
      <c r="N43" s="13"/>
      <c r="O43" s="13"/>
      <c r="P43" s="13"/>
      <c r="Q43" s="13"/>
    </row>
    <row r="44" spans="1:17" ht="18" x14ac:dyDescent="0.35">
      <c r="A44" s="4">
        <v>43</v>
      </c>
      <c r="B44" s="4">
        <v>45.16</v>
      </c>
      <c r="C44" s="4">
        <v>46.82</v>
      </c>
      <c r="D44" s="4">
        <v>48.36</v>
      </c>
      <c r="F44" s="13">
        <v>17</v>
      </c>
      <c r="G44" s="13">
        <v>58.210774426042377</v>
      </c>
      <c r="H44" s="13">
        <v>1.5192255739576197</v>
      </c>
      <c r="I44" s="13">
        <f t="shared" si="0"/>
        <v>1.5192255739576197</v>
      </c>
      <c r="J44" s="13"/>
      <c r="K44" s="13"/>
      <c r="L44" s="13"/>
      <c r="M44" s="13"/>
      <c r="N44" s="13"/>
      <c r="O44" s="13"/>
      <c r="P44" s="13"/>
      <c r="Q44" s="13"/>
    </row>
    <row r="45" spans="1:17" ht="18" x14ac:dyDescent="0.35">
      <c r="A45" s="4">
        <v>44</v>
      </c>
      <c r="B45" s="4">
        <v>44.99</v>
      </c>
      <c r="C45" s="4">
        <v>45.16</v>
      </c>
      <c r="D45" s="4">
        <v>46.82</v>
      </c>
      <c r="F45" s="13">
        <v>18</v>
      </c>
      <c r="G45" s="13">
        <v>59.929054811734325</v>
      </c>
      <c r="H45" s="13">
        <v>8.0945188265673096E-2</v>
      </c>
      <c r="I45" s="13">
        <f t="shared" si="0"/>
        <v>8.0945188265673096E-2</v>
      </c>
      <c r="J45" s="13"/>
      <c r="K45" s="13"/>
      <c r="L45" s="13"/>
      <c r="M45" s="13"/>
      <c r="N45" s="13"/>
      <c r="O45" s="13"/>
      <c r="P45" s="13"/>
      <c r="Q45" s="13"/>
    </row>
    <row r="46" spans="1:17" ht="18" x14ac:dyDescent="0.35">
      <c r="A46" s="4">
        <v>45</v>
      </c>
      <c r="B46" s="4">
        <v>45.98</v>
      </c>
      <c r="C46" s="4">
        <v>44.99</v>
      </c>
      <c r="D46" s="4">
        <v>45.16</v>
      </c>
      <c r="F46" s="13">
        <v>19</v>
      </c>
      <c r="G46" s="13">
        <v>60.088040340671654</v>
      </c>
      <c r="H46" s="13">
        <v>-1.1380403406716511</v>
      </c>
      <c r="I46" s="13">
        <f t="shared" si="0"/>
        <v>1.1380403406716511</v>
      </c>
      <c r="J46" s="13"/>
      <c r="K46" s="13"/>
      <c r="L46" s="13"/>
      <c r="M46" s="13"/>
      <c r="N46" s="13"/>
      <c r="O46" s="13"/>
      <c r="P46" s="13"/>
      <c r="Q46" s="13"/>
    </row>
    <row r="47" spans="1:17" ht="18" x14ac:dyDescent="0.35">
      <c r="A47" s="4">
        <v>46</v>
      </c>
      <c r="B47" s="4">
        <v>42.7</v>
      </c>
      <c r="C47" s="4">
        <v>45.98</v>
      </c>
      <c r="D47" s="4">
        <v>44.99</v>
      </c>
      <c r="F47" s="13">
        <v>20</v>
      </c>
      <c r="G47" s="13">
        <v>58.936179541834406</v>
      </c>
      <c r="H47" s="13">
        <v>-0.74617954183440816</v>
      </c>
      <c r="I47" s="13">
        <f t="shared" si="0"/>
        <v>0.74617954183440816</v>
      </c>
      <c r="J47" s="13"/>
      <c r="K47" s="13"/>
      <c r="L47" s="13"/>
      <c r="M47" s="13"/>
      <c r="N47" s="13"/>
      <c r="O47" s="13"/>
      <c r="P47" s="13"/>
      <c r="Q47" s="13"/>
    </row>
    <row r="48" spans="1:17" ht="18" x14ac:dyDescent="0.35">
      <c r="A48" s="4">
        <v>47</v>
      </c>
      <c r="B48" s="4">
        <v>40.619999999999997</v>
      </c>
      <c r="C48" s="4">
        <v>42.7</v>
      </c>
      <c r="D48" s="4">
        <v>45.98</v>
      </c>
      <c r="F48" s="13">
        <v>21</v>
      </c>
      <c r="G48" s="13">
        <v>58.210736882151714</v>
      </c>
      <c r="H48" s="13">
        <v>1.4492631178482824</v>
      </c>
      <c r="I48" s="13">
        <f t="shared" si="0"/>
        <v>1.4492631178482824</v>
      </c>
      <c r="J48" s="13"/>
      <c r="K48" s="13"/>
      <c r="L48" s="13"/>
      <c r="M48" s="13"/>
      <c r="N48" s="13"/>
      <c r="O48" s="13"/>
      <c r="P48" s="13"/>
      <c r="Q48" s="13"/>
    </row>
    <row r="49" spans="1:17" ht="18" x14ac:dyDescent="0.35">
      <c r="A49" s="4">
        <v>48</v>
      </c>
      <c r="B49" s="4">
        <v>40.49</v>
      </c>
      <c r="C49" s="4">
        <v>40.619999999999997</v>
      </c>
      <c r="D49" s="4">
        <v>42.7</v>
      </c>
      <c r="F49" s="13">
        <v>22</v>
      </c>
      <c r="G49" s="13">
        <v>59.837734701847644</v>
      </c>
      <c r="H49" s="13">
        <v>0.23226529815235608</v>
      </c>
      <c r="I49" s="13">
        <f t="shared" si="0"/>
        <v>0.23226529815235608</v>
      </c>
      <c r="J49" s="13"/>
      <c r="K49" s="13"/>
      <c r="L49" s="13"/>
      <c r="M49" s="13"/>
      <c r="N49" s="13"/>
      <c r="O49" s="13"/>
      <c r="P49" s="13"/>
      <c r="Q49" s="13"/>
    </row>
    <row r="50" spans="1:17" ht="18" x14ac:dyDescent="0.35">
      <c r="A50" s="4">
        <v>49</v>
      </c>
      <c r="B50" s="4">
        <v>40.4</v>
      </c>
      <c r="C50" s="4">
        <v>40.49</v>
      </c>
      <c r="D50" s="4">
        <v>40.619999999999997</v>
      </c>
      <c r="F50" s="13">
        <v>23</v>
      </c>
      <c r="G50" s="13">
        <v>60.157553160664484</v>
      </c>
      <c r="H50" s="13">
        <v>-0.26755316066448387</v>
      </c>
      <c r="I50" s="13">
        <f t="shared" si="0"/>
        <v>0.26755316066448387</v>
      </c>
      <c r="J50" s="13"/>
      <c r="K50" s="13"/>
      <c r="L50" s="13"/>
      <c r="M50" s="13"/>
      <c r="N50" s="13"/>
      <c r="O50" s="13"/>
      <c r="P50" s="13"/>
      <c r="Q50" s="13"/>
    </row>
    <row r="51" spans="1:17" ht="18" x14ac:dyDescent="0.35">
      <c r="A51" s="4">
        <v>50</v>
      </c>
      <c r="B51" s="4">
        <v>36.93</v>
      </c>
      <c r="C51" s="4">
        <v>40.4</v>
      </c>
      <c r="D51" s="4">
        <v>40.49</v>
      </c>
      <c r="F51" s="13">
        <v>24</v>
      </c>
      <c r="G51" s="13">
        <v>59.933084591758643</v>
      </c>
      <c r="H51" s="13">
        <v>7.691540824135501E-2</v>
      </c>
      <c r="I51" s="13">
        <f t="shared" si="0"/>
        <v>7.691540824135501E-2</v>
      </c>
      <c r="J51" s="13"/>
      <c r="K51" s="13"/>
      <c r="L51" s="13"/>
      <c r="M51" s="13"/>
      <c r="N51" s="13"/>
      <c r="O51" s="13"/>
      <c r="P51" s="13"/>
      <c r="Q51" s="13"/>
    </row>
    <row r="52" spans="1:17" ht="18" x14ac:dyDescent="0.35">
      <c r="A52" s="4">
        <v>51</v>
      </c>
      <c r="B52" s="4">
        <v>35.78</v>
      </c>
      <c r="C52" s="4">
        <v>36.93</v>
      </c>
      <c r="D52" s="4">
        <v>40.4</v>
      </c>
      <c r="F52" s="13">
        <v>25</v>
      </c>
      <c r="G52" s="13">
        <v>60.075296253529764</v>
      </c>
      <c r="H52" s="13">
        <v>-2.1552962535297624</v>
      </c>
      <c r="I52" s="13">
        <f t="shared" si="0"/>
        <v>2.1552962535297624</v>
      </c>
      <c r="J52" s="13"/>
      <c r="K52" s="13"/>
      <c r="L52" s="13"/>
      <c r="M52" s="13"/>
      <c r="N52" s="13"/>
      <c r="O52" s="13"/>
      <c r="P52" s="13"/>
      <c r="Q52" s="13"/>
    </row>
    <row r="53" spans="1:17" ht="18" x14ac:dyDescent="0.35">
      <c r="A53" s="4">
        <v>52</v>
      </c>
      <c r="B53" s="4">
        <v>36.26</v>
      </c>
      <c r="C53" s="4">
        <v>35.78</v>
      </c>
      <c r="D53" s="4">
        <v>36.93</v>
      </c>
      <c r="F53" s="13">
        <v>26</v>
      </c>
      <c r="G53" s="13">
        <v>57.838589536429581</v>
      </c>
      <c r="H53" s="13">
        <v>-5.458589536429578</v>
      </c>
      <c r="I53" s="13">
        <f t="shared" si="0"/>
        <v>5.458589536429578</v>
      </c>
      <c r="J53" s="13"/>
      <c r="K53" s="13"/>
      <c r="L53" s="13"/>
      <c r="M53" s="13"/>
      <c r="N53" s="13"/>
      <c r="O53" s="13"/>
      <c r="P53" s="13"/>
      <c r="Q53" s="13"/>
    </row>
    <row r="54" spans="1:17" ht="18" x14ac:dyDescent="0.35">
      <c r="A54" s="4">
        <v>53</v>
      </c>
      <c r="B54" s="4">
        <v>36.99</v>
      </c>
      <c r="C54" s="4">
        <v>36.26</v>
      </c>
      <c r="D54" s="4">
        <v>35.78</v>
      </c>
      <c r="F54" s="13">
        <v>27</v>
      </c>
      <c r="G54" s="13">
        <v>52.101516815552884</v>
      </c>
      <c r="H54" s="13">
        <v>-0.42151681555288434</v>
      </c>
      <c r="I54" s="13">
        <f t="shared" si="0"/>
        <v>0.42151681555288434</v>
      </c>
      <c r="J54" s="13"/>
      <c r="K54" s="13"/>
      <c r="L54" s="13"/>
      <c r="M54" s="13"/>
      <c r="N54" s="13"/>
      <c r="O54" s="13"/>
      <c r="P54" s="13"/>
      <c r="Q54" s="13"/>
    </row>
    <row r="55" spans="1:17" ht="18" x14ac:dyDescent="0.35">
      <c r="A55" s="4">
        <v>54</v>
      </c>
      <c r="B55" s="4">
        <v>34.65</v>
      </c>
      <c r="C55" s="4">
        <v>36.99</v>
      </c>
      <c r="D55" s="4">
        <v>36.26</v>
      </c>
      <c r="F55" s="13">
        <v>28</v>
      </c>
      <c r="G55" s="13">
        <v>51.796845877711476</v>
      </c>
      <c r="H55" s="13">
        <v>-2.5868458777114753</v>
      </c>
      <c r="I55" s="13">
        <f t="shared" si="0"/>
        <v>2.5868458777114753</v>
      </c>
      <c r="J55" s="13"/>
      <c r="K55" s="13"/>
      <c r="L55" s="13"/>
      <c r="M55" s="13"/>
      <c r="N55" s="13"/>
      <c r="O55" s="13"/>
      <c r="P55" s="13"/>
      <c r="Q55" s="13"/>
    </row>
    <row r="56" spans="1:17" ht="18" x14ac:dyDescent="0.35">
      <c r="A56" s="4">
        <v>55</v>
      </c>
      <c r="B56" s="4">
        <v>30.59</v>
      </c>
      <c r="C56" s="4">
        <v>34.65</v>
      </c>
      <c r="D56" s="4">
        <v>36.99</v>
      </c>
      <c r="F56" s="13">
        <v>29</v>
      </c>
      <c r="G56" s="13">
        <v>49.22051648871463</v>
      </c>
      <c r="H56" s="13">
        <v>-1.310516488714633</v>
      </c>
      <c r="I56" s="13">
        <f t="shared" si="0"/>
        <v>1.310516488714633</v>
      </c>
      <c r="J56" s="13"/>
      <c r="K56" s="13"/>
      <c r="L56" s="13"/>
      <c r="M56" s="13"/>
      <c r="N56" s="13"/>
      <c r="O56" s="13"/>
      <c r="P56" s="13"/>
      <c r="Q56" s="13"/>
    </row>
    <row r="57" spans="1:17" ht="18" x14ac:dyDescent="0.35">
      <c r="A57" s="4">
        <v>56</v>
      </c>
      <c r="B57" s="4">
        <v>29.19</v>
      </c>
      <c r="C57" s="4">
        <v>30.59</v>
      </c>
      <c r="D57" s="4">
        <v>34.65</v>
      </c>
      <c r="F57" s="13">
        <v>30</v>
      </c>
      <c r="G57" s="13">
        <v>48.031945560155705</v>
      </c>
      <c r="H57" s="13">
        <v>-3.0919455601557075</v>
      </c>
      <c r="I57" s="13">
        <f t="shared" si="0"/>
        <v>3.0919455601557075</v>
      </c>
      <c r="J57" s="13"/>
      <c r="K57" s="13"/>
      <c r="L57" s="13"/>
      <c r="M57" s="13"/>
      <c r="N57" s="13"/>
      <c r="O57" s="13"/>
      <c r="P57" s="13"/>
      <c r="Q57" s="13"/>
    </row>
    <row r="58" spans="1:17" ht="18" x14ac:dyDescent="0.35">
      <c r="A58" s="4">
        <v>57</v>
      </c>
      <c r="B58" s="4">
        <v>31.81</v>
      </c>
      <c r="C58" s="4">
        <v>29.19</v>
      </c>
      <c r="D58" s="4">
        <v>30.59</v>
      </c>
      <c r="F58" s="13">
        <v>31</v>
      </c>
      <c r="G58" s="13">
        <v>44.970595815705614</v>
      </c>
      <c r="H58" s="13">
        <v>-1.7705958157056116</v>
      </c>
      <c r="I58" s="13">
        <f t="shared" si="0"/>
        <v>1.7705958157056116</v>
      </c>
      <c r="J58" s="13"/>
      <c r="K58" s="13"/>
      <c r="L58" s="13"/>
      <c r="M58" s="13"/>
      <c r="N58" s="13"/>
      <c r="O58" s="13"/>
      <c r="P58" s="13"/>
      <c r="Q58" s="13"/>
    </row>
    <row r="59" spans="1:17" ht="18" x14ac:dyDescent="0.35">
      <c r="A59" s="4">
        <v>58</v>
      </c>
      <c r="B59" s="4">
        <v>31.26</v>
      </c>
      <c r="C59" s="4">
        <v>31.81</v>
      </c>
      <c r="D59" s="4">
        <v>29.19</v>
      </c>
      <c r="F59" s="13">
        <v>32</v>
      </c>
      <c r="G59" s="13">
        <v>43.352976759098013</v>
      </c>
      <c r="H59" s="13">
        <v>-2.0129767590980094</v>
      </c>
      <c r="I59" s="13">
        <f t="shared" si="0"/>
        <v>2.0129767590980094</v>
      </c>
      <c r="J59" s="13"/>
      <c r="K59" s="13"/>
      <c r="L59" s="13"/>
      <c r="M59" s="13"/>
      <c r="N59" s="13"/>
      <c r="O59" s="13"/>
      <c r="P59" s="13"/>
      <c r="Q59" s="13"/>
    </row>
    <row r="60" spans="1:17" ht="18" x14ac:dyDescent="0.35">
      <c r="A60" s="4">
        <v>59</v>
      </c>
      <c r="B60" s="4">
        <v>28.14</v>
      </c>
      <c r="C60" s="4">
        <v>31.26</v>
      </c>
      <c r="D60" s="4">
        <v>31.81</v>
      </c>
      <c r="F60" s="13">
        <v>33</v>
      </c>
      <c r="G60" s="13">
        <v>41.509512968850601</v>
      </c>
      <c r="H60" s="13">
        <v>-0.77951296885060373</v>
      </c>
      <c r="I60" s="13">
        <f t="shared" si="0"/>
        <v>0.77951296885060373</v>
      </c>
      <c r="J60" s="13"/>
      <c r="K60" s="13"/>
      <c r="L60" s="13"/>
      <c r="M60" s="13"/>
      <c r="N60" s="13"/>
      <c r="O60" s="13"/>
      <c r="P60" s="13"/>
      <c r="Q60" s="13"/>
    </row>
    <row r="61" spans="1:17" ht="18" x14ac:dyDescent="0.35">
      <c r="A61" s="4">
        <v>60</v>
      </c>
      <c r="B61" s="4">
        <v>30.02</v>
      </c>
      <c r="C61" s="4">
        <v>28.14</v>
      </c>
      <c r="D61" s="4">
        <v>31.26</v>
      </c>
      <c r="F61" s="13">
        <v>34</v>
      </c>
      <c r="G61" s="13">
        <v>41.007633949547987</v>
      </c>
      <c r="H61" s="13">
        <v>5.7223660504520097</v>
      </c>
      <c r="I61" s="13">
        <f t="shared" si="0"/>
        <v>5.7223660504520097</v>
      </c>
      <c r="J61" s="13"/>
      <c r="K61" s="13"/>
      <c r="L61" s="13"/>
      <c r="M61" s="13"/>
      <c r="N61" s="13"/>
      <c r="O61" s="13"/>
      <c r="P61" s="13"/>
      <c r="Q61" s="13"/>
    </row>
    <row r="62" spans="1:17" ht="18" x14ac:dyDescent="0.35">
      <c r="A62" s="4">
        <v>61</v>
      </c>
      <c r="B62" s="4">
        <v>31.32</v>
      </c>
      <c r="C62" s="4">
        <v>30.02</v>
      </c>
      <c r="D62" s="4">
        <v>28.14</v>
      </c>
      <c r="F62" s="13">
        <v>35</v>
      </c>
      <c r="G62" s="13">
        <v>47.449948968600673</v>
      </c>
      <c r="H62" s="13">
        <v>-2.289948968600676</v>
      </c>
      <c r="I62" s="13">
        <f t="shared" si="0"/>
        <v>2.289948968600676</v>
      </c>
      <c r="J62" s="13"/>
      <c r="K62" s="13"/>
      <c r="L62" s="13"/>
      <c r="M62" s="13"/>
      <c r="N62" s="13"/>
      <c r="O62" s="13"/>
      <c r="P62" s="13"/>
      <c r="Q62" s="13"/>
    </row>
    <row r="63" spans="1:17" ht="18" x14ac:dyDescent="0.35">
      <c r="A63" s="4">
        <v>62</v>
      </c>
      <c r="B63" s="4">
        <v>34.43</v>
      </c>
      <c r="C63" s="4">
        <v>31.32</v>
      </c>
      <c r="D63" s="4">
        <v>30.02</v>
      </c>
      <c r="F63" s="13">
        <v>36</v>
      </c>
      <c r="G63" s="13">
        <v>45.299020158560637</v>
      </c>
      <c r="H63" s="13">
        <v>0.18097984143935975</v>
      </c>
      <c r="I63" s="13">
        <f t="shared" si="0"/>
        <v>0.18097984143935975</v>
      </c>
      <c r="J63" s="13"/>
      <c r="K63" s="13"/>
      <c r="L63" s="13"/>
      <c r="M63" s="13"/>
      <c r="N63" s="13"/>
      <c r="O63" s="13"/>
      <c r="P63" s="13"/>
      <c r="Q63" s="13"/>
    </row>
    <row r="64" spans="1:17" ht="18" x14ac:dyDescent="0.35">
      <c r="A64" s="4">
        <v>63</v>
      </c>
      <c r="B64" s="4">
        <v>37.69</v>
      </c>
      <c r="C64" s="4">
        <v>34.43</v>
      </c>
      <c r="D64" s="4">
        <v>31.32</v>
      </c>
      <c r="F64" s="13">
        <v>37</v>
      </c>
      <c r="G64" s="13">
        <v>45.765070350271102</v>
      </c>
      <c r="H64" s="13">
        <v>-0.1950703502711022</v>
      </c>
      <c r="I64" s="13">
        <f t="shared" si="0"/>
        <v>0.1950703502711022</v>
      </c>
      <c r="J64" s="13"/>
      <c r="K64" s="13"/>
      <c r="L64" s="13"/>
      <c r="M64" s="13"/>
      <c r="N64" s="13"/>
      <c r="O64" s="13"/>
      <c r="P64" s="13"/>
      <c r="Q64" s="13"/>
    </row>
    <row r="65" spans="1:17" ht="18" x14ac:dyDescent="0.35">
      <c r="A65" s="4">
        <v>64</v>
      </c>
      <c r="B65" s="4">
        <v>38.32</v>
      </c>
      <c r="C65" s="4">
        <v>37.69</v>
      </c>
      <c r="D65" s="4">
        <v>34.43</v>
      </c>
      <c r="F65" s="13">
        <v>38</v>
      </c>
      <c r="G65" s="13">
        <v>45.835488098789682</v>
      </c>
      <c r="H65" s="13">
        <v>-0.835488098789682</v>
      </c>
      <c r="I65" s="13">
        <f t="shared" si="0"/>
        <v>0.835488098789682</v>
      </c>
      <c r="J65" s="13"/>
      <c r="K65" s="13"/>
      <c r="L65" s="13"/>
      <c r="M65" s="13"/>
      <c r="N65" s="13"/>
      <c r="O65" s="13"/>
      <c r="P65" s="13"/>
      <c r="Q65" s="13"/>
    </row>
    <row r="66" spans="1:17" ht="18" x14ac:dyDescent="0.35">
      <c r="A66" s="4">
        <v>65</v>
      </c>
      <c r="B66" s="4">
        <v>39.450000000000003</v>
      </c>
      <c r="C66" s="4">
        <v>38.32</v>
      </c>
      <c r="D66" s="4">
        <v>37.69</v>
      </c>
      <c r="F66" s="13">
        <v>39</v>
      </c>
      <c r="G66" s="13">
        <v>45.220915372024059</v>
      </c>
      <c r="H66" s="13">
        <v>3.1390846279759401</v>
      </c>
      <c r="I66" s="13">
        <f t="shared" si="0"/>
        <v>3.1390846279759401</v>
      </c>
      <c r="J66" s="13"/>
      <c r="K66" s="13"/>
      <c r="L66" s="13"/>
      <c r="M66" s="13"/>
      <c r="N66" s="13"/>
      <c r="O66" s="13"/>
      <c r="P66" s="13"/>
      <c r="Q66" s="13"/>
    </row>
    <row r="67" spans="1:17" ht="18" x14ac:dyDescent="0.35">
      <c r="A67" s="4">
        <v>66</v>
      </c>
      <c r="B67" s="4">
        <v>36.82</v>
      </c>
      <c r="C67" s="4">
        <v>39.450000000000003</v>
      </c>
      <c r="D67" s="4">
        <v>38.32</v>
      </c>
      <c r="F67" s="13">
        <v>40</v>
      </c>
      <c r="G67" s="13">
        <v>48.846803967088611</v>
      </c>
      <c r="H67" s="13">
        <v>-2.0268039670886111</v>
      </c>
      <c r="I67" s="13">
        <f t="shared" si="0"/>
        <v>2.0268039670886111</v>
      </c>
      <c r="J67" s="13"/>
      <c r="K67" s="13"/>
      <c r="L67" s="13"/>
      <c r="M67" s="13"/>
      <c r="N67" s="13"/>
      <c r="O67" s="13"/>
      <c r="P67" s="13"/>
      <c r="Q67" s="13"/>
    </row>
    <row r="68" spans="1:17" ht="18" x14ac:dyDescent="0.35">
      <c r="A68" s="4">
        <v>67</v>
      </c>
      <c r="B68" s="4">
        <v>36.72</v>
      </c>
      <c r="C68" s="4">
        <v>36.82</v>
      </c>
      <c r="D68" s="4">
        <v>39.450000000000003</v>
      </c>
      <c r="F68" s="13">
        <v>41</v>
      </c>
      <c r="G68" s="13">
        <v>46.938121235823957</v>
      </c>
      <c r="H68" s="13">
        <v>-1.77812123582396</v>
      </c>
      <c r="I68" s="13">
        <f t="shared" si="0"/>
        <v>1.77812123582396</v>
      </c>
      <c r="J68" s="13"/>
      <c r="K68" s="13"/>
      <c r="L68" s="13"/>
      <c r="M68" s="13"/>
      <c r="N68" s="13"/>
      <c r="O68" s="13"/>
      <c r="P68" s="13"/>
      <c r="Q68" s="13"/>
    </row>
    <row r="69" spans="1:17" ht="18" x14ac:dyDescent="0.35">
      <c r="A69" s="4">
        <v>68</v>
      </c>
      <c r="B69" s="4">
        <v>41.23</v>
      </c>
      <c r="C69" s="4">
        <v>36.72</v>
      </c>
      <c r="D69" s="4">
        <v>36.82</v>
      </c>
      <c r="F69" s="13">
        <v>42</v>
      </c>
      <c r="G69" s="13">
        <v>45.291851609543322</v>
      </c>
      <c r="H69" s="13">
        <v>-0.30185160954331991</v>
      </c>
      <c r="I69" s="13">
        <f t="shared" si="0"/>
        <v>0.30185160954331991</v>
      </c>
      <c r="J69" s="13"/>
      <c r="K69" s="13"/>
      <c r="L69" s="13"/>
      <c r="M69" s="13"/>
      <c r="N69" s="13"/>
      <c r="O69" s="13"/>
      <c r="P69" s="13"/>
      <c r="Q69" s="13"/>
    </row>
    <row r="70" spans="1:17" ht="18" x14ac:dyDescent="0.35">
      <c r="A70" s="4">
        <v>69</v>
      </c>
      <c r="B70" s="4">
        <v>41.86</v>
      </c>
      <c r="C70" s="4">
        <v>41.23</v>
      </c>
      <c r="D70" s="4">
        <v>36.72</v>
      </c>
      <c r="F70" s="13">
        <v>43</v>
      </c>
      <c r="G70" s="13">
        <v>45.24291588168046</v>
      </c>
      <c r="H70" s="13">
        <v>0.73708411831953669</v>
      </c>
      <c r="I70" s="13">
        <f t="shared" si="0"/>
        <v>0.73708411831953669</v>
      </c>
      <c r="J70" s="13"/>
      <c r="K70" s="13"/>
      <c r="L70" s="13"/>
      <c r="M70" s="13"/>
      <c r="N70" s="13"/>
      <c r="O70" s="13"/>
      <c r="P70" s="13"/>
      <c r="Q70" s="13"/>
    </row>
    <row r="71" spans="1:17" ht="18" x14ac:dyDescent="0.35">
      <c r="A71" s="4">
        <v>70</v>
      </c>
      <c r="B71" s="4">
        <v>44.3</v>
      </c>
      <c r="C71" s="4">
        <v>41.86</v>
      </c>
      <c r="D71" s="4">
        <v>41.23</v>
      </c>
      <c r="F71" s="13">
        <v>44</v>
      </c>
      <c r="G71" s="13">
        <v>46.311421625094709</v>
      </c>
      <c r="H71" s="13">
        <v>-3.6114216250947067</v>
      </c>
      <c r="I71" s="13">
        <f t="shared" si="0"/>
        <v>3.6114216250947067</v>
      </c>
      <c r="J71" s="13"/>
      <c r="K71" s="13"/>
      <c r="L71" s="13"/>
      <c r="M71" s="13"/>
      <c r="N71" s="13"/>
      <c r="O71" s="13"/>
      <c r="P71" s="13"/>
      <c r="Q71" s="13"/>
    </row>
    <row r="72" spans="1:17" ht="18" x14ac:dyDescent="0.35">
      <c r="A72" s="4">
        <v>71</v>
      </c>
      <c r="B72" s="4">
        <v>44.22</v>
      </c>
      <c r="C72" s="4">
        <v>44.3</v>
      </c>
      <c r="D72" s="4">
        <v>41.86</v>
      </c>
      <c r="F72" s="13">
        <v>45</v>
      </c>
      <c r="G72" s="13">
        <v>42.737329510440347</v>
      </c>
      <c r="H72" s="13">
        <v>-2.1173295104403493</v>
      </c>
      <c r="I72" s="13">
        <f t="shared" si="0"/>
        <v>2.1173295104403493</v>
      </c>
      <c r="J72" s="13"/>
      <c r="K72" s="13"/>
      <c r="L72" s="13"/>
      <c r="M72" s="13"/>
      <c r="N72" s="13"/>
      <c r="O72" s="13"/>
      <c r="P72" s="13"/>
      <c r="Q72" s="13"/>
    </row>
    <row r="73" spans="1:17" ht="18" x14ac:dyDescent="0.35">
      <c r="A73" s="4">
        <v>72</v>
      </c>
      <c r="B73" s="4">
        <v>45.44</v>
      </c>
      <c r="C73" s="4">
        <v>44.22</v>
      </c>
      <c r="D73" s="4">
        <v>44.3</v>
      </c>
      <c r="F73" s="13">
        <v>46</v>
      </c>
      <c r="G73" s="13">
        <v>40.782090858750109</v>
      </c>
      <c r="H73" s="13">
        <v>-0.29209085875010743</v>
      </c>
      <c r="I73" s="13">
        <f t="shared" si="0"/>
        <v>0.29209085875010743</v>
      </c>
      <c r="J73" s="13"/>
      <c r="K73" s="13"/>
      <c r="L73" s="13"/>
      <c r="M73" s="13"/>
      <c r="N73" s="13"/>
      <c r="O73" s="13"/>
      <c r="P73" s="13"/>
      <c r="Q73" s="13"/>
    </row>
    <row r="74" spans="1:17" ht="18" x14ac:dyDescent="0.35">
      <c r="A74" s="4">
        <v>73</v>
      </c>
      <c r="B74" s="4">
        <v>47.99</v>
      </c>
      <c r="C74" s="4">
        <v>45.44</v>
      </c>
      <c r="D74" s="4">
        <v>44.22</v>
      </c>
      <c r="F74" s="13">
        <v>47</v>
      </c>
      <c r="G74" s="13">
        <v>40.809233214213549</v>
      </c>
      <c r="H74" s="13">
        <v>-0.40923321421355041</v>
      </c>
      <c r="I74" s="13">
        <f t="shared" si="0"/>
        <v>0.40923321421355041</v>
      </c>
      <c r="J74" s="13"/>
      <c r="K74" s="13"/>
      <c r="L74" s="13"/>
      <c r="M74" s="13"/>
      <c r="N74" s="13"/>
      <c r="O74" s="13"/>
      <c r="P74" s="13"/>
      <c r="Q74" s="13"/>
    </row>
    <row r="75" spans="1:17" ht="18" x14ac:dyDescent="0.35">
      <c r="A75" s="4">
        <v>74</v>
      </c>
      <c r="B75" s="4">
        <v>48.72</v>
      </c>
      <c r="C75" s="4">
        <v>47.99</v>
      </c>
      <c r="D75" s="4">
        <v>45.44</v>
      </c>
      <c r="F75" s="13">
        <v>48</v>
      </c>
      <c r="G75" s="13">
        <v>40.723681862213965</v>
      </c>
      <c r="H75" s="13">
        <v>-3.7936818622139654</v>
      </c>
      <c r="I75" s="13">
        <f t="shared" si="0"/>
        <v>3.7936818622139654</v>
      </c>
      <c r="J75" s="13"/>
      <c r="K75" s="13"/>
      <c r="L75" s="13"/>
      <c r="M75" s="13"/>
      <c r="N75" s="13"/>
      <c r="O75" s="13"/>
      <c r="P75" s="13"/>
      <c r="Q75" s="13"/>
    </row>
    <row r="76" spans="1:17" ht="18" x14ac:dyDescent="0.35">
      <c r="A76" s="4">
        <v>75</v>
      </c>
      <c r="B76" s="4">
        <v>49</v>
      </c>
      <c r="C76" s="4">
        <v>48.72</v>
      </c>
      <c r="D76" s="4">
        <v>47.99</v>
      </c>
      <c r="F76" s="13">
        <v>49</v>
      </c>
      <c r="G76" s="13">
        <v>37.033144276517952</v>
      </c>
      <c r="H76" s="13">
        <v>-1.2531442765179506</v>
      </c>
      <c r="I76" s="13">
        <f t="shared" si="0"/>
        <v>1.2531442765179506</v>
      </c>
      <c r="J76" s="13"/>
      <c r="K76" s="13"/>
      <c r="L76" s="13"/>
      <c r="M76" s="13"/>
      <c r="N76" s="13"/>
      <c r="O76" s="13"/>
      <c r="P76" s="13"/>
      <c r="Q76" s="13"/>
    </row>
    <row r="77" spans="1:17" ht="18" x14ac:dyDescent="0.35">
      <c r="A77" s="4">
        <v>76</v>
      </c>
      <c r="B77" s="4">
        <v>50.18</v>
      </c>
      <c r="C77" s="4">
        <v>49</v>
      </c>
      <c r="D77" s="4">
        <v>48.72</v>
      </c>
      <c r="F77" s="13">
        <v>50</v>
      </c>
      <c r="G77" s="13">
        <v>36.084067097266477</v>
      </c>
      <c r="H77" s="13">
        <v>0.17593290273352125</v>
      </c>
      <c r="I77" s="13">
        <f t="shared" si="0"/>
        <v>0.17593290273352125</v>
      </c>
      <c r="J77" s="13"/>
      <c r="K77" s="13"/>
      <c r="L77" s="13"/>
      <c r="M77" s="13"/>
      <c r="N77" s="13"/>
      <c r="O77" s="13"/>
      <c r="P77" s="13"/>
      <c r="Q77" s="13"/>
    </row>
    <row r="78" spans="1:17" ht="18" x14ac:dyDescent="0.35">
      <c r="A78" s="4">
        <v>77</v>
      </c>
      <c r="B78" s="4">
        <v>47.89</v>
      </c>
      <c r="C78" s="4">
        <v>50.18</v>
      </c>
      <c r="D78" s="4">
        <v>49</v>
      </c>
      <c r="F78" s="13">
        <v>51</v>
      </c>
      <c r="G78" s="13">
        <v>36.687163478544775</v>
      </c>
      <c r="H78" s="13">
        <v>0.30283652145522666</v>
      </c>
      <c r="I78" s="13">
        <f t="shared" si="0"/>
        <v>0.30283652145522666</v>
      </c>
      <c r="J78" s="13"/>
      <c r="K78" s="13"/>
      <c r="L78" s="13"/>
      <c r="M78" s="13"/>
      <c r="N78" s="13"/>
      <c r="O78" s="13"/>
      <c r="P78" s="13"/>
      <c r="Q78" s="13"/>
    </row>
    <row r="79" spans="1:17" ht="18" x14ac:dyDescent="0.35">
      <c r="A79" s="4">
        <v>78</v>
      </c>
      <c r="B79" s="4">
        <v>48.71</v>
      </c>
      <c r="C79" s="4">
        <v>47.89</v>
      </c>
      <c r="D79" s="4">
        <v>50.18</v>
      </c>
      <c r="F79" s="13">
        <v>52</v>
      </c>
      <c r="G79" s="13">
        <v>37.426834813182708</v>
      </c>
      <c r="H79" s="13">
        <v>-2.7768348131827096</v>
      </c>
      <c r="I79" s="13">
        <f t="shared" si="0"/>
        <v>2.7768348131827096</v>
      </c>
      <c r="J79" s="13"/>
      <c r="K79" s="13"/>
      <c r="L79" s="13"/>
      <c r="M79" s="13"/>
      <c r="N79" s="13"/>
      <c r="O79" s="13"/>
      <c r="P79" s="13"/>
      <c r="Q79" s="13"/>
    </row>
    <row r="80" spans="1:17" ht="18" x14ac:dyDescent="0.35">
      <c r="A80" s="4">
        <v>79</v>
      </c>
      <c r="B80" s="4">
        <v>48.17</v>
      </c>
      <c r="C80" s="4">
        <v>48.71</v>
      </c>
      <c r="D80" s="4">
        <v>47.89</v>
      </c>
      <c r="F80" s="13">
        <v>53</v>
      </c>
      <c r="G80" s="13">
        <v>34.875135922736369</v>
      </c>
      <c r="H80" s="13">
        <v>-4.2851359227363695</v>
      </c>
      <c r="I80" s="13">
        <f t="shared" si="0"/>
        <v>4.2851359227363695</v>
      </c>
      <c r="J80" s="13"/>
      <c r="K80" s="13"/>
      <c r="L80" s="13"/>
      <c r="M80" s="13"/>
      <c r="N80" s="13"/>
      <c r="O80" s="13"/>
      <c r="P80" s="13"/>
      <c r="Q80" s="13"/>
    </row>
    <row r="81" spans="1:17" ht="18" x14ac:dyDescent="0.35">
      <c r="A81" s="4">
        <v>80</v>
      </c>
      <c r="B81" s="4">
        <v>46.17</v>
      </c>
      <c r="C81" s="4">
        <v>48.17</v>
      </c>
      <c r="D81" s="4">
        <v>48.71</v>
      </c>
      <c r="F81" s="13">
        <v>54</v>
      </c>
      <c r="G81" s="13">
        <v>30.735095457435524</v>
      </c>
      <c r="H81" s="13">
        <v>-1.5450954574355222</v>
      </c>
      <c r="I81" s="13">
        <f t="shared" si="0"/>
        <v>1.5450954574355222</v>
      </c>
      <c r="J81" s="13"/>
      <c r="K81" s="13"/>
      <c r="L81" s="13"/>
      <c r="M81" s="13"/>
      <c r="N81" s="13"/>
      <c r="O81" s="13"/>
      <c r="P81" s="13"/>
      <c r="Q81" s="13"/>
    </row>
    <row r="82" spans="1:17" ht="18" x14ac:dyDescent="0.35">
      <c r="A82" s="4">
        <v>81</v>
      </c>
      <c r="B82" s="4">
        <v>45.6</v>
      </c>
      <c r="C82" s="4">
        <v>46.17</v>
      </c>
      <c r="D82" s="4">
        <v>48.17</v>
      </c>
      <c r="F82" s="13">
        <v>55</v>
      </c>
      <c r="G82" s="13">
        <v>29.566606758402109</v>
      </c>
      <c r="H82" s="13">
        <v>2.2433932415978894</v>
      </c>
      <c r="I82" s="13">
        <f t="shared" si="0"/>
        <v>2.2433932415978894</v>
      </c>
      <c r="J82" s="13"/>
      <c r="K82" s="13"/>
      <c r="L82" s="13"/>
      <c r="M82" s="13"/>
      <c r="N82" s="13"/>
      <c r="O82" s="13"/>
      <c r="P82" s="13"/>
      <c r="Q82" s="13"/>
    </row>
    <row r="83" spans="1:17" ht="18" x14ac:dyDescent="0.35">
      <c r="A83" s="4">
        <v>82</v>
      </c>
      <c r="B83" s="4">
        <v>44.44</v>
      </c>
      <c r="C83" s="4">
        <v>45.6</v>
      </c>
      <c r="D83" s="4">
        <v>46.17</v>
      </c>
      <c r="F83" s="13">
        <v>56</v>
      </c>
      <c r="G83" s="13">
        <v>32.470045495806922</v>
      </c>
      <c r="H83" s="13">
        <v>-1.21004549580692</v>
      </c>
      <c r="I83" s="13">
        <f t="shared" si="0"/>
        <v>1.21004549580692</v>
      </c>
      <c r="J83" s="13"/>
      <c r="K83" s="13"/>
      <c r="L83" s="13"/>
      <c r="M83" s="13"/>
      <c r="N83" s="13"/>
      <c r="O83" s="13"/>
      <c r="P83" s="13"/>
      <c r="Q83" s="13"/>
    </row>
    <row r="84" spans="1:17" ht="18" x14ac:dyDescent="0.35">
      <c r="A84" s="4">
        <v>83</v>
      </c>
      <c r="B84" s="4">
        <v>41.83</v>
      </c>
      <c r="C84" s="4">
        <v>44.44</v>
      </c>
      <c r="D84" s="4">
        <v>45.6</v>
      </c>
      <c r="F84" s="13">
        <v>57</v>
      </c>
      <c r="G84" s="13">
        <v>31.675269318399518</v>
      </c>
      <c r="H84" s="13">
        <v>-3.5352693183995179</v>
      </c>
      <c r="I84" s="13">
        <f t="shared" si="0"/>
        <v>3.5352693183995179</v>
      </c>
      <c r="J84" s="13"/>
      <c r="K84" s="13"/>
      <c r="L84" s="13"/>
      <c r="M84" s="13"/>
      <c r="N84" s="13"/>
      <c r="O84" s="13"/>
      <c r="P84" s="13"/>
      <c r="Q84" s="13"/>
    </row>
    <row r="85" spans="1:17" ht="18" x14ac:dyDescent="0.35">
      <c r="A85" s="4">
        <v>84</v>
      </c>
      <c r="B85" s="4">
        <v>40.82</v>
      </c>
      <c r="C85" s="4">
        <v>41.83</v>
      </c>
      <c r="D85" s="4">
        <v>44.44</v>
      </c>
      <c r="F85" s="13">
        <v>58</v>
      </c>
      <c r="G85" s="13">
        <v>28.394338460801194</v>
      </c>
      <c r="H85" s="13">
        <v>1.6256615391988056</v>
      </c>
      <c r="I85" s="13">
        <f t="shared" si="0"/>
        <v>1.6256615391988056</v>
      </c>
      <c r="J85" s="13"/>
      <c r="K85" s="13"/>
      <c r="L85" s="13"/>
      <c r="M85" s="13"/>
      <c r="N85" s="13"/>
      <c r="O85" s="13"/>
      <c r="P85" s="13"/>
      <c r="Q85" s="13"/>
    </row>
    <row r="86" spans="1:17" ht="18" x14ac:dyDescent="0.35">
      <c r="A86" s="4">
        <v>85</v>
      </c>
      <c r="B86" s="4">
        <v>43.11</v>
      </c>
      <c r="C86" s="4">
        <v>40.82</v>
      </c>
      <c r="D86" s="4">
        <v>41.83</v>
      </c>
      <c r="F86" s="13">
        <v>59</v>
      </c>
      <c r="G86" s="13">
        <v>30.646216325273048</v>
      </c>
      <c r="H86" s="13">
        <v>0.67378367472695189</v>
      </c>
      <c r="I86" s="13">
        <f t="shared" si="0"/>
        <v>0.67378367472695189</v>
      </c>
      <c r="J86" s="13"/>
      <c r="K86" s="13"/>
      <c r="L86" s="13"/>
      <c r="M86" s="13"/>
      <c r="N86" s="13"/>
      <c r="O86" s="13"/>
      <c r="P86" s="13"/>
      <c r="Q86" s="13"/>
    </row>
    <row r="87" spans="1:17" ht="18" x14ac:dyDescent="0.35">
      <c r="A87" s="4">
        <v>86</v>
      </c>
      <c r="B87" s="4">
        <v>47.16</v>
      </c>
      <c r="C87" s="4">
        <v>43.11</v>
      </c>
      <c r="D87" s="4">
        <v>40.82</v>
      </c>
      <c r="F87" s="13">
        <v>60</v>
      </c>
      <c r="G87" s="13">
        <v>31.881781075167702</v>
      </c>
      <c r="H87" s="13">
        <v>2.5482189248322982</v>
      </c>
      <c r="I87" s="13">
        <f t="shared" si="0"/>
        <v>2.5482189248322982</v>
      </c>
      <c r="J87" s="13"/>
      <c r="K87" s="13"/>
      <c r="L87" s="13"/>
      <c r="M87" s="13"/>
      <c r="N87" s="13"/>
      <c r="O87" s="13"/>
      <c r="P87" s="13"/>
      <c r="Q87" s="13"/>
    </row>
    <row r="88" spans="1:17" ht="18" x14ac:dyDescent="0.35">
      <c r="A88" s="4">
        <v>87</v>
      </c>
      <c r="B88" s="4">
        <v>47.05</v>
      </c>
      <c r="C88" s="4">
        <v>47.16</v>
      </c>
      <c r="D88" s="4">
        <v>43.11</v>
      </c>
      <c r="F88" s="13">
        <v>61</v>
      </c>
      <c r="G88" s="13">
        <v>35.092317810643692</v>
      </c>
      <c r="H88" s="13">
        <v>2.5976821893563056</v>
      </c>
      <c r="I88" s="13">
        <f t="shared" si="0"/>
        <v>2.5976821893563056</v>
      </c>
      <c r="J88" s="13"/>
      <c r="K88" s="13"/>
      <c r="L88" s="13"/>
      <c r="M88" s="13"/>
      <c r="N88" s="13"/>
      <c r="O88" s="13"/>
      <c r="P88" s="13"/>
      <c r="Q88" s="13"/>
    </row>
    <row r="89" spans="1:17" ht="18" x14ac:dyDescent="0.35">
      <c r="A89" s="4">
        <v>88</v>
      </c>
      <c r="B89" s="4">
        <v>45.11</v>
      </c>
      <c r="C89" s="4">
        <v>47.05</v>
      </c>
      <c r="D89" s="4">
        <v>47.16</v>
      </c>
      <c r="F89" s="13">
        <v>62</v>
      </c>
      <c r="G89" s="13">
        <v>38.318530264997605</v>
      </c>
      <c r="H89" s="13">
        <v>1.4697350023951117E-3</v>
      </c>
      <c r="I89" s="13">
        <f t="shared" si="0"/>
        <v>1.4697350023951117E-3</v>
      </c>
      <c r="J89" s="13"/>
      <c r="K89" s="13"/>
      <c r="L89" s="13"/>
      <c r="M89" s="13"/>
      <c r="N89" s="13"/>
      <c r="O89" s="13"/>
      <c r="P89" s="13"/>
      <c r="Q89" s="13"/>
    </row>
    <row r="90" spans="1:17" ht="18" x14ac:dyDescent="0.35">
      <c r="A90" s="4">
        <v>89</v>
      </c>
      <c r="B90" s="4">
        <v>45.96</v>
      </c>
      <c r="C90" s="4">
        <v>45.11</v>
      </c>
      <c r="D90" s="4">
        <v>47.05</v>
      </c>
      <c r="F90" s="13">
        <v>63</v>
      </c>
      <c r="G90" s="13">
        <v>38.730210949098065</v>
      </c>
      <c r="H90" s="13">
        <v>0.71978905090193734</v>
      </c>
      <c r="I90" s="13">
        <f t="shared" si="0"/>
        <v>0.71978905090193734</v>
      </c>
      <c r="J90" s="13"/>
      <c r="K90" s="13"/>
      <c r="L90" s="13"/>
      <c r="M90" s="13"/>
      <c r="N90" s="13"/>
      <c r="O90" s="13"/>
      <c r="P90" s="13"/>
      <c r="Q90" s="13"/>
    </row>
    <row r="91" spans="1:17" ht="18" x14ac:dyDescent="0.35">
      <c r="A91" s="4">
        <v>90</v>
      </c>
      <c r="B91" s="4">
        <v>44.34</v>
      </c>
      <c r="C91" s="4">
        <v>45.96</v>
      </c>
      <c r="D91" s="4">
        <v>45.11</v>
      </c>
      <c r="F91" s="13">
        <v>64</v>
      </c>
      <c r="G91" s="13">
        <v>39.884183247828744</v>
      </c>
      <c r="H91" s="13">
        <v>-3.0641832478287441</v>
      </c>
      <c r="I91" s="13">
        <f t="shared" si="0"/>
        <v>3.0641832478287441</v>
      </c>
      <c r="J91" s="13"/>
      <c r="K91" s="13"/>
      <c r="L91" s="13"/>
      <c r="M91" s="13"/>
      <c r="N91" s="13"/>
      <c r="O91" s="13"/>
      <c r="P91" s="13"/>
      <c r="Q91" s="13"/>
    </row>
    <row r="92" spans="1:17" ht="18" x14ac:dyDescent="0.35">
      <c r="A92" s="4">
        <v>91</v>
      </c>
      <c r="B92" s="4">
        <v>44.59</v>
      </c>
      <c r="C92" s="4">
        <v>44.34</v>
      </c>
      <c r="D92" s="4">
        <v>45.96</v>
      </c>
      <c r="F92" s="13">
        <v>65</v>
      </c>
      <c r="G92" s="13">
        <v>36.991593943831177</v>
      </c>
      <c r="H92" s="13">
        <v>-0.27159394383117785</v>
      </c>
      <c r="I92" s="13">
        <f t="shared" si="0"/>
        <v>0.27159394383117785</v>
      </c>
      <c r="J92" s="13"/>
      <c r="K92" s="13"/>
      <c r="L92" s="13"/>
      <c r="M92" s="13"/>
      <c r="N92" s="13"/>
      <c r="O92" s="13"/>
      <c r="P92" s="13"/>
      <c r="Q92" s="13"/>
    </row>
    <row r="93" spans="1:17" ht="18" x14ac:dyDescent="0.35">
      <c r="A93" s="4">
        <v>92</v>
      </c>
      <c r="B93" s="4">
        <v>46.55</v>
      </c>
      <c r="C93" s="4">
        <v>44.59</v>
      </c>
      <c r="D93" s="4">
        <v>44.34</v>
      </c>
      <c r="F93" s="13">
        <v>66</v>
      </c>
      <c r="G93" s="13">
        <v>37.094512739778985</v>
      </c>
      <c r="H93" s="13">
        <v>4.1354872602210122</v>
      </c>
      <c r="I93" s="13">
        <f t="shared" ref="I93:I156" si="1">ABS(H93)</f>
        <v>4.1354872602210122</v>
      </c>
      <c r="J93" s="13"/>
      <c r="K93" s="13"/>
      <c r="L93" s="13"/>
      <c r="M93" s="13"/>
      <c r="N93" s="13"/>
      <c r="O93" s="13"/>
      <c r="P93" s="13"/>
      <c r="Q93" s="13"/>
    </row>
    <row r="94" spans="1:17" ht="18" x14ac:dyDescent="0.35">
      <c r="A94" s="4">
        <v>93</v>
      </c>
      <c r="B94" s="4">
        <v>49.48</v>
      </c>
      <c r="C94" s="4">
        <v>46.55</v>
      </c>
      <c r="D94" s="4">
        <v>44.59</v>
      </c>
      <c r="F94" s="13">
        <v>67</v>
      </c>
      <c r="G94" s="13">
        <v>41.908430148005536</v>
      </c>
      <c r="H94" s="13">
        <v>-4.8430148005536466E-2</v>
      </c>
      <c r="I94" s="13">
        <f t="shared" si="1"/>
        <v>4.8430148005536466E-2</v>
      </c>
      <c r="J94" s="13"/>
      <c r="K94" s="13"/>
      <c r="L94" s="13"/>
      <c r="M94" s="13"/>
      <c r="N94" s="13"/>
      <c r="O94" s="13"/>
      <c r="P94" s="13"/>
      <c r="Q94" s="13"/>
    </row>
    <row r="95" spans="1:17" ht="18" x14ac:dyDescent="0.35">
      <c r="A95" s="4">
        <v>94</v>
      </c>
      <c r="B95" s="4">
        <v>50.29</v>
      </c>
      <c r="C95" s="4">
        <v>49.48</v>
      </c>
      <c r="D95" s="4">
        <v>46.55</v>
      </c>
      <c r="F95" s="13">
        <v>68</v>
      </c>
      <c r="G95" s="13">
        <v>42.220547651309936</v>
      </c>
      <c r="H95" s="13">
        <v>2.0794523486900616</v>
      </c>
      <c r="I95" s="13">
        <f t="shared" si="1"/>
        <v>2.0794523486900616</v>
      </c>
      <c r="J95" s="13"/>
      <c r="K95" s="13"/>
      <c r="L95" s="13"/>
      <c r="M95" s="13"/>
      <c r="N95" s="13"/>
      <c r="O95" s="13"/>
      <c r="P95" s="13"/>
      <c r="Q95" s="13"/>
    </row>
    <row r="96" spans="1:17" ht="18" x14ac:dyDescent="0.35">
      <c r="A96" s="4">
        <v>95</v>
      </c>
      <c r="B96" s="4">
        <v>50.56</v>
      </c>
      <c r="C96" s="4">
        <v>50.29</v>
      </c>
      <c r="D96" s="4">
        <v>49.48</v>
      </c>
      <c r="F96" s="13">
        <v>69</v>
      </c>
      <c r="G96" s="13">
        <v>44.770483937497232</v>
      </c>
      <c r="H96" s="13">
        <v>-0.55048393749723346</v>
      </c>
      <c r="I96" s="13">
        <f t="shared" si="1"/>
        <v>0.55048393749723346</v>
      </c>
      <c r="J96" s="13"/>
      <c r="K96" s="13"/>
      <c r="L96" s="13"/>
      <c r="M96" s="13"/>
      <c r="N96" s="13"/>
      <c r="O96" s="13"/>
      <c r="P96" s="13"/>
      <c r="Q96" s="13"/>
    </row>
    <row r="97" spans="1:17" ht="18" x14ac:dyDescent="0.35">
      <c r="A97" s="4">
        <v>96</v>
      </c>
      <c r="B97" s="4">
        <v>49.36</v>
      </c>
      <c r="C97" s="4">
        <v>50.56</v>
      </c>
      <c r="D97" s="4">
        <v>50.29</v>
      </c>
      <c r="F97" s="13">
        <v>70</v>
      </c>
      <c r="G97" s="13">
        <v>44.490886899425696</v>
      </c>
      <c r="H97" s="13">
        <v>0.94911310057430143</v>
      </c>
      <c r="I97" s="13">
        <f t="shared" si="1"/>
        <v>0.94911310057430143</v>
      </c>
      <c r="J97" s="13"/>
      <c r="K97" s="13"/>
      <c r="L97" s="13"/>
      <c r="M97" s="13"/>
      <c r="N97" s="13"/>
      <c r="O97" s="13"/>
      <c r="P97" s="13"/>
      <c r="Q97" s="13"/>
    </row>
    <row r="98" spans="1:17" ht="18" x14ac:dyDescent="0.35">
      <c r="A98" s="4">
        <v>97</v>
      </c>
      <c r="B98" s="4">
        <v>45.51</v>
      </c>
      <c r="C98" s="4">
        <v>49.36</v>
      </c>
      <c r="D98" s="4">
        <v>50.56</v>
      </c>
      <c r="F98" s="13">
        <v>71</v>
      </c>
      <c r="G98" s="13">
        <v>45.797317007650896</v>
      </c>
      <c r="H98" s="13">
        <v>2.1926829923491056</v>
      </c>
      <c r="I98" s="13">
        <f t="shared" si="1"/>
        <v>2.1926829923491056</v>
      </c>
      <c r="J98" s="13"/>
      <c r="K98" s="13"/>
      <c r="L98" s="13"/>
      <c r="M98" s="13"/>
      <c r="N98" s="13"/>
      <c r="O98" s="13"/>
      <c r="P98" s="13"/>
      <c r="Q98" s="13"/>
    </row>
    <row r="99" spans="1:17" ht="18" x14ac:dyDescent="0.35">
      <c r="A99" s="4">
        <v>98</v>
      </c>
      <c r="B99" s="4">
        <v>44.61</v>
      </c>
      <c r="C99" s="4">
        <v>45.51</v>
      </c>
      <c r="D99" s="4">
        <v>49.36</v>
      </c>
      <c r="F99" s="13">
        <v>72</v>
      </c>
      <c r="G99" s="13">
        <v>48.417477822594243</v>
      </c>
      <c r="H99" s="13">
        <v>0.3025221774057556</v>
      </c>
      <c r="I99" s="13">
        <f t="shared" si="1"/>
        <v>0.3025221774057556</v>
      </c>
      <c r="J99" s="13"/>
      <c r="K99" s="13"/>
      <c r="L99" s="13"/>
      <c r="M99" s="13"/>
      <c r="N99" s="13"/>
      <c r="O99" s="13"/>
      <c r="P99" s="13"/>
      <c r="Q99" s="13"/>
    </row>
    <row r="100" spans="1:17" ht="18" x14ac:dyDescent="0.35">
      <c r="A100" s="4">
        <v>99</v>
      </c>
      <c r="B100" s="4">
        <v>45.15</v>
      </c>
      <c r="C100" s="4">
        <v>44.61</v>
      </c>
      <c r="D100" s="4">
        <v>45.51</v>
      </c>
      <c r="F100" s="13">
        <v>73</v>
      </c>
      <c r="G100" s="13">
        <v>48.992272529833919</v>
      </c>
      <c r="H100" s="13">
        <v>7.7274701660812184E-3</v>
      </c>
      <c r="I100" s="13">
        <f t="shared" si="1"/>
        <v>7.7274701660812184E-3</v>
      </c>
      <c r="J100" s="13"/>
      <c r="K100" s="13"/>
      <c r="L100" s="13"/>
      <c r="M100" s="13"/>
      <c r="N100" s="13"/>
      <c r="O100" s="13"/>
      <c r="P100" s="13"/>
      <c r="Q100" s="13"/>
    </row>
    <row r="101" spans="1:17" ht="18" x14ac:dyDescent="0.35">
      <c r="A101" s="4">
        <v>100</v>
      </c>
      <c r="B101" s="4">
        <v>47.25</v>
      </c>
      <c r="C101" s="4">
        <v>45.15</v>
      </c>
      <c r="D101" s="4">
        <v>44.61</v>
      </c>
      <c r="F101" s="13">
        <v>74</v>
      </c>
      <c r="G101" s="13">
        <v>49.232501614300823</v>
      </c>
      <c r="H101" s="13">
        <v>0.94749838569917699</v>
      </c>
      <c r="I101" s="13">
        <f t="shared" si="1"/>
        <v>0.94749838569917699</v>
      </c>
      <c r="J101" s="13"/>
      <c r="K101" s="13"/>
      <c r="L101" s="13"/>
      <c r="M101" s="13"/>
      <c r="N101" s="13"/>
      <c r="O101" s="13"/>
      <c r="P101" s="13"/>
      <c r="Q101" s="13"/>
    </row>
    <row r="102" spans="1:17" ht="18" x14ac:dyDescent="0.35">
      <c r="A102" s="4">
        <v>101</v>
      </c>
      <c r="B102" s="4">
        <v>48.63</v>
      </c>
      <c r="C102" s="4">
        <v>47.25</v>
      </c>
      <c r="D102" s="4">
        <v>45.15</v>
      </c>
      <c r="F102" s="13">
        <v>75</v>
      </c>
      <c r="G102" s="13">
        <v>50.467632671877936</v>
      </c>
      <c r="H102" s="13">
        <v>-2.5776326718779359</v>
      </c>
      <c r="I102" s="13">
        <f t="shared" si="1"/>
        <v>2.5776326718779359</v>
      </c>
      <c r="J102" s="13"/>
      <c r="K102" s="13"/>
      <c r="L102" s="13"/>
      <c r="M102" s="13"/>
      <c r="N102" s="13"/>
      <c r="O102" s="13"/>
      <c r="P102" s="13"/>
      <c r="Q102" s="13"/>
    </row>
    <row r="103" spans="1:17" ht="18" x14ac:dyDescent="0.35">
      <c r="A103" s="4">
        <v>102</v>
      </c>
      <c r="B103" s="4">
        <v>50.97</v>
      </c>
      <c r="C103" s="4">
        <v>48.63</v>
      </c>
      <c r="D103" s="4">
        <v>47.25</v>
      </c>
      <c r="F103" s="13">
        <v>76</v>
      </c>
      <c r="G103" s="13">
        <v>47.933372104568562</v>
      </c>
      <c r="H103" s="13">
        <v>0.77662789543143873</v>
      </c>
      <c r="I103" s="13">
        <f t="shared" si="1"/>
        <v>0.77662789543143873</v>
      </c>
      <c r="J103" s="13"/>
      <c r="K103" s="13"/>
      <c r="L103" s="13"/>
      <c r="M103" s="13"/>
      <c r="N103" s="13"/>
      <c r="O103" s="13"/>
      <c r="P103" s="13"/>
      <c r="Q103" s="13"/>
    </row>
    <row r="104" spans="1:17" ht="18" x14ac:dyDescent="0.35">
      <c r="A104" s="4">
        <v>103</v>
      </c>
      <c r="B104" s="4">
        <v>51.91</v>
      </c>
      <c r="C104" s="4">
        <v>50.97</v>
      </c>
      <c r="D104" s="4">
        <v>48.63</v>
      </c>
      <c r="F104" s="13">
        <v>77</v>
      </c>
      <c r="G104" s="13">
        <v>48.9895813706529</v>
      </c>
      <c r="H104" s="13">
        <v>-0.81958137065289804</v>
      </c>
      <c r="I104" s="13">
        <f t="shared" si="1"/>
        <v>0.81958137065289804</v>
      </c>
      <c r="J104" s="13"/>
      <c r="K104" s="13"/>
      <c r="L104" s="13"/>
      <c r="M104" s="13"/>
      <c r="N104" s="13"/>
      <c r="O104" s="13"/>
      <c r="P104" s="13"/>
      <c r="Q104" s="13"/>
    </row>
    <row r="105" spans="1:17" ht="18" x14ac:dyDescent="0.35">
      <c r="A105" s="4">
        <v>104</v>
      </c>
      <c r="B105" s="4">
        <v>51.95</v>
      </c>
      <c r="C105" s="4">
        <v>51.91</v>
      </c>
      <c r="D105" s="4">
        <v>50.97</v>
      </c>
      <c r="F105" s="13">
        <v>78</v>
      </c>
      <c r="G105" s="13">
        <v>48.348832387236513</v>
      </c>
      <c r="H105" s="13">
        <v>-2.1788323872365112</v>
      </c>
      <c r="I105" s="13">
        <f t="shared" si="1"/>
        <v>2.1788323872365112</v>
      </c>
      <c r="J105" s="13"/>
      <c r="K105" s="13"/>
      <c r="L105" s="13"/>
      <c r="M105" s="13"/>
      <c r="N105" s="13"/>
      <c r="O105" s="13"/>
      <c r="P105" s="13"/>
      <c r="Q105" s="13"/>
    </row>
    <row r="106" spans="1:17" ht="18" x14ac:dyDescent="0.35">
      <c r="A106" s="4">
        <v>105</v>
      </c>
      <c r="B106" s="4">
        <v>53.6</v>
      </c>
      <c r="C106" s="4">
        <v>51.95</v>
      </c>
      <c r="D106" s="4">
        <v>51.91</v>
      </c>
      <c r="F106" s="13">
        <v>79</v>
      </c>
      <c r="G106" s="13">
        <v>46.260600952399002</v>
      </c>
      <c r="H106" s="13">
        <v>-0.66060095239900107</v>
      </c>
      <c r="I106" s="13">
        <f t="shared" si="1"/>
        <v>0.66060095239900107</v>
      </c>
      <c r="J106" s="13"/>
      <c r="K106" s="13"/>
      <c r="L106" s="13"/>
      <c r="M106" s="13"/>
      <c r="N106" s="13"/>
      <c r="O106" s="13"/>
      <c r="P106" s="13"/>
      <c r="Q106" s="13"/>
    </row>
    <row r="107" spans="1:17" ht="18" x14ac:dyDescent="0.35">
      <c r="A107" s="4">
        <v>106</v>
      </c>
      <c r="B107" s="4">
        <v>53.34</v>
      </c>
      <c r="C107" s="4">
        <v>53.6</v>
      </c>
      <c r="D107" s="4">
        <v>51.95</v>
      </c>
      <c r="F107" s="13">
        <v>80</v>
      </c>
      <c r="G107" s="13">
        <v>45.812497863924378</v>
      </c>
      <c r="H107" s="13">
        <v>-1.3724978639243801</v>
      </c>
      <c r="I107" s="13">
        <f t="shared" si="1"/>
        <v>1.3724978639243801</v>
      </c>
      <c r="J107" s="13"/>
      <c r="K107" s="13"/>
      <c r="L107" s="13"/>
      <c r="M107" s="13"/>
      <c r="N107" s="13"/>
      <c r="O107" s="13"/>
      <c r="P107" s="13"/>
      <c r="Q107" s="13"/>
    </row>
    <row r="108" spans="1:17" ht="18" x14ac:dyDescent="0.35">
      <c r="A108" s="4">
        <v>107</v>
      </c>
      <c r="B108" s="4">
        <v>52.07</v>
      </c>
      <c r="C108" s="4">
        <v>53.34</v>
      </c>
      <c r="D108" s="4">
        <v>53.6</v>
      </c>
      <c r="F108" s="13">
        <v>81</v>
      </c>
      <c r="G108" s="13">
        <v>44.62177789158136</v>
      </c>
      <c r="H108" s="13">
        <v>-2.7917778915813614</v>
      </c>
      <c r="I108" s="13">
        <f t="shared" si="1"/>
        <v>2.7917778915813614</v>
      </c>
      <c r="J108" s="13"/>
      <c r="K108" s="13"/>
      <c r="L108" s="13"/>
      <c r="M108" s="13"/>
      <c r="N108" s="13"/>
      <c r="O108" s="13"/>
      <c r="P108" s="13"/>
      <c r="Q108" s="13"/>
    </row>
    <row r="109" spans="1:17" ht="18" x14ac:dyDescent="0.35">
      <c r="A109" s="4">
        <v>108</v>
      </c>
      <c r="B109" s="4">
        <v>51.82</v>
      </c>
      <c r="C109" s="4">
        <v>52.07</v>
      </c>
      <c r="D109" s="4">
        <v>53.34</v>
      </c>
      <c r="F109" s="13">
        <v>82</v>
      </c>
      <c r="G109" s="13">
        <v>41.932900762091563</v>
      </c>
      <c r="H109" s="13">
        <v>-1.112900762091563</v>
      </c>
      <c r="I109" s="13">
        <f t="shared" si="1"/>
        <v>1.112900762091563</v>
      </c>
      <c r="J109" s="13"/>
      <c r="K109" s="13"/>
      <c r="L109" s="13"/>
      <c r="M109" s="13"/>
      <c r="N109" s="13"/>
      <c r="O109" s="13"/>
      <c r="P109" s="13"/>
      <c r="Q109" s="13"/>
    </row>
    <row r="110" spans="1:17" ht="18" x14ac:dyDescent="0.35">
      <c r="A110" s="4">
        <v>109</v>
      </c>
      <c r="B110" s="4">
        <v>52.74</v>
      </c>
      <c r="C110" s="4">
        <v>51.82</v>
      </c>
      <c r="D110" s="4">
        <v>52.07</v>
      </c>
      <c r="F110" s="13">
        <v>83</v>
      </c>
      <c r="G110" s="13">
        <v>41.064511105478303</v>
      </c>
      <c r="H110" s="13">
        <v>2.0454888945216965</v>
      </c>
      <c r="I110" s="13">
        <f t="shared" si="1"/>
        <v>2.0454888945216965</v>
      </c>
      <c r="J110" s="13"/>
      <c r="K110" s="13"/>
      <c r="L110" s="13"/>
      <c r="M110" s="13"/>
      <c r="N110" s="13"/>
      <c r="O110" s="13"/>
      <c r="P110" s="13"/>
      <c r="Q110" s="13"/>
    </row>
    <row r="111" spans="1:17" ht="18" x14ac:dyDescent="0.35">
      <c r="A111" s="4">
        <v>110</v>
      </c>
      <c r="B111" s="4">
        <v>53.33</v>
      </c>
      <c r="C111" s="4">
        <v>52.74</v>
      </c>
      <c r="D111" s="4">
        <v>51.82</v>
      </c>
      <c r="F111" s="13">
        <v>84</v>
      </c>
      <c r="G111" s="13">
        <v>43.585231080199421</v>
      </c>
      <c r="H111" s="13">
        <v>3.5747689198005759</v>
      </c>
      <c r="I111" s="13">
        <f t="shared" si="1"/>
        <v>3.5747689198005759</v>
      </c>
      <c r="J111" s="13"/>
      <c r="K111" s="13"/>
      <c r="L111" s="13"/>
      <c r="M111" s="13"/>
      <c r="N111" s="13"/>
      <c r="O111" s="13"/>
      <c r="P111" s="13"/>
      <c r="Q111" s="13"/>
    </row>
    <row r="112" spans="1:17" ht="18" x14ac:dyDescent="0.35">
      <c r="A112" s="4">
        <v>111</v>
      </c>
      <c r="B112" s="4">
        <v>52.88</v>
      </c>
      <c r="C112" s="4">
        <v>53.33</v>
      </c>
      <c r="D112" s="4">
        <v>52.74</v>
      </c>
      <c r="F112" s="13">
        <v>85</v>
      </c>
      <c r="G112" s="13">
        <v>47.718597859087396</v>
      </c>
      <c r="H112" s="13">
        <v>-0.66859785908739866</v>
      </c>
      <c r="I112" s="13">
        <f t="shared" si="1"/>
        <v>0.66859785908739866</v>
      </c>
      <c r="J112" s="13"/>
      <c r="K112" s="13"/>
      <c r="L112" s="13"/>
      <c r="M112" s="13"/>
      <c r="N112" s="13"/>
      <c r="O112" s="13"/>
      <c r="P112" s="13"/>
      <c r="Q112" s="13"/>
    </row>
    <row r="113" spans="1:17" ht="18" x14ac:dyDescent="0.35">
      <c r="A113" s="4">
        <v>112</v>
      </c>
      <c r="B113" s="4">
        <v>53.22</v>
      </c>
      <c r="C113" s="4">
        <v>52.88</v>
      </c>
      <c r="D113" s="4">
        <v>53.33</v>
      </c>
      <c r="F113" s="13">
        <v>86</v>
      </c>
      <c r="G113" s="13">
        <v>47.278794803216428</v>
      </c>
      <c r="H113" s="13">
        <v>-2.1687948032164286</v>
      </c>
      <c r="I113" s="13">
        <f t="shared" si="1"/>
        <v>2.1687948032164286</v>
      </c>
      <c r="J113" s="13"/>
      <c r="K113" s="13"/>
      <c r="L113" s="13"/>
      <c r="M113" s="13"/>
      <c r="N113" s="13"/>
      <c r="O113" s="13"/>
      <c r="P113" s="13"/>
      <c r="Q113" s="13"/>
    </row>
    <row r="114" spans="1:17" ht="18" x14ac:dyDescent="0.35">
      <c r="A114" s="4">
        <v>113</v>
      </c>
      <c r="B114" s="4">
        <v>54.03</v>
      </c>
      <c r="C114" s="4">
        <v>53.22</v>
      </c>
      <c r="D114" s="4">
        <v>52.88</v>
      </c>
      <c r="F114" s="13">
        <v>87</v>
      </c>
      <c r="G114" s="13">
        <v>45.220250916053317</v>
      </c>
      <c r="H114" s="13">
        <v>0.73974908394668404</v>
      </c>
      <c r="I114" s="13">
        <f t="shared" si="1"/>
        <v>0.73974908394668404</v>
      </c>
      <c r="J114" s="13"/>
      <c r="K114" s="13"/>
      <c r="L114" s="13"/>
      <c r="M114" s="13"/>
      <c r="N114" s="13"/>
      <c r="O114" s="13"/>
      <c r="P114" s="13"/>
      <c r="Q114" s="13"/>
    </row>
    <row r="115" spans="1:17" ht="18" x14ac:dyDescent="0.35">
      <c r="A115" s="4">
        <v>114</v>
      </c>
      <c r="B115" s="4">
        <v>53.56</v>
      </c>
      <c r="C115" s="4">
        <v>54.03</v>
      </c>
      <c r="D115" s="4">
        <v>53.22</v>
      </c>
      <c r="F115" s="13">
        <v>88</v>
      </c>
      <c r="G115" s="13">
        <v>46.280551132448885</v>
      </c>
      <c r="H115" s="13">
        <v>-1.9405511324488813</v>
      </c>
      <c r="I115" s="13">
        <f t="shared" si="1"/>
        <v>1.9405511324488813</v>
      </c>
      <c r="J115" s="13"/>
      <c r="K115" s="13"/>
      <c r="L115" s="13"/>
      <c r="M115" s="13"/>
      <c r="N115" s="13"/>
      <c r="O115" s="13"/>
      <c r="P115" s="13"/>
      <c r="Q115" s="13"/>
    </row>
    <row r="116" spans="1:17" ht="18" x14ac:dyDescent="0.35">
      <c r="A116" s="4">
        <v>115</v>
      </c>
      <c r="B116" s="4">
        <v>50.5</v>
      </c>
      <c r="C116" s="4">
        <v>53.56</v>
      </c>
      <c r="D116" s="4">
        <v>54.03</v>
      </c>
      <c r="F116" s="13">
        <v>89</v>
      </c>
      <c r="G116" s="13">
        <v>44.486541559065039</v>
      </c>
      <c r="H116" s="13">
        <v>0.10345844093496481</v>
      </c>
      <c r="I116" s="13">
        <f t="shared" si="1"/>
        <v>0.10345844093496481</v>
      </c>
      <c r="J116" s="13"/>
      <c r="K116" s="13"/>
      <c r="L116" s="13"/>
      <c r="M116" s="13"/>
      <c r="N116" s="13"/>
      <c r="O116" s="13"/>
      <c r="P116" s="13"/>
      <c r="Q116" s="13"/>
    </row>
    <row r="117" spans="1:17" ht="18" x14ac:dyDescent="0.35">
      <c r="A117" s="4">
        <v>116</v>
      </c>
      <c r="B117" s="4">
        <v>48.03</v>
      </c>
      <c r="C117" s="4">
        <v>50.5</v>
      </c>
      <c r="D117" s="4">
        <v>53.56</v>
      </c>
      <c r="F117" s="13">
        <v>90</v>
      </c>
      <c r="G117" s="13">
        <v>44.881980782494388</v>
      </c>
      <c r="H117" s="13">
        <v>1.6680192175056092</v>
      </c>
      <c r="I117" s="13">
        <f t="shared" si="1"/>
        <v>1.6680192175056092</v>
      </c>
      <c r="J117" s="13"/>
      <c r="K117" s="13"/>
      <c r="L117" s="13"/>
      <c r="M117" s="13"/>
      <c r="N117" s="13"/>
      <c r="O117" s="13"/>
      <c r="P117" s="13"/>
      <c r="Q117" s="13"/>
    </row>
    <row r="118" spans="1:17" ht="18" x14ac:dyDescent="0.35">
      <c r="A118" s="4">
        <v>117</v>
      </c>
      <c r="B118" s="4">
        <v>47.28</v>
      </c>
      <c r="C118" s="4">
        <v>48.03</v>
      </c>
      <c r="D118" s="4">
        <v>50.5</v>
      </c>
      <c r="F118" s="13">
        <v>91</v>
      </c>
      <c r="G118" s="13">
        <v>46.950686020697752</v>
      </c>
      <c r="H118" s="13">
        <v>2.5293139793022448</v>
      </c>
      <c r="I118" s="13">
        <f t="shared" si="1"/>
        <v>2.5293139793022448</v>
      </c>
      <c r="J118" s="13"/>
      <c r="K118" s="13"/>
      <c r="L118" s="13"/>
      <c r="M118" s="13"/>
      <c r="N118" s="13"/>
      <c r="O118" s="13"/>
      <c r="P118" s="13"/>
      <c r="Q118" s="13"/>
    </row>
    <row r="119" spans="1:17" ht="18" x14ac:dyDescent="0.35">
      <c r="A119" s="4">
        <v>118</v>
      </c>
      <c r="B119" s="4">
        <v>49.14</v>
      </c>
      <c r="C119" s="4">
        <v>47.28</v>
      </c>
      <c r="D119" s="4">
        <v>48.03</v>
      </c>
      <c r="F119" s="13">
        <v>92</v>
      </c>
      <c r="G119" s="13">
        <v>49.916841551108696</v>
      </c>
      <c r="H119" s="13">
        <v>0.3731584488913029</v>
      </c>
      <c r="I119" s="13">
        <f t="shared" si="1"/>
        <v>0.3731584488913029</v>
      </c>
      <c r="J119" s="13"/>
      <c r="K119" s="13"/>
      <c r="L119" s="13"/>
      <c r="M119" s="13"/>
      <c r="N119" s="13"/>
      <c r="O119" s="13"/>
      <c r="P119" s="13"/>
      <c r="Q119" s="13"/>
    </row>
    <row r="120" spans="1:17" ht="18" x14ac:dyDescent="0.35">
      <c r="A120" s="4">
        <v>119</v>
      </c>
      <c r="B120" s="4">
        <v>51.26</v>
      </c>
      <c r="C120" s="4">
        <v>49.14</v>
      </c>
      <c r="D120" s="4">
        <v>47.28</v>
      </c>
      <c r="F120" s="13">
        <v>93</v>
      </c>
      <c r="G120" s="13">
        <v>50.546618760544035</v>
      </c>
      <c r="H120" s="13">
        <v>1.338123945596692E-2</v>
      </c>
      <c r="I120" s="13">
        <f t="shared" si="1"/>
        <v>1.338123945596692E-2</v>
      </c>
      <c r="J120" s="13"/>
      <c r="K120" s="13"/>
      <c r="L120" s="13"/>
      <c r="M120" s="13"/>
      <c r="N120" s="13"/>
      <c r="O120" s="13"/>
      <c r="P120" s="13"/>
      <c r="Q120" s="13"/>
    </row>
    <row r="121" spans="1:17" ht="18" x14ac:dyDescent="0.35">
      <c r="A121" s="4">
        <v>120</v>
      </c>
      <c r="B121" s="4">
        <v>53.19</v>
      </c>
      <c r="C121" s="4">
        <v>51.26</v>
      </c>
      <c r="D121" s="4">
        <v>49.14</v>
      </c>
      <c r="F121" s="13">
        <v>94</v>
      </c>
      <c r="G121" s="13">
        <v>50.76981958779529</v>
      </c>
      <c r="H121" s="13">
        <v>-1.4098195877952904</v>
      </c>
      <c r="I121" s="13">
        <f t="shared" si="1"/>
        <v>1.4098195877952904</v>
      </c>
      <c r="J121" s="13"/>
      <c r="K121" s="13"/>
      <c r="L121" s="13"/>
      <c r="M121" s="13"/>
      <c r="N121" s="13"/>
      <c r="O121" s="13"/>
      <c r="P121" s="13"/>
      <c r="Q121" s="13"/>
    </row>
    <row r="122" spans="1:17" ht="18" x14ac:dyDescent="0.35">
      <c r="A122" s="4">
        <v>121</v>
      </c>
      <c r="B122" s="4">
        <v>51.09</v>
      </c>
      <c r="C122" s="4">
        <v>53.19</v>
      </c>
      <c r="D122" s="4">
        <v>51.26</v>
      </c>
      <c r="F122" s="13">
        <v>95</v>
      </c>
      <c r="G122" s="13">
        <v>49.469568303378495</v>
      </c>
      <c r="H122" s="13">
        <v>-3.9595683033784965</v>
      </c>
      <c r="I122" s="13">
        <f t="shared" si="1"/>
        <v>3.9595683033784965</v>
      </c>
      <c r="J122" s="13"/>
      <c r="K122" s="13"/>
      <c r="L122" s="13"/>
      <c r="M122" s="13"/>
      <c r="N122" s="13"/>
      <c r="O122" s="13"/>
      <c r="P122" s="13"/>
      <c r="Q122" s="13"/>
    </row>
    <row r="123" spans="1:17" ht="18" x14ac:dyDescent="0.35">
      <c r="A123" s="4">
        <v>122</v>
      </c>
      <c r="B123" s="4">
        <v>49.12</v>
      </c>
      <c r="C123" s="4">
        <v>51.09</v>
      </c>
      <c r="D123" s="4">
        <v>53.19</v>
      </c>
      <c r="F123" s="13">
        <v>96</v>
      </c>
      <c r="G123" s="13">
        <v>45.462506703730497</v>
      </c>
      <c r="H123" s="13">
        <v>-0.85250670373049786</v>
      </c>
      <c r="I123" s="13">
        <f t="shared" si="1"/>
        <v>0.85250670373049786</v>
      </c>
      <c r="J123" s="13"/>
      <c r="K123" s="13"/>
      <c r="L123" s="13"/>
      <c r="M123" s="13"/>
      <c r="N123" s="13"/>
      <c r="O123" s="13"/>
      <c r="P123" s="13"/>
      <c r="Q123" s="13"/>
    </row>
    <row r="124" spans="1:17" ht="18" x14ac:dyDescent="0.35">
      <c r="A124" s="4">
        <v>123</v>
      </c>
      <c r="B124" s="4">
        <v>47.21</v>
      </c>
      <c r="C124" s="4">
        <v>49.12</v>
      </c>
      <c r="D124" s="4">
        <v>51.09</v>
      </c>
      <c r="F124" s="13">
        <v>97</v>
      </c>
      <c r="G124" s="13">
        <v>44.810102072558699</v>
      </c>
      <c r="H124" s="13">
        <v>0.33989792744129943</v>
      </c>
      <c r="I124" s="13">
        <f t="shared" si="1"/>
        <v>0.33989792744129943</v>
      </c>
      <c r="J124" s="13"/>
      <c r="K124" s="13"/>
      <c r="L124" s="13"/>
      <c r="M124" s="13"/>
      <c r="N124" s="13"/>
      <c r="O124" s="13"/>
      <c r="P124" s="13"/>
      <c r="Q124" s="13"/>
    </row>
    <row r="125" spans="1:17" ht="18" x14ac:dyDescent="0.35">
      <c r="A125" s="4">
        <v>124</v>
      </c>
      <c r="B125" s="4">
        <v>47.04</v>
      </c>
      <c r="C125" s="4">
        <v>47.21</v>
      </c>
      <c r="D125" s="4">
        <v>49.12</v>
      </c>
      <c r="F125" s="13">
        <v>98</v>
      </c>
      <c r="G125" s="13">
        <v>45.457223099546027</v>
      </c>
      <c r="H125" s="13">
        <v>1.7927769004539726</v>
      </c>
      <c r="I125" s="13">
        <f t="shared" si="1"/>
        <v>1.7927769004539726</v>
      </c>
      <c r="J125" s="13"/>
      <c r="K125" s="13"/>
      <c r="L125" s="13"/>
      <c r="M125" s="13"/>
      <c r="N125" s="13"/>
      <c r="O125" s="13"/>
      <c r="P125" s="13"/>
      <c r="Q125" s="13"/>
    </row>
    <row r="126" spans="1:17" ht="18" x14ac:dyDescent="0.35">
      <c r="A126" s="4">
        <v>125</v>
      </c>
      <c r="B126" s="4">
        <v>49.24</v>
      </c>
      <c r="C126" s="4">
        <v>47.04</v>
      </c>
      <c r="D126" s="4">
        <v>47.21</v>
      </c>
      <c r="F126" s="13">
        <v>99</v>
      </c>
      <c r="G126" s="13">
        <v>47.652016670830612</v>
      </c>
      <c r="H126" s="13">
        <v>0.97798332916939046</v>
      </c>
      <c r="I126" s="13">
        <f t="shared" si="1"/>
        <v>0.97798332916939046</v>
      </c>
      <c r="J126" s="13"/>
      <c r="K126" s="13"/>
      <c r="L126" s="13"/>
      <c r="M126" s="13"/>
      <c r="N126" s="13"/>
      <c r="O126" s="13"/>
      <c r="P126" s="13"/>
      <c r="Q126" s="13"/>
    </row>
    <row r="127" spans="1:17" ht="18" x14ac:dyDescent="0.35">
      <c r="A127" s="4">
        <v>126</v>
      </c>
      <c r="B127" s="4">
        <v>50.21</v>
      </c>
      <c r="C127" s="4">
        <v>49.24</v>
      </c>
      <c r="D127" s="4">
        <v>47.04</v>
      </c>
      <c r="F127" s="13">
        <v>100</v>
      </c>
      <c r="G127" s="13">
        <v>48.955308010062815</v>
      </c>
      <c r="H127" s="13">
        <v>2.0146919899371838</v>
      </c>
      <c r="I127" s="13">
        <f t="shared" si="1"/>
        <v>2.0146919899371838</v>
      </c>
      <c r="J127" s="13"/>
      <c r="K127" s="13"/>
      <c r="L127" s="13"/>
      <c r="M127" s="13"/>
      <c r="N127" s="13"/>
      <c r="O127" s="13"/>
      <c r="P127" s="13"/>
      <c r="Q127" s="13"/>
    </row>
    <row r="128" spans="1:17" ht="18" x14ac:dyDescent="0.35">
      <c r="A128" s="4">
        <v>127</v>
      </c>
      <c r="B128" s="4">
        <v>48.48</v>
      </c>
      <c r="C128" s="4">
        <v>50.21</v>
      </c>
      <c r="D128" s="4">
        <v>49.24</v>
      </c>
      <c r="F128" s="13">
        <v>101</v>
      </c>
      <c r="G128" s="13">
        <v>51.338944251325422</v>
      </c>
      <c r="H128" s="13">
        <v>0.5710557486745742</v>
      </c>
      <c r="I128" s="13">
        <f t="shared" si="1"/>
        <v>0.5710557486745742</v>
      </c>
      <c r="J128" s="13"/>
      <c r="K128" s="13"/>
      <c r="L128" s="13"/>
      <c r="M128" s="13"/>
      <c r="N128" s="13"/>
      <c r="O128" s="13"/>
      <c r="P128" s="13"/>
      <c r="Q128" s="13"/>
    </row>
    <row r="129" spans="1:17" ht="18" x14ac:dyDescent="0.35">
      <c r="A129" s="4">
        <v>128</v>
      </c>
      <c r="B129" s="4">
        <v>46.57</v>
      </c>
      <c r="C129" s="4">
        <v>48.48</v>
      </c>
      <c r="D129" s="4">
        <v>50.21</v>
      </c>
      <c r="F129" s="13">
        <v>102</v>
      </c>
      <c r="G129" s="13">
        <v>52.154246059477671</v>
      </c>
      <c r="H129" s="13">
        <v>-0.2042460594776685</v>
      </c>
      <c r="I129" s="13">
        <f t="shared" si="1"/>
        <v>0.2042460594776685</v>
      </c>
      <c r="J129" s="13"/>
      <c r="K129" s="13"/>
      <c r="L129" s="13"/>
      <c r="M129" s="13"/>
      <c r="N129" s="13"/>
      <c r="O129" s="13"/>
      <c r="P129" s="13"/>
      <c r="Q129" s="13"/>
    </row>
    <row r="130" spans="1:17" ht="18" x14ac:dyDescent="0.35">
      <c r="A130" s="4">
        <v>129</v>
      </c>
      <c r="B130" s="4">
        <v>45.3</v>
      </c>
      <c r="C130" s="4">
        <v>46.57</v>
      </c>
      <c r="D130" s="4">
        <v>48.48</v>
      </c>
      <c r="F130" s="13">
        <v>103</v>
      </c>
      <c r="G130" s="13">
        <v>52.121999402097885</v>
      </c>
      <c r="H130" s="13">
        <v>1.4780005979021169</v>
      </c>
      <c r="I130" s="13">
        <f t="shared" si="1"/>
        <v>1.4780005979021169</v>
      </c>
      <c r="J130" s="13"/>
      <c r="K130" s="13"/>
      <c r="L130" s="13"/>
      <c r="M130" s="13"/>
      <c r="N130" s="13"/>
      <c r="O130" s="13"/>
      <c r="P130" s="13"/>
      <c r="Q130" s="13"/>
    </row>
    <row r="131" spans="1:17" ht="18" x14ac:dyDescent="0.35">
      <c r="A131" s="4">
        <v>130</v>
      </c>
      <c r="B131" s="4">
        <v>43.09</v>
      </c>
      <c r="C131" s="4">
        <v>45.3</v>
      </c>
      <c r="D131" s="4">
        <v>46.57</v>
      </c>
      <c r="F131" s="13">
        <v>104</v>
      </c>
      <c r="G131" s="13">
        <v>53.877088631689062</v>
      </c>
      <c r="H131" s="13">
        <v>-0.53708863168905907</v>
      </c>
      <c r="I131" s="13">
        <f t="shared" si="1"/>
        <v>0.53708863168905907</v>
      </c>
      <c r="J131" s="13"/>
      <c r="K131" s="13"/>
      <c r="L131" s="13"/>
      <c r="M131" s="13"/>
      <c r="N131" s="13"/>
      <c r="O131" s="13"/>
      <c r="P131" s="13"/>
      <c r="Q131" s="13"/>
    </row>
    <row r="132" spans="1:17" ht="18" x14ac:dyDescent="0.35">
      <c r="A132" s="4">
        <v>131</v>
      </c>
      <c r="B132" s="4">
        <v>44.63</v>
      </c>
      <c r="C132" s="4">
        <v>43.09</v>
      </c>
      <c r="D132" s="4">
        <v>45.3</v>
      </c>
      <c r="F132" s="13">
        <v>105</v>
      </c>
      <c r="G132" s="13">
        <v>53.468603678275905</v>
      </c>
      <c r="H132" s="13">
        <v>-1.3986036782759044</v>
      </c>
      <c r="I132" s="13">
        <f t="shared" si="1"/>
        <v>1.3986036782759044</v>
      </c>
      <c r="J132" s="13"/>
      <c r="K132" s="13"/>
      <c r="L132" s="13"/>
      <c r="M132" s="13"/>
      <c r="N132" s="13"/>
      <c r="O132" s="13"/>
      <c r="P132" s="13"/>
      <c r="Q132" s="13"/>
    </row>
    <row r="133" spans="1:17" ht="18" x14ac:dyDescent="0.35">
      <c r="A133" s="4">
        <v>132</v>
      </c>
      <c r="B133" s="4">
        <v>44.96</v>
      </c>
      <c r="C133" s="4">
        <v>44.63</v>
      </c>
      <c r="D133" s="4">
        <v>43.09</v>
      </c>
      <c r="F133" s="13">
        <v>106</v>
      </c>
      <c r="G133" s="13">
        <v>52.135973687003684</v>
      </c>
      <c r="H133" s="13">
        <v>-0.31597368700368378</v>
      </c>
      <c r="I133" s="13">
        <f t="shared" si="1"/>
        <v>0.31597368700368378</v>
      </c>
      <c r="J133" s="13"/>
      <c r="K133" s="13"/>
      <c r="L133" s="13"/>
      <c r="M133" s="13"/>
      <c r="N133" s="13"/>
      <c r="O133" s="13"/>
      <c r="P133" s="13"/>
      <c r="Q133" s="13"/>
    </row>
    <row r="134" spans="1:17" ht="18" x14ac:dyDescent="0.35">
      <c r="A134" s="4">
        <v>133</v>
      </c>
      <c r="B134" s="4">
        <v>45.51</v>
      </c>
      <c r="C134" s="4">
        <v>44.96</v>
      </c>
      <c r="D134" s="4">
        <v>44.63</v>
      </c>
      <c r="F134" s="13">
        <v>107</v>
      </c>
      <c r="G134" s="13">
        <v>51.970724537574789</v>
      </c>
      <c r="H134" s="13">
        <v>0.76927546242521316</v>
      </c>
      <c r="I134" s="13">
        <f t="shared" si="1"/>
        <v>0.76927546242521316</v>
      </c>
      <c r="J134" s="13"/>
      <c r="K134" s="13"/>
      <c r="L134" s="13"/>
      <c r="M134" s="13"/>
      <c r="N134" s="13"/>
      <c r="O134" s="13"/>
      <c r="P134" s="13"/>
      <c r="Q134" s="13"/>
    </row>
    <row r="135" spans="1:17" ht="18" x14ac:dyDescent="0.35">
      <c r="A135" s="4">
        <v>134</v>
      </c>
      <c r="B135" s="4">
        <v>46.41</v>
      </c>
      <c r="C135" s="4">
        <v>45.51</v>
      </c>
      <c r="D135" s="4">
        <v>44.96</v>
      </c>
      <c r="F135" s="13">
        <v>108</v>
      </c>
      <c r="G135" s="13">
        <v>52.971008829047051</v>
      </c>
      <c r="H135" s="13">
        <v>0.35899117095294741</v>
      </c>
      <c r="I135" s="13">
        <f t="shared" si="1"/>
        <v>0.35899117095294741</v>
      </c>
      <c r="J135" s="13"/>
      <c r="K135" s="13"/>
      <c r="L135" s="13"/>
      <c r="M135" s="13"/>
      <c r="N135" s="13"/>
      <c r="O135" s="13"/>
      <c r="P135" s="13"/>
      <c r="Q135" s="13"/>
    </row>
    <row r="136" spans="1:17" ht="18" x14ac:dyDescent="0.35">
      <c r="A136" s="4">
        <v>135</v>
      </c>
      <c r="B136" s="4">
        <v>48.27</v>
      </c>
      <c r="C136" s="4">
        <v>46.41</v>
      </c>
      <c r="D136" s="4">
        <v>45.51</v>
      </c>
      <c r="F136" s="13">
        <v>109</v>
      </c>
      <c r="G136" s="13">
        <v>53.526446933018867</v>
      </c>
      <c r="H136" s="13">
        <v>-0.64644693301886491</v>
      </c>
      <c r="I136" s="13">
        <f t="shared" si="1"/>
        <v>0.64644693301886491</v>
      </c>
      <c r="J136" s="13"/>
      <c r="K136" s="13"/>
      <c r="L136" s="13"/>
      <c r="M136" s="13"/>
      <c r="N136" s="13"/>
      <c r="O136" s="13"/>
      <c r="P136" s="13"/>
      <c r="Q136" s="13"/>
    </row>
    <row r="137" spans="1:17" ht="18" x14ac:dyDescent="0.35">
      <c r="A137" s="4">
        <v>136</v>
      </c>
      <c r="B137" s="4">
        <v>49.52</v>
      </c>
      <c r="C137" s="4">
        <v>48.27</v>
      </c>
      <c r="D137" s="4">
        <v>46.41</v>
      </c>
      <c r="F137" s="13">
        <v>110</v>
      </c>
      <c r="G137" s="13">
        <v>52.999923497671325</v>
      </c>
      <c r="H137" s="13">
        <v>0.22007650232867348</v>
      </c>
      <c r="I137" s="13">
        <f t="shared" si="1"/>
        <v>0.22007650232867348</v>
      </c>
      <c r="J137" s="13"/>
      <c r="K137" s="13"/>
      <c r="L137" s="13"/>
      <c r="M137" s="13"/>
      <c r="N137" s="13"/>
      <c r="O137" s="13"/>
      <c r="P137" s="13"/>
      <c r="Q137" s="13"/>
    </row>
    <row r="138" spans="1:17" ht="18" x14ac:dyDescent="0.35">
      <c r="A138" s="4">
        <v>137</v>
      </c>
      <c r="B138" s="4">
        <v>49.08</v>
      </c>
      <c r="C138" s="4">
        <v>49.52</v>
      </c>
      <c r="D138" s="4">
        <v>48.27</v>
      </c>
      <c r="F138" s="13">
        <v>111</v>
      </c>
      <c r="G138" s="13">
        <v>53.398077506677936</v>
      </c>
      <c r="H138" s="13">
        <v>0.63192249332206529</v>
      </c>
      <c r="I138" s="13">
        <f t="shared" si="1"/>
        <v>0.63192249332206529</v>
      </c>
      <c r="J138" s="13"/>
      <c r="K138" s="13"/>
      <c r="L138" s="13"/>
      <c r="M138" s="13"/>
      <c r="N138" s="13"/>
      <c r="O138" s="13"/>
      <c r="P138" s="13"/>
      <c r="Q138" s="13"/>
    </row>
    <row r="139" spans="1:17" ht="18" x14ac:dyDescent="0.35">
      <c r="A139" s="4">
        <v>138</v>
      </c>
      <c r="B139" s="4">
        <v>47.52</v>
      </c>
      <c r="C139" s="4">
        <v>49.08</v>
      </c>
      <c r="D139" s="4">
        <v>49.52</v>
      </c>
      <c r="F139" s="13">
        <v>112</v>
      </c>
      <c r="G139" s="13">
        <v>54.234149626722676</v>
      </c>
      <c r="H139" s="13">
        <v>-0.67414962672267364</v>
      </c>
      <c r="I139" s="13">
        <f t="shared" si="1"/>
        <v>0.67414962672267364</v>
      </c>
      <c r="J139" s="13"/>
      <c r="K139" s="13"/>
      <c r="L139" s="13"/>
      <c r="M139" s="13"/>
      <c r="N139" s="13"/>
      <c r="O139" s="13"/>
      <c r="P139" s="13"/>
      <c r="Q139" s="13"/>
    </row>
    <row r="140" spans="1:17" ht="18" x14ac:dyDescent="0.35">
      <c r="A140" s="4">
        <v>139</v>
      </c>
      <c r="B140" s="4">
        <v>47.68</v>
      </c>
      <c r="C140" s="4">
        <v>47.52</v>
      </c>
      <c r="D140" s="4">
        <v>49.08</v>
      </c>
      <c r="F140" s="13">
        <v>113</v>
      </c>
      <c r="G140" s="13">
        <v>53.668790644265613</v>
      </c>
      <c r="H140" s="13">
        <v>-3.1687906442656129</v>
      </c>
      <c r="I140" s="13">
        <f t="shared" si="1"/>
        <v>3.1687906442656129</v>
      </c>
      <c r="J140" s="13"/>
      <c r="K140" s="13"/>
      <c r="L140" s="13"/>
      <c r="M140" s="13"/>
      <c r="N140" s="13"/>
      <c r="O140" s="13"/>
      <c r="P140" s="13"/>
      <c r="Q140" s="13"/>
    </row>
    <row r="141" spans="1:17" ht="18" x14ac:dyDescent="0.35">
      <c r="A141" s="4">
        <v>140</v>
      </c>
      <c r="B141" s="4">
        <v>46.68</v>
      </c>
      <c r="C141" s="4">
        <v>47.68</v>
      </c>
      <c r="D141" s="4">
        <v>47.52</v>
      </c>
      <c r="F141" s="13">
        <v>114</v>
      </c>
      <c r="G141" s="13">
        <v>50.445425024964578</v>
      </c>
      <c r="H141" s="13">
        <v>-2.415425024964577</v>
      </c>
      <c r="I141" s="13">
        <f t="shared" si="1"/>
        <v>2.415425024964577</v>
      </c>
      <c r="J141" s="13"/>
      <c r="K141" s="13"/>
      <c r="L141" s="13"/>
      <c r="M141" s="13"/>
      <c r="N141" s="13"/>
      <c r="O141" s="13"/>
      <c r="P141" s="13"/>
      <c r="Q141" s="13"/>
    </row>
    <row r="142" spans="1:17" ht="18" x14ac:dyDescent="0.35">
      <c r="A142" s="4">
        <v>141</v>
      </c>
      <c r="B142" s="4">
        <v>48.58</v>
      </c>
      <c r="C142" s="4">
        <v>46.68</v>
      </c>
      <c r="D142" s="4">
        <v>47.68</v>
      </c>
      <c r="F142" s="13">
        <v>115</v>
      </c>
      <c r="G142" s="13">
        <v>48.057070921310675</v>
      </c>
      <c r="H142" s="13">
        <v>-0.77707092131067412</v>
      </c>
      <c r="I142" s="13">
        <f t="shared" si="1"/>
        <v>0.77707092131067412</v>
      </c>
      <c r="J142" s="13"/>
      <c r="K142" s="13"/>
      <c r="L142" s="13"/>
      <c r="M142" s="13"/>
      <c r="N142" s="13"/>
      <c r="O142" s="13"/>
      <c r="P142" s="13"/>
      <c r="Q142" s="13"/>
    </row>
    <row r="143" spans="1:17" ht="18" x14ac:dyDescent="0.35">
      <c r="A143" s="4">
        <v>142</v>
      </c>
      <c r="B143" s="4">
        <v>49.07</v>
      </c>
      <c r="C143" s="4">
        <v>48.58</v>
      </c>
      <c r="D143" s="4">
        <v>46.68</v>
      </c>
      <c r="F143" s="13">
        <v>116</v>
      </c>
      <c r="G143" s="13">
        <v>47.454591743210642</v>
      </c>
      <c r="H143" s="13">
        <v>1.6854082567893585</v>
      </c>
      <c r="I143" s="13">
        <f t="shared" si="1"/>
        <v>1.6854082567893585</v>
      </c>
      <c r="J143" s="13"/>
      <c r="K143" s="13"/>
      <c r="L143" s="13"/>
      <c r="M143" s="13"/>
      <c r="N143" s="13"/>
      <c r="O143" s="13"/>
      <c r="P143" s="13"/>
      <c r="Q143" s="13"/>
    </row>
    <row r="144" spans="1:17" ht="18" x14ac:dyDescent="0.35">
      <c r="A144" s="4">
        <v>143</v>
      </c>
      <c r="B144" s="4">
        <v>50.12</v>
      </c>
      <c r="C144" s="4">
        <v>49.07</v>
      </c>
      <c r="D144" s="4">
        <v>48.58</v>
      </c>
      <c r="F144" s="13">
        <v>117</v>
      </c>
      <c r="G144" s="13">
        <v>49.496385389603773</v>
      </c>
      <c r="H144" s="13">
        <v>1.7636146103962247</v>
      </c>
      <c r="I144" s="13">
        <f t="shared" si="1"/>
        <v>1.7636146103962247</v>
      </c>
      <c r="J144" s="13"/>
      <c r="K144" s="13"/>
      <c r="L144" s="13"/>
      <c r="M144" s="13"/>
      <c r="N144" s="13"/>
      <c r="O144" s="13"/>
      <c r="P144" s="13"/>
      <c r="Q144" s="13"/>
    </row>
    <row r="145" spans="1:17" ht="18" x14ac:dyDescent="0.35">
      <c r="A145" s="4">
        <v>144</v>
      </c>
      <c r="B145" s="4">
        <v>51.77</v>
      </c>
      <c r="C145" s="4">
        <v>50.12</v>
      </c>
      <c r="D145" s="4">
        <v>49.07</v>
      </c>
      <c r="F145" s="13">
        <v>118</v>
      </c>
      <c r="G145" s="13">
        <v>51.607352669257139</v>
      </c>
      <c r="H145" s="13">
        <v>1.5826473307428586</v>
      </c>
      <c r="I145" s="13">
        <f t="shared" si="1"/>
        <v>1.5826473307428586</v>
      </c>
      <c r="J145" s="13"/>
      <c r="K145" s="13"/>
      <c r="L145" s="13"/>
      <c r="M145" s="13"/>
      <c r="N145" s="13"/>
      <c r="O145" s="13"/>
      <c r="P145" s="13"/>
      <c r="Q145" s="13"/>
    </row>
    <row r="146" spans="1:17" ht="18" x14ac:dyDescent="0.35">
      <c r="A146" s="4">
        <v>145</v>
      </c>
      <c r="B146" s="4">
        <v>50.23</v>
      </c>
      <c r="C146" s="4">
        <v>51.77</v>
      </c>
      <c r="D146" s="4">
        <v>50.12</v>
      </c>
      <c r="F146" s="13">
        <v>119</v>
      </c>
      <c r="G146" s="13">
        <v>53.495142748055493</v>
      </c>
      <c r="H146" s="13">
        <v>-2.4051427480554892</v>
      </c>
      <c r="I146" s="13">
        <f t="shared" si="1"/>
        <v>2.4051427480554892</v>
      </c>
      <c r="J146" s="13"/>
      <c r="K146" s="13"/>
      <c r="L146" s="13"/>
      <c r="M146" s="13"/>
      <c r="N146" s="13"/>
      <c r="O146" s="13"/>
      <c r="P146" s="13"/>
      <c r="Q146" s="13"/>
    </row>
    <row r="147" spans="1:17" ht="18" x14ac:dyDescent="0.35">
      <c r="A147" s="4">
        <v>146</v>
      </c>
      <c r="B147" s="4">
        <v>50.77</v>
      </c>
      <c r="C147" s="4">
        <v>50.23</v>
      </c>
      <c r="D147" s="4">
        <v>51.77</v>
      </c>
      <c r="F147" s="13">
        <v>120</v>
      </c>
      <c r="G147" s="13">
        <v>51.103612331517922</v>
      </c>
      <c r="H147" s="13">
        <v>-1.983612331517925</v>
      </c>
      <c r="I147" s="13">
        <f t="shared" si="1"/>
        <v>1.983612331517925</v>
      </c>
      <c r="J147" s="13"/>
      <c r="K147" s="13"/>
      <c r="L147" s="13"/>
      <c r="M147" s="13"/>
      <c r="N147" s="13"/>
      <c r="O147" s="13"/>
      <c r="P147" s="13"/>
      <c r="Q147" s="13"/>
    </row>
    <row r="148" spans="1:17" ht="18" x14ac:dyDescent="0.35">
      <c r="A148" s="4">
        <v>147</v>
      </c>
      <c r="B148" s="4">
        <v>51.74</v>
      </c>
      <c r="C148" s="4">
        <v>50.77</v>
      </c>
      <c r="D148" s="4">
        <v>50.23</v>
      </c>
      <c r="F148" s="13">
        <v>121</v>
      </c>
      <c r="G148" s="13">
        <v>49.171604387247996</v>
      </c>
      <c r="H148" s="13">
        <v>-1.9616043872479949</v>
      </c>
      <c r="I148" s="13">
        <f t="shared" si="1"/>
        <v>1.9616043872479949</v>
      </c>
      <c r="J148" s="13"/>
      <c r="K148" s="13"/>
      <c r="L148" s="13"/>
      <c r="M148" s="13"/>
      <c r="N148" s="13"/>
      <c r="O148" s="13"/>
      <c r="P148" s="13"/>
      <c r="Q148" s="13"/>
    </row>
    <row r="149" spans="1:17" ht="18" x14ac:dyDescent="0.35">
      <c r="A149" s="4">
        <v>148</v>
      </c>
      <c r="B149" s="4">
        <v>52.51</v>
      </c>
      <c r="C149" s="4">
        <v>51.74</v>
      </c>
      <c r="D149" s="4">
        <v>50.77</v>
      </c>
      <c r="F149" s="13">
        <v>122</v>
      </c>
      <c r="G149" s="13">
        <v>47.293179154043536</v>
      </c>
      <c r="H149" s="13">
        <v>-0.25317915404353641</v>
      </c>
      <c r="I149" s="13">
        <f t="shared" si="1"/>
        <v>0.25317915404353641</v>
      </c>
      <c r="J149" s="13"/>
      <c r="K149" s="13"/>
      <c r="L149" s="13"/>
      <c r="M149" s="13"/>
      <c r="N149" s="13"/>
      <c r="O149" s="13"/>
      <c r="P149" s="13"/>
      <c r="Q149" s="13"/>
    </row>
    <row r="150" spans="1:17" ht="18" x14ac:dyDescent="0.35">
      <c r="A150" s="4">
        <v>149</v>
      </c>
      <c r="B150" s="4">
        <v>54.59</v>
      </c>
      <c r="C150" s="4">
        <v>52.51</v>
      </c>
      <c r="D150" s="4">
        <v>51.74</v>
      </c>
      <c r="F150" s="13">
        <v>123</v>
      </c>
      <c r="G150" s="13">
        <v>47.264156062339872</v>
      </c>
      <c r="H150" s="13">
        <v>1.9758439376601302</v>
      </c>
      <c r="I150" s="13">
        <f t="shared" si="1"/>
        <v>1.9758439376601302</v>
      </c>
      <c r="J150" s="13"/>
      <c r="K150" s="13"/>
      <c r="L150" s="13"/>
      <c r="M150" s="13"/>
      <c r="N150" s="13"/>
      <c r="O150" s="13"/>
      <c r="P150" s="13"/>
      <c r="Q150" s="13"/>
    </row>
    <row r="151" spans="1:17" ht="18" x14ac:dyDescent="0.35">
      <c r="A151" s="4">
        <v>150</v>
      </c>
      <c r="B151" s="4">
        <v>57.05</v>
      </c>
      <c r="C151" s="4">
        <v>54.59</v>
      </c>
      <c r="D151" s="4">
        <v>52.51</v>
      </c>
      <c r="F151" s="13">
        <v>124</v>
      </c>
      <c r="G151" s="13">
        <v>49.622063656763686</v>
      </c>
      <c r="H151" s="13">
        <v>0.58793634323631494</v>
      </c>
      <c r="I151" s="13">
        <f t="shared" si="1"/>
        <v>0.58793634323631494</v>
      </c>
      <c r="J151" s="13"/>
      <c r="K151" s="13"/>
      <c r="L151" s="13"/>
      <c r="M151" s="13"/>
      <c r="N151" s="13"/>
      <c r="O151" s="13"/>
      <c r="P151" s="13"/>
      <c r="Q151" s="13"/>
    </row>
    <row r="152" spans="1:17" ht="18" x14ac:dyDescent="0.35">
      <c r="A152" s="4">
        <v>151</v>
      </c>
      <c r="B152" s="4">
        <v>55.81</v>
      </c>
      <c r="C152" s="4">
        <v>57.05</v>
      </c>
      <c r="D152" s="4">
        <v>54.59</v>
      </c>
      <c r="F152" s="13">
        <v>125</v>
      </c>
      <c r="G152" s="13">
        <v>50.480485182099216</v>
      </c>
      <c r="H152" s="13">
        <v>-2.0004851820992187</v>
      </c>
      <c r="I152" s="13">
        <f t="shared" si="1"/>
        <v>2.0004851820992187</v>
      </c>
      <c r="J152" s="13"/>
      <c r="K152" s="13"/>
      <c r="L152" s="13"/>
      <c r="M152" s="13"/>
      <c r="N152" s="13"/>
      <c r="O152" s="13"/>
      <c r="P152" s="13"/>
      <c r="Q152" s="13"/>
    </row>
    <row r="153" spans="1:17" ht="18" x14ac:dyDescent="0.35">
      <c r="A153" s="4">
        <v>152</v>
      </c>
      <c r="B153" s="4">
        <v>57.47</v>
      </c>
      <c r="C153" s="4">
        <v>55.81</v>
      </c>
      <c r="D153" s="4">
        <v>57.05</v>
      </c>
      <c r="F153" s="13">
        <v>126</v>
      </c>
      <c r="G153" s="13">
        <v>48.559699193267164</v>
      </c>
      <c r="H153" s="13">
        <v>-1.9896991932671639</v>
      </c>
      <c r="I153" s="13">
        <f t="shared" si="1"/>
        <v>1.9896991932671639</v>
      </c>
      <c r="J153" s="13"/>
      <c r="K153" s="13"/>
      <c r="L153" s="13"/>
      <c r="M153" s="13"/>
      <c r="N153" s="13"/>
      <c r="O153" s="13"/>
      <c r="P153" s="13"/>
      <c r="Q153" s="13"/>
    </row>
    <row r="154" spans="1:17" ht="18" x14ac:dyDescent="0.35">
      <c r="A154" s="4">
        <v>153</v>
      </c>
      <c r="B154" s="4">
        <v>57.81</v>
      </c>
      <c r="C154" s="4">
        <v>57.47</v>
      </c>
      <c r="D154" s="4">
        <v>55.81</v>
      </c>
      <c r="F154" s="13">
        <v>127</v>
      </c>
      <c r="G154" s="13">
        <v>46.662157829349866</v>
      </c>
      <c r="H154" s="13">
        <v>-1.3621578293498686</v>
      </c>
      <c r="I154" s="13">
        <f t="shared" si="1"/>
        <v>1.3621578293498686</v>
      </c>
      <c r="J154" s="13"/>
      <c r="K154" s="13"/>
      <c r="L154" s="13"/>
      <c r="M154" s="13"/>
      <c r="N154" s="13"/>
      <c r="O154" s="13"/>
      <c r="P154" s="13"/>
      <c r="Q154" s="13"/>
    </row>
    <row r="155" spans="1:17" ht="18" x14ac:dyDescent="0.35">
      <c r="A155" s="4">
        <v>154</v>
      </c>
      <c r="B155" s="4">
        <v>56.92</v>
      </c>
      <c r="C155" s="4">
        <v>57.81</v>
      </c>
      <c r="D155" s="4">
        <v>57.47</v>
      </c>
      <c r="F155" s="13">
        <v>128</v>
      </c>
      <c r="G155" s="13">
        <v>45.460951236728427</v>
      </c>
      <c r="H155" s="13">
        <v>-2.3709512367284233</v>
      </c>
      <c r="I155" s="13">
        <f t="shared" si="1"/>
        <v>2.3709512367284233</v>
      </c>
      <c r="J155" s="13"/>
      <c r="K155" s="13"/>
      <c r="L155" s="13"/>
      <c r="M155" s="13"/>
      <c r="N155" s="13"/>
      <c r="O155" s="13"/>
      <c r="P155" s="13"/>
      <c r="Q155" s="13"/>
    </row>
    <row r="156" spans="1:17" ht="18" x14ac:dyDescent="0.35">
      <c r="A156" s="4">
        <v>155</v>
      </c>
      <c r="B156" s="4">
        <v>57.17</v>
      </c>
      <c r="C156" s="4">
        <v>56.92</v>
      </c>
      <c r="D156" s="4">
        <v>57.81</v>
      </c>
      <c r="F156" s="13">
        <v>129</v>
      </c>
      <c r="G156" s="13">
        <v>43.207084212936969</v>
      </c>
      <c r="H156" s="13">
        <v>1.4229157870630331</v>
      </c>
      <c r="I156" s="13">
        <f t="shared" si="1"/>
        <v>1.4229157870630331</v>
      </c>
      <c r="J156" s="13"/>
      <c r="K156" s="13"/>
      <c r="L156" s="13"/>
      <c r="M156" s="13"/>
      <c r="N156" s="13"/>
      <c r="O156" s="13"/>
      <c r="P156" s="13"/>
      <c r="Q156" s="13"/>
    </row>
    <row r="157" spans="1:17" ht="18" x14ac:dyDescent="0.35">
      <c r="A157" s="4">
        <v>156</v>
      </c>
      <c r="B157" s="4">
        <v>57.87</v>
      </c>
      <c r="C157" s="4">
        <v>57.17</v>
      </c>
      <c r="D157" s="4">
        <v>56.92</v>
      </c>
      <c r="F157" s="13">
        <v>130</v>
      </c>
      <c r="G157" s="13">
        <v>45.024168817869267</v>
      </c>
      <c r="H157" s="13">
        <v>-6.4168817869266093E-2</v>
      </c>
      <c r="I157" s="13">
        <f t="shared" ref="I157:I220" si="2">ABS(H157)</f>
        <v>6.4168817869266093E-2</v>
      </c>
      <c r="J157" s="13"/>
      <c r="K157" s="13"/>
      <c r="L157" s="13"/>
      <c r="M157" s="13"/>
      <c r="N157" s="13"/>
      <c r="O157" s="13"/>
      <c r="P157" s="13"/>
      <c r="Q157" s="13"/>
    </row>
    <row r="158" spans="1:17" ht="18" x14ac:dyDescent="0.35">
      <c r="A158" s="4">
        <v>157</v>
      </c>
      <c r="B158" s="4">
        <v>59.88</v>
      </c>
      <c r="C158" s="4">
        <v>57.87</v>
      </c>
      <c r="D158" s="4">
        <v>57.17</v>
      </c>
      <c r="F158" s="13">
        <v>131</v>
      </c>
      <c r="G158" s="13">
        <v>45.25316202940386</v>
      </c>
      <c r="H158" s="13">
        <v>0.25683797059613767</v>
      </c>
      <c r="I158" s="13">
        <f t="shared" si="2"/>
        <v>0.25683797059613767</v>
      </c>
      <c r="J158" s="13"/>
      <c r="K158" s="13"/>
      <c r="L158" s="13"/>
      <c r="M158" s="13"/>
      <c r="N158" s="13"/>
      <c r="O158" s="13"/>
      <c r="P158" s="13"/>
      <c r="Q158" s="13"/>
    </row>
    <row r="159" spans="1:17" ht="18" x14ac:dyDescent="0.35">
      <c r="A159" s="4">
        <v>158</v>
      </c>
      <c r="B159" s="4">
        <v>61.36</v>
      </c>
      <c r="C159" s="4">
        <v>59.88</v>
      </c>
      <c r="D159" s="4">
        <v>57.87</v>
      </c>
      <c r="F159" s="13">
        <v>132</v>
      </c>
      <c r="G159" s="13">
        <v>45.812969100132584</v>
      </c>
      <c r="H159" s="13">
        <v>0.59703089986741276</v>
      </c>
      <c r="I159" s="13">
        <f t="shared" si="2"/>
        <v>0.59703089986741276</v>
      </c>
      <c r="J159" s="13"/>
      <c r="K159" s="13"/>
      <c r="L159" s="13"/>
      <c r="M159" s="13"/>
      <c r="N159" s="13"/>
      <c r="O159" s="13"/>
      <c r="P159" s="13"/>
      <c r="Q159" s="13"/>
    </row>
    <row r="160" spans="1:17" ht="18" x14ac:dyDescent="0.35">
      <c r="A160" s="4">
        <v>159</v>
      </c>
      <c r="B160" s="4">
        <v>63.26</v>
      </c>
      <c r="C160" s="4">
        <v>61.36</v>
      </c>
      <c r="D160" s="4">
        <v>59.88</v>
      </c>
      <c r="F160" s="13">
        <v>133</v>
      </c>
      <c r="G160" s="13">
        <v>46.728220528605959</v>
      </c>
      <c r="H160" s="13">
        <v>1.5417794713940438</v>
      </c>
      <c r="I160" s="13">
        <f t="shared" si="2"/>
        <v>1.5417794713940438</v>
      </c>
      <c r="J160" s="13"/>
      <c r="K160" s="13"/>
      <c r="L160" s="13"/>
      <c r="M160" s="13"/>
      <c r="N160" s="13"/>
      <c r="O160" s="13"/>
      <c r="P160" s="13"/>
      <c r="Q160" s="13"/>
    </row>
    <row r="161" spans="1:17" ht="18" x14ac:dyDescent="0.35">
      <c r="A161" s="4">
        <v>160</v>
      </c>
      <c r="B161" s="4">
        <v>63.77</v>
      </c>
      <c r="C161" s="4">
        <v>63.26</v>
      </c>
      <c r="D161" s="4">
        <v>61.36</v>
      </c>
      <c r="F161" s="13">
        <v>134</v>
      </c>
      <c r="G161" s="13">
        <v>48.638590776348309</v>
      </c>
      <c r="H161" s="13">
        <v>0.88140922365169416</v>
      </c>
      <c r="I161" s="13">
        <f t="shared" si="2"/>
        <v>0.88140922365169416</v>
      </c>
      <c r="J161" s="13"/>
      <c r="K161" s="13"/>
      <c r="L161" s="13"/>
      <c r="M161" s="13"/>
      <c r="N161" s="13"/>
      <c r="O161" s="13"/>
      <c r="P161" s="13"/>
      <c r="Q161" s="13"/>
    </row>
    <row r="162" spans="1:17" ht="18" x14ac:dyDescent="0.35">
      <c r="A162" s="4">
        <v>161</v>
      </c>
      <c r="B162" s="4">
        <v>65.14</v>
      </c>
      <c r="C162" s="4">
        <v>63.77</v>
      </c>
      <c r="D162" s="4">
        <v>63.26</v>
      </c>
      <c r="F162" s="13">
        <v>135</v>
      </c>
      <c r="G162" s="13">
        <v>49.822467468912166</v>
      </c>
      <c r="H162" s="13">
        <v>-0.74246746891216731</v>
      </c>
      <c r="I162" s="13">
        <f t="shared" si="2"/>
        <v>0.74246746891216731</v>
      </c>
      <c r="J162" s="13"/>
      <c r="K162" s="13"/>
      <c r="L162" s="13"/>
      <c r="M162" s="13"/>
      <c r="N162" s="13"/>
      <c r="O162" s="13"/>
      <c r="P162" s="13"/>
      <c r="Q162" s="13"/>
    </row>
    <row r="163" spans="1:17" ht="18" x14ac:dyDescent="0.35">
      <c r="A163" s="4">
        <v>162</v>
      </c>
      <c r="B163" s="4">
        <v>65.319999999999993</v>
      </c>
      <c r="C163" s="4">
        <v>65.14</v>
      </c>
      <c r="D163" s="4">
        <v>63.77</v>
      </c>
      <c r="F163" s="13">
        <v>136</v>
      </c>
      <c r="G163" s="13">
        <v>49.254030887749011</v>
      </c>
      <c r="H163" s="13">
        <v>-1.7340308877490074</v>
      </c>
      <c r="I163" s="13">
        <f t="shared" si="2"/>
        <v>1.7340308877490074</v>
      </c>
      <c r="J163" s="13"/>
      <c r="K163" s="13"/>
      <c r="L163" s="13"/>
      <c r="M163" s="13"/>
      <c r="N163" s="13"/>
      <c r="O163" s="13"/>
      <c r="P163" s="13"/>
      <c r="Q163" s="13"/>
    </row>
    <row r="164" spans="1:17" ht="18" x14ac:dyDescent="0.35">
      <c r="A164" s="4">
        <v>163</v>
      </c>
      <c r="B164" s="4">
        <v>62.01</v>
      </c>
      <c r="C164" s="4">
        <v>65.319999999999993</v>
      </c>
      <c r="D164" s="4">
        <v>65.14</v>
      </c>
      <c r="F164" s="13">
        <v>137</v>
      </c>
      <c r="G164" s="13">
        <v>47.626707798814927</v>
      </c>
      <c r="H164" s="13">
        <v>5.329220118507294E-2</v>
      </c>
      <c r="I164" s="13">
        <f t="shared" si="2"/>
        <v>5.329220118507294E-2</v>
      </c>
      <c r="J164" s="13"/>
      <c r="K164" s="13"/>
      <c r="L164" s="13"/>
      <c r="M164" s="13"/>
      <c r="N164" s="13"/>
      <c r="O164" s="13"/>
      <c r="P164" s="13"/>
      <c r="Q164" s="13"/>
    </row>
    <row r="165" spans="1:17" ht="18" x14ac:dyDescent="0.35">
      <c r="A165" s="4">
        <v>164</v>
      </c>
      <c r="B165" s="4">
        <v>60.56</v>
      </c>
      <c r="C165" s="4">
        <v>62.01</v>
      </c>
      <c r="D165" s="4">
        <v>65.319999999999993</v>
      </c>
      <c r="F165" s="13">
        <v>138</v>
      </c>
      <c r="G165" s="13">
        <v>47.921462066763702</v>
      </c>
      <c r="H165" s="13">
        <v>-1.2414620667637024</v>
      </c>
      <c r="I165" s="13">
        <f t="shared" si="2"/>
        <v>1.2414620667637024</v>
      </c>
      <c r="J165" s="13"/>
      <c r="K165" s="13"/>
      <c r="L165" s="13"/>
      <c r="M165" s="13"/>
      <c r="N165" s="13"/>
      <c r="O165" s="13"/>
      <c r="P165" s="13"/>
      <c r="Q165" s="13"/>
    </row>
    <row r="166" spans="1:17" ht="18" x14ac:dyDescent="0.35">
      <c r="A166" s="4">
        <v>165</v>
      </c>
      <c r="B166" s="4">
        <v>62.47</v>
      </c>
      <c r="C166" s="4">
        <v>60.56</v>
      </c>
      <c r="D166" s="4">
        <v>62.01</v>
      </c>
      <c r="F166" s="13">
        <v>139</v>
      </c>
      <c r="G166" s="13">
        <v>46.843096615151111</v>
      </c>
      <c r="H166" s="13">
        <v>1.7369033848488868</v>
      </c>
      <c r="I166" s="13">
        <f t="shared" si="2"/>
        <v>1.7369033848488868</v>
      </c>
      <c r="J166" s="13"/>
      <c r="K166" s="13"/>
      <c r="L166" s="13"/>
      <c r="M166" s="13"/>
      <c r="N166" s="13"/>
      <c r="O166" s="13"/>
      <c r="P166" s="13"/>
      <c r="Q166" s="13"/>
    </row>
    <row r="167" spans="1:17" ht="18" x14ac:dyDescent="0.35">
      <c r="A167" s="4">
        <v>166</v>
      </c>
      <c r="B167" s="4">
        <v>62.07</v>
      </c>
      <c r="C167" s="4">
        <v>62.47</v>
      </c>
      <c r="D167" s="4">
        <v>60.56</v>
      </c>
      <c r="F167" s="13">
        <v>140</v>
      </c>
      <c r="G167" s="13">
        <v>48.94742775228228</v>
      </c>
      <c r="H167" s="13">
        <v>0.12257224771772002</v>
      </c>
      <c r="I167" s="13">
        <f t="shared" si="2"/>
        <v>0.12257224771772002</v>
      </c>
      <c r="J167" s="13"/>
      <c r="K167" s="13"/>
      <c r="L167" s="13"/>
      <c r="M167" s="13"/>
      <c r="N167" s="13"/>
      <c r="O167" s="13"/>
      <c r="P167" s="13"/>
      <c r="Q167" s="13"/>
    </row>
    <row r="168" spans="1:17" ht="18" x14ac:dyDescent="0.35">
      <c r="A168" s="4">
        <v>167</v>
      </c>
      <c r="B168" s="4">
        <v>61.65</v>
      </c>
      <c r="C168" s="4">
        <v>62.07</v>
      </c>
      <c r="D168" s="4">
        <v>62.47</v>
      </c>
      <c r="F168" s="13">
        <v>141</v>
      </c>
      <c r="G168" s="13">
        <v>49.318246186062929</v>
      </c>
      <c r="H168" s="13">
        <v>0.80175381393706857</v>
      </c>
      <c r="I168" s="13">
        <f t="shared" si="2"/>
        <v>0.80175381393706857</v>
      </c>
      <c r="J168" s="13"/>
      <c r="K168" s="13"/>
      <c r="L168" s="13"/>
      <c r="M168" s="13"/>
      <c r="N168" s="13"/>
      <c r="O168" s="13"/>
      <c r="P168" s="13"/>
      <c r="Q168" s="13"/>
    </row>
    <row r="169" spans="1:17" ht="18" x14ac:dyDescent="0.35">
      <c r="A169" s="4">
        <v>168</v>
      </c>
      <c r="B169" s="4">
        <v>61.28</v>
      </c>
      <c r="C169" s="4">
        <v>61.65</v>
      </c>
      <c r="D169" s="4">
        <v>62.07</v>
      </c>
      <c r="F169" s="13">
        <v>142</v>
      </c>
      <c r="G169" s="13">
        <v>50.398119851885113</v>
      </c>
      <c r="H169" s="13">
        <v>1.3718801481148901</v>
      </c>
      <c r="I169" s="13">
        <f t="shared" si="2"/>
        <v>1.3718801481148901</v>
      </c>
      <c r="J169" s="13"/>
      <c r="K169" s="13"/>
      <c r="L169" s="13"/>
      <c r="M169" s="13"/>
      <c r="N169" s="13"/>
      <c r="O169" s="13"/>
      <c r="P169" s="13"/>
      <c r="Q169" s="13"/>
    </row>
    <row r="170" spans="1:17" ht="18" x14ac:dyDescent="0.35">
      <c r="A170" s="4">
        <v>169</v>
      </c>
      <c r="B170" s="4">
        <v>64.11</v>
      </c>
      <c r="C170" s="4">
        <v>61.28</v>
      </c>
      <c r="D170" s="4">
        <v>61.65</v>
      </c>
      <c r="F170" s="13">
        <v>143</v>
      </c>
      <c r="G170" s="13">
        <v>52.072762031393104</v>
      </c>
      <c r="H170" s="13">
        <v>-1.8427620313931072</v>
      </c>
      <c r="I170" s="13">
        <f t="shared" si="2"/>
        <v>1.8427620313931072</v>
      </c>
      <c r="J170" s="13"/>
      <c r="K170" s="13"/>
      <c r="L170" s="13"/>
      <c r="M170" s="13"/>
      <c r="N170" s="13"/>
      <c r="O170" s="13"/>
      <c r="P170" s="13"/>
      <c r="Q170" s="13"/>
    </row>
    <row r="171" spans="1:17" ht="18" x14ac:dyDescent="0.35">
      <c r="A171" s="4">
        <v>170</v>
      </c>
      <c r="B171" s="4">
        <v>64.97</v>
      </c>
      <c r="C171" s="4">
        <v>64.11</v>
      </c>
      <c r="D171" s="4">
        <v>61.28</v>
      </c>
      <c r="F171" s="13">
        <v>144</v>
      </c>
      <c r="G171" s="13">
        <v>50.300281731457424</v>
      </c>
      <c r="H171" s="13">
        <v>0.4697182685425787</v>
      </c>
      <c r="I171" s="13">
        <f t="shared" si="2"/>
        <v>0.4697182685425787</v>
      </c>
      <c r="J171" s="13"/>
      <c r="K171" s="13"/>
      <c r="L171" s="13"/>
      <c r="M171" s="13"/>
      <c r="N171" s="13"/>
      <c r="O171" s="13"/>
      <c r="P171" s="13"/>
      <c r="Q171" s="13"/>
    </row>
    <row r="172" spans="1:17" ht="18" x14ac:dyDescent="0.35">
      <c r="A172" s="4">
        <v>171</v>
      </c>
      <c r="B172" s="4">
        <v>63.07</v>
      </c>
      <c r="C172" s="4">
        <v>64.97</v>
      </c>
      <c r="D172" s="4">
        <v>64.11</v>
      </c>
      <c r="F172" s="13">
        <v>145</v>
      </c>
      <c r="G172" s="13">
        <v>50.99837910701234</v>
      </c>
      <c r="H172" s="13">
        <v>0.74162089298766176</v>
      </c>
      <c r="I172" s="13">
        <f t="shared" si="2"/>
        <v>0.74162089298766176</v>
      </c>
      <c r="J172" s="13"/>
      <c r="K172" s="13"/>
      <c r="L172" s="13"/>
      <c r="M172" s="13"/>
      <c r="N172" s="13"/>
      <c r="O172" s="13"/>
      <c r="P172" s="13"/>
      <c r="Q172" s="13"/>
    </row>
    <row r="173" spans="1:17" ht="18" x14ac:dyDescent="0.35">
      <c r="A173" s="4">
        <v>172</v>
      </c>
      <c r="B173" s="4">
        <v>66.02</v>
      </c>
      <c r="C173" s="4">
        <v>63.07</v>
      </c>
      <c r="D173" s="4">
        <v>64.97</v>
      </c>
      <c r="F173" s="13">
        <v>146</v>
      </c>
      <c r="G173" s="13">
        <v>51.989020536445032</v>
      </c>
      <c r="H173" s="13">
        <v>0.5209794635549656</v>
      </c>
      <c r="I173" s="13">
        <f t="shared" si="2"/>
        <v>0.5209794635549656</v>
      </c>
      <c r="J173" s="13"/>
      <c r="K173" s="13"/>
      <c r="L173" s="13"/>
      <c r="M173" s="13"/>
      <c r="N173" s="13"/>
      <c r="O173" s="13"/>
      <c r="P173" s="13"/>
      <c r="Q173" s="13"/>
    </row>
    <row r="174" spans="1:17" ht="18" x14ac:dyDescent="0.35">
      <c r="A174" s="4">
        <v>173</v>
      </c>
      <c r="B174" s="4">
        <v>67.55</v>
      </c>
      <c r="C174" s="4">
        <v>66.02</v>
      </c>
      <c r="D174" s="4">
        <v>63.07</v>
      </c>
      <c r="F174" s="13">
        <v>147</v>
      </c>
      <c r="G174" s="13">
        <v>52.732287958789733</v>
      </c>
      <c r="H174" s="13">
        <v>1.8577120412102701</v>
      </c>
      <c r="I174" s="13">
        <f t="shared" si="2"/>
        <v>1.8577120412102701</v>
      </c>
      <c r="J174" s="13"/>
      <c r="K174" s="13"/>
      <c r="L174" s="13"/>
      <c r="M174" s="13"/>
      <c r="N174" s="13"/>
      <c r="O174" s="13"/>
      <c r="P174" s="13"/>
      <c r="Q174" s="13"/>
    </row>
    <row r="175" spans="1:17" ht="18" x14ac:dyDescent="0.35">
      <c r="A175" s="4">
        <v>174</v>
      </c>
      <c r="B175" s="4">
        <v>67.91</v>
      </c>
      <c r="C175" s="4">
        <v>67.55</v>
      </c>
      <c r="D175" s="4">
        <v>66.02</v>
      </c>
      <c r="F175" s="13">
        <v>148</v>
      </c>
      <c r="G175" s="13">
        <v>54.88744947751843</v>
      </c>
      <c r="H175" s="13">
        <v>2.1625505224815669</v>
      </c>
      <c r="I175" s="13">
        <f t="shared" si="2"/>
        <v>2.1625505224815669</v>
      </c>
      <c r="J175" s="13"/>
      <c r="K175" s="13"/>
      <c r="L175" s="13"/>
      <c r="M175" s="13"/>
      <c r="N175" s="13"/>
      <c r="O175" s="13"/>
      <c r="P175" s="13"/>
      <c r="Q175" s="13"/>
    </row>
    <row r="176" spans="1:17" ht="18" x14ac:dyDescent="0.35">
      <c r="A176" s="4">
        <v>175</v>
      </c>
      <c r="B176" s="4">
        <v>68.38</v>
      </c>
      <c r="C176" s="4">
        <v>67.91</v>
      </c>
      <c r="D176" s="4">
        <v>67.55</v>
      </c>
      <c r="F176" s="13">
        <v>149</v>
      </c>
      <c r="G176" s="13">
        <v>57.343204901271726</v>
      </c>
      <c r="H176" s="13">
        <v>-1.5332049012717235</v>
      </c>
      <c r="I176" s="13">
        <f t="shared" si="2"/>
        <v>1.5332049012717235</v>
      </c>
      <c r="J176" s="13"/>
      <c r="K176" s="13"/>
      <c r="L176" s="13"/>
      <c r="M176" s="13"/>
      <c r="N176" s="13"/>
      <c r="O176" s="13"/>
      <c r="P176" s="13"/>
      <c r="Q176" s="13"/>
    </row>
    <row r="177" spans="1:17" ht="18" x14ac:dyDescent="0.35">
      <c r="A177" s="4">
        <v>176</v>
      </c>
      <c r="B177" s="4">
        <v>70.56</v>
      </c>
      <c r="C177" s="4">
        <v>68.38</v>
      </c>
      <c r="D177" s="4">
        <v>67.91</v>
      </c>
      <c r="F177" s="13">
        <v>150</v>
      </c>
      <c r="G177" s="13">
        <v>55.825894069521439</v>
      </c>
      <c r="H177" s="13">
        <v>1.6441059304785597</v>
      </c>
      <c r="I177" s="13">
        <f t="shared" si="2"/>
        <v>1.6441059304785597</v>
      </c>
      <c r="J177" s="13"/>
      <c r="K177" s="13"/>
      <c r="L177" s="13"/>
      <c r="M177" s="13"/>
      <c r="N177" s="13"/>
      <c r="O177" s="13"/>
      <c r="P177" s="13"/>
      <c r="Q177" s="13"/>
    </row>
    <row r="178" spans="1:17" ht="18" x14ac:dyDescent="0.35">
      <c r="A178" s="4">
        <v>177</v>
      </c>
      <c r="B178" s="4">
        <v>71.3</v>
      </c>
      <c r="C178" s="4">
        <v>70.56</v>
      </c>
      <c r="D178" s="4">
        <v>68.38</v>
      </c>
      <c r="F178" s="13">
        <v>151</v>
      </c>
      <c r="G178" s="13">
        <v>57.693592209892479</v>
      </c>
      <c r="H178" s="13">
        <v>0.11640779010752311</v>
      </c>
      <c r="I178" s="13">
        <f t="shared" si="2"/>
        <v>0.11640779010752311</v>
      </c>
      <c r="J178" s="13"/>
      <c r="K178" s="13"/>
      <c r="L178" s="13"/>
      <c r="M178" s="13"/>
      <c r="N178" s="13"/>
      <c r="O178" s="13"/>
      <c r="P178" s="13"/>
      <c r="Q178" s="13"/>
    </row>
    <row r="179" spans="1:17" ht="18" x14ac:dyDescent="0.35">
      <c r="A179" s="4">
        <v>178</v>
      </c>
      <c r="B179" s="4">
        <v>70.98</v>
      </c>
      <c r="C179" s="4">
        <v>71.3</v>
      </c>
      <c r="D179" s="4">
        <v>70.56</v>
      </c>
      <c r="F179" s="13">
        <v>152</v>
      </c>
      <c r="G179" s="13">
        <v>57.923683569715372</v>
      </c>
      <c r="H179" s="13">
        <v>-1.0036835697153705</v>
      </c>
      <c r="I179" s="13">
        <f t="shared" si="2"/>
        <v>1.0036835697153705</v>
      </c>
      <c r="J179" s="13"/>
      <c r="K179" s="13"/>
      <c r="L179" s="13"/>
      <c r="M179" s="13"/>
      <c r="N179" s="13"/>
      <c r="O179" s="13"/>
      <c r="P179" s="13"/>
      <c r="Q179" s="13"/>
    </row>
    <row r="180" spans="1:17" ht="18" x14ac:dyDescent="0.35">
      <c r="A180" s="4">
        <v>179</v>
      </c>
      <c r="B180" s="4">
        <v>66.959999999999994</v>
      </c>
      <c r="C180" s="4">
        <v>70.98</v>
      </c>
      <c r="D180" s="4">
        <v>71.3</v>
      </c>
      <c r="F180" s="13">
        <v>153</v>
      </c>
      <c r="G180" s="13">
        <v>56.948199370159927</v>
      </c>
      <c r="H180" s="13">
        <v>0.2218006298400752</v>
      </c>
      <c r="I180" s="13">
        <f t="shared" si="2"/>
        <v>0.2218006298400752</v>
      </c>
      <c r="J180" s="13"/>
      <c r="K180" s="13"/>
      <c r="L180" s="13"/>
      <c r="M180" s="13"/>
      <c r="N180" s="13"/>
      <c r="O180" s="13"/>
      <c r="P180" s="13"/>
      <c r="Q180" s="13"/>
    </row>
    <row r="181" spans="1:17" ht="18" x14ac:dyDescent="0.35">
      <c r="A181" s="4">
        <v>180</v>
      </c>
      <c r="B181" s="4">
        <v>65.349999999999994</v>
      </c>
      <c r="C181" s="4">
        <v>66.959999999999994</v>
      </c>
      <c r="D181" s="4">
        <v>70.98</v>
      </c>
      <c r="F181" s="13">
        <v>154</v>
      </c>
      <c r="G181" s="13">
        <v>57.285493696004387</v>
      </c>
      <c r="H181" s="13">
        <v>0.58450630399561021</v>
      </c>
      <c r="I181" s="13">
        <f t="shared" si="2"/>
        <v>0.58450630399561021</v>
      </c>
      <c r="J181" s="13"/>
      <c r="K181" s="13"/>
      <c r="L181" s="13"/>
      <c r="M181" s="13"/>
      <c r="N181" s="13"/>
      <c r="O181" s="13"/>
      <c r="P181" s="13"/>
      <c r="Q181" s="13"/>
    </row>
    <row r="182" spans="1:17" ht="18" x14ac:dyDescent="0.35">
      <c r="A182" s="4">
        <v>181</v>
      </c>
      <c r="B182" s="4">
        <v>66.209999999999994</v>
      </c>
      <c r="C182" s="4">
        <v>65.349999999999994</v>
      </c>
      <c r="D182" s="4">
        <v>66.959999999999994</v>
      </c>
      <c r="F182" s="13">
        <v>155</v>
      </c>
      <c r="G182" s="13">
        <v>58.01151601497466</v>
      </c>
      <c r="H182" s="13">
        <v>1.8684839850253425</v>
      </c>
      <c r="I182" s="13">
        <f t="shared" si="2"/>
        <v>1.8684839850253425</v>
      </c>
      <c r="J182" s="13"/>
      <c r="K182" s="13"/>
      <c r="L182" s="13"/>
      <c r="M182" s="13"/>
      <c r="N182" s="13"/>
      <c r="O182" s="13"/>
      <c r="P182" s="13"/>
      <c r="Q182" s="13"/>
    </row>
    <row r="183" spans="1:17" ht="18" x14ac:dyDescent="0.35">
      <c r="A183" s="4">
        <v>182</v>
      </c>
      <c r="B183" s="4">
        <v>66.319999999999993</v>
      </c>
      <c r="C183" s="4">
        <v>66.209999999999994</v>
      </c>
      <c r="D183" s="4">
        <v>65.349999999999994</v>
      </c>
      <c r="F183" s="13">
        <v>156</v>
      </c>
      <c r="G183" s="13">
        <v>60.097659576314996</v>
      </c>
      <c r="H183" s="13">
        <v>1.2623404236850035</v>
      </c>
      <c r="I183" s="13">
        <f t="shared" si="2"/>
        <v>1.2623404236850035</v>
      </c>
      <c r="J183" s="13"/>
      <c r="K183" s="13"/>
      <c r="L183" s="13"/>
      <c r="M183" s="13"/>
      <c r="N183" s="13"/>
      <c r="O183" s="13"/>
      <c r="P183" s="13"/>
      <c r="Q183" s="13"/>
    </row>
    <row r="184" spans="1:17" ht="18" x14ac:dyDescent="0.35">
      <c r="A184" s="4">
        <v>183</v>
      </c>
      <c r="B184" s="4">
        <v>74.03</v>
      </c>
      <c r="C184" s="4">
        <v>66.319999999999993</v>
      </c>
      <c r="D184" s="4">
        <v>66.209999999999994</v>
      </c>
      <c r="F184" s="13">
        <v>157</v>
      </c>
      <c r="G184" s="13">
        <v>61.514681601011588</v>
      </c>
      <c r="H184" s="13">
        <v>1.7453183989884096</v>
      </c>
      <c r="I184" s="13">
        <f t="shared" si="2"/>
        <v>1.7453183989884096</v>
      </c>
      <c r="J184" s="13"/>
      <c r="K184" s="13"/>
      <c r="L184" s="13"/>
      <c r="M184" s="13"/>
      <c r="N184" s="13"/>
      <c r="O184" s="13"/>
      <c r="P184" s="13"/>
      <c r="Q184" s="13"/>
    </row>
    <row r="185" spans="1:17" ht="18" x14ac:dyDescent="0.35">
      <c r="A185" s="4">
        <v>184</v>
      </c>
      <c r="B185" s="4">
        <v>73.73</v>
      </c>
      <c r="C185" s="4">
        <v>74.03</v>
      </c>
      <c r="D185" s="4">
        <v>66.319999999999993</v>
      </c>
      <c r="F185" s="13">
        <v>158</v>
      </c>
      <c r="G185" s="13">
        <v>63.421479387443398</v>
      </c>
      <c r="H185" s="13">
        <v>0.34852061255660516</v>
      </c>
      <c r="I185" s="13">
        <f t="shared" si="2"/>
        <v>0.34852061255660516</v>
      </c>
      <c r="J185" s="13"/>
      <c r="K185" s="13"/>
      <c r="L185" s="13"/>
      <c r="M185" s="13"/>
      <c r="N185" s="13"/>
      <c r="O185" s="13"/>
      <c r="P185" s="13"/>
      <c r="Q185" s="13"/>
    </row>
    <row r="186" spans="1:17" ht="18" x14ac:dyDescent="0.35">
      <c r="A186" s="4">
        <v>185</v>
      </c>
      <c r="B186" s="4">
        <v>71.959999999999994</v>
      </c>
      <c r="C186" s="4">
        <v>73.73</v>
      </c>
      <c r="D186" s="4">
        <v>74.03</v>
      </c>
      <c r="F186" s="13">
        <v>159</v>
      </c>
      <c r="G186" s="13">
        <v>63.813610248513463</v>
      </c>
      <c r="H186" s="13">
        <v>1.3263897514865377</v>
      </c>
      <c r="I186" s="13">
        <f t="shared" si="2"/>
        <v>1.3263897514865377</v>
      </c>
      <c r="J186" s="13"/>
      <c r="K186" s="13"/>
      <c r="L186" s="13"/>
      <c r="M186" s="13"/>
      <c r="N186" s="13"/>
      <c r="O186" s="13"/>
      <c r="P186" s="13"/>
      <c r="Q186" s="13"/>
    </row>
    <row r="187" spans="1:17" ht="18" x14ac:dyDescent="0.35">
      <c r="A187" s="4">
        <v>186</v>
      </c>
      <c r="B187" s="4">
        <v>68.95</v>
      </c>
      <c r="C187" s="4">
        <v>71.959999999999994</v>
      </c>
      <c r="D187" s="4">
        <v>73.73</v>
      </c>
      <c r="F187" s="13">
        <v>160</v>
      </c>
      <c r="G187" s="13">
        <v>65.232889740073531</v>
      </c>
      <c r="H187" s="13">
        <v>8.7110259926461708E-2</v>
      </c>
      <c r="I187" s="13">
        <f t="shared" si="2"/>
        <v>8.7110259926461708E-2</v>
      </c>
      <c r="J187" s="13"/>
      <c r="K187" s="13"/>
      <c r="L187" s="13"/>
      <c r="M187" s="13"/>
      <c r="N187" s="13"/>
      <c r="O187" s="13"/>
      <c r="P187" s="13"/>
      <c r="Q187" s="13"/>
    </row>
    <row r="188" spans="1:17" ht="18" x14ac:dyDescent="0.35">
      <c r="A188" s="4">
        <v>187</v>
      </c>
      <c r="B188" s="4">
        <v>70.010000000000005</v>
      </c>
      <c r="C188" s="4">
        <v>68.95</v>
      </c>
      <c r="D188" s="4">
        <v>71.959999999999994</v>
      </c>
      <c r="F188" s="13">
        <v>161</v>
      </c>
      <c r="G188" s="13">
        <v>65.315580339525781</v>
      </c>
      <c r="H188" s="13">
        <v>-3.3055803395257826</v>
      </c>
      <c r="I188" s="13">
        <f t="shared" si="2"/>
        <v>3.3055803395257826</v>
      </c>
      <c r="J188" s="13"/>
      <c r="K188" s="13"/>
      <c r="L188" s="13"/>
      <c r="M188" s="13"/>
      <c r="N188" s="13"/>
      <c r="O188" s="13"/>
      <c r="P188" s="13"/>
      <c r="Q188" s="13"/>
    </row>
    <row r="189" spans="1:17" ht="18" x14ac:dyDescent="0.35">
      <c r="A189" s="4">
        <v>188</v>
      </c>
      <c r="B189" s="4">
        <v>69.459999999999994</v>
      </c>
      <c r="C189" s="4">
        <v>70.010000000000005</v>
      </c>
      <c r="D189" s="4">
        <v>68.95</v>
      </c>
      <c r="F189" s="13">
        <v>162</v>
      </c>
      <c r="G189" s="13">
        <v>61.774036525093145</v>
      </c>
      <c r="H189" s="13">
        <v>-1.2140365250931424</v>
      </c>
      <c r="I189" s="13">
        <f t="shared" si="2"/>
        <v>1.2140365250931424</v>
      </c>
      <c r="J189" s="13"/>
      <c r="K189" s="13"/>
      <c r="L189" s="13"/>
      <c r="M189" s="13"/>
      <c r="N189" s="13"/>
      <c r="O189" s="13"/>
      <c r="P189" s="13"/>
      <c r="Q189" s="13"/>
    </row>
    <row r="190" spans="1:17" ht="18" x14ac:dyDescent="0.35">
      <c r="A190" s="4">
        <v>189</v>
      </c>
      <c r="B190" s="4">
        <v>67.900000000000006</v>
      </c>
      <c r="C190" s="4">
        <v>69.459999999999994</v>
      </c>
      <c r="D190" s="4">
        <v>70.010000000000005</v>
      </c>
      <c r="F190" s="13">
        <v>163</v>
      </c>
      <c r="G190" s="13">
        <v>60.492528849358557</v>
      </c>
      <c r="H190" s="13">
        <v>1.977471150641442</v>
      </c>
      <c r="I190" s="13">
        <f t="shared" si="2"/>
        <v>1.977471150641442</v>
      </c>
      <c r="J190" s="13"/>
      <c r="K190" s="13"/>
      <c r="L190" s="13"/>
      <c r="M190" s="13"/>
      <c r="N190" s="13"/>
      <c r="O190" s="13"/>
      <c r="P190" s="13"/>
      <c r="Q190" s="13"/>
    </row>
    <row r="191" spans="1:17" ht="18" x14ac:dyDescent="0.35">
      <c r="A191" s="4">
        <v>190</v>
      </c>
      <c r="B191" s="4">
        <v>66.150000000000006</v>
      </c>
      <c r="C191" s="4">
        <v>67.900000000000006</v>
      </c>
      <c r="D191" s="4">
        <v>69.459999999999994</v>
      </c>
      <c r="F191" s="13">
        <v>164</v>
      </c>
      <c r="G191" s="13">
        <v>62.64335894522101</v>
      </c>
      <c r="H191" s="13">
        <v>-0.57335894522100972</v>
      </c>
      <c r="I191" s="13">
        <f t="shared" si="2"/>
        <v>0.57335894522100972</v>
      </c>
      <c r="J191" s="13"/>
      <c r="K191" s="13"/>
      <c r="L191" s="13"/>
      <c r="M191" s="13"/>
      <c r="N191" s="13"/>
      <c r="O191" s="13"/>
      <c r="P191" s="13"/>
      <c r="Q191" s="13"/>
    </row>
    <row r="192" spans="1:17" ht="18" x14ac:dyDescent="0.35">
      <c r="A192" s="4">
        <v>191</v>
      </c>
      <c r="B192" s="4">
        <v>68.099999999999994</v>
      </c>
      <c r="C192" s="4">
        <v>66.150000000000006</v>
      </c>
      <c r="D192" s="4">
        <v>67.900000000000006</v>
      </c>
      <c r="F192" s="13">
        <v>165</v>
      </c>
      <c r="G192" s="13">
        <v>62.064977859176366</v>
      </c>
      <c r="H192" s="13">
        <v>-0.41497785917636776</v>
      </c>
      <c r="I192" s="13">
        <f t="shared" si="2"/>
        <v>0.41497785917636776</v>
      </c>
      <c r="J192" s="13"/>
      <c r="K192" s="13"/>
      <c r="L192" s="13"/>
      <c r="M192" s="13"/>
      <c r="N192" s="13"/>
      <c r="O192" s="13"/>
      <c r="P192" s="13"/>
      <c r="Q192" s="13"/>
    </row>
    <row r="193" spans="1:17" ht="18" x14ac:dyDescent="0.35">
      <c r="A193" s="4">
        <v>192</v>
      </c>
      <c r="B193" s="4">
        <v>69.66</v>
      </c>
      <c r="C193" s="4">
        <v>68.099999999999994</v>
      </c>
      <c r="D193" s="4">
        <v>66.150000000000006</v>
      </c>
      <c r="F193" s="13">
        <v>166</v>
      </c>
      <c r="G193" s="13">
        <v>61.649277103953416</v>
      </c>
      <c r="H193" s="13">
        <v>-0.36927710395341506</v>
      </c>
      <c r="I193" s="13">
        <f t="shared" si="2"/>
        <v>0.36927710395341506</v>
      </c>
      <c r="J193" s="13"/>
      <c r="K193" s="13"/>
      <c r="L193" s="13"/>
      <c r="M193" s="13"/>
      <c r="N193" s="13"/>
      <c r="O193" s="13"/>
      <c r="P193" s="13"/>
      <c r="Q193" s="13"/>
    </row>
    <row r="194" spans="1:17" ht="18" x14ac:dyDescent="0.35">
      <c r="A194" s="4">
        <v>193</v>
      </c>
      <c r="B194" s="4">
        <v>68.510000000000005</v>
      </c>
      <c r="C194" s="4">
        <v>69.66</v>
      </c>
      <c r="D194" s="4">
        <v>68.099999999999994</v>
      </c>
      <c r="F194" s="13">
        <v>167</v>
      </c>
      <c r="G194" s="13">
        <v>61.288450427846733</v>
      </c>
      <c r="H194" s="13">
        <v>2.8215495721532662</v>
      </c>
      <c r="I194" s="13">
        <f t="shared" si="2"/>
        <v>2.8215495721532662</v>
      </c>
      <c r="J194" s="13"/>
      <c r="K194" s="13"/>
      <c r="L194" s="13"/>
      <c r="M194" s="13"/>
      <c r="N194" s="13"/>
      <c r="O194" s="13"/>
      <c r="P194" s="13"/>
      <c r="Q194" s="13"/>
    </row>
    <row r="195" spans="1:17" ht="18" x14ac:dyDescent="0.35">
      <c r="A195" s="4">
        <v>194</v>
      </c>
      <c r="B195" s="4">
        <v>68.959999999999994</v>
      </c>
      <c r="C195" s="4">
        <v>68.510000000000005</v>
      </c>
      <c r="D195" s="4">
        <v>69.66</v>
      </c>
      <c r="F195" s="13">
        <v>168</v>
      </c>
      <c r="G195" s="13">
        <v>64.333629590814439</v>
      </c>
      <c r="H195" s="13">
        <v>0.63637040918555954</v>
      </c>
      <c r="I195" s="13">
        <f t="shared" si="2"/>
        <v>0.63637040918555954</v>
      </c>
      <c r="J195" s="13"/>
      <c r="K195" s="13"/>
      <c r="L195" s="13"/>
      <c r="M195" s="13"/>
      <c r="N195" s="13"/>
      <c r="O195" s="13"/>
      <c r="P195" s="13"/>
      <c r="Q195" s="13"/>
    </row>
    <row r="196" spans="1:17" ht="18" x14ac:dyDescent="0.35">
      <c r="A196" s="4">
        <v>195</v>
      </c>
      <c r="B196" s="4">
        <v>70.28</v>
      </c>
      <c r="C196" s="4">
        <v>68.959999999999994</v>
      </c>
      <c r="D196" s="4">
        <v>68.510000000000005</v>
      </c>
      <c r="F196" s="13">
        <v>169</v>
      </c>
      <c r="G196" s="13">
        <v>65.024652922936994</v>
      </c>
      <c r="H196" s="13">
        <v>-1.9546529229369938</v>
      </c>
      <c r="I196" s="13">
        <f t="shared" si="2"/>
        <v>1.9546529229369938</v>
      </c>
      <c r="J196" s="13"/>
      <c r="K196" s="13"/>
      <c r="L196" s="13"/>
      <c r="M196" s="13"/>
      <c r="N196" s="13"/>
      <c r="O196" s="13"/>
      <c r="P196" s="13"/>
      <c r="Q196" s="13"/>
    </row>
    <row r="197" spans="1:17" ht="18" x14ac:dyDescent="0.35">
      <c r="A197" s="4">
        <v>196</v>
      </c>
      <c r="B197" s="4">
        <v>72.84</v>
      </c>
      <c r="C197" s="4">
        <v>70.28</v>
      </c>
      <c r="D197" s="4">
        <v>68.959999999999994</v>
      </c>
      <c r="F197" s="13">
        <v>170</v>
      </c>
      <c r="G197" s="13">
        <v>62.931472862054974</v>
      </c>
      <c r="H197" s="13">
        <v>3.0885271379450217</v>
      </c>
      <c r="I197" s="13">
        <f t="shared" si="2"/>
        <v>3.0885271379450217</v>
      </c>
      <c r="J197" s="13"/>
      <c r="K197" s="13"/>
      <c r="L197" s="13"/>
      <c r="M197" s="13"/>
      <c r="N197" s="13"/>
      <c r="O197" s="13"/>
      <c r="P197" s="13"/>
      <c r="Q197" s="13"/>
    </row>
    <row r="198" spans="1:17" ht="18" x14ac:dyDescent="0.35">
      <c r="A198" s="4">
        <v>197</v>
      </c>
      <c r="B198" s="4">
        <v>75.13</v>
      </c>
      <c r="C198" s="4">
        <v>72.84</v>
      </c>
      <c r="D198" s="4">
        <v>70.28</v>
      </c>
      <c r="F198" s="13">
        <v>171</v>
      </c>
      <c r="G198" s="13">
        <v>66.226391922053537</v>
      </c>
      <c r="H198" s="13">
        <v>1.3236080779464601</v>
      </c>
      <c r="I198" s="13">
        <f t="shared" si="2"/>
        <v>1.3236080779464601</v>
      </c>
      <c r="J198" s="13"/>
      <c r="K198" s="13"/>
      <c r="L198" s="13"/>
      <c r="M198" s="13"/>
      <c r="N198" s="13"/>
      <c r="O198" s="13"/>
      <c r="P198" s="13"/>
      <c r="Q198" s="13"/>
    </row>
    <row r="199" spans="1:17" ht="18" x14ac:dyDescent="0.35">
      <c r="A199" s="4">
        <v>198</v>
      </c>
      <c r="B199" s="4">
        <v>72.959999999999994</v>
      </c>
      <c r="C199" s="4">
        <v>75.13</v>
      </c>
      <c r="D199" s="4">
        <v>72.84</v>
      </c>
      <c r="F199" s="13">
        <v>172</v>
      </c>
      <c r="G199" s="13">
        <v>67.621823503015037</v>
      </c>
      <c r="H199" s="13">
        <v>0.28817649698495984</v>
      </c>
      <c r="I199" s="13">
        <f t="shared" si="2"/>
        <v>0.28817649698495984</v>
      </c>
      <c r="J199" s="13"/>
      <c r="K199" s="13"/>
      <c r="L199" s="13"/>
      <c r="M199" s="13"/>
      <c r="N199" s="13"/>
      <c r="O199" s="13"/>
      <c r="P199" s="13"/>
      <c r="Q199" s="13"/>
    </row>
    <row r="200" spans="1:17" ht="18" x14ac:dyDescent="0.35">
      <c r="A200" s="4">
        <v>199</v>
      </c>
      <c r="B200" s="4">
        <v>70.239999999999995</v>
      </c>
      <c r="C200" s="4">
        <v>72.959999999999994</v>
      </c>
      <c r="D200" s="4">
        <v>75.13</v>
      </c>
      <c r="F200" s="13">
        <v>173</v>
      </c>
      <c r="G200" s="13">
        <v>67.883581860930136</v>
      </c>
      <c r="H200" s="13">
        <v>0.49641813906985988</v>
      </c>
      <c r="I200" s="13">
        <f t="shared" si="2"/>
        <v>0.49641813906985988</v>
      </c>
      <c r="J200" s="13"/>
      <c r="K200" s="13"/>
      <c r="L200" s="13"/>
      <c r="M200" s="13"/>
      <c r="N200" s="13"/>
      <c r="O200" s="13"/>
      <c r="P200" s="13"/>
      <c r="Q200" s="13"/>
    </row>
    <row r="201" spans="1:17" ht="18" x14ac:dyDescent="0.35">
      <c r="A201" s="4">
        <v>200</v>
      </c>
      <c r="B201" s="4">
        <v>67.430000000000007</v>
      </c>
      <c r="C201" s="4">
        <v>70.239999999999995</v>
      </c>
      <c r="D201" s="4">
        <v>72.959999999999994</v>
      </c>
      <c r="F201" s="13">
        <v>174</v>
      </c>
      <c r="G201" s="13">
        <v>68.355749706162101</v>
      </c>
      <c r="H201" s="13">
        <v>2.2042502938379016</v>
      </c>
      <c r="I201" s="13">
        <f t="shared" si="2"/>
        <v>2.2042502938379016</v>
      </c>
      <c r="J201" s="13"/>
      <c r="K201" s="13"/>
      <c r="L201" s="13"/>
      <c r="M201" s="13"/>
      <c r="N201" s="13"/>
      <c r="O201" s="13"/>
      <c r="P201" s="13"/>
      <c r="Q201" s="13"/>
    </row>
    <row r="202" spans="1:17" ht="18" x14ac:dyDescent="0.35">
      <c r="A202" s="4">
        <v>201</v>
      </c>
      <c r="B202" s="4">
        <v>65.06</v>
      </c>
      <c r="C202" s="4">
        <v>67.430000000000007</v>
      </c>
      <c r="D202" s="4">
        <v>70.239999999999995</v>
      </c>
      <c r="F202" s="13">
        <v>175</v>
      </c>
      <c r="G202" s="13">
        <v>70.641368524728918</v>
      </c>
      <c r="H202" s="13">
        <v>0.65863147527107913</v>
      </c>
      <c r="I202" s="13">
        <f t="shared" si="2"/>
        <v>0.65863147527107913</v>
      </c>
      <c r="J202" s="13"/>
      <c r="K202" s="13"/>
      <c r="L202" s="13"/>
      <c r="M202" s="13"/>
      <c r="N202" s="13"/>
      <c r="O202" s="13"/>
      <c r="P202" s="13"/>
      <c r="Q202" s="13"/>
    </row>
    <row r="203" spans="1:17" ht="18" x14ac:dyDescent="0.35">
      <c r="A203" s="4">
        <v>202</v>
      </c>
      <c r="B203" s="4">
        <v>61.57</v>
      </c>
      <c r="C203" s="4">
        <v>65.06</v>
      </c>
      <c r="D203" s="4">
        <v>67.430000000000007</v>
      </c>
      <c r="F203" s="13">
        <v>176</v>
      </c>
      <c r="G203" s="13">
        <v>71.256290147128922</v>
      </c>
      <c r="H203" s="13">
        <v>-0.27629014712891831</v>
      </c>
      <c r="I203" s="13">
        <f t="shared" si="2"/>
        <v>0.27629014712891831</v>
      </c>
      <c r="J203" s="13"/>
      <c r="K203" s="13"/>
      <c r="L203" s="13"/>
      <c r="M203" s="13"/>
      <c r="N203" s="13"/>
      <c r="O203" s="13"/>
      <c r="P203" s="13"/>
      <c r="Q203" s="13"/>
    </row>
    <row r="204" spans="1:17" ht="18" x14ac:dyDescent="0.35">
      <c r="A204" s="4">
        <v>203</v>
      </c>
      <c r="B204" s="4">
        <v>56.92</v>
      </c>
      <c r="C204" s="4">
        <v>61.57</v>
      </c>
      <c r="D204" s="4">
        <v>65.06</v>
      </c>
      <c r="F204" s="13">
        <v>177</v>
      </c>
      <c r="G204" s="13">
        <v>70.856349907467049</v>
      </c>
      <c r="H204" s="13">
        <v>-3.8963499074670551</v>
      </c>
      <c r="I204" s="13">
        <f t="shared" si="2"/>
        <v>3.8963499074670551</v>
      </c>
      <c r="J204" s="13"/>
      <c r="K204" s="13"/>
      <c r="L204" s="13"/>
      <c r="M204" s="13"/>
      <c r="N204" s="13"/>
      <c r="O204" s="13"/>
      <c r="P204" s="13"/>
      <c r="Q204" s="13"/>
    </row>
    <row r="205" spans="1:17" ht="18" x14ac:dyDescent="0.35">
      <c r="A205" s="4">
        <v>204</v>
      </c>
      <c r="B205" s="4">
        <v>54.99</v>
      </c>
      <c r="C205" s="4">
        <v>56.92</v>
      </c>
      <c r="D205" s="4">
        <v>61.57</v>
      </c>
      <c r="F205" s="13">
        <v>178</v>
      </c>
      <c r="G205" s="13">
        <v>66.598040196578594</v>
      </c>
      <c r="H205" s="13">
        <v>-1.2480401965786001</v>
      </c>
      <c r="I205" s="13">
        <f t="shared" si="2"/>
        <v>1.2480401965786001</v>
      </c>
      <c r="J205" s="13"/>
      <c r="K205" s="13"/>
      <c r="L205" s="13"/>
      <c r="M205" s="13"/>
      <c r="N205" s="13"/>
      <c r="O205" s="13"/>
      <c r="P205" s="13"/>
      <c r="Q205" s="13"/>
    </row>
    <row r="206" spans="1:17" ht="18" x14ac:dyDescent="0.35">
      <c r="A206" s="4">
        <v>205</v>
      </c>
      <c r="B206" s="4">
        <v>51.01</v>
      </c>
      <c r="C206" s="4">
        <v>54.99</v>
      </c>
      <c r="D206" s="4">
        <v>56.92</v>
      </c>
      <c r="F206" s="13">
        <v>179</v>
      </c>
      <c r="G206" s="13">
        <v>65.202584989220867</v>
      </c>
      <c r="H206" s="13">
        <v>1.0074150107791269</v>
      </c>
      <c r="I206" s="13">
        <f t="shared" si="2"/>
        <v>1.0074150107791269</v>
      </c>
      <c r="J206" s="13"/>
      <c r="K206" s="13"/>
      <c r="L206" s="13"/>
      <c r="M206" s="13"/>
      <c r="N206" s="13"/>
      <c r="O206" s="13"/>
      <c r="P206" s="13"/>
      <c r="Q206" s="13"/>
    </row>
    <row r="207" spans="1:17" ht="18" x14ac:dyDescent="0.35">
      <c r="A207" s="4">
        <v>206</v>
      </c>
      <c r="B207" s="4">
        <v>52.63</v>
      </c>
      <c r="C207" s="4">
        <v>51.01</v>
      </c>
      <c r="D207" s="4">
        <v>54.99</v>
      </c>
      <c r="F207" s="13">
        <v>180</v>
      </c>
      <c r="G207" s="13">
        <v>66.247256739530982</v>
      </c>
      <c r="H207" s="13">
        <v>7.2743260469010806E-2</v>
      </c>
      <c r="I207" s="13">
        <f t="shared" si="2"/>
        <v>7.2743260469010806E-2</v>
      </c>
      <c r="J207" s="13"/>
      <c r="K207" s="13"/>
      <c r="L207" s="13"/>
      <c r="M207" s="13"/>
      <c r="N207" s="13"/>
      <c r="O207" s="13"/>
      <c r="P207" s="13"/>
      <c r="Q207" s="13"/>
    </row>
    <row r="208" spans="1:17" ht="18" x14ac:dyDescent="0.35">
      <c r="A208" s="4">
        <v>207</v>
      </c>
      <c r="B208" s="4">
        <v>51.54</v>
      </c>
      <c r="C208" s="4">
        <v>52.63</v>
      </c>
      <c r="D208" s="4">
        <v>51.01</v>
      </c>
      <c r="F208" s="13">
        <v>181</v>
      </c>
      <c r="G208" s="13">
        <v>66.295975621235073</v>
      </c>
      <c r="H208" s="13">
        <v>7.7340243787649285</v>
      </c>
      <c r="I208" s="13">
        <f t="shared" si="2"/>
        <v>7.7340243787649285</v>
      </c>
      <c r="J208" s="13"/>
      <c r="K208" s="13"/>
      <c r="L208" s="13"/>
      <c r="M208" s="13"/>
      <c r="N208" s="13"/>
      <c r="O208" s="13"/>
      <c r="P208" s="13"/>
      <c r="Q208" s="13"/>
    </row>
    <row r="209" spans="1:17" ht="18" x14ac:dyDescent="0.35">
      <c r="A209" s="4">
        <v>208</v>
      </c>
      <c r="B209" s="4">
        <v>46.98</v>
      </c>
      <c r="C209" s="4">
        <v>51.54</v>
      </c>
      <c r="D209" s="4">
        <v>52.63</v>
      </c>
      <c r="F209" s="13">
        <v>182</v>
      </c>
      <c r="G209" s="13">
        <v>74.50315478139413</v>
      </c>
      <c r="H209" s="13">
        <v>-0.77315478139412619</v>
      </c>
      <c r="I209" s="13">
        <f t="shared" si="2"/>
        <v>0.77315478139412619</v>
      </c>
      <c r="J209" s="13"/>
      <c r="K209" s="13"/>
      <c r="L209" s="13"/>
      <c r="M209" s="13"/>
      <c r="N209" s="13"/>
      <c r="O209" s="13"/>
      <c r="P209" s="13"/>
      <c r="Q209" s="13"/>
    </row>
    <row r="210" spans="1:17" ht="18" x14ac:dyDescent="0.35">
      <c r="A210" s="4">
        <v>209</v>
      </c>
      <c r="B210" s="4">
        <v>45.22</v>
      </c>
      <c r="C210" s="4">
        <v>46.98</v>
      </c>
      <c r="D210" s="4">
        <v>51.54</v>
      </c>
      <c r="F210" s="13">
        <v>183</v>
      </c>
      <c r="G210" s="13">
        <v>73.569362672902898</v>
      </c>
      <c r="H210" s="13">
        <v>-1.609362672902904</v>
      </c>
      <c r="I210" s="13">
        <f t="shared" si="2"/>
        <v>1.609362672902904</v>
      </c>
      <c r="J210" s="13"/>
      <c r="K210" s="13"/>
      <c r="L210" s="13"/>
      <c r="M210" s="13"/>
      <c r="N210" s="13"/>
      <c r="O210" s="13"/>
      <c r="P210" s="13"/>
      <c r="Q210" s="13"/>
    </row>
    <row r="211" spans="1:17" ht="18" x14ac:dyDescent="0.35">
      <c r="A211" s="4">
        <v>210</v>
      </c>
      <c r="B211" s="4">
        <v>47</v>
      </c>
      <c r="C211" s="4">
        <v>45.22</v>
      </c>
      <c r="D211" s="4">
        <v>46.98</v>
      </c>
      <c r="F211" s="13">
        <v>184</v>
      </c>
      <c r="G211" s="13">
        <v>71.707108021180801</v>
      </c>
      <c r="H211" s="13">
        <v>-2.7571080211807981</v>
      </c>
      <c r="I211" s="13">
        <f t="shared" si="2"/>
        <v>2.7571080211807981</v>
      </c>
      <c r="J211" s="13"/>
      <c r="K211" s="13"/>
      <c r="L211" s="13"/>
      <c r="M211" s="13"/>
      <c r="N211" s="13"/>
      <c r="O211" s="13"/>
      <c r="P211" s="13"/>
      <c r="Q211" s="13"/>
    </row>
    <row r="212" spans="1:17" ht="18" x14ac:dyDescent="0.35">
      <c r="A212" s="4">
        <v>211</v>
      </c>
      <c r="B212" s="4">
        <v>50.78</v>
      </c>
      <c r="C212" s="4">
        <v>47</v>
      </c>
      <c r="D212" s="4">
        <v>45.22</v>
      </c>
      <c r="F212" s="13">
        <v>185</v>
      </c>
      <c r="G212" s="13">
        <v>68.640569178131202</v>
      </c>
      <c r="H212" s="13">
        <v>1.3694308218688036</v>
      </c>
      <c r="I212" s="13">
        <f t="shared" si="2"/>
        <v>1.3694308218688036</v>
      </c>
      <c r="J212" s="13"/>
      <c r="K212" s="13"/>
      <c r="L212" s="13"/>
      <c r="M212" s="13"/>
      <c r="N212" s="13"/>
      <c r="O212" s="13"/>
      <c r="P212" s="13"/>
      <c r="Q212" s="13"/>
    </row>
    <row r="213" spans="1:17" ht="18" x14ac:dyDescent="0.35">
      <c r="A213" s="4">
        <v>212</v>
      </c>
      <c r="B213" s="4">
        <v>51.92</v>
      </c>
      <c r="C213" s="4">
        <v>50.78</v>
      </c>
      <c r="D213" s="4">
        <v>47</v>
      </c>
      <c r="F213" s="13">
        <v>186</v>
      </c>
      <c r="G213" s="13">
        <v>70.009875963827042</v>
      </c>
      <c r="H213" s="13">
        <v>-0.54987596382704851</v>
      </c>
      <c r="I213" s="13">
        <f t="shared" si="2"/>
        <v>0.54987596382704851</v>
      </c>
      <c r="J213" s="13"/>
      <c r="K213" s="13"/>
      <c r="L213" s="13"/>
      <c r="M213" s="13"/>
      <c r="N213" s="13"/>
      <c r="O213" s="13"/>
      <c r="P213" s="13"/>
      <c r="Q213" s="13"/>
    </row>
    <row r="214" spans="1:17" ht="18" x14ac:dyDescent="0.35">
      <c r="A214" s="4">
        <v>213</v>
      </c>
      <c r="B214" s="4">
        <v>52.88</v>
      </c>
      <c r="C214" s="4">
        <v>51.92</v>
      </c>
      <c r="D214" s="4">
        <v>50.78</v>
      </c>
      <c r="F214" s="13">
        <v>187</v>
      </c>
      <c r="G214" s="13">
        <v>69.339354636053088</v>
      </c>
      <c r="H214" s="13">
        <v>-1.439354636053082</v>
      </c>
      <c r="I214" s="13">
        <f t="shared" si="2"/>
        <v>1.439354636053082</v>
      </c>
      <c r="J214" s="13"/>
      <c r="K214" s="13"/>
      <c r="L214" s="13"/>
      <c r="M214" s="13"/>
      <c r="N214" s="13"/>
      <c r="O214" s="13"/>
      <c r="P214" s="13"/>
      <c r="Q214" s="13"/>
    </row>
    <row r="215" spans="1:17" ht="18" x14ac:dyDescent="0.35">
      <c r="A215" s="4">
        <v>214</v>
      </c>
      <c r="B215" s="4">
        <v>53.63</v>
      </c>
      <c r="C215" s="4">
        <v>52.88</v>
      </c>
      <c r="D215" s="4">
        <v>51.92</v>
      </c>
      <c r="F215" s="13">
        <v>188</v>
      </c>
      <c r="G215" s="13">
        <v>67.720793107029067</v>
      </c>
      <c r="H215" s="13">
        <v>-1.5707931070290613</v>
      </c>
      <c r="I215" s="13">
        <f t="shared" si="2"/>
        <v>1.5707931070290613</v>
      </c>
      <c r="J215" s="13"/>
      <c r="K215" s="13"/>
      <c r="L215" s="13"/>
      <c r="M215" s="13"/>
      <c r="N215" s="13"/>
      <c r="O215" s="13"/>
      <c r="P215" s="13"/>
      <c r="Q215" s="13"/>
    </row>
    <row r="216" spans="1:17" ht="18" x14ac:dyDescent="0.35">
      <c r="A216" s="4">
        <v>215</v>
      </c>
      <c r="B216" s="4">
        <v>53.53</v>
      </c>
      <c r="C216" s="4">
        <v>53.63</v>
      </c>
      <c r="D216" s="4">
        <v>52.88</v>
      </c>
      <c r="F216" s="13">
        <v>189</v>
      </c>
      <c r="G216" s="13">
        <v>65.9802105688388</v>
      </c>
      <c r="H216" s="13">
        <v>2.1197894311611947</v>
      </c>
      <c r="I216" s="13">
        <f t="shared" si="2"/>
        <v>2.1197894311611947</v>
      </c>
      <c r="J216" s="13"/>
      <c r="K216" s="13"/>
      <c r="L216" s="13"/>
      <c r="M216" s="13"/>
      <c r="N216" s="13"/>
      <c r="O216" s="13"/>
      <c r="P216" s="13"/>
      <c r="Q216" s="13"/>
    </row>
    <row r="217" spans="1:17" ht="18" x14ac:dyDescent="0.35">
      <c r="A217" s="4">
        <v>216</v>
      </c>
      <c r="B217" s="4">
        <v>53.88</v>
      </c>
      <c r="C217" s="4">
        <v>53.53</v>
      </c>
      <c r="D217" s="4">
        <v>53.63</v>
      </c>
      <c r="F217" s="13">
        <v>190</v>
      </c>
      <c r="G217" s="13">
        <v>68.197560682671138</v>
      </c>
      <c r="H217" s="13">
        <v>1.4624393173288581</v>
      </c>
      <c r="I217" s="13">
        <f t="shared" si="2"/>
        <v>1.4624393173288581</v>
      </c>
      <c r="J217" s="13"/>
      <c r="K217" s="13"/>
      <c r="L217" s="13"/>
      <c r="M217" s="13"/>
      <c r="N217" s="13"/>
      <c r="O217" s="13"/>
      <c r="P217" s="13"/>
      <c r="Q217" s="13"/>
    </row>
    <row r="218" spans="1:17" ht="18" x14ac:dyDescent="0.35">
      <c r="A218" s="4">
        <v>217</v>
      </c>
      <c r="B218" s="4">
        <v>56.74</v>
      </c>
      <c r="C218" s="4">
        <v>53.88</v>
      </c>
      <c r="D218" s="4">
        <v>53.53</v>
      </c>
      <c r="F218" s="13">
        <v>191</v>
      </c>
      <c r="G218" s="13">
        <v>69.704611449203597</v>
      </c>
      <c r="H218" s="13">
        <v>-1.1946114492035917</v>
      </c>
      <c r="I218" s="13">
        <f t="shared" si="2"/>
        <v>1.1946114492035917</v>
      </c>
      <c r="J218" s="13"/>
      <c r="K218" s="13"/>
      <c r="L218" s="13"/>
      <c r="M218" s="13"/>
      <c r="N218" s="13"/>
      <c r="O218" s="13"/>
      <c r="P218" s="13"/>
      <c r="Q218" s="13"/>
    </row>
    <row r="219" spans="1:17" ht="18" x14ac:dyDescent="0.35">
      <c r="A219" s="4">
        <v>218</v>
      </c>
      <c r="B219" s="4">
        <v>56.12</v>
      </c>
      <c r="C219" s="4">
        <v>56.74</v>
      </c>
      <c r="D219" s="4">
        <v>53.88</v>
      </c>
      <c r="F219" s="13">
        <v>192</v>
      </c>
      <c r="G219" s="13">
        <v>68.354892030428829</v>
      </c>
      <c r="H219" s="13">
        <v>0.60510796957116497</v>
      </c>
      <c r="I219" s="13">
        <f t="shared" si="2"/>
        <v>0.60510796957116497</v>
      </c>
      <c r="J219" s="13"/>
      <c r="K219" s="13"/>
      <c r="L219" s="13"/>
      <c r="M219" s="13"/>
      <c r="N219" s="13"/>
      <c r="O219" s="13"/>
      <c r="P219" s="13"/>
      <c r="Q219" s="13"/>
    </row>
    <row r="220" spans="1:17" ht="18" x14ac:dyDescent="0.35">
      <c r="A220" s="4">
        <v>219</v>
      </c>
      <c r="B220" s="4">
        <v>56.35</v>
      </c>
      <c r="C220" s="4">
        <v>56.12</v>
      </c>
      <c r="D220" s="4">
        <v>56.74</v>
      </c>
      <c r="F220" s="13">
        <v>193</v>
      </c>
      <c r="G220" s="13">
        <v>68.926019770772996</v>
      </c>
      <c r="H220" s="13">
        <v>1.3539802292270053</v>
      </c>
      <c r="I220" s="13">
        <f t="shared" si="2"/>
        <v>1.3539802292270053</v>
      </c>
      <c r="J220" s="13"/>
      <c r="K220" s="13"/>
      <c r="L220" s="13"/>
      <c r="M220" s="13"/>
      <c r="N220" s="13"/>
      <c r="O220" s="13"/>
      <c r="P220" s="13"/>
      <c r="Q220" s="13"/>
    </row>
    <row r="221" spans="1:17" ht="18" x14ac:dyDescent="0.35">
      <c r="A221" s="4">
        <v>220</v>
      </c>
      <c r="B221" s="4">
        <v>57.81</v>
      </c>
      <c r="C221" s="4">
        <v>56.35</v>
      </c>
      <c r="D221" s="4">
        <v>56.12</v>
      </c>
      <c r="F221" s="13">
        <v>194</v>
      </c>
      <c r="G221" s="13">
        <v>70.296797226787746</v>
      </c>
      <c r="H221" s="13">
        <v>2.5432027732122577</v>
      </c>
      <c r="I221" s="13">
        <f t="shared" ref="I221:I284" si="3">ABS(H221)</f>
        <v>2.5432027732122577</v>
      </c>
      <c r="J221" s="13"/>
      <c r="K221" s="13"/>
      <c r="L221" s="13"/>
      <c r="M221" s="13"/>
      <c r="N221" s="13"/>
      <c r="O221" s="13"/>
      <c r="P221" s="13"/>
      <c r="Q221" s="13"/>
    </row>
    <row r="222" spans="1:17" ht="18" x14ac:dyDescent="0.35">
      <c r="A222" s="4">
        <v>221</v>
      </c>
      <c r="B222" s="4">
        <v>59.44</v>
      </c>
      <c r="C222" s="4">
        <v>57.81</v>
      </c>
      <c r="D222" s="4">
        <v>56.35</v>
      </c>
      <c r="F222" s="13">
        <v>195</v>
      </c>
      <c r="G222" s="13">
        <v>72.919649200912119</v>
      </c>
      <c r="H222" s="13">
        <v>2.2103507990878768</v>
      </c>
      <c r="I222" s="13">
        <f t="shared" si="3"/>
        <v>2.2103507990878768</v>
      </c>
      <c r="J222" s="13"/>
      <c r="K222" s="13"/>
      <c r="L222" s="13"/>
      <c r="M222" s="13"/>
      <c r="N222" s="13"/>
      <c r="O222" s="13"/>
      <c r="P222" s="13"/>
      <c r="Q222" s="13"/>
    </row>
    <row r="223" spans="1:17" ht="18" x14ac:dyDescent="0.35">
      <c r="A223" s="4">
        <v>222</v>
      </c>
      <c r="B223" s="4">
        <v>59.49</v>
      </c>
      <c r="C223" s="4">
        <v>59.44</v>
      </c>
      <c r="D223" s="4">
        <v>57.81</v>
      </c>
      <c r="F223" s="13">
        <v>196</v>
      </c>
      <c r="G223" s="13">
        <v>75.156016731279706</v>
      </c>
      <c r="H223" s="13">
        <v>-2.1960167312797125</v>
      </c>
      <c r="I223" s="13">
        <f t="shared" si="3"/>
        <v>2.1960167312797125</v>
      </c>
      <c r="J223" s="13"/>
      <c r="K223" s="13"/>
      <c r="L223" s="13"/>
      <c r="M223" s="13"/>
      <c r="N223" s="13"/>
      <c r="O223" s="13"/>
      <c r="P223" s="13"/>
      <c r="Q223" s="13"/>
    </row>
    <row r="224" spans="1:17" ht="18" x14ac:dyDescent="0.35">
      <c r="A224" s="4">
        <v>223</v>
      </c>
      <c r="B224" s="4">
        <v>62.36</v>
      </c>
      <c r="C224" s="4">
        <v>59.49</v>
      </c>
      <c r="D224" s="4">
        <v>59.44</v>
      </c>
      <c r="F224" s="13">
        <v>197</v>
      </c>
      <c r="G224" s="13">
        <v>72.661218623159925</v>
      </c>
      <c r="H224" s="13">
        <v>-2.4212186231599304</v>
      </c>
      <c r="I224" s="13">
        <f t="shared" si="3"/>
        <v>2.4212186231599304</v>
      </c>
      <c r="J224" s="13"/>
      <c r="K224" s="13"/>
      <c r="L224" s="13"/>
      <c r="M224" s="13"/>
      <c r="N224" s="13"/>
      <c r="O224" s="13"/>
      <c r="P224" s="13"/>
      <c r="Q224" s="13"/>
    </row>
    <row r="225" spans="1:17" ht="18" x14ac:dyDescent="0.35">
      <c r="A225" s="4">
        <v>224</v>
      </c>
      <c r="B225" s="4">
        <v>64.099999999999994</v>
      </c>
      <c r="C225" s="4">
        <v>62.36</v>
      </c>
      <c r="D225" s="4">
        <v>59.49</v>
      </c>
      <c r="F225" s="13">
        <v>198</v>
      </c>
      <c r="G225" s="13">
        <v>69.935570193661562</v>
      </c>
      <c r="H225" s="13">
        <v>-2.5055701936615549</v>
      </c>
      <c r="I225" s="13">
        <f t="shared" si="3"/>
        <v>2.5055701936615549</v>
      </c>
      <c r="J225" s="13"/>
      <c r="K225" s="13"/>
      <c r="L225" s="13"/>
      <c r="M225" s="13"/>
      <c r="N225" s="13"/>
      <c r="O225" s="13"/>
      <c r="P225" s="13"/>
      <c r="Q225" s="13"/>
    </row>
    <row r="226" spans="1:17" ht="18" x14ac:dyDescent="0.35">
      <c r="A226" s="4">
        <v>225</v>
      </c>
      <c r="B226" s="4">
        <v>63.8</v>
      </c>
      <c r="C226" s="4">
        <v>64.099999999999994</v>
      </c>
      <c r="D226" s="4">
        <v>62.36</v>
      </c>
      <c r="F226" s="13">
        <v>199</v>
      </c>
      <c r="G226" s="13">
        <v>67.157823640911104</v>
      </c>
      <c r="H226" s="13">
        <v>-2.097823640911102</v>
      </c>
      <c r="I226" s="13">
        <f t="shared" si="3"/>
        <v>2.097823640911102</v>
      </c>
      <c r="J226" s="13"/>
      <c r="K226" s="13"/>
      <c r="L226" s="13"/>
      <c r="M226" s="13"/>
      <c r="N226" s="13"/>
      <c r="O226" s="13"/>
      <c r="P226" s="13"/>
      <c r="Q226" s="13"/>
    </row>
    <row r="227" spans="1:17" ht="18" x14ac:dyDescent="0.35">
      <c r="A227" s="4">
        <v>226</v>
      </c>
      <c r="B227" s="4">
        <v>65.28</v>
      </c>
      <c r="C227" s="4">
        <v>63.8</v>
      </c>
      <c r="D227" s="4">
        <v>64.099999999999994</v>
      </c>
      <c r="F227" s="13">
        <v>200</v>
      </c>
      <c r="G227" s="13">
        <v>64.856119037545056</v>
      </c>
      <c r="H227" s="13">
        <v>-3.2861190375450562</v>
      </c>
      <c r="I227" s="13">
        <f t="shared" si="3"/>
        <v>3.2861190375450562</v>
      </c>
      <c r="J227" s="13"/>
      <c r="K227" s="13"/>
      <c r="L227" s="13"/>
      <c r="M227" s="13"/>
      <c r="N227" s="13"/>
      <c r="O227" s="13"/>
      <c r="P227" s="13"/>
      <c r="Q227" s="13"/>
    </row>
    <row r="228" spans="1:17" ht="18" x14ac:dyDescent="0.35">
      <c r="A228" s="4">
        <v>227</v>
      </c>
      <c r="B228" s="4">
        <v>62.9</v>
      </c>
      <c r="C228" s="4">
        <v>65.28</v>
      </c>
      <c r="D228" s="4">
        <v>63.8</v>
      </c>
      <c r="F228" s="13">
        <v>201</v>
      </c>
      <c r="G228" s="13">
        <v>61.325872266331608</v>
      </c>
      <c r="H228" s="13">
        <v>-4.4058722663316061</v>
      </c>
      <c r="I228" s="13">
        <f t="shared" si="3"/>
        <v>4.4058722663316061</v>
      </c>
      <c r="J228" s="13"/>
      <c r="K228" s="13"/>
      <c r="L228" s="13"/>
      <c r="M228" s="13"/>
      <c r="N228" s="13"/>
      <c r="O228" s="13"/>
      <c r="P228" s="13"/>
      <c r="Q228" s="13"/>
    </row>
    <row r="229" spans="1:17" ht="18" x14ac:dyDescent="0.35">
      <c r="A229" s="4">
        <v>228</v>
      </c>
      <c r="B229" s="4">
        <v>61.81</v>
      </c>
      <c r="C229" s="4">
        <v>62.9</v>
      </c>
      <c r="D229" s="4">
        <v>65.28</v>
      </c>
      <c r="F229" s="13">
        <v>202</v>
      </c>
      <c r="G229" s="13">
        <v>56.648713322325413</v>
      </c>
      <c r="H229" s="13">
        <v>-1.6587133223254114</v>
      </c>
      <c r="I229" s="13">
        <f t="shared" si="3"/>
        <v>1.6587133223254114</v>
      </c>
      <c r="J229" s="13"/>
      <c r="K229" s="13"/>
      <c r="L229" s="13"/>
      <c r="M229" s="13"/>
      <c r="N229" s="13"/>
      <c r="O229" s="13"/>
      <c r="P229" s="13"/>
      <c r="Q229" s="13"/>
    </row>
    <row r="230" spans="1:17" ht="18" x14ac:dyDescent="0.35">
      <c r="A230" s="4">
        <v>229</v>
      </c>
      <c r="B230" s="4">
        <v>62.1</v>
      </c>
      <c r="C230" s="4">
        <v>61.81</v>
      </c>
      <c r="D230" s="4">
        <v>62.9</v>
      </c>
      <c r="F230" s="13">
        <v>203</v>
      </c>
      <c r="G230" s="13">
        <v>54.962439121458253</v>
      </c>
      <c r="H230" s="13">
        <v>-3.952439121458255</v>
      </c>
      <c r="I230" s="13">
        <f t="shared" si="3"/>
        <v>3.952439121458255</v>
      </c>
      <c r="J230" s="13"/>
      <c r="K230" s="13"/>
      <c r="L230" s="13"/>
      <c r="M230" s="13"/>
      <c r="N230" s="13"/>
      <c r="O230" s="13"/>
      <c r="P230" s="13"/>
      <c r="Q230" s="13"/>
    </row>
    <row r="231" spans="1:17" ht="18" x14ac:dyDescent="0.35">
      <c r="A231" s="4">
        <v>230</v>
      </c>
      <c r="B231" s="4">
        <v>60.72</v>
      </c>
      <c r="C231" s="4">
        <v>62.1</v>
      </c>
      <c r="D231" s="4">
        <v>61.81</v>
      </c>
      <c r="F231" s="13">
        <v>204</v>
      </c>
      <c r="G231" s="13">
        <v>50.874991642013953</v>
      </c>
      <c r="H231" s="13">
        <v>1.7550083579860498</v>
      </c>
      <c r="I231" s="13">
        <f t="shared" si="3"/>
        <v>1.7550083579860498</v>
      </c>
      <c r="J231" s="13"/>
      <c r="K231" s="13"/>
      <c r="L231" s="13"/>
      <c r="M231" s="13"/>
      <c r="N231" s="13"/>
      <c r="O231" s="13"/>
      <c r="P231" s="13"/>
      <c r="Q231" s="13"/>
    </row>
    <row r="232" spans="1:17" ht="18" x14ac:dyDescent="0.35">
      <c r="A232" s="4">
        <v>231</v>
      </c>
      <c r="B232" s="4">
        <v>56.93</v>
      </c>
      <c r="C232" s="4">
        <v>60.72</v>
      </c>
      <c r="D232" s="4">
        <v>62.1</v>
      </c>
      <c r="F232" s="13">
        <v>205</v>
      </c>
      <c r="G232" s="13">
        <v>52.918307420111113</v>
      </c>
      <c r="H232" s="13">
        <v>-1.3783074201111134</v>
      </c>
      <c r="I232" s="13">
        <f t="shared" si="3"/>
        <v>1.3783074201111134</v>
      </c>
      <c r="J232" s="13"/>
      <c r="K232" s="13"/>
      <c r="L232" s="13"/>
      <c r="M232" s="13"/>
      <c r="N232" s="13"/>
      <c r="O232" s="13"/>
      <c r="P232" s="13"/>
      <c r="Q232" s="13"/>
    </row>
    <row r="233" spans="1:17" ht="18" x14ac:dyDescent="0.35">
      <c r="A233" s="4">
        <v>232</v>
      </c>
      <c r="B233" s="4">
        <v>52.97</v>
      </c>
      <c r="C233" s="4">
        <v>56.93</v>
      </c>
      <c r="D233" s="4">
        <v>60.72</v>
      </c>
      <c r="F233" s="13">
        <v>206</v>
      </c>
      <c r="G233" s="13">
        <v>51.627746250526371</v>
      </c>
      <c r="H233" s="13">
        <v>-4.6477462505263745</v>
      </c>
      <c r="I233" s="13">
        <f t="shared" si="3"/>
        <v>4.6477462505263745</v>
      </c>
      <c r="J233" s="13"/>
      <c r="K233" s="13"/>
      <c r="L233" s="13"/>
      <c r="M233" s="13"/>
      <c r="N233" s="13"/>
      <c r="O233" s="13"/>
      <c r="P233" s="13"/>
      <c r="Q233" s="13"/>
    </row>
    <row r="234" spans="1:17" ht="18" x14ac:dyDescent="0.35">
      <c r="A234" s="4">
        <v>233</v>
      </c>
      <c r="B234" s="4">
        <v>52.52</v>
      </c>
      <c r="C234" s="4">
        <v>52.97</v>
      </c>
      <c r="D234" s="4">
        <v>56.93</v>
      </c>
      <c r="F234" s="13">
        <v>207</v>
      </c>
      <c r="G234" s="13">
        <v>46.855331922194118</v>
      </c>
      <c r="H234" s="13">
        <v>-1.6353319221941192</v>
      </c>
      <c r="I234" s="13">
        <f t="shared" si="3"/>
        <v>1.6353319221941192</v>
      </c>
      <c r="J234" s="13"/>
      <c r="K234" s="13"/>
      <c r="L234" s="13"/>
      <c r="M234" s="13"/>
      <c r="N234" s="13"/>
      <c r="O234" s="13"/>
      <c r="P234" s="13"/>
      <c r="Q234" s="13"/>
    </row>
    <row r="235" spans="1:17" ht="18" x14ac:dyDescent="0.35">
      <c r="A235" s="4">
        <v>234</v>
      </c>
      <c r="B235" s="4">
        <v>54.75</v>
      </c>
      <c r="C235" s="4">
        <v>52.52</v>
      </c>
      <c r="D235" s="4">
        <v>52.97</v>
      </c>
      <c r="F235" s="13">
        <v>208</v>
      </c>
      <c r="G235" s="13">
        <v>45.343044804269674</v>
      </c>
      <c r="H235" s="13">
        <v>1.6569551957303261</v>
      </c>
      <c r="I235" s="13">
        <f t="shared" si="3"/>
        <v>1.6569551957303261</v>
      </c>
      <c r="J235" s="13"/>
      <c r="K235" s="13"/>
      <c r="L235" s="13"/>
      <c r="M235" s="13"/>
      <c r="N235" s="13"/>
      <c r="O235" s="13"/>
      <c r="P235" s="13"/>
      <c r="Q235" s="13"/>
    </row>
    <row r="236" spans="1:17" ht="18" x14ac:dyDescent="0.35">
      <c r="A236" s="4">
        <v>235</v>
      </c>
      <c r="B236" s="4">
        <v>58.38</v>
      </c>
      <c r="C236" s="4">
        <v>54.75</v>
      </c>
      <c r="D236" s="4">
        <v>52.52</v>
      </c>
      <c r="F236" s="13">
        <v>209</v>
      </c>
      <c r="G236" s="13">
        <v>47.380035791588355</v>
      </c>
      <c r="H236" s="13">
        <v>3.3999642084116459</v>
      </c>
      <c r="I236" s="13">
        <f t="shared" si="3"/>
        <v>3.3999642084116459</v>
      </c>
      <c r="J236" s="13"/>
      <c r="K236" s="13"/>
      <c r="L236" s="13"/>
      <c r="M236" s="13"/>
      <c r="N236" s="13"/>
      <c r="O236" s="13"/>
      <c r="P236" s="13"/>
      <c r="Q236" s="13"/>
    </row>
    <row r="237" spans="1:17" ht="18" x14ac:dyDescent="0.35">
      <c r="A237" s="4">
        <v>236</v>
      </c>
      <c r="B237" s="4">
        <v>57.32</v>
      </c>
      <c r="C237" s="4">
        <v>58.38</v>
      </c>
      <c r="D237" s="4">
        <v>54.75</v>
      </c>
      <c r="F237" s="13">
        <v>210</v>
      </c>
      <c r="G237" s="13">
        <v>51.266306579834037</v>
      </c>
      <c r="H237" s="13">
        <v>0.65369342016596477</v>
      </c>
      <c r="I237" s="13">
        <f t="shared" si="3"/>
        <v>0.65369342016596477</v>
      </c>
      <c r="J237" s="13"/>
      <c r="K237" s="13"/>
      <c r="L237" s="13"/>
      <c r="M237" s="13"/>
      <c r="N237" s="13"/>
      <c r="O237" s="13"/>
      <c r="P237" s="13"/>
      <c r="Q237" s="13"/>
    </row>
    <row r="238" spans="1:17" ht="18" x14ac:dyDescent="0.35">
      <c r="A238" s="4">
        <v>237</v>
      </c>
      <c r="B238" s="4">
        <v>59.02</v>
      </c>
      <c r="C238" s="4">
        <v>57.32</v>
      </c>
      <c r="D238" s="4">
        <v>58.38</v>
      </c>
      <c r="F238" s="13">
        <v>211</v>
      </c>
      <c r="G238" s="13">
        <v>52.180035876603391</v>
      </c>
      <c r="H238" s="13">
        <v>0.69996412339661163</v>
      </c>
      <c r="I238" s="13">
        <f t="shared" si="3"/>
        <v>0.69996412339661163</v>
      </c>
      <c r="J238" s="13"/>
      <c r="K238" s="13"/>
      <c r="L238" s="13"/>
      <c r="M238" s="13"/>
      <c r="N238" s="13"/>
      <c r="O238" s="13"/>
      <c r="P238" s="13"/>
      <c r="Q238" s="13"/>
    </row>
    <row r="239" spans="1:17" ht="18" x14ac:dyDescent="0.35">
      <c r="A239" s="4">
        <v>238</v>
      </c>
      <c r="B239" s="4">
        <v>56.74</v>
      </c>
      <c r="C239" s="4">
        <v>59.02</v>
      </c>
      <c r="D239" s="4">
        <v>57.32</v>
      </c>
      <c r="F239" s="13">
        <v>212</v>
      </c>
      <c r="G239" s="13">
        <v>53.112230765609269</v>
      </c>
      <c r="H239" s="13">
        <v>0.51776923439073386</v>
      </c>
      <c r="I239" s="13">
        <f t="shared" si="3"/>
        <v>0.51776923439073386</v>
      </c>
      <c r="J239" s="13"/>
      <c r="K239" s="13"/>
      <c r="L239" s="13"/>
      <c r="M239" s="13"/>
      <c r="N239" s="13"/>
      <c r="O239" s="13"/>
      <c r="P239" s="13"/>
      <c r="Q239" s="13"/>
    </row>
    <row r="240" spans="1:17" ht="18" x14ac:dyDescent="0.35">
      <c r="A240" s="4">
        <v>239</v>
      </c>
      <c r="B240" s="4">
        <v>56.05</v>
      </c>
      <c r="C240" s="4">
        <v>56.74</v>
      </c>
      <c r="D240" s="4">
        <v>59.02</v>
      </c>
      <c r="F240" s="13">
        <v>213</v>
      </c>
      <c r="G240" s="13">
        <v>53.834982266110927</v>
      </c>
      <c r="H240" s="13">
        <v>-0.30498226611092605</v>
      </c>
      <c r="I240" s="13">
        <f t="shared" si="3"/>
        <v>0.30498226611092605</v>
      </c>
      <c r="J240" s="13"/>
      <c r="K240" s="13"/>
      <c r="L240" s="13"/>
      <c r="M240" s="13"/>
      <c r="N240" s="13"/>
      <c r="O240" s="13"/>
      <c r="P240" s="13"/>
      <c r="Q240" s="13"/>
    </row>
    <row r="241" spans="1:17" ht="18" x14ac:dyDescent="0.35">
      <c r="A241" s="4">
        <v>240</v>
      </c>
      <c r="B241" s="4">
        <v>56.55</v>
      </c>
      <c r="C241" s="4">
        <v>56.05</v>
      </c>
      <c r="D241" s="4">
        <v>56.74</v>
      </c>
      <c r="F241" s="13">
        <v>214</v>
      </c>
      <c r="G241" s="13">
        <v>53.668682221186224</v>
      </c>
      <c r="H241" s="13">
        <v>0.211317778813779</v>
      </c>
      <c r="I241" s="13">
        <f t="shared" si="3"/>
        <v>0.211317778813779</v>
      </c>
      <c r="J241" s="13"/>
      <c r="K241" s="13"/>
      <c r="L241" s="13"/>
      <c r="M241" s="13"/>
      <c r="N241" s="13"/>
      <c r="O241" s="13"/>
      <c r="P241" s="13"/>
      <c r="Q241" s="13"/>
    </row>
    <row r="242" spans="1:17" ht="18" x14ac:dyDescent="0.35">
      <c r="A242" s="4">
        <v>241</v>
      </c>
      <c r="B242" s="4">
        <v>53.28</v>
      </c>
      <c r="C242" s="4">
        <v>56.55</v>
      </c>
      <c r="D242" s="4">
        <v>56.05</v>
      </c>
      <c r="F242" s="13">
        <v>215</v>
      </c>
      <c r="G242" s="13">
        <v>54.049614753214655</v>
      </c>
      <c r="H242" s="13">
        <v>2.6903852467853469</v>
      </c>
      <c r="I242" s="13">
        <f t="shared" si="3"/>
        <v>2.6903852467853469</v>
      </c>
      <c r="J242" s="13"/>
      <c r="K242" s="13"/>
      <c r="L242" s="13"/>
      <c r="M242" s="13"/>
      <c r="N242" s="13"/>
      <c r="O242" s="13"/>
      <c r="P242" s="13"/>
      <c r="Q242" s="13"/>
    </row>
    <row r="243" spans="1:17" ht="18" x14ac:dyDescent="0.35">
      <c r="A243" s="4">
        <v>242</v>
      </c>
      <c r="B243" s="4">
        <v>55.31</v>
      </c>
      <c r="C243" s="4">
        <v>53.28</v>
      </c>
      <c r="D243" s="4">
        <v>56.55</v>
      </c>
      <c r="F243" s="13">
        <v>216</v>
      </c>
      <c r="G243" s="13">
        <v>57.069414164977971</v>
      </c>
      <c r="H243" s="13">
        <v>-0.94941416497797348</v>
      </c>
      <c r="I243" s="13">
        <f t="shared" si="3"/>
        <v>0.94941416497797348</v>
      </c>
      <c r="J243" s="13"/>
      <c r="K243" s="13"/>
      <c r="L243" s="13"/>
      <c r="M243" s="13"/>
      <c r="N243" s="13"/>
      <c r="O243" s="13"/>
      <c r="P243" s="13"/>
      <c r="Q243" s="13"/>
    </row>
    <row r="244" spans="1:17" ht="18" x14ac:dyDescent="0.35">
      <c r="A244" s="4">
        <v>243</v>
      </c>
      <c r="B244" s="4">
        <v>55.5</v>
      </c>
      <c r="C244" s="4">
        <v>55.31</v>
      </c>
      <c r="D244" s="4">
        <v>53.28</v>
      </c>
      <c r="F244" s="13">
        <v>217</v>
      </c>
      <c r="G244" s="13">
        <v>56.180928361344776</v>
      </c>
      <c r="H244" s="13">
        <v>0.16907163865522534</v>
      </c>
      <c r="I244" s="13">
        <f t="shared" si="3"/>
        <v>0.16907163865522534</v>
      </c>
      <c r="J244" s="13"/>
      <c r="K244" s="13"/>
      <c r="L244" s="13"/>
      <c r="M244" s="13"/>
      <c r="N244" s="13"/>
      <c r="O244" s="13"/>
      <c r="P244" s="13"/>
      <c r="Q244" s="13"/>
    </row>
    <row r="245" spans="1:17" ht="18" x14ac:dyDescent="0.35">
      <c r="A245" s="4">
        <v>244</v>
      </c>
      <c r="B245" s="4">
        <v>55.21</v>
      </c>
      <c r="C245" s="4">
        <v>55.5</v>
      </c>
      <c r="D245" s="4">
        <v>55.31</v>
      </c>
      <c r="F245" s="13">
        <v>218</v>
      </c>
      <c r="G245" s="13">
        <v>56.475404612847882</v>
      </c>
      <c r="H245" s="13">
        <v>1.3345953871521203</v>
      </c>
      <c r="I245" s="13">
        <f t="shared" si="3"/>
        <v>1.3345953871521203</v>
      </c>
      <c r="J245" s="13"/>
      <c r="K245" s="13"/>
      <c r="L245" s="13"/>
      <c r="M245" s="13"/>
      <c r="N245" s="13"/>
      <c r="O245" s="13"/>
      <c r="P245" s="13"/>
      <c r="Q245" s="13"/>
    </row>
    <row r="246" spans="1:17" ht="18" x14ac:dyDescent="0.35">
      <c r="A246" s="4">
        <v>245</v>
      </c>
      <c r="B246" s="4">
        <v>55.73</v>
      </c>
      <c r="C246" s="4">
        <v>55.21</v>
      </c>
      <c r="D246" s="4">
        <v>55.5</v>
      </c>
      <c r="F246" s="13">
        <v>219</v>
      </c>
      <c r="G246" s="13">
        <v>58.012892179708636</v>
      </c>
      <c r="H246" s="13">
        <v>1.4271078202913614</v>
      </c>
      <c r="I246" s="13">
        <f t="shared" si="3"/>
        <v>1.4271078202913614</v>
      </c>
      <c r="J246" s="13"/>
      <c r="K246" s="13"/>
      <c r="L246" s="13"/>
      <c r="M246" s="13"/>
      <c r="N246" s="13"/>
      <c r="O246" s="13"/>
      <c r="P246" s="13"/>
      <c r="Q246" s="13"/>
    </row>
    <row r="247" spans="1:17" ht="18" x14ac:dyDescent="0.35">
      <c r="A247" s="4">
        <v>246</v>
      </c>
      <c r="B247" s="4">
        <v>56.16</v>
      </c>
      <c r="C247" s="4">
        <v>55.73</v>
      </c>
      <c r="D247" s="4">
        <v>55.21</v>
      </c>
      <c r="F247" s="13">
        <v>220</v>
      </c>
      <c r="G247" s="13">
        <v>59.633565208626095</v>
      </c>
      <c r="H247" s="13">
        <v>-0.14356520862609301</v>
      </c>
      <c r="I247" s="13">
        <f t="shared" si="3"/>
        <v>0.14356520862609301</v>
      </c>
      <c r="J247" s="13"/>
      <c r="K247" s="13"/>
      <c r="L247" s="13"/>
      <c r="M247" s="13"/>
      <c r="N247" s="13"/>
      <c r="O247" s="13"/>
      <c r="P247" s="13"/>
      <c r="Q247" s="13"/>
    </row>
    <row r="248" spans="1:17" ht="18" x14ac:dyDescent="0.35">
      <c r="A248" s="4">
        <v>247</v>
      </c>
      <c r="B248" s="4">
        <v>59.33</v>
      </c>
      <c r="C248" s="4">
        <v>56.16</v>
      </c>
      <c r="D248" s="4">
        <v>55.73</v>
      </c>
      <c r="F248" s="13">
        <v>221</v>
      </c>
      <c r="G248" s="13">
        <v>59.557015889091588</v>
      </c>
      <c r="H248" s="13">
        <v>2.8029841109084117</v>
      </c>
      <c r="I248" s="13">
        <f t="shared" si="3"/>
        <v>2.8029841109084117</v>
      </c>
      <c r="J248" s="13"/>
      <c r="K248" s="13"/>
      <c r="L248" s="13"/>
      <c r="M248" s="13"/>
      <c r="N248" s="13"/>
      <c r="O248" s="13"/>
      <c r="P248" s="13"/>
      <c r="Q248" s="13"/>
    </row>
    <row r="249" spans="1:17" ht="18" x14ac:dyDescent="0.35">
      <c r="A249" s="4">
        <v>248</v>
      </c>
      <c r="B249" s="4">
        <v>56.9</v>
      </c>
      <c r="C249" s="4">
        <v>59.33</v>
      </c>
      <c r="D249" s="4">
        <v>56.16</v>
      </c>
      <c r="F249" s="13">
        <v>222</v>
      </c>
      <c r="G249" s="13">
        <v>62.611366677890658</v>
      </c>
      <c r="H249" s="13">
        <v>1.4886333221093366</v>
      </c>
      <c r="I249" s="13">
        <f t="shared" si="3"/>
        <v>1.4886333221093366</v>
      </c>
      <c r="J249" s="13"/>
      <c r="K249" s="13"/>
      <c r="L249" s="13"/>
      <c r="M249" s="13"/>
      <c r="N249" s="13"/>
      <c r="O249" s="13"/>
      <c r="P249" s="13"/>
      <c r="Q249" s="13"/>
    </row>
    <row r="250" spans="1:17" ht="18" x14ac:dyDescent="0.35">
      <c r="A250" s="4">
        <v>249</v>
      </c>
      <c r="B250" s="4">
        <v>53.12</v>
      </c>
      <c r="C250" s="4">
        <v>56.9</v>
      </c>
      <c r="D250" s="4">
        <v>59.33</v>
      </c>
      <c r="F250" s="13">
        <v>223</v>
      </c>
      <c r="G250" s="13">
        <v>64.236950788961948</v>
      </c>
      <c r="H250" s="13">
        <v>-0.43695078896195128</v>
      </c>
      <c r="I250" s="13">
        <f t="shared" si="3"/>
        <v>0.43695078896195128</v>
      </c>
      <c r="J250" s="13"/>
      <c r="K250" s="13"/>
      <c r="L250" s="13"/>
      <c r="M250" s="13"/>
      <c r="N250" s="13"/>
      <c r="O250" s="13"/>
      <c r="P250" s="13"/>
      <c r="Q250" s="13"/>
    </row>
    <row r="251" spans="1:17" ht="18" x14ac:dyDescent="0.35">
      <c r="A251" s="4">
        <v>250</v>
      </c>
      <c r="B251" s="4">
        <v>53.27</v>
      </c>
      <c r="C251" s="4">
        <v>53.12</v>
      </c>
      <c r="D251" s="4">
        <v>56.9</v>
      </c>
      <c r="F251" s="13">
        <v>224</v>
      </c>
      <c r="G251" s="13">
        <v>63.778672431952629</v>
      </c>
      <c r="H251" s="13">
        <v>1.5013275680473726</v>
      </c>
      <c r="I251" s="13">
        <f t="shared" si="3"/>
        <v>1.5013275680473726</v>
      </c>
      <c r="J251" s="13"/>
      <c r="K251" s="13"/>
      <c r="L251" s="13"/>
      <c r="M251" s="13"/>
      <c r="N251" s="13"/>
      <c r="O251" s="13"/>
      <c r="P251" s="13"/>
      <c r="Q251" s="13"/>
    </row>
    <row r="252" spans="1:17" ht="18" x14ac:dyDescent="0.35">
      <c r="A252" s="4">
        <v>251</v>
      </c>
      <c r="B252" s="4">
        <v>53.49</v>
      </c>
      <c r="C252" s="4">
        <v>53.27</v>
      </c>
      <c r="D252" s="4">
        <v>53.12</v>
      </c>
      <c r="F252" s="13">
        <v>225</v>
      </c>
      <c r="G252" s="13">
        <v>65.379687214760338</v>
      </c>
      <c r="H252" s="13">
        <v>-2.4796872147603395</v>
      </c>
      <c r="I252" s="13">
        <f t="shared" si="3"/>
        <v>2.4796872147603395</v>
      </c>
      <c r="J252" s="13"/>
      <c r="K252" s="13"/>
      <c r="L252" s="13"/>
      <c r="M252" s="13"/>
      <c r="N252" s="13"/>
      <c r="O252" s="13"/>
      <c r="P252" s="13"/>
      <c r="Q252" s="13"/>
    </row>
    <row r="253" spans="1:17" ht="18" x14ac:dyDescent="0.35">
      <c r="A253" s="4">
        <v>252</v>
      </c>
      <c r="B253" s="4">
        <v>55.2</v>
      </c>
      <c r="C253" s="4">
        <v>53.49</v>
      </c>
      <c r="D253" s="4">
        <v>53.27</v>
      </c>
      <c r="F253" s="13">
        <v>226</v>
      </c>
      <c r="G253" s="13">
        <v>62.725625561257544</v>
      </c>
      <c r="H253" s="13">
        <v>-0.91562556125754213</v>
      </c>
      <c r="I253" s="13">
        <f t="shared" si="3"/>
        <v>0.91562556125754213</v>
      </c>
      <c r="J253" s="13"/>
      <c r="K253" s="13"/>
      <c r="L253" s="13"/>
      <c r="M253" s="13"/>
      <c r="N253" s="13"/>
      <c r="O253" s="13"/>
      <c r="P253" s="13"/>
      <c r="Q253" s="13"/>
    </row>
    <row r="254" spans="1:17" ht="18" x14ac:dyDescent="0.35">
      <c r="A254" s="4">
        <v>253</v>
      </c>
      <c r="B254" s="4">
        <v>55.17</v>
      </c>
      <c r="C254" s="4">
        <v>55.2</v>
      </c>
      <c r="D254" s="4">
        <v>53.49</v>
      </c>
      <c r="F254" s="13">
        <v>227</v>
      </c>
      <c r="G254" s="13">
        <v>61.753666570220162</v>
      </c>
      <c r="H254" s="13">
        <v>0.34633342977983972</v>
      </c>
      <c r="I254" s="13">
        <f t="shared" si="3"/>
        <v>0.34633342977983972</v>
      </c>
      <c r="J254" s="13"/>
      <c r="K254" s="13"/>
      <c r="L254" s="13"/>
      <c r="M254" s="13"/>
      <c r="N254" s="13"/>
      <c r="O254" s="13"/>
      <c r="P254" s="13"/>
      <c r="Q254" s="13"/>
    </row>
    <row r="255" spans="1:17" ht="18" x14ac:dyDescent="0.35">
      <c r="A255" s="4">
        <v>254</v>
      </c>
      <c r="B255" s="4">
        <v>56.69</v>
      </c>
      <c r="C255" s="4">
        <v>55.17</v>
      </c>
      <c r="D255" s="4">
        <v>55.2</v>
      </c>
      <c r="F255" s="13">
        <v>228</v>
      </c>
      <c r="G255" s="13">
        <v>62.149515859570805</v>
      </c>
      <c r="H255" s="13">
        <v>-1.429515859570806</v>
      </c>
      <c r="I255" s="13">
        <f t="shared" si="3"/>
        <v>1.429515859570806</v>
      </c>
      <c r="J255" s="13"/>
      <c r="K255" s="13"/>
      <c r="L255" s="13"/>
      <c r="M255" s="13"/>
      <c r="N255" s="13"/>
      <c r="O255" s="13"/>
      <c r="P255" s="13"/>
      <c r="Q255" s="13"/>
    </row>
    <row r="256" spans="1:17" ht="18" x14ac:dyDescent="0.35">
      <c r="A256" s="4">
        <v>255</v>
      </c>
      <c r="B256" s="4">
        <v>56.85</v>
      </c>
      <c r="C256" s="4">
        <v>56.69</v>
      </c>
      <c r="D256" s="4">
        <v>55.17</v>
      </c>
      <c r="F256" s="13">
        <v>229</v>
      </c>
      <c r="G256" s="13">
        <v>60.655859718656558</v>
      </c>
      <c r="H256" s="13">
        <v>-3.7258597186565581</v>
      </c>
      <c r="I256" s="13">
        <f t="shared" si="3"/>
        <v>3.7258597186565581</v>
      </c>
      <c r="J256" s="13"/>
      <c r="K256" s="13"/>
      <c r="L256" s="13"/>
      <c r="M256" s="13"/>
      <c r="N256" s="13"/>
      <c r="O256" s="13"/>
      <c r="P256" s="13"/>
      <c r="Q256" s="13"/>
    </row>
    <row r="257" spans="1:17" ht="18" x14ac:dyDescent="0.35">
      <c r="A257" s="4">
        <v>256</v>
      </c>
      <c r="B257" s="4">
        <v>56.9</v>
      </c>
      <c r="C257" s="4">
        <v>56.85</v>
      </c>
      <c r="D257" s="4">
        <v>56.69</v>
      </c>
      <c r="F257" s="13">
        <v>230</v>
      </c>
      <c r="G257" s="13">
        <v>56.727072498911426</v>
      </c>
      <c r="H257" s="13">
        <v>-3.7570724989114268</v>
      </c>
      <c r="I257" s="13">
        <f t="shared" si="3"/>
        <v>3.7570724989114268</v>
      </c>
      <c r="J257" s="13"/>
      <c r="K257" s="13"/>
      <c r="L257" s="13"/>
      <c r="M257" s="13"/>
      <c r="N257" s="13"/>
      <c r="O257" s="13"/>
      <c r="P257" s="13"/>
      <c r="Q257" s="13"/>
    </row>
    <row r="258" spans="1:17" ht="18" x14ac:dyDescent="0.35">
      <c r="A258" s="4">
        <v>257</v>
      </c>
      <c r="B258" s="4">
        <v>58.07</v>
      </c>
      <c r="C258" s="4">
        <v>56.9</v>
      </c>
      <c r="D258" s="4">
        <v>56.85</v>
      </c>
      <c r="F258" s="13">
        <v>231</v>
      </c>
      <c r="G258" s="13">
        <v>52.809087459781068</v>
      </c>
      <c r="H258" s="13">
        <v>-0.28908745978106509</v>
      </c>
      <c r="I258" s="13">
        <f t="shared" si="3"/>
        <v>0.28908745978106509</v>
      </c>
      <c r="J258" s="13"/>
      <c r="K258" s="13"/>
      <c r="L258" s="13"/>
      <c r="M258" s="13"/>
      <c r="N258" s="13"/>
      <c r="O258" s="13"/>
      <c r="P258" s="13"/>
      <c r="Q258" s="13"/>
    </row>
    <row r="259" spans="1:17" ht="18" x14ac:dyDescent="0.35">
      <c r="A259" s="4">
        <v>258</v>
      </c>
      <c r="B259" s="4">
        <v>57.64</v>
      </c>
      <c r="C259" s="4">
        <v>58.07</v>
      </c>
      <c r="D259" s="4">
        <v>56.9</v>
      </c>
      <c r="F259" s="13">
        <v>232</v>
      </c>
      <c r="G259" s="13">
        <v>52.644974002531136</v>
      </c>
      <c r="H259" s="13">
        <v>2.1050259974688643</v>
      </c>
      <c r="I259" s="13">
        <f t="shared" si="3"/>
        <v>2.1050259974688643</v>
      </c>
      <c r="J259" s="13"/>
      <c r="K259" s="13"/>
      <c r="L259" s="13"/>
      <c r="M259" s="13"/>
      <c r="N259" s="13"/>
      <c r="O259" s="13"/>
      <c r="P259" s="13"/>
      <c r="Q259" s="13"/>
    </row>
    <row r="260" spans="1:17" ht="18" x14ac:dyDescent="0.35">
      <c r="A260" s="4">
        <v>259</v>
      </c>
      <c r="B260" s="4">
        <v>59.25</v>
      </c>
      <c r="C260" s="4">
        <v>57.64</v>
      </c>
      <c r="D260" s="4">
        <v>58.07</v>
      </c>
      <c r="F260" s="13">
        <v>233</v>
      </c>
      <c r="G260" s="13">
        <v>55.057152390387373</v>
      </c>
      <c r="H260" s="13">
        <v>3.32284760961263</v>
      </c>
      <c r="I260" s="13">
        <f t="shared" si="3"/>
        <v>3.32284760961263</v>
      </c>
      <c r="J260" s="13"/>
      <c r="K260" s="13"/>
      <c r="L260" s="13"/>
      <c r="M260" s="13"/>
      <c r="N260" s="13"/>
      <c r="O260" s="13"/>
      <c r="P260" s="13"/>
      <c r="Q260" s="13"/>
    </row>
    <row r="261" spans="1:17" ht="18" x14ac:dyDescent="0.35">
      <c r="A261" s="4">
        <v>260</v>
      </c>
      <c r="B261" s="4">
        <v>60.75</v>
      </c>
      <c r="C261" s="4">
        <v>59.25</v>
      </c>
      <c r="D261" s="4">
        <v>57.64</v>
      </c>
      <c r="F261" s="13">
        <v>234</v>
      </c>
      <c r="G261" s="13">
        <v>58.747737228875877</v>
      </c>
      <c r="H261" s="13">
        <v>-1.427737228875877</v>
      </c>
      <c r="I261" s="13">
        <f t="shared" si="3"/>
        <v>1.427737228875877</v>
      </c>
      <c r="J261" s="13"/>
      <c r="K261" s="13"/>
      <c r="L261" s="13"/>
      <c r="M261" s="13"/>
      <c r="N261" s="13"/>
      <c r="O261" s="13"/>
      <c r="P261" s="13"/>
      <c r="Q261" s="13"/>
    </row>
    <row r="262" spans="1:17" ht="18" x14ac:dyDescent="0.35">
      <c r="A262" s="4">
        <v>261</v>
      </c>
      <c r="B262" s="4">
        <v>61.29</v>
      </c>
      <c r="C262" s="4">
        <v>60.75</v>
      </c>
      <c r="D262" s="4">
        <v>59.25</v>
      </c>
      <c r="F262" s="13">
        <v>235</v>
      </c>
      <c r="G262" s="13">
        <v>57.329047105505204</v>
      </c>
      <c r="H262" s="13">
        <v>1.6909528944947994</v>
      </c>
      <c r="I262" s="13">
        <f t="shared" si="3"/>
        <v>1.6909528944947994</v>
      </c>
      <c r="J262" s="13"/>
      <c r="K262" s="13"/>
      <c r="L262" s="13"/>
      <c r="M262" s="13"/>
      <c r="N262" s="13"/>
      <c r="O262" s="13"/>
      <c r="P262" s="13"/>
      <c r="Q262" s="13"/>
    </row>
    <row r="263" spans="1:17" ht="18" x14ac:dyDescent="0.35">
      <c r="A263" s="4">
        <v>262</v>
      </c>
      <c r="B263" s="4">
        <v>62.09</v>
      </c>
      <c r="C263" s="4">
        <v>61.29</v>
      </c>
      <c r="D263" s="4">
        <v>60.75</v>
      </c>
      <c r="F263" s="13">
        <v>236</v>
      </c>
      <c r="G263" s="13">
        <v>59.225033002420453</v>
      </c>
      <c r="H263" s="13">
        <v>-2.485033002420451</v>
      </c>
      <c r="I263" s="13">
        <f t="shared" si="3"/>
        <v>2.485033002420451</v>
      </c>
      <c r="J263" s="13"/>
      <c r="K263" s="13"/>
      <c r="L263" s="13"/>
      <c r="M263" s="13"/>
      <c r="N263" s="13"/>
      <c r="O263" s="13"/>
      <c r="P263" s="13"/>
      <c r="Q263" s="13"/>
    </row>
    <row r="264" spans="1:17" ht="18" x14ac:dyDescent="0.35">
      <c r="A264" s="4">
        <v>263</v>
      </c>
      <c r="B264" s="4">
        <v>60.84</v>
      </c>
      <c r="C264" s="4">
        <v>62.09</v>
      </c>
      <c r="D264" s="4">
        <v>61.29</v>
      </c>
      <c r="F264" s="13">
        <v>237</v>
      </c>
      <c r="G264" s="13">
        <v>56.660010365544622</v>
      </c>
      <c r="H264" s="13">
        <v>-0.61001036554462473</v>
      </c>
      <c r="I264" s="13">
        <f t="shared" si="3"/>
        <v>0.61001036554462473</v>
      </c>
      <c r="J264" s="13"/>
      <c r="K264" s="13"/>
      <c r="L264" s="13"/>
      <c r="M264" s="13"/>
      <c r="N264" s="13"/>
      <c r="O264" s="13"/>
      <c r="P264" s="13"/>
      <c r="Q264" s="13"/>
    </row>
    <row r="265" spans="1:17" ht="18" x14ac:dyDescent="0.35">
      <c r="A265" s="4">
        <v>264</v>
      </c>
      <c r="B265" s="4">
        <v>58.29</v>
      </c>
      <c r="C265" s="4">
        <v>60.84</v>
      </c>
      <c r="D265" s="4">
        <v>62.09</v>
      </c>
      <c r="F265" s="13">
        <v>238</v>
      </c>
      <c r="G265" s="13">
        <v>56.106334865831826</v>
      </c>
      <c r="H265" s="13">
        <v>0.44366513416817099</v>
      </c>
      <c r="I265" s="13">
        <f t="shared" si="3"/>
        <v>0.44366513416817099</v>
      </c>
      <c r="J265" s="13"/>
      <c r="K265" s="13"/>
      <c r="L265" s="13"/>
      <c r="M265" s="13"/>
      <c r="N265" s="13"/>
      <c r="O265" s="13"/>
      <c r="P265" s="13"/>
      <c r="Q265" s="13"/>
    </row>
    <row r="266" spans="1:17" ht="18" x14ac:dyDescent="0.35">
      <c r="A266" s="4">
        <v>265</v>
      </c>
      <c r="B266" s="4">
        <v>56.15</v>
      </c>
      <c r="C266" s="4">
        <v>58.29</v>
      </c>
      <c r="D266" s="4">
        <v>60.84</v>
      </c>
      <c r="F266" s="13">
        <v>239</v>
      </c>
      <c r="G266" s="13">
        <v>56.694104423866591</v>
      </c>
      <c r="H266" s="13">
        <v>-3.4141044238665899</v>
      </c>
      <c r="I266" s="13">
        <f t="shared" si="3"/>
        <v>3.4141044238665899</v>
      </c>
      <c r="J266" s="13"/>
      <c r="K266" s="13"/>
      <c r="L266" s="13"/>
      <c r="M266" s="13"/>
      <c r="N266" s="13"/>
      <c r="O266" s="13"/>
      <c r="P266" s="13"/>
      <c r="Q266" s="13"/>
    </row>
    <row r="267" spans="1:17" ht="18" x14ac:dyDescent="0.35">
      <c r="A267" s="4">
        <v>266</v>
      </c>
      <c r="B267" s="4">
        <v>52.7</v>
      </c>
      <c r="C267" s="4">
        <v>56.15</v>
      </c>
      <c r="D267" s="4">
        <v>58.29</v>
      </c>
      <c r="F267" s="13">
        <v>240</v>
      </c>
      <c r="G267" s="13">
        <v>53.16969728972898</v>
      </c>
      <c r="H267" s="13">
        <v>2.1403027102710226</v>
      </c>
      <c r="I267" s="13">
        <f t="shared" si="3"/>
        <v>2.1403027102710226</v>
      </c>
      <c r="J267" s="13"/>
      <c r="K267" s="13"/>
      <c r="L267" s="13"/>
      <c r="M267" s="13"/>
      <c r="N267" s="13"/>
      <c r="O267" s="13"/>
      <c r="P267" s="13"/>
      <c r="Q267" s="13"/>
    </row>
    <row r="268" spans="1:17" ht="18" x14ac:dyDescent="0.35">
      <c r="A268" s="4">
        <v>267</v>
      </c>
      <c r="B268" s="4">
        <v>50.36</v>
      </c>
      <c r="C268" s="4">
        <v>52.7</v>
      </c>
      <c r="D268" s="4">
        <v>56.15</v>
      </c>
      <c r="F268" s="13">
        <v>241</v>
      </c>
      <c r="G268" s="13">
        <v>55.593365940566969</v>
      </c>
      <c r="H268" s="13">
        <v>-9.3365940566968675E-2</v>
      </c>
      <c r="I268" s="13">
        <f t="shared" si="3"/>
        <v>9.3365940566968675E-2</v>
      </c>
      <c r="J268" s="13"/>
      <c r="K268" s="13"/>
      <c r="L268" s="13"/>
      <c r="M268" s="13"/>
      <c r="N268" s="13"/>
      <c r="O268" s="13"/>
      <c r="P268" s="13"/>
      <c r="Q268" s="13"/>
    </row>
    <row r="269" spans="1:17" ht="18" x14ac:dyDescent="0.35">
      <c r="A269" s="4">
        <v>268</v>
      </c>
      <c r="B269" s="4">
        <v>50.83</v>
      </c>
      <c r="C269" s="4">
        <v>50.36</v>
      </c>
      <c r="D269" s="4">
        <v>52.7</v>
      </c>
      <c r="F269" s="13">
        <v>242</v>
      </c>
      <c r="G269" s="13">
        <v>55.634143394203619</v>
      </c>
      <c r="H269" s="13">
        <v>-0.42414339420361813</v>
      </c>
      <c r="I269" s="13">
        <f t="shared" si="3"/>
        <v>0.42414339420361813</v>
      </c>
      <c r="J269" s="13"/>
      <c r="K269" s="13"/>
      <c r="L269" s="13"/>
      <c r="M269" s="13"/>
      <c r="N269" s="13"/>
      <c r="O269" s="13"/>
      <c r="P269" s="13"/>
      <c r="Q269" s="13"/>
    </row>
    <row r="270" spans="1:17" ht="18" x14ac:dyDescent="0.35">
      <c r="A270" s="4">
        <v>269</v>
      </c>
      <c r="B270" s="4">
        <v>53.14</v>
      </c>
      <c r="C270" s="4">
        <v>50.83</v>
      </c>
      <c r="D270" s="4">
        <v>50.36</v>
      </c>
      <c r="F270" s="13">
        <v>243</v>
      </c>
      <c r="G270" s="13">
        <v>55.309979595026121</v>
      </c>
      <c r="H270" s="13">
        <v>0.42002040497387583</v>
      </c>
      <c r="I270" s="13">
        <f t="shared" si="3"/>
        <v>0.42002040497387583</v>
      </c>
      <c r="J270" s="13"/>
      <c r="K270" s="13"/>
      <c r="L270" s="13"/>
      <c r="M270" s="13"/>
      <c r="N270" s="13"/>
      <c r="O270" s="13"/>
      <c r="P270" s="13"/>
      <c r="Q270" s="13"/>
    </row>
    <row r="271" spans="1:17" ht="18" x14ac:dyDescent="0.35">
      <c r="A271" s="4">
        <v>270</v>
      </c>
      <c r="B271" s="4">
        <v>48.36</v>
      </c>
      <c r="C271" s="4">
        <v>53.14</v>
      </c>
      <c r="D271" s="4">
        <v>50.83</v>
      </c>
      <c r="F271" s="13">
        <v>244</v>
      </c>
      <c r="G271" s="13">
        <v>55.88720136249556</v>
      </c>
      <c r="H271" s="13">
        <v>0.27279863750443667</v>
      </c>
      <c r="I271" s="13">
        <f t="shared" si="3"/>
        <v>0.27279863750443667</v>
      </c>
      <c r="J271" s="13"/>
      <c r="K271" s="13"/>
      <c r="L271" s="13"/>
      <c r="M271" s="13"/>
      <c r="N271" s="13"/>
      <c r="O271" s="13"/>
      <c r="P271" s="13"/>
      <c r="Q271" s="13"/>
    </row>
    <row r="272" spans="1:17" ht="18" x14ac:dyDescent="0.35">
      <c r="A272" s="4">
        <v>271</v>
      </c>
      <c r="B272" s="4">
        <v>45.57</v>
      </c>
      <c r="C272" s="4">
        <v>48.36</v>
      </c>
      <c r="D272" s="4">
        <v>53.14</v>
      </c>
      <c r="F272" s="13">
        <v>245</v>
      </c>
      <c r="G272" s="13">
        <v>56.30400026600681</v>
      </c>
      <c r="H272" s="13">
        <v>3.0259997339931886</v>
      </c>
      <c r="I272" s="13">
        <f t="shared" si="3"/>
        <v>3.0259997339931886</v>
      </c>
      <c r="J272" s="13"/>
      <c r="K272" s="13"/>
      <c r="L272" s="13"/>
      <c r="M272" s="13"/>
      <c r="N272" s="13"/>
      <c r="O272" s="13"/>
      <c r="P272" s="13"/>
      <c r="Q272" s="13"/>
    </row>
    <row r="273" spans="1:17" ht="18" x14ac:dyDescent="0.35">
      <c r="A273" s="4">
        <v>272</v>
      </c>
      <c r="B273" s="4">
        <v>32.39</v>
      </c>
      <c r="C273" s="4">
        <v>45.57</v>
      </c>
      <c r="D273" s="4">
        <v>48.36</v>
      </c>
      <c r="F273" s="13">
        <v>246</v>
      </c>
      <c r="G273" s="13">
        <v>59.647770257185101</v>
      </c>
      <c r="H273" s="13">
        <v>-2.7477702571851026</v>
      </c>
      <c r="I273" s="13">
        <f t="shared" si="3"/>
        <v>2.7477702571851026</v>
      </c>
      <c r="J273" s="13"/>
      <c r="K273" s="13"/>
      <c r="L273" s="13"/>
      <c r="M273" s="13"/>
      <c r="N273" s="13"/>
      <c r="O273" s="13"/>
      <c r="P273" s="13"/>
      <c r="Q273" s="13"/>
    </row>
    <row r="274" spans="1:17" ht="18" x14ac:dyDescent="0.35">
      <c r="A274" s="4">
        <v>273</v>
      </c>
      <c r="B274" s="4">
        <v>24.19</v>
      </c>
      <c r="C274" s="4">
        <v>32.39</v>
      </c>
      <c r="D274" s="4">
        <v>45.57</v>
      </c>
      <c r="F274" s="13">
        <v>247</v>
      </c>
      <c r="G274" s="13">
        <v>56.805818115022504</v>
      </c>
      <c r="H274" s="13">
        <v>-3.6858181150225064</v>
      </c>
      <c r="I274" s="13">
        <f t="shared" si="3"/>
        <v>3.6858181150225064</v>
      </c>
      <c r="J274" s="13"/>
      <c r="K274" s="13"/>
      <c r="L274" s="13"/>
      <c r="M274" s="13"/>
      <c r="N274" s="13"/>
      <c r="O274" s="13"/>
      <c r="P274" s="13"/>
      <c r="Q274" s="13"/>
    </row>
    <row r="275" spans="1:17" ht="18" x14ac:dyDescent="0.35">
      <c r="A275" s="4">
        <v>274</v>
      </c>
      <c r="B275" s="4">
        <v>19.440000000000001</v>
      </c>
      <c r="C275" s="4">
        <v>24.19</v>
      </c>
      <c r="D275" s="4">
        <v>32.39</v>
      </c>
      <c r="F275" s="13">
        <v>248</v>
      </c>
      <c r="G275" s="13">
        <v>52.971320180790769</v>
      </c>
      <c r="H275" s="13">
        <v>0.2986798192092337</v>
      </c>
      <c r="I275" s="13">
        <f t="shared" si="3"/>
        <v>0.2986798192092337</v>
      </c>
      <c r="J275" s="13"/>
      <c r="K275" s="13"/>
      <c r="L275" s="13"/>
      <c r="M275" s="13"/>
      <c r="N275" s="13"/>
      <c r="O275" s="13"/>
      <c r="P275" s="13"/>
      <c r="Q275" s="13"/>
    </row>
    <row r="276" spans="1:17" ht="18" x14ac:dyDescent="0.35">
      <c r="A276" s="4">
        <v>275</v>
      </c>
      <c r="B276" s="4">
        <v>21.69</v>
      </c>
      <c r="C276" s="4">
        <v>19.440000000000001</v>
      </c>
      <c r="D276" s="4">
        <v>24.19</v>
      </c>
      <c r="F276" s="13">
        <v>249</v>
      </c>
      <c r="G276" s="13">
        <v>53.432242444188638</v>
      </c>
      <c r="H276" s="13">
        <v>5.7757555811363659E-2</v>
      </c>
      <c r="I276" s="13">
        <f t="shared" si="3"/>
        <v>5.7757555811363659E-2</v>
      </c>
      <c r="J276" s="13"/>
      <c r="K276" s="13"/>
      <c r="L276" s="13"/>
      <c r="M276" s="13"/>
      <c r="N276" s="13"/>
      <c r="O276" s="13"/>
      <c r="P276" s="13"/>
      <c r="Q276" s="13"/>
    </row>
    <row r="277" spans="1:17" ht="18" x14ac:dyDescent="0.35">
      <c r="A277" s="4">
        <v>276</v>
      </c>
      <c r="B277" s="4">
        <v>24.41</v>
      </c>
      <c r="C277" s="4">
        <v>21.69</v>
      </c>
      <c r="D277" s="4">
        <v>19.440000000000001</v>
      </c>
      <c r="F277" s="13">
        <v>250</v>
      </c>
      <c r="G277" s="13">
        <v>53.654731562676659</v>
      </c>
      <c r="H277" s="13">
        <v>1.5452684373233438</v>
      </c>
      <c r="I277" s="13">
        <f t="shared" si="3"/>
        <v>1.5452684373233438</v>
      </c>
      <c r="J277" s="13"/>
      <c r="K277" s="13"/>
      <c r="L277" s="13"/>
      <c r="M277" s="13"/>
      <c r="N277" s="13"/>
      <c r="O277" s="13"/>
      <c r="P277" s="13"/>
      <c r="Q277" s="13"/>
    </row>
    <row r="278" spans="1:17" ht="18" x14ac:dyDescent="0.35">
      <c r="A278" s="4">
        <v>277</v>
      </c>
      <c r="B278" s="4">
        <v>20.12</v>
      </c>
      <c r="C278" s="4">
        <v>24.41</v>
      </c>
      <c r="D278" s="4">
        <v>21.69</v>
      </c>
      <c r="F278" s="13">
        <v>251</v>
      </c>
      <c r="G278" s="13">
        <v>55.459420976101455</v>
      </c>
      <c r="H278" s="13">
        <v>-0.28942097610145368</v>
      </c>
      <c r="I278" s="13">
        <f t="shared" si="3"/>
        <v>0.28942097610145368</v>
      </c>
      <c r="J278" s="13"/>
      <c r="K278" s="13"/>
      <c r="L278" s="13"/>
      <c r="M278" s="13"/>
      <c r="N278" s="13"/>
      <c r="O278" s="13"/>
      <c r="P278" s="13"/>
      <c r="Q278" s="13"/>
    </row>
    <row r="279" spans="1:17" ht="18" x14ac:dyDescent="0.35">
      <c r="A279" s="4">
        <v>278</v>
      </c>
      <c r="B279" s="4">
        <v>3.32</v>
      </c>
      <c r="C279" s="4">
        <v>20.12</v>
      </c>
      <c r="D279" s="4">
        <v>24.41</v>
      </c>
      <c r="F279" s="13">
        <v>252</v>
      </c>
      <c r="G279" s="13">
        <v>55.291249903838342</v>
      </c>
      <c r="H279" s="13">
        <v>1.3987500961616561</v>
      </c>
      <c r="I279" s="13">
        <f t="shared" si="3"/>
        <v>1.3987500961616561</v>
      </c>
      <c r="J279" s="13"/>
      <c r="K279" s="13"/>
      <c r="L279" s="13"/>
      <c r="M279" s="13"/>
      <c r="N279" s="13"/>
      <c r="O279" s="13"/>
      <c r="P279" s="13"/>
      <c r="Q279" s="13"/>
    </row>
    <row r="280" spans="1:17" ht="18" x14ac:dyDescent="0.35">
      <c r="A280" s="4">
        <v>279</v>
      </c>
      <c r="B280" s="4">
        <v>15.71</v>
      </c>
      <c r="C280" s="4">
        <v>3.32</v>
      </c>
      <c r="D280" s="4">
        <v>20.12</v>
      </c>
      <c r="F280" s="13">
        <v>253</v>
      </c>
      <c r="G280" s="13">
        <v>56.91338389417291</v>
      </c>
      <c r="H280" s="13">
        <v>-6.3383894172908128E-2</v>
      </c>
      <c r="I280" s="13">
        <f t="shared" si="3"/>
        <v>6.3383894172908128E-2</v>
      </c>
      <c r="J280" s="13"/>
      <c r="K280" s="13"/>
      <c r="L280" s="13"/>
      <c r="M280" s="13"/>
      <c r="N280" s="13"/>
      <c r="O280" s="13"/>
      <c r="P280" s="13"/>
      <c r="Q280" s="13"/>
    </row>
    <row r="281" spans="1:17" ht="18" x14ac:dyDescent="0.35">
      <c r="A281" s="4">
        <v>280</v>
      </c>
      <c r="B281" s="4">
        <v>23.46</v>
      </c>
      <c r="C281" s="4">
        <v>15.71</v>
      </c>
      <c r="D281" s="4">
        <v>3.32</v>
      </c>
      <c r="F281" s="13">
        <v>254</v>
      </c>
      <c r="G281" s="13">
        <v>56.962814484640234</v>
      </c>
      <c r="H281" s="13">
        <v>-6.281448464023498E-2</v>
      </c>
      <c r="I281" s="13">
        <f t="shared" si="3"/>
        <v>6.281448464023498E-2</v>
      </c>
      <c r="J281" s="13"/>
      <c r="K281" s="13"/>
      <c r="L281" s="13"/>
      <c r="M281" s="13"/>
      <c r="N281" s="13"/>
      <c r="O281" s="13"/>
      <c r="P281" s="13"/>
      <c r="Q281" s="13"/>
    </row>
    <row r="282" spans="1:17" ht="18" x14ac:dyDescent="0.35">
      <c r="A282" s="4">
        <v>281</v>
      </c>
      <c r="B282" s="4">
        <v>26.4</v>
      </c>
      <c r="C282" s="4">
        <v>23.46</v>
      </c>
      <c r="D282" s="4">
        <v>15.71</v>
      </c>
      <c r="F282" s="13">
        <v>255</v>
      </c>
      <c r="G282" s="13">
        <v>57.003351465721863</v>
      </c>
      <c r="H282" s="13">
        <v>1.0666485342781371</v>
      </c>
      <c r="I282" s="13">
        <f t="shared" si="3"/>
        <v>1.0666485342781371</v>
      </c>
      <c r="J282" s="13"/>
      <c r="K282" s="13"/>
      <c r="L282" s="13"/>
      <c r="M282" s="13"/>
      <c r="N282" s="13"/>
      <c r="O282" s="13"/>
      <c r="P282" s="13"/>
      <c r="Q282" s="13"/>
    </row>
    <row r="283" spans="1:17" ht="18" x14ac:dyDescent="0.35">
      <c r="A283" s="4">
        <v>282</v>
      </c>
      <c r="B283" s="4">
        <v>33.1</v>
      </c>
      <c r="C283" s="4">
        <v>26.4</v>
      </c>
      <c r="D283" s="4">
        <v>23.46</v>
      </c>
      <c r="F283" s="13">
        <v>256</v>
      </c>
      <c r="G283" s="13">
        <v>58.246145934920747</v>
      </c>
      <c r="H283" s="13">
        <v>-0.60614593492074675</v>
      </c>
      <c r="I283" s="13">
        <f t="shared" si="3"/>
        <v>0.60614593492074675</v>
      </c>
      <c r="J283" s="13"/>
      <c r="K283" s="13"/>
      <c r="L283" s="13"/>
      <c r="M283" s="13"/>
      <c r="N283" s="13"/>
      <c r="O283" s="13"/>
      <c r="P283" s="13"/>
      <c r="Q283" s="13"/>
    </row>
    <row r="284" spans="1:17" ht="18" x14ac:dyDescent="0.35">
      <c r="A284" s="4">
        <v>283</v>
      </c>
      <c r="B284" s="4">
        <v>34.19</v>
      </c>
      <c r="C284" s="4">
        <v>33.1</v>
      </c>
      <c r="D284" s="4">
        <v>26.4</v>
      </c>
      <c r="F284" s="13">
        <v>257</v>
      </c>
      <c r="G284" s="13">
        <v>57.694737610973249</v>
      </c>
      <c r="H284" s="13">
        <v>1.5552623890267512</v>
      </c>
      <c r="I284" s="13">
        <f t="shared" si="3"/>
        <v>1.5552623890267512</v>
      </c>
      <c r="J284" s="13"/>
      <c r="K284" s="13"/>
      <c r="L284" s="13"/>
      <c r="M284" s="13"/>
      <c r="N284" s="13"/>
      <c r="O284" s="13"/>
      <c r="P284" s="13"/>
      <c r="Q284" s="13"/>
    </row>
    <row r="285" spans="1:17" ht="18" x14ac:dyDescent="0.35">
      <c r="A285" s="4">
        <v>284</v>
      </c>
      <c r="B285" s="4">
        <v>37.32</v>
      </c>
      <c r="C285" s="4">
        <v>34.19</v>
      </c>
      <c r="D285" s="4">
        <v>33.1</v>
      </c>
      <c r="F285" s="13">
        <v>258</v>
      </c>
      <c r="G285" s="13">
        <v>59.444637741964911</v>
      </c>
      <c r="H285" s="13">
        <v>1.305362258035089</v>
      </c>
      <c r="I285" s="13">
        <f t="shared" ref="I285:I348" si="4">ABS(H285)</f>
        <v>1.305362258035089</v>
      </c>
      <c r="J285" s="13"/>
      <c r="K285" s="13"/>
      <c r="L285" s="13"/>
      <c r="M285" s="13"/>
      <c r="N285" s="13"/>
      <c r="O285" s="13"/>
      <c r="P285" s="13"/>
      <c r="Q285" s="13"/>
    </row>
    <row r="286" spans="1:17" ht="18" x14ac:dyDescent="0.35">
      <c r="A286" s="4">
        <v>285</v>
      </c>
      <c r="B286" s="4">
        <v>37.869999999999997</v>
      </c>
      <c r="C286" s="4">
        <v>37.32</v>
      </c>
      <c r="D286" s="4">
        <v>34.19</v>
      </c>
      <c r="F286" s="13">
        <v>259</v>
      </c>
      <c r="G286" s="13">
        <v>60.914832411805669</v>
      </c>
      <c r="H286" s="13">
        <v>0.37516758819432994</v>
      </c>
      <c r="I286" s="13">
        <f t="shared" si="4"/>
        <v>0.37516758819432994</v>
      </c>
      <c r="J286" s="13"/>
      <c r="K286" s="13"/>
      <c r="L286" s="13"/>
      <c r="M286" s="13"/>
      <c r="N286" s="13"/>
      <c r="O286" s="13"/>
      <c r="P286" s="13"/>
      <c r="Q286" s="13"/>
    </row>
    <row r="287" spans="1:17" ht="18" x14ac:dyDescent="0.35">
      <c r="A287" s="4">
        <v>286</v>
      </c>
      <c r="B287" s="4">
        <v>38.35</v>
      </c>
      <c r="C287" s="4">
        <v>37.869999999999997</v>
      </c>
      <c r="D287" s="4">
        <v>37.32</v>
      </c>
      <c r="F287" s="13">
        <v>260</v>
      </c>
      <c r="G287" s="13">
        <v>61.370792131664579</v>
      </c>
      <c r="H287" s="13">
        <v>0.71920786833542394</v>
      </c>
      <c r="I287" s="13">
        <f t="shared" si="4"/>
        <v>0.71920786833542394</v>
      </c>
      <c r="J287" s="13"/>
      <c r="K287" s="13"/>
      <c r="L287" s="13"/>
      <c r="M287" s="13"/>
      <c r="N287" s="13"/>
      <c r="O287" s="13"/>
      <c r="P287" s="13"/>
      <c r="Q287" s="13"/>
    </row>
    <row r="288" spans="1:17" ht="18" x14ac:dyDescent="0.35">
      <c r="A288" s="4">
        <v>287</v>
      </c>
      <c r="B288" s="4">
        <v>39.22</v>
      </c>
      <c r="C288" s="4">
        <v>38.35</v>
      </c>
      <c r="D288" s="4">
        <v>37.869999999999997</v>
      </c>
      <c r="F288" s="13">
        <v>261</v>
      </c>
      <c r="G288" s="13">
        <v>62.180277929137254</v>
      </c>
      <c r="H288" s="13">
        <v>-1.3402779291372511</v>
      </c>
      <c r="I288" s="13">
        <f t="shared" si="4"/>
        <v>1.3402779291372511</v>
      </c>
      <c r="J288" s="13"/>
      <c r="K288" s="13"/>
      <c r="L288" s="13"/>
      <c r="M288" s="13"/>
      <c r="N288" s="13"/>
      <c r="O288" s="13"/>
      <c r="P288" s="13"/>
      <c r="Q288" s="13"/>
    </row>
    <row r="289" spans="1:17" ht="18" x14ac:dyDescent="0.35">
      <c r="A289" s="4">
        <v>288</v>
      </c>
      <c r="B289" s="4">
        <v>39.85</v>
      </c>
      <c r="C289" s="4">
        <v>39.22</v>
      </c>
      <c r="D289" s="4">
        <v>38.35</v>
      </c>
      <c r="F289" s="13">
        <v>262</v>
      </c>
      <c r="G289" s="13">
        <v>60.784530787839408</v>
      </c>
      <c r="H289" s="13">
        <v>-2.494530787839409</v>
      </c>
      <c r="I289" s="13">
        <f t="shared" si="4"/>
        <v>2.494530787839409</v>
      </c>
      <c r="J289" s="13"/>
      <c r="K289" s="13"/>
      <c r="L289" s="13"/>
      <c r="M289" s="13"/>
      <c r="N289" s="13"/>
      <c r="O289" s="13"/>
      <c r="P289" s="13"/>
      <c r="Q289" s="13"/>
    </row>
    <row r="290" spans="1:17" ht="18" x14ac:dyDescent="0.35">
      <c r="A290" s="4">
        <v>289</v>
      </c>
      <c r="B290" s="4">
        <v>40.44</v>
      </c>
      <c r="C290" s="4">
        <v>39.85</v>
      </c>
      <c r="D290" s="4">
        <v>39.22</v>
      </c>
      <c r="F290" s="13">
        <v>263</v>
      </c>
      <c r="G290" s="13">
        <v>58.166759489235162</v>
      </c>
      <c r="H290" s="13">
        <v>-2.016759489235163</v>
      </c>
      <c r="I290" s="13">
        <f t="shared" si="4"/>
        <v>2.016759489235163</v>
      </c>
      <c r="J290" s="13"/>
      <c r="K290" s="13"/>
      <c r="L290" s="13"/>
      <c r="M290" s="13"/>
      <c r="N290" s="13"/>
      <c r="O290" s="13"/>
      <c r="P290" s="13"/>
      <c r="Q290" s="13"/>
    </row>
    <row r="291" spans="1:17" ht="18" x14ac:dyDescent="0.35">
      <c r="A291" s="4">
        <v>290</v>
      </c>
      <c r="B291" s="4">
        <v>40.57</v>
      </c>
      <c r="C291" s="4">
        <v>40.44</v>
      </c>
      <c r="D291" s="4">
        <v>39.85</v>
      </c>
      <c r="F291" s="13">
        <v>264</v>
      </c>
      <c r="G291" s="13">
        <v>56.089438658091794</v>
      </c>
      <c r="H291" s="13">
        <v>-3.389438658091791</v>
      </c>
      <c r="I291" s="13">
        <f t="shared" si="4"/>
        <v>3.389438658091791</v>
      </c>
      <c r="J291" s="13"/>
      <c r="K291" s="13"/>
      <c r="L291" s="13"/>
      <c r="M291" s="13"/>
      <c r="N291" s="13"/>
      <c r="O291" s="13"/>
      <c r="P291" s="13"/>
      <c r="Q291" s="13"/>
    </row>
    <row r="292" spans="1:17" ht="18" x14ac:dyDescent="0.35">
      <c r="A292" s="4">
        <v>291</v>
      </c>
      <c r="B292" s="4">
        <v>41.34</v>
      </c>
      <c r="C292" s="4">
        <v>40.57</v>
      </c>
      <c r="D292" s="4">
        <v>40.44</v>
      </c>
      <c r="F292" s="13">
        <v>265</v>
      </c>
      <c r="G292" s="13">
        <v>52.583497116190713</v>
      </c>
      <c r="H292" s="13">
        <v>-2.223497116190714</v>
      </c>
      <c r="I292" s="13">
        <f t="shared" si="4"/>
        <v>2.223497116190714</v>
      </c>
      <c r="J292" s="13"/>
      <c r="K292" s="13"/>
      <c r="L292" s="13"/>
      <c r="M292" s="13"/>
      <c r="N292" s="13"/>
      <c r="O292" s="13"/>
      <c r="P292" s="13"/>
      <c r="Q292" s="13"/>
    </row>
    <row r="293" spans="1:17" ht="18" x14ac:dyDescent="0.35">
      <c r="A293" s="4">
        <v>292</v>
      </c>
      <c r="B293" s="4">
        <v>40.69</v>
      </c>
      <c r="C293" s="4">
        <v>41.34</v>
      </c>
      <c r="D293" s="4">
        <v>40.57</v>
      </c>
      <c r="F293" s="13">
        <v>266</v>
      </c>
      <c r="G293" s="13">
        <v>50.364737502326356</v>
      </c>
      <c r="H293" s="13">
        <v>0.46526249767364192</v>
      </c>
      <c r="I293" s="13">
        <f t="shared" si="4"/>
        <v>0.46526249767364192</v>
      </c>
      <c r="J293" s="13"/>
      <c r="K293" s="13"/>
      <c r="L293" s="13"/>
      <c r="M293" s="13"/>
      <c r="N293" s="13"/>
      <c r="O293" s="13"/>
      <c r="P293" s="13"/>
      <c r="Q293" s="13"/>
    </row>
    <row r="294" spans="1:17" ht="18" x14ac:dyDescent="0.35">
      <c r="A294" s="4">
        <v>293</v>
      </c>
      <c r="B294" s="4">
        <v>41.57</v>
      </c>
      <c r="C294" s="4">
        <v>40.69</v>
      </c>
      <c r="D294" s="4">
        <v>41.34</v>
      </c>
      <c r="F294" s="13">
        <v>267</v>
      </c>
      <c r="G294" s="13">
        <v>51.051961818077793</v>
      </c>
      <c r="H294" s="13">
        <v>2.088038181922208</v>
      </c>
      <c r="I294" s="13">
        <f t="shared" si="4"/>
        <v>2.088038181922208</v>
      </c>
      <c r="J294" s="13"/>
      <c r="K294" s="13"/>
      <c r="L294" s="13"/>
      <c r="M294" s="13"/>
      <c r="N294" s="13"/>
      <c r="O294" s="13"/>
      <c r="P294" s="13"/>
      <c r="Q294" s="13"/>
    </row>
    <row r="295" spans="1:17" ht="18" x14ac:dyDescent="0.35">
      <c r="A295" s="4">
        <v>294</v>
      </c>
      <c r="B295" s="4">
        <v>42.08</v>
      </c>
      <c r="C295" s="4">
        <v>41.57</v>
      </c>
      <c r="D295" s="4">
        <v>40.69</v>
      </c>
      <c r="F295" s="13">
        <v>268</v>
      </c>
      <c r="G295" s="13">
        <v>53.476111414025794</v>
      </c>
      <c r="H295" s="13">
        <v>-5.1161114140257951</v>
      </c>
      <c r="I295" s="13">
        <f t="shared" si="4"/>
        <v>5.1161114140257951</v>
      </c>
      <c r="J295" s="13"/>
      <c r="K295" s="13"/>
      <c r="L295" s="13"/>
      <c r="M295" s="13"/>
      <c r="N295" s="13"/>
      <c r="O295" s="13"/>
      <c r="P295" s="13"/>
      <c r="Q295" s="13"/>
    </row>
    <row r="296" spans="1:17" ht="18" x14ac:dyDescent="0.35">
      <c r="A296" s="4">
        <v>295</v>
      </c>
      <c r="B296" s="4">
        <v>42.73</v>
      </c>
      <c r="C296" s="4">
        <v>42.08</v>
      </c>
      <c r="D296" s="4">
        <v>41.57</v>
      </c>
      <c r="F296" s="13">
        <v>269</v>
      </c>
      <c r="G296" s="13">
        <v>48.198448533744745</v>
      </c>
      <c r="H296" s="13">
        <v>-2.628448533744745</v>
      </c>
      <c r="I296" s="13">
        <f t="shared" si="4"/>
        <v>2.628448533744745</v>
      </c>
      <c r="J296" s="13"/>
      <c r="K296" s="13"/>
      <c r="L296" s="13"/>
      <c r="M296" s="13"/>
      <c r="N296" s="13"/>
      <c r="O296" s="13"/>
      <c r="P296" s="13"/>
      <c r="Q296" s="13"/>
    </row>
    <row r="297" spans="1:17" ht="18" x14ac:dyDescent="0.35">
      <c r="A297" s="4">
        <v>296</v>
      </c>
      <c r="B297" s="4">
        <v>42.93</v>
      </c>
      <c r="C297" s="4">
        <v>42.73</v>
      </c>
      <c r="D297" s="4">
        <v>42.08</v>
      </c>
      <c r="F297" s="13">
        <v>270</v>
      </c>
      <c r="G297" s="13">
        <v>45.60609453023558</v>
      </c>
      <c r="H297" s="13">
        <v>-13.21609453023558</v>
      </c>
      <c r="I297" s="13">
        <f t="shared" si="4"/>
        <v>13.21609453023558</v>
      </c>
      <c r="J297" s="13"/>
      <c r="K297" s="13"/>
      <c r="L297" s="13"/>
      <c r="M297" s="13"/>
      <c r="N297" s="13"/>
      <c r="O297" s="13"/>
      <c r="P297" s="13"/>
      <c r="Q297" s="13"/>
    </row>
    <row r="298" spans="1:17" ht="18" x14ac:dyDescent="0.35">
      <c r="A298" s="4">
        <v>297</v>
      </c>
      <c r="B298" s="4">
        <v>41.84</v>
      </c>
      <c r="C298" s="4">
        <v>42.93</v>
      </c>
      <c r="D298" s="4">
        <v>42.73</v>
      </c>
      <c r="F298" s="13">
        <v>271</v>
      </c>
      <c r="G298" s="13">
        <v>31.783429966048512</v>
      </c>
      <c r="H298" s="13">
        <v>-7.5934299660485109</v>
      </c>
      <c r="I298" s="13">
        <f t="shared" si="4"/>
        <v>7.5934299660485109</v>
      </c>
      <c r="J298" s="13"/>
      <c r="K298" s="13"/>
      <c r="L298" s="13"/>
      <c r="M298" s="13"/>
      <c r="N298" s="13"/>
      <c r="O298" s="13"/>
      <c r="P298" s="13"/>
      <c r="Q298" s="13"/>
    </row>
    <row r="299" spans="1:17" ht="18" x14ac:dyDescent="0.35">
      <c r="A299" s="4">
        <v>298</v>
      </c>
      <c r="B299" s="4">
        <v>37.380000000000003</v>
      </c>
      <c r="C299" s="4">
        <v>41.84</v>
      </c>
      <c r="D299" s="4">
        <v>42.93</v>
      </c>
      <c r="F299" s="13">
        <v>272</v>
      </c>
      <c r="G299" s="13">
        <v>24.095128955702293</v>
      </c>
      <c r="H299" s="13">
        <v>-4.6551289557022919</v>
      </c>
      <c r="I299" s="13">
        <f t="shared" si="4"/>
        <v>4.6551289557022919</v>
      </c>
      <c r="J299" s="13"/>
      <c r="K299" s="13"/>
      <c r="L299" s="13"/>
      <c r="M299" s="13"/>
      <c r="N299" s="13"/>
      <c r="O299" s="13"/>
      <c r="P299" s="13"/>
      <c r="Q299" s="13"/>
    </row>
    <row r="300" spans="1:17" ht="18" x14ac:dyDescent="0.35">
      <c r="A300" s="4">
        <v>299</v>
      </c>
      <c r="B300" s="4">
        <v>39.549999999999997</v>
      </c>
      <c r="C300" s="4">
        <v>37.380000000000003</v>
      </c>
      <c r="D300" s="4">
        <v>41.84</v>
      </c>
      <c r="F300" s="13">
        <v>273</v>
      </c>
      <c r="G300" s="13">
        <v>19.686561940488538</v>
      </c>
      <c r="H300" s="13">
        <v>2.0034380595114634</v>
      </c>
      <c r="I300" s="13">
        <f t="shared" si="4"/>
        <v>2.0034380595114634</v>
      </c>
      <c r="J300" s="13"/>
      <c r="K300" s="13"/>
      <c r="L300" s="13"/>
      <c r="M300" s="13"/>
      <c r="N300" s="13"/>
      <c r="O300" s="13"/>
      <c r="P300" s="13"/>
      <c r="Q300" s="13"/>
    </row>
    <row r="301" spans="1:17" ht="18" x14ac:dyDescent="0.35">
      <c r="A301" s="4">
        <v>300</v>
      </c>
      <c r="B301" s="4">
        <v>39.78</v>
      </c>
      <c r="C301" s="4">
        <v>39.549999999999997</v>
      </c>
      <c r="D301" s="4">
        <v>37.380000000000003</v>
      </c>
      <c r="F301" s="13">
        <v>274</v>
      </c>
      <c r="G301" s="13">
        <v>22.462550097572603</v>
      </c>
      <c r="H301" s="13">
        <v>1.9474499024273975</v>
      </c>
      <c r="I301" s="13">
        <f t="shared" si="4"/>
        <v>1.9474499024273975</v>
      </c>
      <c r="J301" s="13"/>
      <c r="K301" s="13"/>
      <c r="L301" s="13"/>
      <c r="M301" s="13"/>
      <c r="N301" s="13"/>
      <c r="O301" s="13"/>
      <c r="P301" s="13"/>
      <c r="Q301" s="13"/>
    </row>
    <row r="302" spans="1:17" ht="18" x14ac:dyDescent="0.35">
      <c r="A302" s="4">
        <v>301</v>
      </c>
      <c r="B302" s="4">
        <v>38.99</v>
      </c>
      <c r="C302" s="4">
        <v>39.78</v>
      </c>
      <c r="D302" s="4">
        <v>39.549999999999997</v>
      </c>
      <c r="F302" s="13">
        <v>275</v>
      </c>
      <c r="G302" s="13">
        <v>25.181826483500021</v>
      </c>
      <c r="H302" s="13">
        <v>-5.0618264835000204</v>
      </c>
      <c r="I302" s="13">
        <f t="shared" si="4"/>
        <v>5.0618264835000204</v>
      </c>
      <c r="J302" s="13"/>
      <c r="K302" s="13"/>
      <c r="L302" s="13"/>
      <c r="M302" s="13"/>
      <c r="N302" s="13"/>
      <c r="O302" s="13"/>
      <c r="P302" s="13"/>
      <c r="Q302" s="13"/>
    </row>
    <row r="303" spans="1:17" ht="18" x14ac:dyDescent="0.35">
      <c r="A303" s="4">
        <v>302</v>
      </c>
      <c r="B303" s="4">
        <v>40.19</v>
      </c>
      <c r="C303" s="4">
        <v>38.99</v>
      </c>
      <c r="D303" s="4">
        <v>39.78</v>
      </c>
      <c r="F303" s="13">
        <v>276</v>
      </c>
      <c r="G303" s="13">
        <v>20.393661348508509</v>
      </c>
      <c r="H303" s="13">
        <v>-17.073661348508509</v>
      </c>
      <c r="I303" s="13">
        <f t="shared" si="4"/>
        <v>17.073661348508509</v>
      </c>
      <c r="J303" s="13"/>
      <c r="K303" s="13"/>
      <c r="L303" s="13"/>
      <c r="M303" s="13"/>
      <c r="N303" s="13"/>
      <c r="O303" s="13"/>
      <c r="P303" s="13"/>
      <c r="Q303" s="13"/>
    </row>
    <row r="304" spans="1:17" ht="18" x14ac:dyDescent="0.35">
      <c r="A304" s="4">
        <v>303</v>
      </c>
      <c r="B304" s="4">
        <v>40.33</v>
      </c>
      <c r="C304" s="4">
        <v>40.19</v>
      </c>
      <c r="D304" s="4">
        <v>38.99</v>
      </c>
      <c r="F304" s="13">
        <v>277</v>
      </c>
      <c r="G304" s="13">
        <v>2.8329232618927565</v>
      </c>
      <c r="H304" s="13">
        <v>12.877076738107245</v>
      </c>
      <c r="I304" s="13">
        <f t="shared" si="4"/>
        <v>12.877076738107245</v>
      </c>
      <c r="J304" s="13"/>
      <c r="K304" s="13"/>
      <c r="L304" s="13"/>
      <c r="M304" s="13"/>
      <c r="N304" s="13"/>
      <c r="O304" s="13"/>
      <c r="P304" s="13"/>
      <c r="Q304" s="13"/>
    </row>
    <row r="305" spans="1:17" ht="18" x14ac:dyDescent="0.35">
      <c r="A305" s="4">
        <v>304</v>
      </c>
      <c r="B305" s="4">
        <v>40.43</v>
      </c>
      <c r="C305" s="4">
        <v>40.33</v>
      </c>
      <c r="D305" s="4">
        <v>40.19</v>
      </c>
      <c r="F305" s="13">
        <v>278</v>
      </c>
      <c r="G305" s="13">
        <v>17.374101117583642</v>
      </c>
      <c r="H305" s="13">
        <v>6.0858988824163589</v>
      </c>
      <c r="I305" s="13">
        <f t="shared" si="4"/>
        <v>6.0858988824163589</v>
      </c>
      <c r="J305" s="13"/>
      <c r="K305" s="13"/>
      <c r="L305" s="13"/>
      <c r="M305" s="13"/>
      <c r="N305" s="13"/>
      <c r="O305" s="13"/>
      <c r="P305" s="13"/>
      <c r="Q305" s="13"/>
    </row>
    <row r="306" spans="1:17" ht="18" x14ac:dyDescent="0.35">
      <c r="A306" s="4">
        <v>305</v>
      </c>
      <c r="B306" s="4">
        <v>37.32</v>
      </c>
      <c r="C306" s="4">
        <v>40.43</v>
      </c>
      <c r="D306" s="4">
        <v>40.33</v>
      </c>
      <c r="F306" s="13">
        <v>279</v>
      </c>
      <c r="G306" s="13">
        <v>24.645796444181148</v>
      </c>
      <c r="H306" s="13">
        <v>1.7542035558188509</v>
      </c>
      <c r="I306" s="13">
        <f t="shared" si="4"/>
        <v>1.7542035558188509</v>
      </c>
      <c r="J306" s="13"/>
      <c r="K306" s="13"/>
      <c r="L306" s="13"/>
      <c r="M306" s="13"/>
      <c r="N306" s="13"/>
      <c r="O306" s="13"/>
      <c r="P306" s="13"/>
      <c r="Q306" s="13"/>
    </row>
    <row r="307" spans="1:17" ht="18" x14ac:dyDescent="0.35">
      <c r="A307" s="4">
        <v>306</v>
      </c>
      <c r="B307" s="4">
        <v>37.71</v>
      </c>
      <c r="C307" s="4">
        <v>37.32</v>
      </c>
      <c r="D307" s="4">
        <v>40.43</v>
      </c>
      <c r="F307" s="13">
        <v>280</v>
      </c>
      <c r="G307" s="13">
        <v>27.161431534789511</v>
      </c>
      <c r="H307" s="13">
        <v>5.9385684652104906</v>
      </c>
      <c r="I307" s="13">
        <f t="shared" si="4"/>
        <v>5.9385684652104906</v>
      </c>
      <c r="J307" s="13"/>
      <c r="K307" s="13"/>
      <c r="L307" s="13"/>
      <c r="M307" s="13"/>
      <c r="N307" s="13"/>
      <c r="O307" s="13"/>
      <c r="P307" s="13"/>
      <c r="Q307" s="13"/>
    </row>
    <row r="308" spans="1:17" ht="18" x14ac:dyDescent="0.35">
      <c r="A308" s="4">
        <v>307</v>
      </c>
      <c r="B308" s="4">
        <v>40.659999999999997</v>
      </c>
      <c r="C308" s="4">
        <v>37.71</v>
      </c>
      <c r="D308" s="4">
        <v>37.32</v>
      </c>
      <c r="F308" s="13">
        <v>281</v>
      </c>
      <c r="G308" s="13">
        <v>34.066922075510909</v>
      </c>
      <c r="H308" s="13">
        <v>0.12307792448908828</v>
      </c>
      <c r="I308" s="13">
        <f t="shared" si="4"/>
        <v>0.12307792448908828</v>
      </c>
      <c r="J308" s="13"/>
      <c r="K308" s="13"/>
      <c r="L308" s="13"/>
      <c r="M308" s="13"/>
      <c r="N308" s="13"/>
      <c r="O308" s="13"/>
      <c r="P308" s="13"/>
      <c r="Q308" s="13"/>
    </row>
    <row r="309" spans="1:17" ht="18" x14ac:dyDescent="0.35">
      <c r="A309" s="4">
        <v>308</v>
      </c>
      <c r="B309" s="4">
        <v>41.52</v>
      </c>
      <c r="C309" s="4">
        <v>40.659999999999997</v>
      </c>
      <c r="D309" s="4">
        <v>37.71</v>
      </c>
      <c r="F309" s="13">
        <v>282</v>
      </c>
      <c r="G309" s="13">
        <v>34.694790713717147</v>
      </c>
      <c r="H309" s="13">
        <v>2.6252092862828533</v>
      </c>
      <c r="I309" s="13">
        <f t="shared" si="4"/>
        <v>2.6252092862828533</v>
      </c>
      <c r="J309" s="13"/>
      <c r="K309" s="13"/>
      <c r="L309" s="13"/>
      <c r="M309" s="13"/>
      <c r="N309" s="13"/>
      <c r="O309" s="13"/>
      <c r="P309" s="13"/>
      <c r="Q309" s="13"/>
    </row>
    <row r="310" spans="1:17" ht="18" x14ac:dyDescent="0.35">
      <c r="A310" s="4">
        <v>309</v>
      </c>
      <c r="B310" s="4">
        <v>44.4</v>
      </c>
      <c r="C310" s="4">
        <v>41.52</v>
      </c>
      <c r="D310" s="4">
        <v>40.659999999999997</v>
      </c>
      <c r="F310" s="13">
        <v>283</v>
      </c>
      <c r="G310" s="13">
        <v>37.943366490856299</v>
      </c>
      <c r="H310" s="13">
        <v>-7.3366490856301425E-2</v>
      </c>
      <c r="I310" s="13">
        <f t="shared" si="4"/>
        <v>7.3366490856301425E-2</v>
      </c>
      <c r="J310" s="13"/>
      <c r="K310" s="13"/>
      <c r="L310" s="13"/>
      <c r="M310" s="13"/>
      <c r="N310" s="13"/>
      <c r="O310" s="13"/>
      <c r="P310" s="13"/>
      <c r="Q310" s="13"/>
    </row>
    <row r="311" spans="1:17" ht="18" x14ac:dyDescent="0.35">
      <c r="A311" s="4">
        <v>310</v>
      </c>
      <c r="B311" s="4">
        <v>45.37</v>
      </c>
      <c r="C311" s="4">
        <v>44.4</v>
      </c>
      <c r="D311" s="4">
        <v>41.52</v>
      </c>
      <c r="F311" s="13">
        <v>284</v>
      </c>
      <c r="G311" s="13">
        <v>38.280152036601869</v>
      </c>
      <c r="H311" s="13">
        <v>6.9847963398132151E-2</v>
      </c>
      <c r="I311" s="13">
        <f t="shared" si="4"/>
        <v>6.9847963398132151E-2</v>
      </c>
      <c r="J311" s="13"/>
      <c r="K311" s="13"/>
      <c r="L311" s="13"/>
      <c r="M311" s="13"/>
      <c r="N311" s="13"/>
      <c r="O311" s="13"/>
      <c r="P311" s="13"/>
      <c r="Q311" s="13"/>
    </row>
    <row r="312" spans="1:17" ht="18" x14ac:dyDescent="0.35">
      <c r="A312" s="4">
        <v>311</v>
      </c>
      <c r="B312" s="4">
        <v>46.04</v>
      </c>
      <c r="C312" s="4">
        <v>45.37</v>
      </c>
      <c r="D312" s="4">
        <v>44.4</v>
      </c>
      <c r="F312" s="13">
        <v>285</v>
      </c>
      <c r="G312" s="13">
        <v>38.747842491997552</v>
      </c>
      <c r="H312" s="13">
        <v>0.47215750800244649</v>
      </c>
      <c r="I312" s="13">
        <f t="shared" si="4"/>
        <v>0.47215750800244649</v>
      </c>
      <c r="J312" s="13"/>
      <c r="K312" s="13"/>
      <c r="L312" s="13"/>
      <c r="M312" s="13"/>
      <c r="N312" s="13"/>
      <c r="O312" s="13"/>
      <c r="P312" s="13"/>
      <c r="Q312" s="13"/>
    </row>
    <row r="313" spans="1:17" ht="18" x14ac:dyDescent="0.35">
      <c r="A313" s="4">
        <v>312</v>
      </c>
      <c r="B313" s="4">
        <v>47.97</v>
      </c>
      <c r="C313" s="4">
        <v>46.04</v>
      </c>
      <c r="D313" s="4">
        <v>45.37</v>
      </c>
      <c r="F313" s="13">
        <v>286</v>
      </c>
      <c r="G313" s="13">
        <v>39.636700817661378</v>
      </c>
      <c r="H313" s="13">
        <v>0.21329918233862344</v>
      </c>
      <c r="I313" s="13">
        <f t="shared" si="4"/>
        <v>0.21329918233862344</v>
      </c>
      <c r="J313" s="13"/>
      <c r="K313" s="13"/>
      <c r="L313" s="13"/>
      <c r="M313" s="13"/>
      <c r="N313" s="13"/>
      <c r="O313" s="13"/>
      <c r="P313" s="13"/>
      <c r="Q313" s="13"/>
    </row>
    <row r="314" spans="1:17" ht="18" x14ac:dyDescent="0.35">
      <c r="A314" s="4">
        <v>313</v>
      </c>
      <c r="B314" s="4">
        <v>47.73</v>
      </c>
      <c r="C314" s="4">
        <v>47.97</v>
      </c>
      <c r="D314" s="4">
        <v>46.04</v>
      </c>
      <c r="F314" s="13">
        <v>287</v>
      </c>
      <c r="G314" s="13">
        <v>40.238746303443875</v>
      </c>
      <c r="H314" s="13">
        <v>0.20125369655612246</v>
      </c>
      <c r="I314" s="13">
        <f t="shared" si="4"/>
        <v>0.20125369655612246</v>
      </c>
      <c r="J314" s="13"/>
      <c r="K314" s="13"/>
      <c r="L314" s="13"/>
      <c r="M314" s="13"/>
      <c r="N314" s="13"/>
      <c r="O314" s="13"/>
      <c r="P314" s="13"/>
      <c r="Q314" s="13"/>
    </row>
    <row r="315" spans="1:17" ht="18" x14ac:dyDescent="0.35">
      <c r="A315" s="4">
        <v>314</v>
      </c>
      <c r="B315" s="4">
        <v>47.98</v>
      </c>
      <c r="C315" s="4">
        <v>47.73</v>
      </c>
      <c r="D315" s="4">
        <v>47.97</v>
      </c>
      <c r="F315" s="13">
        <v>288</v>
      </c>
      <c r="G315" s="13">
        <v>40.817283065360378</v>
      </c>
      <c r="H315" s="13">
        <v>-0.24728306536037792</v>
      </c>
      <c r="I315" s="13">
        <f t="shared" si="4"/>
        <v>0.24728306536037792</v>
      </c>
      <c r="J315" s="13"/>
      <c r="K315" s="13"/>
      <c r="L315" s="13"/>
      <c r="M315" s="13"/>
      <c r="N315" s="13"/>
      <c r="O315" s="13"/>
      <c r="P315" s="13"/>
      <c r="Q315" s="13"/>
    </row>
    <row r="316" spans="1:17" ht="18" x14ac:dyDescent="0.35">
      <c r="A316" s="4">
        <v>315</v>
      </c>
      <c r="B316" s="4">
        <v>50.09</v>
      </c>
      <c r="C316" s="4">
        <v>47.98</v>
      </c>
      <c r="D316" s="4">
        <v>47.73</v>
      </c>
      <c r="F316" s="13">
        <v>289</v>
      </c>
      <c r="G316" s="13">
        <v>40.90882002140583</v>
      </c>
      <c r="H316" s="13">
        <v>0.43117997859417301</v>
      </c>
      <c r="I316" s="13">
        <f t="shared" si="4"/>
        <v>0.43117997859417301</v>
      </c>
      <c r="J316" s="13"/>
      <c r="K316" s="13"/>
      <c r="L316" s="13"/>
      <c r="M316" s="13"/>
      <c r="N316" s="13"/>
      <c r="O316" s="13"/>
      <c r="P316" s="13"/>
      <c r="Q316" s="13"/>
    </row>
    <row r="317" spans="1:17" ht="18" x14ac:dyDescent="0.35">
      <c r="A317" s="4">
        <v>316</v>
      </c>
      <c r="B317" s="4">
        <v>52.75</v>
      </c>
      <c r="C317" s="4">
        <v>50.09</v>
      </c>
      <c r="D317" s="4">
        <v>47.98</v>
      </c>
      <c r="F317" s="13">
        <v>290</v>
      </c>
      <c r="G317" s="13">
        <v>41.718993901245483</v>
      </c>
      <c r="H317" s="13">
        <v>-1.0289939012454852</v>
      </c>
      <c r="I317" s="13">
        <f t="shared" si="4"/>
        <v>1.0289939012454852</v>
      </c>
      <c r="J317" s="13"/>
      <c r="K317" s="13"/>
      <c r="L317" s="13"/>
      <c r="M317" s="13"/>
      <c r="N317" s="13"/>
      <c r="O317" s="13"/>
      <c r="P317" s="13"/>
      <c r="Q317" s="13"/>
    </row>
    <row r="318" spans="1:17" ht="18" x14ac:dyDescent="0.35">
      <c r="A318" s="4">
        <v>317</v>
      </c>
      <c r="B318" s="4">
        <v>52.82</v>
      </c>
      <c r="C318" s="4">
        <v>52.75</v>
      </c>
      <c r="D318" s="4">
        <v>50.09</v>
      </c>
      <c r="F318" s="13">
        <v>291</v>
      </c>
      <c r="G318" s="13">
        <v>40.965009094969162</v>
      </c>
      <c r="H318" s="13">
        <v>0.60499090503083863</v>
      </c>
      <c r="I318" s="13">
        <f t="shared" si="4"/>
        <v>0.60499090503083863</v>
      </c>
      <c r="J318" s="13"/>
      <c r="K318" s="13"/>
      <c r="L318" s="13"/>
      <c r="M318" s="13"/>
      <c r="N318" s="13"/>
      <c r="O318" s="13"/>
      <c r="P318" s="13"/>
      <c r="Q318" s="13"/>
    </row>
    <row r="319" spans="1:17" ht="18" x14ac:dyDescent="0.35">
      <c r="A319" s="4">
        <v>318</v>
      </c>
      <c r="B319" s="4">
        <v>52.52</v>
      </c>
      <c r="C319" s="4">
        <v>52.82</v>
      </c>
      <c r="D319" s="4">
        <v>52.75</v>
      </c>
      <c r="F319" s="13">
        <v>292</v>
      </c>
      <c r="G319" s="13">
        <v>41.954528749717326</v>
      </c>
      <c r="H319" s="13">
        <v>0.12547125028267203</v>
      </c>
      <c r="I319" s="13">
        <f t="shared" si="4"/>
        <v>0.12547125028267203</v>
      </c>
      <c r="J319" s="13"/>
      <c r="K319" s="13"/>
      <c r="L319" s="13"/>
      <c r="M319" s="13"/>
      <c r="N319" s="13"/>
      <c r="O319" s="13"/>
      <c r="P319" s="13"/>
      <c r="Q319" s="13"/>
    </row>
    <row r="320" spans="1:17" ht="18" x14ac:dyDescent="0.35">
      <c r="A320" s="4">
        <v>319</v>
      </c>
      <c r="B320" s="4">
        <v>55.39</v>
      </c>
      <c r="C320" s="4">
        <v>52.52</v>
      </c>
      <c r="D320" s="4">
        <v>52.82</v>
      </c>
      <c r="F320" s="13">
        <v>293</v>
      </c>
      <c r="G320" s="13">
        <v>42.427903166316966</v>
      </c>
      <c r="H320" s="13">
        <v>0.30209683368303075</v>
      </c>
      <c r="I320" s="13">
        <f t="shared" si="4"/>
        <v>0.30209683368303075</v>
      </c>
      <c r="J320" s="13"/>
      <c r="K320" s="13"/>
      <c r="L320" s="13"/>
      <c r="M320" s="13"/>
      <c r="N320" s="13"/>
      <c r="O320" s="13"/>
      <c r="P320" s="13"/>
      <c r="Q320" s="13"/>
    </row>
    <row r="321" spans="1:17" ht="18" x14ac:dyDescent="0.35">
      <c r="A321" s="4">
        <v>320</v>
      </c>
      <c r="B321" s="4">
        <v>58.54</v>
      </c>
      <c r="C321" s="4">
        <v>55.39</v>
      </c>
      <c r="D321" s="4">
        <v>52.52</v>
      </c>
      <c r="F321" s="13">
        <v>294</v>
      </c>
      <c r="G321" s="13">
        <v>43.079935275458126</v>
      </c>
      <c r="H321" s="13">
        <v>-0.14993527545812668</v>
      </c>
      <c r="I321" s="13">
        <f t="shared" si="4"/>
        <v>0.14993527545812668</v>
      </c>
      <c r="J321" s="13"/>
      <c r="K321" s="13"/>
      <c r="L321" s="13"/>
      <c r="M321" s="13"/>
      <c r="N321" s="13"/>
      <c r="O321" s="13"/>
      <c r="P321" s="13"/>
      <c r="Q321" s="13"/>
    </row>
    <row r="322" spans="1:17" ht="18" x14ac:dyDescent="0.35">
      <c r="A322" s="4">
        <v>321</v>
      </c>
      <c r="B322" s="4">
        <v>60.17</v>
      </c>
      <c r="C322" s="4">
        <v>58.54</v>
      </c>
      <c r="D322" s="4">
        <v>55.39</v>
      </c>
      <c r="F322" s="13">
        <v>295</v>
      </c>
      <c r="G322" s="13">
        <v>43.241286694338328</v>
      </c>
      <c r="H322" s="13">
        <v>-1.4012866943383244</v>
      </c>
      <c r="I322" s="13">
        <f t="shared" si="4"/>
        <v>1.4012866943383244</v>
      </c>
      <c r="J322" s="13"/>
      <c r="K322" s="13"/>
      <c r="L322" s="13"/>
      <c r="M322" s="13"/>
      <c r="N322" s="13"/>
      <c r="O322" s="13"/>
      <c r="P322" s="13"/>
      <c r="Q322" s="13"/>
    </row>
    <row r="323" spans="1:17" ht="18" x14ac:dyDescent="0.35">
      <c r="A323" s="4">
        <v>322</v>
      </c>
      <c r="B323" s="4">
        <v>62.3</v>
      </c>
      <c r="C323" s="4">
        <v>60.17</v>
      </c>
      <c r="D323" s="4">
        <v>58.54</v>
      </c>
      <c r="F323" s="13">
        <v>296</v>
      </c>
      <c r="G323" s="13">
        <v>42.063829298137897</v>
      </c>
      <c r="H323" s="13">
        <v>-4.6838292981378942</v>
      </c>
      <c r="I323" s="13">
        <f t="shared" si="4"/>
        <v>4.6838292981378942</v>
      </c>
      <c r="J323" s="13"/>
      <c r="K323" s="13"/>
      <c r="L323" s="13"/>
      <c r="M323" s="13"/>
      <c r="N323" s="13"/>
      <c r="O323" s="13"/>
      <c r="P323" s="13"/>
      <c r="Q323" s="13"/>
    </row>
    <row r="324" spans="1:17" ht="18" x14ac:dyDescent="0.35">
      <c r="A324" s="4">
        <v>323</v>
      </c>
      <c r="B324" s="4">
        <v>62.29</v>
      </c>
      <c r="C324" s="4">
        <v>62.3</v>
      </c>
      <c r="D324" s="4">
        <v>60.17</v>
      </c>
      <c r="F324" s="13">
        <v>297</v>
      </c>
      <c r="G324" s="13">
        <v>37.397977106252725</v>
      </c>
      <c r="H324" s="13">
        <v>2.1520228937472723</v>
      </c>
      <c r="I324" s="13">
        <f t="shared" si="4"/>
        <v>2.1520228937472723</v>
      </c>
      <c r="J324" s="13"/>
      <c r="K324" s="13"/>
      <c r="L324" s="13"/>
      <c r="M324" s="13"/>
      <c r="N324" s="13"/>
      <c r="O324" s="13"/>
      <c r="P324" s="13"/>
      <c r="Q324" s="13"/>
    </row>
    <row r="325" spans="1:17" ht="18" x14ac:dyDescent="0.35">
      <c r="A325" s="4">
        <v>324</v>
      </c>
      <c r="B325" s="4">
        <v>65.02</v>
      </c>
      <c r="C325" s="4">
        <v>62.29</v>
      </c>
      <c r="D325" s="4">
        <v>62.3</v>
      </c>
      <c r="F325" s="13">
        <v>298</v>
      </c>
      <c r="G325" s="13">
        <v>40.065616896234445</v>
      </c>
      <c r="H325" s="13">
        <v>-0.28561689623444408</v>
      </c>
      <c r="I325" s="13">
        <f t="shared" si="4"/>
        <v>0.28561689623444408</v>
      </c>
      <c r="J325" s="13"/>
      <c r="K325" s="13"/>
      <c r="L325" s="13"/>
      <c r="M325" s="13"/>
      <c r="N325" s="13"/>
      <c r="O325" s="13"/>
      <c r="P325" s="13"/>
      <c r="Q325" s="13"/>
    </row>
    <row r="326" spans="1:17" ht="18" x14ac:dyDescent="0.35">
      <c r="A326" s="4">
        <v>325</v>
      </c>
      <c r="B326" s="4">
        <v>63.22</v>
      </c>
      <c r="C326" s="4">
        <v>65.02</v>
      </c>
      <c r="D326" s="4">
        <v>62.29</v>
      </c>
      <c r="F326" s="13">
        <v>299</v>
      </c>
      <c r="G326" s="13">
        <v>40.137868128200772</v>
      </c>
      <c r="H326" s="13">
        <v>-1.1478681282007699</v>
      </c>
      <c r="I326" s="13">
        <f t="shared" si="4"/>
        <v>1.1478681282007699</v>
      </c>
      <c r="J326" s="13"/>
      <c r="K326" s="13"/>
      <c r="L326" s="13"/>
      <c r="M326" s="13"/>
      <c r="N326" s="13"/>
      <c r="O326" s="13"/>
      <c r="P326" s="13"/>
      <c r="Q326" s="13"/>
    </row>
    <row r="327" spans="1:17" ht="18" x14ac:dyDescent="0.35">
      <c r="A327" s="4">
        <v>326</v>
      </c>
      <c r="B327" s="4">
        <v>59.95</v>
      </c>
      <c r="C327" s="4">
        <v>63.22</v>
      </c>
      <c r="D327" s="4">
        <v>65.02</v>
      </c>
      <c r="F327" s="13">
        <v>300</v>
      </c>
      <c r="G327" s="13">
        <v>39.277707625002435</v>
      </c>
      <c r="H327" s="13">
        <v>0.91229237499756266</v>
      </c>
      <c r="I327" s="13">
        <f t="shared" si="4"/>
        <v>0.91229237499756266</v>
      </c>
      <c r="J327" s="13"/>
      <c r="K327" s="13"/>
      <c r="L327" s="13"/>
      <c r="M327" s="13"/>
      <c r="N327" s="13"/>
      <c r="O327" s="13"/>
      <c r="P327" s="13"/>
      <c r="Q327" s="13"/>
    </row>
    <row r="328" spans="1:17" ht="18" x14ac:dyDescent="0.35">
      <c r="A328" s="4">
        <v>327</v>
      </c>
      <c r="B328" s="4">
        <v>60.66</v>
      </c>
      <c r="C328" s="4">
        <v>59.95</v>
      </c>
      <c r="D328" s="4">
        <v>63.22</v>
      </c>
      <c r="F328" s="13">
        <v>301</v>
      </c>
      <c r="G328" s="13">
        <v>40.619377192630381</v>
      </c>
      <c r="H328" s="13">
        <v>-0.28937719263038275</v>
      </c>
      <c r="I328" s="13">
        <f t="shared" si="4"/>
        <v>0.28937719263038275</v>
      </c>
      <c r="J328" s="13"/>
      <c r="K328" s="13"/>
      <c r="L328" s="13"/>
      <c r="M328" s="13"/>
      <c r="N328" s="13"/>
      <c r="O328" s="13"/>
      <c r="P328" s="13"/>
      <c r="Q328" s="13"/>
    </row>
    <row r="329" spans="1:17" ht="18" x14ac:dyDescent="0.35">
      <c r="A329" s="4">
        <v>328</v>
      </c>
      <c r="B329" s="4">
        <v>59.35</v>
      </c>
      <c r="C329" s="4">
        <v>60.66</v>
      </c>
      <c r="D329" s="4">
        <v>59.95</v>
      </c>
      <c r="F329" s="13">
        <v>302</v>
      </c>
      <c r="G329" s="13">
        <v>40.672983530092075</v>
      </c>
      <c r="H329" s="13">
        <v>-0.24298353009207574</v>
      </c>
      <c r="I329" s="13">
        <f t="shared" si="4"/>
        <v>0.24298353009207574</v>
      </c>
      <c r="J329" s="13"/>
      <c r="K329" s="13"/>
      <c r="L329" s="13"/>
      <c r="M329" s="13"/>
      <c r="N329" s="13"/>
      <c r="O329" s="13"/>
      <c r="P329" s="13"/>
      <c r="Q329" s="13"/>
    </row>
    <row r="330" spans="1:17" ht="18" x14ac:dyDescent="0.35">
      <c r="A330" s="4">
        <v>329</v>
      </c>
      <c r="B330" s="4">
        <v>61.93</v>
      </c>
      <c r="C330" s="4">
        <v>59.35</v>
      </c>
      <c r="D330" s="4">
        <v>60.66</v>
      </c>
      <c r="F330" s="13">
        <v>303</v>
      </c>
      <c r="G330" s="13">
        <v>40.768394590289986</v>
      </c>
      <c r="H330" s="13">
        <v>-3.4483945902899862</v>
      </c>
      <c r="I330" s="13">
        <f t="shared" si="4"/>
        <v>3.4483945902899862</v>
      </c>
      <c r="J330" s="13"/>
      <c r="K330" s="13"/>
      <c r="L330" s="13"/>
      <c r="M330" s="13"/>
      <c r="N330" s="13"/>
      <c r="O330" s="13"/>
      <c r="P330" s="13"/>
      <c r="Q330" s="13"/>
    </row>
    <row r="331" spans="1:17" ht="18" x14ac:dyDescent="0.35">
      <c r="A331" s="4">
        <v>330</v>
      </c>
      <c r="B331" s="4">
        <v>62.18</v>
      </c>
      <c r="C331" s="4">
        <v>61.93</v>
      </c>
      <c r="D331" s="4">
        <v>59.35</v>
      </c>
      <c r="F331" s="13">
        <v>304</v>
      </c>
      <c r="G331" s="13">
        <v>37.446347092322426</v>
      </c>
      <c r="H331" s="13">
        <v>0.26365290767757443</v>
      </c>
      <c r="I331" s="13">
        <f t="shared" si="4"/>
        <v>0.26365290767757443</v>
      </c>
      <c r="J331" s="13"/>
      <c r="K331" s="13"/>
      <c r="L331" s="13"/>
      <c r="M331" s="13"/>
      <c r="N331" s="13"/>
      <c r="O331" s="13"/>
      <c r="P331" s="13"/>
      <c r="Q331" s="13"/>
    </row>
    <row r="332" spans="1:17" ht="18" x14ac:dyDescent="0.35">
      <c r="A332" s="4">
        <v>331</v>
      </c>
      <c r="B332" s="4">
        <v>63.47</v>
      </c>
      <c r="C332" s="4">
        <v>62.18</v>
      </c>
      <c r="D332" s="4">
        <v>61.93</v>
      </c>
      <c r="F332" s="13">
        <v>305</v>
      </c>
      <c r="G332" s="13">
        <v>38.10965261828656</v>
      </c>
      <c r="H332" s="13">
        <v>2.5503473817134363</v>
      </c>
      <c r="I332" s="13">
        <f t="shared" si="4"/>
        <v>2.5503473817134363</v>
      </c>
      <c r="J332" s="13"/>
      <c r="K332" s="13"/>
      <c r="L332" s="13"/>
      <c r="M332" s="13"/>
      <c r="N332" s="13"/>
      <c r="O332" s="13"/>
      <c r="P332" s="13"/>
      <c r="Q332" s="13"/>
    </row>
    <row r="333" spans="1:17" ht="18" x14ac:dyDescent="0.35">
      <c r="A333" s="4">
        <v>332</v>
      </c>
      <c r="B333" s="4">
        <v>65.099999999999994</v>
      </c>
      <c r="C333" s="4">
        <v>63.47</v>
      </c>
      <c r="D333" s="4">
        <v>62.18</v>
      </c>
      <c r="F333" s="13">
        <v>306</v>
      </c>
      <c r="G333" s="13">
        <v>41.222171931066761</v>
      </c>
      <c r="H333" s="13">
        <v>0.29782806893324221</v>
      </c>
      <c r="I333" s="13">
        <f t="shared" si="4"/>
        <v>0.29782806893324221</v>
      </c>
      <c r="J333" s="13"/>
      <c r="K333" s="13"/>
      <c r="L333" s="13"/>
      <c r="M333" s="13"/>
      <c r="N333" s="13"/>
      <c r="O333" s="13"/>
      <c r="P333" s="13"/>
      <c r="Q333" s="13"/>
    </row>
    <row r="334" spans="1:17" ht="18" x14ac:dyDescent="0.35">
      <c r="A334" s="4">
        <v>333</v>
      </c>
      <c r="B334" s="4">
        <v>65.069999999999993</v>
      </c>
      <c r="C334" s="4">
        <v>65.099999999999994</v>
      </c>
      <c r="D334" s="4">
        <v>63.47</v>
      </c>
      <c r="F334" s="13">
        <v>307</v>
      </c>
      <c r="G334" s="13">
        <v>41.903637197832893</v>
      </c>
      <c r="H334" s="13">
        <v>2.4963628021671056</v>
      </c>
      <c r="I334" s="13">
        <f t="shared" si="4"/>
        <v>2.4963628021671056</v>
      </c>
      <c r="J334" s="13"/>
      <c r="K334" s="13"/>
      <c r="L334" s="13"/>
      <c r="M334" s="13"/>
      <c r="N334" s="13"/>
      <c r="O334" s="13"/>
      <c r="P334" s="13"/>
      <c r="Q334" s="13"/>
    </row>
    <row r="335" spans="1:17" ht="18" x14ac:dyDescent="0.35">
      <c r="A335" s="4">
        <v>334</v>
      </c>
      <c r="B335" s="4">
        <v>64.11</v>
      </c>
      <c r="C335" s="4">
        <v>65.069999999999993</v>
      </c>
      <c r="D335" s="4">
        <v>65.099999999999994</v>
      </c>
      <c r="F335" s="13">
        <v>308</v>
      </c>
      <c r="G335" s="13">
        <v>44.904127259120834</v>
      </c>
      <c r="H335" s="13">
        <v>0.46587274087916342</v>
      </c>
      <c r="I335" s="13">
        <f t="shared" si="4"/>
        <v>0.46587274087916342</v>
      </c>
      <c r="J335" s="13"/>
      <c r="K335" s="13"/>
      <c r="L335" s="13"/>
      <c r="M335" s="13"/>
      <c r="N335" s="13"/>
      <c r="O335" s="13"/>
      <c r="P335" s="13"/>
      <c r="Q335" s="13"/>
    </row>
    <row r="336" spans="1:17" ht="18" x14ac:dyDescent="0.35">
      <c r="A336" s="4">
        <v>335</v>
      </c>
      <c r="B336" s="4">
        <v>66.400000000000006</v>
      </c>
      <c r="C336" s="4">
        <v>64.11</v>
      </c>
      <c r="D336" s="4">
        <v>65.069999999999993</v>
      </c>
      <c r="F336" s="13">
        <v>309</v>
      </c>
      <c r="G336" s="13">
        <v>45.708386414103316</v>
      </c>
      <c r="H336" s="13">
        <v>0.33161358589668311</v>
      </c>
      <c r="I336" s="13">
        <f t="shared" si="4"/>
        <v>0.33161358589668311</v>
      </c>
      <c r="J336" s="13"/>
      <c r="K336" s="13"/>
      <c r="L336" s="13"/>
      <c r="M336" s="13"/>
      <c r="N336" s="13"/>
      <c r="O336" s="13"/>
      <c r="P336" s="13"/>
      <c r="Q336" s="13"/>
    </row>
    <row r="337" spans="1:17" ht="18" x14ac:dyDescent="0.35">
      <c r="A337" s="4">
        <v>336</v>
      </c>
      <c r="B337" s="4">
        <v>68.739999999999995</v>
      </c>
      <c r="C337" s="4">
        <v>66.400000000000006</v>
      </c>
      <c r="D337" s="4">
        <v>64.11</v>
      </c>
      <c r="F337" s="13">
        <v>310</v>
      </c>
      <c r="G337" s="13">
        <v>46.345091700000957</v>
      </c>
      <c r="H337" s="13">
        <v>1.6249082999990421</v>
      </c>
      <c r="I337" s="13">
        <f t="shared" si="4"/>
        <v>1.6249082999990421</v>
      </c>
      <c r="J337" s="13"/>
      <c r="K337" s="13"/>
      <c r="L337" s="13"/>
      <c r="M337" s="13"/>
      <c r="N337" s="13"/>
      <c r="O337" s="13"/>
      <c r="P337" s="13"/>
      <c r="Q337" s="13"/>
    </row>
    <row r="338" spans="1:17" ht="18" x14ac:dyDescent="0.35">
      <c r="A338" s="4">
        <v>337</v>
      </c>
      <c r="B338" s="4">
        <v>70.11</v>
      </c>
      <c r="C338" s="4">
        <v>68.739999999999995</v>
      </c>
      <c r="D338" s="4">
        <v>66.400000000000006</v>
      </c>
      <c r="F338" s="13">
        <v>311</v>
      </c>
      <c r="G338" s="13">
        <v>48.348375068522728</v>
      </c>
      <c r="H338" s="13">
        <v>-0.61837506852273094</v>
      </c>
      <c r="I338" s="13">
        <f t="shared" si="4"/>
        <v>0.61837506852273094</v>
      </c>
      <c r="J338" s="13"/>
      <c r="K338" s="13"/>
      <c r="L338" s="13"/>
      <c r="M338" s="13"/>
      <c r="N338" s="13"/>
      <c r="O338" s="13"/>
      <c r="P338" s="13"/>
      <c r="Q338" s="13"/>
    </row>
    <row r="339" spans="1:17" ht="18" x14ac:dyDescent="0.35">
      <c r="A339" s="4">
        <v>338</v>
      </c>
      <c r="B339" s="4">
        <v>71.55</v>
      </c>
      <c r="C339" s="4">
        <v>70.11</v>
      </c>
      <c r="D339" s="4">
        <v>68.739999999999995</v>
      </c>
      <c r="F339" s="13">
        <v>312</v>
      </c>
      <c r="G339" s="13">
        <v>47.93890038990066</v>
      </c>
      <c r="H339" s="13">
        <v>4.1099610099337269E-2</v>
      </c>
      <c r="I339" s="13">
        <f t="shared" si="4"/>
        <v>4.1099610099337269E-2</v>
      </c>
      <c r="J339" s="13"/>
      <c r="K339" s="13"/>
      <c r="L339" s="13"/>
      <c r="M339" s="13"/>
      <c r="N339" s="13"/>
      <c r="O339" s="13"/>
      <c r="P339" s="13"/>
      <c r="Q339" s="13"/>
    </row>
    <row r="340" spans="1:17" ht="18" x14ac:dyDescent="0.35">
      <c r="A340" s="4">
        <v>339</v>
      </c>
      <c r="B340" s="4">
        <v>73.48</v>
      </c>
      <c r="C340" s="4">
        <v>71.55</v>
      </c>
      <c r="D340" s="4">
        <v>70.11</v>
      </c>
      <c r="F340" s="13">
        <v>313</v>
      </c>
      <c r="G340" s="13">
        <v>48.22442186173118</v>
      </c>
      <c r="H340" s="13">
        <v>1.8655781382688232</v>
      </c>
      <c r="I340" s="13">
        <f t="shared" si="4"/>
        <v>1.8655781382688232</v>
      </c>
      <c r="J340" s="13"/>
      <c r="K340" s="13"/>
      <c r="L340" s="13"/>
      <c r="M340" s="13"/>
      <c r="N340" s="13"/>
      <c r="O340" s="13"/>
      <c r="P340" s="13"/>
      <c r="Q340" s="13"/>
    </row>
    <row r="341" spans="1:17" ht="18" x14ac:dyDescent="0.35">
      <c r="A341" s="4">
        <v>340</v>
      </c>
      <c r="B341" s="4">
        <v>74.069999999999993</v>
      </c>
      <c r="C341" s="4">
        <v>73.48</v>
      </c>
      <c r="D341" s="4">
        <v>71.55</v>
      </c>
      <c r="F341" s="13">
        <v>314</v>
      </c>
      <c r="G341" s="13">
        <v>50.452970304605152</v>
      </c>
      <c r="H341" s="13">
        <v>2.2970296953948477</v>
      </c>
      <c r="I341" s="13">
        <f t="shared" si="4"/>
        <v>2.2970296953948477</v>
      </c>
      <c r="J341" s="13"/>
      <c r="K341" s="13"/>
      <c r="L341" s="13"/>
      <c r="M341" s="13"/>
      <c r="N341" s="13"/>
      <c r="O341" s="13"/>
      <c r="P341" s="13"/>
      <c r="Q341" s="13"/>
    </row>
    <row r="342" spans="1:17" ht="18" x14ac:dyDescent="0.35">
      <c r="A342" s="4">
        <v>341</v>
      </c>
      <c r="B342" s="4">
        <v>73.349999999999994</v>
      </c>
      <c r="C342" s="4">
        <v>74.069999999999993</v>
      </c>
      <c r="D342" s="4">
        <v>73.48</v>
      </c>
      <c r="F342" s="13">
        <v>315</v>
      </c>
      <c r="G342" s="13">
        <v>53.119460484913489</v>
      </c>
      <c r="H342" s="13">
        <v>-0.29946048491348876</v>
      </c>
      <c r="I342" s="13">
        <f t="shared" si="4"/>
        <v>0.29946048491348876</v>
      </c>
      <c r="J342" s="13"/>
      <c r="K342" s="13"/>
      <c r="L342" s="13"/>
      <c r="M342" s="13"/>
      <c r="N342" s="13"/>
      <c r="O342" s="13"/>
      <c r="P342" s="13"/>
      <c r="Q342" s="13"/>
    </row>
    <row r="343" spans="1:17" ht="18" x14ac:dyDescent="0.35">
      <c r="A343" s="4">
        <v>342</v>
      </c>
      <c r="B343" s="4">
        <v>73.19</v>
      </c>
      <c r="C343" s="4">
        <v>73.349999999999994</v>
      </c>
      <c r="D343" s="4">
        <v>74.069999999999993</v>
      </c>
      <c r="F343" s="13">
        <v>316</v>
      </c>
      <c r="G343" s="13">
        <v>52.982183531692449</v>
      </c>
      <c r="H343" s="13">
        <v>-0.46218353169244608</v>
      </c>
      <c r="I343" s="13">
        <f t="shared" si="4"/>
        <v>0.46218353169244608</v>
      </c>
      <c r="J343" s="13"/>
      <c r="K343" s="13"/>
      <c r="L343" s="13"/>
      <c r="M343" s="13"/>
      <c r="N343" s="13"/>
      <c r="O343" s="13"/>
      <c r="P343" s="13"/>
      <c r="Q343" s="13"/>
    </row>
    <row r="344" spans="1:17" ht="18" x14ac:dyDescent="0.35">
      <c r="A344" s="4">
        <v>343</v>
      </c>
      <c r="B344" s="4">
        <v>69.680000000000007</v>
      </c>
      <c r="C344" s="4">
        <v>73.19</v>
      </c>
      <c r="D344" s="4">
        <v>73.349999999999994</v>
      </c>
      <c r="F344" s="13">
        <v>317</v>
      </c>
      <c r="G344" s="13">
        <v>52.656921584226666</v>
      </c>
      <c r="H344" s="13">
        <v>2.7330784157733348</v>
      </c>
      <c r="I344" s="13">
        <f t="shared" si="4"/>
        <v>2.7330784157733348</v>
      </c>
      <c r="J344" s="13"/>
      <c r="K344" s="13"/>
      <c r="L344" s="13"/>
      <c r="M344" s="13"/>
      <c r="N344" s="13"/>
      <c r="O344" s="13"/>
      <c r="P344" s="13"/>
      <c r="Q344" s="13"/>
    </row>
    <row r="345" spans="1:17" ht="18" x14ac:dyDescent="0.35">
      <c r="A345" s="4">
        <v>344</v>
      </c>
      <c r="B345" s="4">
        <v>72.75</v>
      </c>
      <c r="C345" s="4">
        <v>69.680000000000007</v>
      </c>
      <c r="D345" s="4">
        <v>73.19</v>
      </c>
      <c r="F345" s="13">
        <v>318</v>
      </c>
      <c r="G345" s="13">
        <v>55.739150063648623</v>
      </c>
      <c r="H345" s="13">
        <v>2.8008499363513764</v>
      </c>
      <c r="I345" s="13">
        <f t="shared" si="4"/>
        <v>2.8008499363513764</v>
      </c>
      <c r="J345" s="13"/>
      <c r="K345" s="13"/>
      <c r="L345" s="13"/>
      <c r="M345" s="13"/>
      <c r="N345" s="13"/>
      <c r="O345" s="13"/>
      <c r="P345" s="13"/>
      <c r="Q345" s="13"/>
    </row>
    <row r="346" spans="1:17" ht="18" x14ac:dyDescent="0.35">
      <c r="A346" s="4">
        <v>345</v>
      </c>
      <c r="B346" s="4">
        <v>69.5</v>
      </c>
      <c r="C346" s="4">
        <v>72.75</v>
      </c>
      <c r="D346" s="4">
        <v>69.680000000000007</v>
      </c>
      <c r="F346" s="13">
        <v>319</v>
      </c>
      <c r="G346" s="13">
        <v>58.867260298623606</v>
      </c>
      <c r="H346" s="13">
        <v>1.3027397013763959</v>
      </c>
      <c r="I346" s="13">
        <f t="shared" si="4"/>
        <v>1.3027397013763959</v>
      </c>
      <c r="J346" s="13"/>
      <c r="K346" s="13"/>
      <c r="L346" s="13"/>
      <c r="M346" s="13"/>
      <c r="N346" s="13"/>
      <c r="O346" s="13"/>
      <c r="P346" s="13"/>
      <c r="Q346" s="13"/>
    </row>
    <row r="347" spans="1:17" ht="18" x14ac:dyDescent="0.35">
      <c r="A347" s="4">
        <v>346</v>
      </c>
      <c r="B347" s="4">
        <v>68.33</v>
      </c>
      <c r="C347" s="4">
        <v>69.5</v>
      </c>
      <c r="D347" s="4">
        <v>72.75</v>
      </c>
      <c r="F347" s="13">
        <v>320</v>
      </c>
      <c r="G347" s="13">
        <v>60.353323907104823</v>
      </c>
      <c r="H347" s="13">
        <v>1.9466760928951743</v>
      </c>
      <c r="I347" s="13">
        <f t="shared" si="4"/>
        <v>1.9466760928951743</v>
      </c>
      <c r="J347" s="13"/>
      <c r="K347" s="13"/>
      <c r="L347" s="13"/>
      <c r="M347" s="13"/>
      <c r="N347" s="13"/>
      <c r="O347" s="13"/>
      <c r="P347" s="13"/>
      <c r="Q347" s="13"/>
    </row>
    <row r="348" spans="1:17" ht="18" x14ac:dyDescent="0.35">
      <c r="A348" s="4">
        <v>347</v>
      </c>
      <c r="B348" s="4">
        <v>65.05</v>
      </c>
      <c r="C348" s="4">
        <v>68.33</v>
      </c>
      <c r="D348" s="4">
        <v>69.5</v>
      </c>
      <c r="F348" s="13">
        <v>321</v>
      </c>
      <c r="G348" s="13">
        <v>62.493267025669354</v>
      </c>
      <c r="H348" s="13">
        <v>-0.20326702566935495</v>
      </c>
      <c r="I348" s="13">
        <f t="shared" si="4"/>
        <v>0.20326702566935495</v>
      </c>
      <c r="J348" s="13"/>
      <c r="K348" s="13"/>
      <c r="L348" s="13"/>
      <c r="M348" s="13"/>
      <c r="N348" s="13"/>
      <c r="O348" s="13"/>
      <c r="P348" s="13"/>
      <c r="Q348" s="13"/>
    </row>
    <row r="349" spans="1:17" ht="18" x14ac:dyDescent="0.35">
      <c r="A349" s="4">
        <v>348</v>
      </c>
      <c r="B349" s="4">
        <v>67.59</v>
      </c>
      <c r="C349" s="4">
        <v>65.05</v>
      </c>
      <c r="D349" s="4">
        <v>68.33</v>
      </c>
      <c r="F349" s="13">
        <v>322</v>
      </c>
      <c r="G349" s="13">
        <v>62.312955151948195</v>
      </c>
      <c r="H349" s="13">
        <v>2.707044848051801</v>
      </c>
      <c r="I349" s="13">
        <f t="shared" ref="I349:I412" si="5">ABS(H349)</f>
        <v>2.707044848051801</v>
      </c>
      <c r="J349" s="13"/>
      <c r="K349" s="13"/>
      <c r="L349" s="13"/>
      <c r="M349" s="13"/>
      <c r="N349" s="13"/>
      <c r="O349" s="13"/>
      <c r="P349" s="13"/>
      <c r="Q349" s="13"/>
    </row>
    <row r="350" spans="1:17" ht="18" x14ac:dyDescent="0.35">
      <c r="A350" s="4">
        <v>349</v>
      </c>
      <c r="B350" s="4">
        <v>69.150000000000006</v>
      </c>
      <c r="C350" s="4">
        <v>67.59</v>
      </c>
      <c r="D350" s="4">
        <v>65.05</v>
      </c>
      <c r="F350" s="13">
        <v>323</v>
      </c>
      <c r="G350" s="13">
        <v>65.222897982399573</v>
      </c>
      <c r="H350" s="13">
        <v>-2.0028979823995741</v>
      </c>
      <c r="I350" s="13">
        <f t="shared" si="5"/>
        <v>2.0028979823995741</v>
      </c>
      <c r="J350" s="13"/>
      <c r="K350" s="13"/>
      <c r="L350" s="13"/>
      <c r="M350" s="13"/>
      <c r="N350" s="13"/>
      <c r="O350" s="13"/>
      <c r="P350" s="13"/>
      <c r="Q350" s="13"/>
    </row>
    <row r="351" spans="1:17" ht="18" x14ac:dyDescent="0.35">
      <c r="A351" s="4">
        <v>350</v>
      </c>
      <c r="B351" s="4">
        <v>68.98</v>
      </c>
      <c r="C351" s="4">
        <v>69.150000000000006</v>
      </c>
      <c r="D351" s="4">
        <v>67.59</v>
      </c>
      <c r="F351" s="13">
        <v>324</v>
      </c>
      <c r="G351" s="13">
        <v>63.087333539493741</v>
      </c>
      <c r="H351" s="13">
        <v>-3.1373335394937385</v>
      </c>
      <c r="I351" s="13">
        <f t="shared" si="5"/>
        <v>3.1373335394937385</v>
      </c>
      <c r="J351" s="13"/>
      <c r="K351" s="13"/>
      <c r="L351" s="13"/>
      <c r="M351" s="13"/>
      <c r="N351" s="13"/>
      <c r="O351" s="13"/>
      <c r="P351" s="13"/>
      <c r="Q351" s="13"/>
    </row>
    <row r="352" spans="1:17" ht="18" x14ac:dyDescent="0.35">
      <c r="A352" s="4">
        <v>351</v>
      </c>
      <c r="B352" s="4">
        <v>71.69</v>
      </c>
      <c r="C352" s="4">
        <v>68.98</v>
      </c>
      <c r="D352" s="4">
        <v>69.150000000000006</v>
      </c>
      <c r="F352" s="13">
        <v>325</v>
      </c>
      <c r="G352" s="13">
        <v>59.746122658020852</v>
      </c>
      <c r="H352" s="13">
        <v>0.91387734197914483</v>
      </c>
      <c r="I352" s="13">
        <f t="shared" si="5"/>
        <v>0.91387734197914483</v>
      </c>
      <c r="J352" s="13"/>
      <c r="K352" s="13"/>
      <c r="L352" s="13"/>
      <c r="M352" s="13"/>
      <c r="N352" s="13"/>
      <c r="O352" s="13"/>
      <c r="P352" s="13"/>
      <c r="Q352" s="13"/>
    </row>
    <row r="353" spans="1:17" ht="18" x14ac:dyDescent="0.35">
      <c r="A353" s="4">
        <v>352</v>
      </c>
      <c r="B353" s="4">
        <v>72.180000000000007</v>
      </c>
      <c r="C353" s="4">
        <v>71.69</v>
      </c>
      <c r="D353" s="4">
        <v>68.98</v>
      </c>
      <c r="F353" s="13">
        <v>326</v>
      </c>
      <c r="G353" s="13">
        <v>60.763171107757508</v>
      </c>
      <c r="H353" s="13">
        <v>-1.4131711077575062</v>
      </c>
      <c r="I353" s="13">
        <f t="shared" si="5"/>
        <v>1.4131711077575062</v>
      </c>
      <c r="J353" s="13"/>
      <c r="K353" s="13"/>
      <c r="L353" s="13"/>
      <c r="M353" s="13"/>
      <c r="N353" s="13"/>
      <c r="O353" s="13"/>
      <c r="P353" s="13"/>
      <c r="Q353" s="13"/>
    </row>
    <row r="354" spans="1:17" ht="18" x14ac:dyDescent="0.35">
      <c r="A354" s="4">
        <v>353</v>
      </c>
      <c r="B354" s="4">
        <v>75.45</v>
      </c>
      <c r="C354" s="4">
        <v>72.180000000000007</v>
      </c>
      <c r="D354" s="4">
        <v>71.69</v>
      </c>
      <c r="F354" s="13">
        <v>327</v>
      </c>
      <c r="G354" s="13">
        <v>59.310655233608742</v>
      </c>
      <c r="H354" s="13">
        <v>2.6193447663912579</v>
      </c>
      <c r="I354" s="13">
        <f t="shared" si="5"/>
        <v>2.6193447663912579</v>
      </c>
      <c r="J354" s="13"/>
      <c r="K354" s="13"/>
      <c r="L354" s="13"/>
      <c r="M354" s="13"/>
      <c r="N354" s="13"/>
      <c r="O354" s="13"/>
      <c r="P354" s="13"/>
      <c r="Q354" s="13"/>
    </row>
    <row r="355" spans="1:17" ht="18" x14ac:dyDescent="0.35">
      <c r="A355" s="4">
        <v>354</v>
      </c>
      <c r="B355" s="4">
        <v>78.5</v>
      </c>
      <c r="C355" s="4">
        <v>75.45</v>
      </c>
      <c r="D355" s="4">
        <v>72.180000000000007</v>
      </c>
      <c r="F355" s="13">
        <v>328</v>
      </c>
      <c r="G355" s="13">
        <v>62.164300567417406</v>
      </c>
      <c r="H355" s="13">
        <v>1.5699432582593431E-2</v>
      </c>
      <c r="I355" s="13">
        <f t="shared" si="5"/>
        <v>1.5699432582593431E-2</v>
      </c>
      <c r="J355" s="13"/>
      <c r="K355" s="13"/>
      <c r="L355" s="13"/>
      <c r="M355" s="13"/>
      <c r="N355" s="13"/>
      <c r="O355" s="13"/>
      <c r="P355" s="13"/>
      <c r="Q355" s="13"/>
    </row>
    <row r="356" spans="1:17" ht="18" x14ac:dyDescent="0.35">
      <c r="A356" s="4">
        <v>355</v>
      </c>
      <c r="B356" s="4">
        <v>81.180000000000007</v>
      </c>
      <c r="C356" s="4">
        <v>78.5</v>
      </c>
      <c r="D356" s="4">
        <v>75.45</v>
      </c>
      <c r="F356" s="13">
        <v>329</v>
      </c>
      <c r="G356" s="13">
        <v>62.225207503372033</v>
      </c>
      <c r="H356" s="13">
        <v>1.2447924966279658</v>
      </c>
      <c r="I356" s="13">
        <f t="shared" si="5"/>
        <v>1.2447924966279658</v>
      </c>
      <c r="J356" s="13"/>
      <c r="K356" s="13"/>
      <c r="L356" s="13"/>
      <c r="M356" s="13"/>
      <c r="N356" s="13"/>
      <c r="O356" s="13"/>
      <c r="P356" s="13"/>
      <c r="Q356" s="13"/>
    </row>
    <row r="357" spans="1:17" ht="18" x14ac:dyDescent="0.35">
      <c r="A357" s="4">
        <v>356</v>
      </c>
      <c r="B357" s="4">
        <v>83.48</v>
      </c>
      <c r="C357" s="4">
        <v>81.180000000000007</v>
      </c>
      <c r="D357" s="4">
        <v>78.5</v>
      </c>
      <c r="F357" s="13">
        <v>330</v>
      </c>
      <c r="G357" s="13">
        <v>63.579946427380037</v>
      </c>
      <c r="H357" s="13">
        <v>1.5200535726199575</v>
      </c>
      <c r="I357" s="13">
        <f t="shared" si="5"/>
        <v>1.5200535726199575</v>
      </c>
      <c r="J357" s="13"/>
      <c r="K357" s="13"/>
      <c r="L357" s="13"/>
      <c r="M357" s="13"/>
      <c r="N357" s="13"/>
      <c r="O357" s="13"/>
      <c r="P357" s="13"/>
      <c r="Q357" s="13"/>
    </row>
    <row r="358" spans="1:17" ht="18" x14ac:dyDescent="0.35">
      <c r="A358" s="4">
        <v>357</v>
      </c>
      <c r="B358" s="4">
        <v>83.84</v>
      </c>
      <c r="C358" s="4">
        <v>83.48</v>
      </c>
      <c r="D358" s="4">
        <v>81.180000000000007</v>
      </c>
      <c r="F358" s="13">
        <v>331</v>
      </c>
      <c r="G358" s="13">
        <v>65.214160048885759</v>
      </c>
      <c r="H358" s="13">
        <v>-0.14416004888576595</v>
      </c>
      <c r="I358" s="13">
        <f t="shared" si="5"/>
        <v>0.14416004888576595</v>
      </c>
      <c r="J358" s="13"/>
      <c r="K358" s="13"/>
      <c r="L358" s="13"/>
      <c r="M358" s="13"/>
      <c r="N358" s="13"/>
      <c r="O358" s="13"/>
      <c r="P358" s="13"/>
      <c r="Q358" s="13"/>
    </row>
    <row r="359" spans="1:17" ht="18" x14ac:dyDescent="0.35">
      <c r="A359" s="4">
        <v>358</v>
      </c>
      <c r="B359" s="4">
        <v>81.790000000000006</v>
      </c>
      <c r="C359" s="4">
        <v>83.84</v>
      </c>
      <c r="D359" s="4">
        <v>83.48</v>
      </c>
      <c r="F359" s="13">
        <v>332</v>
      </c>
      <c r="G359" s="13">
        <v>65.052361020193587</v>
      </c>
      <c r="H359" s="13">
        <v>-0.94236102019358725</v>
      </c>
      <c r="I359" s="13">
        <f t="shared" si="5"/>
        <v>0.94236102019358725</v>
      </c>
      <c r="J359" s="13"/>
      <c r="K359" s="13"/>
      <c r="L359" s="13"/>
      <c r="M359" s="13"/>
      <c r="N359" s="13"/>
      <c r="O359" s="13"/>
      <c r="P359" s="13"/>
      <c r="Q359" s="13"/>
    </row>
    <row r="360" spans="1:17" ht="18" x14ac:dyDescent="0.35">
      <c r="A360" s="4">
        <v>359</v>
      </c>
      <c r="B360" s="4">
        <v>81.93</v>
      </c>
      <c r="C360" s="4">
        <v>81.790000000000006</v>
      </c>
      <c r="D360" s="4">
        <v>83.84</v>
      </c>
      <c r="F360" s="13">
        <v>333</v>
      </c>
      <c r="G360" s="13">
        <v>64.031754026640826</v>
      </c>
      <c r="H360" s="13">
        <v>2.3682459733591799</v>
      </c>
      <c r="I360" s="13">
        <f t="shared" si="5"/>
        <v>2.3682459733591799</v>
      </c>
      <c r="J360" s="13"/>
      <c r="K360" s="13"/>
      <c r="L360" s="13"/>
      <c r="M360" s="13"/>
      <c r="N360" s="13"/>
      <c r="O360" s="13"/>
      <c r="P360" s="13"/>
      <c r="Q360" s="13"/>
    </row>
    <row r="361" spans="1:17" ht="18" x14ac:dyDescent="0.35">
      <c r="A361" s="4">
        <v>360</v>
      </c>
      <c r="B361" s="4">
        <v>78.989999999999995</v>
      </c>
      <c r="C361" s="4">
        <v>81.93</v>
      </c>
      <c r="D361" s="4">
        <v>81.790000000000006</v>
      </c>
      <c r="F361" s="13">
        <v>334</v>
      </c>
      <c r="G361" s="13">
        <v>66.548491474130103</v>
      </c>
      <c r="H361" s="13">
        <v>2.1915085258698923</v>
      </c>
      <c r="I361" s="13">
        <f t="shared" si="5"/>
        <v>2.1915085258698923</v>
      </c>
      <c r="J361" s="13"/>
      <c r="K361" s="13"/>
      <c r="L361" s="13"/>
      <c r="M361" s="13"/>
      <c r="N361" s="13"/>
      <c r="O361" s="13"/>
      <c r="P361" s="13"/>
      <c r="Q361" s="13"/>
    </row>
    <row r="362" spans="1:17" ht="18" x14ac:dyDescent="0.35">
      <c r="A362" s="4">
        <v>361</v>
      </c>
      <c r="B362" s="4">
        <v>77.790000000000006</v>
      </c>
      <c r="C362" s="4">
        <v>78.989999999999995</v>
      </c>
      <c r="D362" s="4">
        <v>81.93</v>
      </c>
      <c r="F362" s="13">
        <v>335</v>
      </c>
      <c r="G362" s="13">
        <v>68.85964571977317</v>
      </c>
      <c r="H362" s="13">
        <v>1.2503542802268299</v>
      </c>
      <c r="I362" s="13">
        <f t="shared" si="5"/>
        <v>1.2503542802268299</v>
      </c>
      <c r="J362" s="13"/>
      <c r="K362" s="13"/>
      <c r="L362" s="13"/>
      <c r="M362" s="13"/>
      <c r="N362" s="13"/>
      <c r="O362" s="13"/>
      <c r="P362" s="13"/>
      <c r="Q362" s="13"/>
    </row>
    <row r="363" spans="1:17" ht="18" x14ac:dyDescent="0.35">
      <c r="A363" s="4">
        <v>362</v>
      </c>
      <c r="B363" s="4">
        <v>66.89</v>
      </c>
      <c r="C363" s="4">
        <v>77.790000000000006</v>
      </c>
      <c r="D363" s="4">
        <v>78.989999999999995</v>
      </c>
      <c r="F363" s="13">
        <v>336</v>
      </c>
      <c r="G363" s="13">
        <v>70.133164714647833</v>
      </c>
      <c r="H363" s="13">
        <v>1.416835285352164</v>
      </c>
      <c r="I363" s="13">
        <f t="shared" si="5"/>
        <v>1.416835285352164</v>
      </c>
      <c r="J363" s="13"/>
      <c r="K363" s="13"/>
      <c r="L363" s="13"/>
      <c r="M363" s="13"/>
      <c r="N363" s="13"/>
      <c r="O363" s="13"/>
      <c r="P363" s="13"/>
      <c r="Q363" s="13"/>
    </row>
    <row r="364" spans="1:17" ht="18" x14ac:dyDescent="0.35">
      <c r="A364" s="4">
        <v>363</v>
      </c>
      <c r="B364" s="4">
        <v>71.31</v>
      </c>
      <c r="C364" s="4">
        <v>66.89</v>
      </c>
      <c r="D364" s="4">
        <v>77.790000000000006</v>
      </c>
      <c r="F364" s="13">
        <v>337</v>
      </c>
      <c r="G364" s="13">
        <v>71.558538233333181</v>
      </c>
      <c r="H364" s="13">
        <v>1.9214617666668232</v>
      </c>
      <c r="I364" s="13">
        <f t="shared" si="5"/>
        <v>1.9214617666668232</v>
      </c>
      <c r="J364" s="13"/>
      <c r="K364" s="13"/>
      <c r="L364" s="13"/>
      <c r="M364" s="13"/>
      <c r="N364" s="13"/>
      <c r="O364" s="13"/>
      <c r="P364" s="13"/>
      <c r="Q364" s="13"/>
    </row>
    <row r="365" spans="1:17" ht="18" x14ac:dyDescent="0.35">
      <c r="A365" s="4">
        <v>364</v>
      </c>
      <c r="B365" s="4">
        <v>71.180000000000007</v>
      </c>
      <c r="C365" s="4">
        <v>71.31</v>
      </c>
      <c r="D365" s="4">
        <v>66.89</v>
      </c>
      <c r="F365" s="13">
        <v>338</v>
      </c>
      <c r="G365" s="13">
        <v>73.500490682484582</v>
      </c>
      <c r="H365" s="13">
        <v>0.56950931751541134</v>
      </c>
      <c r="I365" s="13">
        <f t="shared" si="5"/>
        <v>0.56950931751541134</v>
      </c>
      <c r="J365" s="13"/>
      <c r="K365" s="13"/>
      <c r="L365" s="13"/>
      <c r="M365" s="13"/>
      <c r="N365" s="13"/>
      <c r="O365" s="13"/>
      <c r="P365" s="13"/>
      <c r="Q365" s="13"/>
    </row>
    <row r="366" spans="1:17" ht="18" x14ac:dyDescent="0.35">
      <c r="A366" s="4">
        <v>365</v>
      </c>
      <c r="B366" s="4">
        <v>71.63</v>
      </c>
      <c r="C366" s="4">
        <v>71.180000000000007</v>
      </c>
      <c r="D366" s="4">
        <v>71.31</v>
      </c>
      <c r="F366" s="13">
        <v>339</v>
      </c>
      <c r="G366" s="13">
        <v>73.975481736373197</v>
      </c>
      <c r="H366" s="13">
        <v>-0.62548173637320303</v>
      </c>
      <c r="I366" s="13">
        <f t="shared" si="5"/>
        <v>0.62548173637320303</v>
      </c>
      <c r="J366" s="13"/>
      <c r="K366" s="13"/>
      <c r="L366" s="13"/>
      <c r="M366" s="13"/>
      <c r="N366" s="13"/>
      <c r="O366" s="13"/>
      <c r="P366" s="13"/>
      <c r="Q366" s="13"/>
    </row>
    <row r="367" spans="1:17" ht="18" x14ac:dyDescent="0.35">
      <c r="A367" s="4">
        <v>366</v>
      </c>
      <c r="B367" s="4">
        <v>76.05</v>
      </c>
      <c r="C367" s="4">
        <v>71.63</v>
      </c>
      <c r="D367" s="4">
        <v>71.180000000000007</v>
      </c>
      <c r="F367" s="13">
        <v>340</v>
      </c>
      <c r="G367" s="13">
        <v>73.16124053261855</v>
      </c>
      <c r="H367" s="13">
        <v>2.8759467381448189E-2</v>
      </c>
      <c r="I367" s="13">
        <f t="shared" si="5"/>
        <v>2.8759467381448189E-2</v>
      </c>
      <c r="J367" s="13"/>
      <c r="K367" s="13"/>
      <c r="L367" s="13"/>
      <c r="M367" s="13"/>
      <c r="N367" s="13"/>
      <c r="O367" s="13"/>
      <c r="P367" s="13"/>
      <c r="Q367" s="13"/>
    </row>
    <row r="368" spans="1:17" ht="18" x14ac:dyDescent="0.35">
      <c r="A368" s="4">
        <v>367</v>
      </c>
      <c r="B368" s="4">
        <v>77.86</v>
      </c>
      <c r="C368" s="4">
        <v>76.05</v>
      </c>
      <c r="D368" s="4">
        <v>71.63</v>
      </c>
      <c r="F368" s="13">
        <v>341</v>
      </c>
      <c r="G368" s="13">
        <v>73.048089506441769</v>
      </c>
      <c r="H368" s="13">
        <v>-3.3680895064417626</v>
      </c>
      <c r="I368" s="13">
        <f t="shared" si="5"/>
        <v>3.3680895064417626</v>
      </c>
      <c r="J368" s="13"/>
      <c r="K368" s="13"/>
      <c r="L368" s="13"/>
      <c r="M368" s="13"/>
      <c r="N368" s="13"/>
      <c r="O368" s="13"/>
      <c r="P368" s="13"/>
      <c r="Q368" s="13"/>
    </row>
    <row r="369" spans="1:17" ht="18" x14ac:dyDescent="0.35">
      <c r="A369" s="4">
        <v>368</v>
      </c>
      <c r="B369" s="4">
        <v>81.52</v>
      </c>
      <c r="C369" s="4">
        <v>77.86</v>
      </c>
      <c r="D369" s="4">
        <v>76.05</v>
      </c>
      <c r="F369" s="13">
        <v>342</v>
      </c>
      <c r="G369" s="13">
        <v>69.320502604291505</v>
      </c>
      <c r="H369" s="13">
        <v>3.4294973957084949</v>
      </c>
      <c r="I369" s="13">
        <f t="shared" si="5"/>
        <v>3.4294973957084949</v>
      </c>
      <c r="J369" s="13"/>
      <c r="K369" s="13"/>
      <c r="L369" s="13"/>
      <c r="M369" s="13"/>
      <c r="N369" s="13"/>
      <c r="O369" s="13"/>
      <c r="P369" s="13"/>
      <c r="Q369" s="13"/>
    </row>
    <row r="370" spans="1:17" ht="18" x14ac:dyDescent="0.35">
      <c r="A370" s="4">
        <v>369</v>
      </c>
      <c r="B370" s="4">
        <v>85.93</v>
      </c>
      <c r="C370" s="4">
        <v>81.52</v>
      </c>
      <c r="D370" s="4">
        <v>77.86</v>
      </c>
      <c r="F370" s="13">
        <v>343</v>
      </c>
      <c r="G370" s="13">
        <v>72.871533604891866</v>
      </c>
      <c r="H370" s="13">
        <v>-3.3715336048918658</v>
      </c>
      <c r="I370" s="13">
        <f t="shared" si="5"/>
        <v>3.3715336048918658</v>
      </c>
      <c r="J370" s="13"/>
      <c r="K370" s="13"/>
      <c r="L370" s="13"/>
      <c r="M370" s="13"/>
      <c r="N370" s="13"/>
      <c r="O370" s="13"/>
      <c r="P370" s="13"/>
      <c r="Q370" s="13"/>
    </row>
    <row r="371" spans="1:17" ht="18" x14ac:dyDescent="0.35">
      <c r="A371" s="4">
        <v>370</v>
      </c>
      <c r="B371" s="4">
        <v>86.94</v>
      </c>
      <c r="C371" s="4">
        <v>85.93</v>
      </c>
      <c r="D371" s="4">
        <v>81.52</v>
      </c>
      <c r="F371" s="13">
        <v>344</v>
      </c>
      <c r="G371" s="13">
        <v>69.163736998326982</v>
      </c>
      <c r="H371" s="13">
        <v>-0.83373699832698378</v>
      </c>
      <c r="I371" s="13">
        <f t="shared" si="5"/>
        <v>0.83373699832698378</v>
      </c>
      <c r="J371" s="13"/>
      <c r="K371" s="13"/>
      <c r="L371" s="13"/>
      <c r="M371" s="13"/>
      <c r="N371" s="13"/>
      <c r="O371" s="13"/>
      <c r="P371" s="13"/>
      <c r="Q371" s="13"/>
    </row>
    <row r="372" spans="1:17" ht="18" x14ac:dyDescent="0.35">
      <c r="A372" s="4">
        <v>371</v>
      </c>
      <c r="B372" s="4">
        <v>89.6</v>
      </c>
      <c r="C372" s="4">
        <v>86.94</v>
      </c>
      <c r="D372" s="4">
        <v>85.93</v>
      </c>
      <c r="F372" s="13">
        <v>345</v>
      </c>
      <c r="G372" s="13">
        <v>68.175824271965993</v>
      </c>
      <c r="H372" s="13">
        <v>-3.1258242719659961</v>
      </c>
      <c r="I372" s="13">
        <f t="shared" si="5"/>
        <v>3.1258242719659961</v>
      </c>
      <c r="J372" s="13"/>
      <c r="K372" s="13"/>
      <c r="L372" s="13"/>
      <c r="M372" s="13"/>
      <c r="N372" s="13"/>
      <c r="O372" s="13"/>
      <c r="P372" s="13"/>
      <c r="Q372" s="13"/>
    </row>
    <row r="373" spans="1:17" ht="18" x14ac:dyDescent="0.35">
      <c r="A373" s="4">
        <v>372</v>
      </c>
      <c r="B373" s="4">
        <v>90.61</v>
      </c>
      <c r="C373" s="4">
        <v>89.6</v>
      </c>
      <c r="D373" s="4">
        <v>86.94</v>
      </c>
      <c r="F373" s="13">
        <v>346</v>
      </c>
      <c r="G373" s="13">
        <v>64.773777333727182</v>
      </c>
      <c r="H373" s="13">
        <v>2.8162226662728216</v>
      </c>
      <c r="I373" s="13">
        <f t="shared" si="5"/>
        <v>2.8162226662728216</v>
      </c>
      <c r="J373" s="13"/>
      <c r="K373" s="13"/>
      <c r="L373" s="13"/>
      <c r="M373" s="13"/>
      <c r="N373" s="13"/>
      <c r="O373" s="13"/>
      <c r="P373" s="13"/>
      <c r="Q373" s="13"/>
    </row>
    <row r="374" spans="1:17" ht="18" x14ac:dyDescent="0.35">
      <c r="A374" s="4">
        <v>373</v>
      </c>
      <c r="B374" s="4">
        <v>92.89</v>
      </c>
      <c r="C374" s="4">
        <v>90.61</v>
      </c>
      <c r="D374" s="4">
        <v>89.6</v>
      </c>
      <c r="F374" s="13">
        <v>347</v>
      </c>
      <c r="G374" s="13">
        <v>67.74170938589161</v>
      </c>
      <c r="H374" s="13">
        <v>1.4082906141083953</v>
      </c>
      <c r="I374" s="13">
        <f t="shared" si="5"/>
        <v>1.4082906141083953</v>
      </c>
      <c r="J374" s="13"/>
      <c r="K374" s="13"/>
      <c r="L374" s="13"/>
      <c r="M374" s="13"/>
      <c r="N374" s="13"/>
      <c r="O374" s="13"/>
      <c r="P374" s="13"/>
      <c r="Q374" s="13"/>
    </row>
    <row r="375" spans="1:17" ht="18" x14ac:dyDescent="0.35">
      <c r="A375" s="4">
        <v>374</v>
      </c>
      <c r="B375" s="4">
        <v>92.18</v>
      </c>
      <c r="C375" s="4">
        <v>92.89</v>
      </c>
      <c r="D375" s="4">
        <v>90.61</v>
      </c>
      <c r="F375" s="13">
        <v>348</v>
      </c>
      <c r="G375" s="13">
        <v>69.201766331088336</v>
      </c>
      <c r="H375" s="13">
        <v>-0.22176633108833244</v>
      </c>
      <c r="I375" s="13">
        <f t="shared" si="5"/>
        <v>0.22176633108833244</v>
      </c>
      <c r="J375" s="13"/>
      <c r="K375" s="13"/>
      <c r="L375" s="13"/>
      <c r="M375" s="13"/>
      <c r="N375" s="13"/>
      <c r="O375" s="13"/>
      <c r="P375" s="13"/>
      <c r="Q375" s="13"/>
    </row>
    <row r="376" spans="1:17" ht="18" x14ac:dyDescent="0.35">
      <c r="A376" s="4">
        <v>375</v>
      </c>
      <c r="B376" s="4">
        <v>106.8</v>
      </c>
      <c r="C376" s="4">
        <v>92.18</v>
      </c>
      <c r="D376" s="4">
        <v>92.89</v>
      </c>
      <c r="F376" s="13">
        <v>349</v>
      </c>
      <c r="G376" s="13">
        <v>68.896355849494853</v>
      </c>
      <c r="H376" s="13">
        <v>2.7936441505051448</v>
      </c>
      <c r="I376" s="13">
        <f t="shared" si="5"/>
        <v>2.7936441505051448</v>
      </c>
      <c r="J376" s="13"/>
      <c r="K376" s="13"/>
      <c r="L376" s="13"/>
      <c r="M376" s="13"/>
      <c r="N376" s="13"/>
      <c r="O376" s="13"/>
      <c r="P376" s="13"/>
      <c r="Q376" s="13"/>
    </row>
    <row r="377" spans="1:17" ht="18" x14ac:dyDescent="0.35">
      <c r="A377" s="4">
        <v>376</v>
      </c>
      <c r="B377" s="4">
        <v>113.39</v>
      </c>
      <c r="C377" s="4">
        <v>106.8</v>
      </c>
      <c r="D377" s="4">
        <v>92.18</v>
      </c>
      <c r="F377" s="13">
        <v>350</v>
      </c>
      <c r="G377" s="13">
        <v>71.797730339798704</v>
      </c>
      <c r="H377" s="13">
        <v>0.38226966020130249</v>
      </c>
      <c r="I377" s="13">
        <f t="shared" si="5"/>
        <v>0.38226966020130249</v>
      </c>
      <c r="J377" s="13"/>
      <c r="K377" s="13"/>
      <c r="L377" s="13"/>
      <c r="M377" s="13"/>
      <c r="N377" s="13"/>
      <c r="O377" s="13"/>
      <c r="P377" s="13"/>
      <c r="Q377" s="13"/>
    </row>
    <row r="378" spans="1:17" ht="18" x14ac:dyDescent="0.35">
      <c r="A378" s="4">
        <v>377</v>
      </c>
      <c r="B378" s="4">
        <v>100.43</v>
      </c>
      <c r="C378" s="4">
        <v>113.39</v>
      </c>
      <c r="D378" s="4">
        <v>106.8</v>
      </c>
      <c r="F378" s="13">
        <v>351</v>
      </c>
      <c r="G378" s="13">
        <v>72.10403183242353</v>
      </c>
      <c r="H378" s="13">
        <v>3.3459681675764728</v>
      </c>
      <c r="I378" s="13">
        <f t="shared" si="5"/>
        <v>3.3459681675764728</v>
      </c>
      <c r="J378" s="13"/>
      <c r="K378" s="13"/>
      <c r="L378" s="13"/>
      <c r="M378" s="13"/>
      <c r="N378" s="13"/>
      <c r="O378" s="13"/>
      <c r="P378" s="13"/>
      <c r="Q378" s="13"/>
    </row>
    <row r="379" spans="1:17" ht="18" x14ac:dyDescent="0.35">
      <c r="A379" s="4">
        <v>378</v>
      </c>
      <c r="B379" s="4">
        <v>113.69</v>
      </c>
      <c r="C379" s="4">
        <v>100.43</v>
      </c>
      <c r="D379" s="4">
        <v>113.39</v>
      </c>
      <c r="F379" s="13">
        <v>352</v>
      </c>
      <c r="G379" s="13">
        <v>75.54958492737066</v>
      </c>
      <c r="H379" s="13">
        <v>2.9504150726293403</v>
      </c>
      <c r="I379" s="13">
        <f t="shared" si="5"/>
        <v>2.9504150726293403</v>
      </c>
      <c r="J379" s="13"/>
      <c r="K379" s="13"/>
      <c r="L379" s="13"/>
      <c r="M379" s="13"/>
      <c r="N379" s="13"/>
      <c r="O379" s="13"/>
      <c r="P379" s="13"/>
      <c r="Q379" s="13"/>
    </row>
    <row r="380" spans="1:17" ht="18" x14ac:dyDescent="0.35">
      <c r="A380" s="4">
        <v>379</v>
      </c>
      <c r="B380" s="4">
        <v>103.89</v>
      </c>
      <c r="C380" s="4">
        <v>113.69</v>
      </c>
      <c r="D380" s="4">
        <v>100.43</v>
      </c>
      <c r="F380" s="13">
        <v>353</v>
      </c>
      <c r="G380" s="13">
        <v>78.539272808043833</v>
      </c>
      <c r="H380" s="13">
        <v>2.6407271919561737</v>
      </c>
      <c r="I380" s="13">
        <f t="shared" si="5"/>
        <v>2.6407271919561737</v>
      </c>
      <c r="J380" s="13"/>
      <c r="K380" s="13"/>
      <c r="L380" s="13"/>
      <c r="M380" s="13"/>
      <c r="N380" s="13"/>
      <c r="O380" s="13"/>
      <c r="P380" s="13"/>
      <c r="Q380" s="13"/>
    </row>
    <row r="381" spans="1:17" ht="18" x14ac:dyDescent="0.35">
      <c r="A381" s="4">
        <v>380</v>
      </c>
      <c r="B381" s="4">
        <v>99.21</v>
      </c>
      <c r="C381" s="4">
        <v>103.89</v>
      </c>
      <c r="D381" s="4">
        <v>113.69</v>
      </c>
      <c r="F381" s="13">
        <v>354</v>
      </c>
      <c r="G381" s="13">
        <v>81.15220390368296</v>
      </c>
      <c r="H381" s="13">
        <v>2.3277960963170443</v>
      </c>
      <c r="I381" s="13">
        <f t="shared" si="5"/>
        <v>2.3277960963170443</v>
      </c>
      <c r="J381" s="13"/>
      <c r="K381" s="13"/>
      <c r="L381" s="13"/>
      <c r="M381" s="13"/>
      <c r="N381" s="13"/>
      <c r="O381" s="13"/>
      <c r="P381" s="13"/>
      <c r="Q381" s="13"/>
    </row>
    <row r="382" spans="1:17" ht="18" x14ac:dyDescent="0.35">
      <c r="A382" s="4">
        <v>381</v>
      </c>
      <c r="B382" s="4">
        <v>101.46</v>
      </c>
      <c r="C382" s="4">
        <v>99.21</v>
      </c>
      <c r="D382" s="4">
        <v>103.89</v>
      </c>
      <c r="F382" s="13">
        <v>355</v>
      </c>
      <c r="G382" s="13">
        <v>83.389669582338854</v>
      </c>
      <c r="H382" s="13">
        <v>0.45033041766114934</v>
      </c>
      <c r="I382" s="13">
        <f t="shared" si="5"/>
        <v>0.45033041766114934</v>
      </c>
      <c r="J382" s="13"/>
      <c r="K382" s="13"/>
      <c r="L382" s="13"/>
      <c r="M382" s="13"/>
      <c r="N382" s="13"/>
      <c r="O382" s="13"/>
      <c r="P382" s="13"/>
      <c r="Q382" s="13"/>
    </row>
    <row r="383" spans="1:17" ht="18" x14ac:dyDescent="0.35">
      <c r="A383" s="4">
        <v>382</v>
      </c>
      <c r="B383" s="4">
        <v>104.02</v>
      </c>
      <c r="C383" s="4">
        <v>101.46</v>
      </c>
      <c r="D383" s="4">
        <v>99.21</v>
      </c>
      <c r="F383" s="13">
        <v>356</v>
      </c>
      <c r="G383" s="13">
        <v>83.590097020883576</v>
      </c>
      <c r="H383" s="13">
        <v>-1.8000970208835696</v>
      </c>
      <c r="I383" s="13">
        <f t="shared" si="5"/>
        <v>1.8000970208835696</v>
      </c>
      <c r="J383" s="13"/>
      <c r="K383" s="13"/>
      <c r="L383" s="13"/>
      <c r="M383" s="13"/>
      <c r="N383" s="13"/>
      <c r="O383" s="13"/>
      <c r="P383" s="13"/>
      <c r="Q383" s="13"/>
    </row>
    <row r="384" spans="1:17" ht="18" x14ac:dyDescent="0.35">
      <c r="A384" s="4">
        <v>383</v>
      </c>
      <c r="B384" s="4">
        <v>102.85</v>
      </c>
      <c r="C384" s="4">
        <v>104.02</v>
      </c>
      <c r="D384" s="4">
        <v>101.46</v>
      </c>
      <c r="F384" s="13">
        <v>357</v>
      </c>
      <c r="G384" s="13">
        <v>81.376899027649372</v>
      </c>
      <c r="H384" s="13">
        <v>0.55310097235063438</v>
      </c>
      <c r="I384" s="13">
        <f t="shared" si="5"/>
        <v>0.55310097235063438</v>
      </c>
      <c r="J384" s="13"/>
      <c r="K384" s="13"/>
      <c r="L384" s="13"/>
      <c r="M384" s="13"/>
      <c r="N384" s="13"/>
      <c r="O384" s="13"/>
      <c r="P384" s="13"/>
      <c r="Q384" s="13"/>
    </row>
    <row r="385" spans="1:17" ht="18" x14ac:dyDescent="0.35">
      <c r="A385" s="4">
        <v>384</v>
      </c>
      <c r="B385" s="4">
        <v>106.69</v>
      </c>
      <c r="C385" s="4">
        <v>102.85</v>
      </c>
      <c r="D385" s="4">
        <v>104.02</v>
      </c>
      <c r="F385" s="13">
        <v>358</v>
      </c>
      <c r="G385" s="13">
        <v>81.689369635180796</v>
      </c>
      <c r="H385" s="13">
        <v>-2.6993696351808012</v>
      </c>
      <c r="I385" s="13">
        <f t="shared" si="5"/>
        <v>2.6993696351808012</v>
      </c>
      <c r="J385" s="13"/>
      <c r="K385" s="13"/>
      <c r="L385" s="13"/>
      <c r="M385" s="13"/>
      <c r="N385" s="13"/>
      <c r="O385" s="13"/>
      <c r="P385" s="13"/>
      <c r="Q385" s="13"/>
    </row>
    <row r="386" spans="1:17" ht="18" x14ac:dyDescent="0.35">
      <c r="A386" s="4">
        <v>385</v>
      </c>
      <c r="B386" s="4">
        <v>105</v>
      </c>
      <c r="C386" s="4">
        <v>106.69</v>
      </c>
      <c r="D386" s="4">
        <v>102.85</v>
      </c>
      <c r="F386" s="13">
        <v>359</v>
      </c>
      <c r="G386" s="13">
        <v>78.545291747387765</v>
      </c>
      <c r="H386" s="13">
        <v>-0.75529174738775851</v>
      </c>
      <c r="I386" s="13">
        <f t="shared" si="5"/>
        <v>0.75529174738775851</v>
      </c>
      <c r="J386" s="13"/>
      <c r="K386" s="13"/>
      <c r="L386" s="13"/>
      <c r="M386" s="13"/>
      <c r="N386" s="13"/>
      <c r="O386" s="13"/>
      <c r="P386" s="13"/>
      <c r="Q386" s="13"/>
    </row>
    <row r="387" spans="1:17" ht="18" x14ac:dyDescent="0.35">
      <c r="A387" s="4">
        <v>386</v>
      </c>
      <c r="B387" s="4">
        <v>112.18</v>
      </c>
      <c r="C387" s="4">
        <v>105</v>
      </c>
      <c r="D387" s="4">
        <v>106.69</v>
      </c>
      <c r="F387" s="13">
        <v>360</v>
      </c>
      <c r="G387" s="13">
        <v>77.500718711255232</v>
      </c>
      <c r="H387" s="13">
        <v>-10.610718711255231</v>
      </c>
      <c r="I387" s="13">
        <f t="shared" si="5"/>
        <v>10.610718711255231</v>
      </c>
      <c r="J387" s="13"/>
      <c r="K387" s="13"/>
      <c r="L387" s="13"/>
      <c r="M387" s="13"/>
      <c r="N387" s="13"/>
      <c r="O387" s="13"/>
      <c r="P387" s="13"/>
      <c r="Q387" s="13"/>
    </row>
    <row r="388" spans="1:17" ht="18" x14ac:dyDescent="0.35">
      <c r="A388" s="4">
        <v>387</v>
      </c>
      <c r="B388" s="4">
        <v>113.38</v>
      </c>
      <c r="C388" s="4">
        <v>112.18</v>
      </c>
      <c r="D388" s="4">
        <v>105</v>
      </c>
      <c r="F388" s="13">
        <v>361</v>
      </c>
      <c r="G388" s="13">
        <v>65.981026492088787</v>
      </c>
      <c r="H388" s="13">
        <v>5.3289735079112148</v>
      </c>
      <c r="I388" s="13">
        <f t="shared" si="5"/>
        <v>5.3289735079112148</v>
      </c>
      <c r="J388" s="13"/>
      <c r="K388" s="13"/>
      <c r="L388" s="13"/>
      <c r="M388" s="13"/>
      <c r="N388" s="13"/>
      <c r="O388" s="13"/>
      <c r="P388" s="13"/>
      <c r="Q388" s="13"/>
    </row>
    <row r="389" spans="1:17" ht="18" x14ac:dyDescent="0.35">
      <c r="A389" s="4">
        <v>388</v>
      </c>
      <c r="B389" s="4">
        <v>116.37</v>
      </c>
      <c r="C389" s="4">
        <v>113.38</v>
      </c>
      <c r="D389" s="4">
        <v>112.18</v>
      </c>
      <c r="F389" s="13">
        <v>362</v>
      </c>
      <c r="G389" s="13">
        <v>71.559263859590828</v>
      </c>
      <c r="H389" s="13">
        <v>-0.37926385959082154</v>
      </c>
      <c r="I389" s="13">
        <f t="shared" si="5"/>
        <v>0.37926385959082154</v>
      </c>
      <c r="J389" s="13"/>
      <c r="K389" s="13"/>
      <c r="L389" s="13"/>
      <c r="M389" s="13"/>
      <c r="N389" s="13"/>
      <c r="O389" s="13"/>
      <c r="P389" s="13"/>
      <c r="Q389" s="13"/>
    </row>
    <row r="390" spans="1:17" ht="18" x14ac:dyDescent="0.35">
      <c r="A390" s="4">
        <v>389</v>
      </c>
      <c r="B390" s="4">
        <v>120.43</v>
      </c>
      <c r="C390" s="4">
        <v>116.37</v>
      </c>
      <c r="D390" s="4">
        <v>113.38</v>
      </c>
      <c r="F390" s="13">
        <v>363</v>
      </c>
      <c r="G390" s="13">
        <v>71.068677674914824</v>
      </c>
      <c r="H390" s="13">
        <v>0.56132232508517177</v>
      </c>
      <c r="I390" s="13">
        <f t="shared" si="5"/>
        <v>0.56132232508517177</v>
      </c>
      <c r="J390" s="13"/>
      <c r="K390" s="13"/>
      <c r="L390" s="13"/>
      <c r="M390" s="13"/>
      <c r="N390" s="13"/>
      <c r="O390" s="13"/>
      <c r="P390" s="13"/>
      <c r="Q390" s="13"/>
    </row>
    <row r="391" spans="1:17" ht="18" x14ac:dyDescent="0.35">
      <c r="A391" s="4">
        <v>390</v>
      </c>
      <c r="B391" s="4">
        <v>116.46</v>
      </c>
      <c r="C391" s="4">
        <v>120.43</v>
      </c>
      <c r="D391" s="4">
        <v>116.37</v>
      </c>
      <c r="F391" s="13">
        <v>364</v>
      </c>
      <c r="G391" s="13">
        <v>71.558561859729409</v>
      </c>
      <c r="H391" s="13">
        <v>4.4914381402705885</v>
      </c>
      <c r="I391" s="13">
        <f t="shared" si="5"/>
        <v>4.4914381402705885</v>
      </c>
      <c r="J391" s="13"/>
      <c r="K391" s="13"/>
      <c r="L391" s="13"/>
      <c r="M391" s="13"/>
      <c r="N391" s="13"/>
      <c r="O391" s="13"/>
      <c r="P391" s="13"/>
      <c r="Q391" s="13"/>
    </row>
    <row r="392" spans="1:17" ht="18" x14ac:dyDescent="0.35">
      <c r="A392" s="4">
        <v>391</v>
      </c>
      <c r="B392" s="4">
        <v>107.88</v>
      </c>
      <c r="C392" s="4">
        <v>116.46</v>
      </c>
      <c r="D392" s="4">
        <v>120.43</v>
      </c>
      <c r="F392" s="13">
        <v>365</v>
      </c>
      <c r="G392" s="13">
        <v>76.232765545603343</v>
      </c>
      <c r="H392" s="13">
        <v>1.6272344543966568</v>
      </c>
      <c r="I392" s="13">
        <f t="shared" si="5"/>
        <v>1.6272344543966568</v>
      </c>
      <c r="J392" s="13"/>
      <c r="K392" s="13"/>
      <c r="L392" s="13"/>
      <c r="M392" s="13"/>
      <c r="N392" s="13"/>
      <c r="O392" s="13"/>
      <c r="P392" s="13"/>
      <c r="Q392" s="13"/>
    </row>
    <row r="393" spans="1:17" ht="18" x14ac:dyDescent="0.35">
      <c r="A393" s="4">
        <v>392</v>
      </c>
      <c r="B393" s="4">
        <v>110.96</v>
      </c>
      <c r="C393" s="4">
        <v>107.88</v>
      </c>
      <c r="D393" s="4">
        <v>116.46</v>
      </c>
      <c r="F393" s="13">
        <v>366</v>
      </c>
      <c r="G393" s="13">
        <v>77.809484808000491</v>
      </c>
      <c r="H393" s="13">
        <v>3.7105151919995052</v>
      </c>
      <c r="I393" s="13">
        <f t="shared" si="5"/>
        <v>3.7105151919995052</v>
      </c>
      <c r="J393" s="13"/>
      <c r="K393" s="13"/>
      <c r="L393" s="13"/>
      <c r="M393" s="13"/>
      <c r="N393" s="13"/>
      <c r="O393" s="13"/>
      <c r="P393" s="13"/>
      <c r="Q393" s="13"/>
    </row>
    <row r="394" spans="1:17" ht="18" x14ac:dyDescent="0.35">
      <c r="A394" s="4">
        <v>393</v>
      </c>
      <c r="B394" s="4">
        <v>103.32</v>
      </c>
      <c r="C394" s="4">
        <v>110.96</v>
      </c>
      <c r="D394" s="4">
        <v>107.88</v>
      </c>
      <c r="F394" s="13">
        <v>367</v>
      </c>
      <c r="G394" s="13">
        <v>81.565491516170582</v>
      </c>
      <c r="H394" s="13">
        <v>4.3645084838294252</v>
      </c>
      <c r="I394" s="13">
        <f t="shared" si="5"/>
        <v>4.3645084838294252</v>
      </c>
      <c r="J394" s="13"/>
      <c r="K394" s="13"/>
      <c r="L394" s="13"/>
      <c r="M394" s="13"/>
      <c r="N394" s="13"/>
      <c r="O394" s="13"/>
      <c r="P394" s="13"/>
      <c r="Q394" s="13"/>
    </row>
    <row r="395" spans="1:17" ht="18" x14ac:dyDescent="0.35">
      <c r="A395" s="4">
        <v>394</v>
      </c>
      <c r="B395" s="4">
        <v>99.92</v>
      </c>
      <c r="C395" s="4">
        <v>103.32</v>
      </c>
      <c r="D395" s="4">
        <v>110.96</v>
      </c>
      <c r="F395" s="13">
        <v>368</v>
      </c>
      <c r="G395" s="13">
        <v>85.973360740115538</v>
      </c>
      <c r="H395" s="13">
        <v>0.96663925988445953</v>
      </c>
      <c r="I395" s="13">
        <f t="shared" si="5"/>
        <v>0.96663925988445953</v>
      </c>
      <c r="J395" s="13"/>
      <c r="K395" s="13"/>
      <c r="L395" s="13"/>
      <c r="M395" s="13"/>
      <c r="N395" s="13"/>
      <c r="O395" s="13"/>
      <c r="P395" s="13"/>
      <c r="Q395" s="13"/>
    </row>
    <row r="396" spans="1:17" ht="18" x14ac:dyDescent="0.35">
      <c r="A396" s="4">
        <v>395</v>
      </c>
      <c r="B396" s="4">
        <v>102.24</v>
      </c>
      <c r="C396" s="4">
        <v>99.92</v>
      </c>
      <c r="D396" s="4">
        <v>103.32</v>
      </c>
      <c r="F396" s="13">
        <v>369</v>
      </c>
      <c r="G396" s="13">
        <v>86.698379416382494</v>
      </c>
      <c r="H396" s="13">
        <v>2.9016205836175004</v>
      </c>
      <c r="I396" s="13">
        <f t="shared" si="5"/>
        <v>2.9016205836175004</v>
      </c>
      <c r="J396" s="13"/>
      <c r="K396" s="13"/>
      <c r="L396" s="13"/>
      <c r="M396" s="13"/>
      <c r="N396" s="13"/>
      <c r="O396" s="13"/>
      <c r="P396" s="13"/>
      <c r="Q396" s="13"/>
    </row>
    <row r="397" spans="1:17" ht="18" x14ac:dyDescent="0.35">
      <c r="A397" s="4">
        <v>396</v>
      </c>
      <c r="B397" s="4">
        <v>99.6</v>
      </c>
      <c r="C397" s="4">
        <v>102.24</v>
      </c>
      <c r="D397" s="4">
        <v>99.92</v>
      </c>
      <c r="F397" s="13">
        <v>370</v>
      </c>
      <c r="G397" s="13">
        <v>89.45248519579134</v>
      </c>
      <c r="H397" s="13">
        <v>1.1575148042086596</v>
      </c>
      <c r="I397" s="13">
        <f t="shared" si="5"/>
        <v>1.1575148042086596</v>
      </c>
      <c r="J397" s="13"/>
      <c r="K397" s="13"/>
      <c r="L397" s="13"/>
      <c r="M397" s="13"/>
      <c r="N397" s="13"/>
      <c r="O397" s="13"/>
      <c r="P397" s="13"/>
      <c r="Q397" s="13"/>
    </row>
    <row r="398" spans="1:17" ht="18" x14ac:dyDescent="0.35">
      <c r="A398" s="4">
        <v>397</v>
      </c>
      <c r="B398" s="4">
        <v>94.01</v>
      </c>
      <c r="C398" s="4">
        <v>99.6</v>
      </c>
      <c r="D398" s="4">
        <v>102.24</v>
      </c>
      <c r="F398" s="13">
        <v>371</v>
      </c>
      <c r="G398" s="13">
        <v>90.316892325172773</v>
      </c>
      <c r="H398" s="13">
        <v>2.5731076748272272</v>
      </c>
      <c r="I398" s="13">
        <f t="shared" si="5"/>
        <v>2.5731076748272272</v>
      </c>
      <c r="J398" s="13"/>
      <c r="K398" s="13"/>
      <c r="L398" s="13"/>
      <c r="M398" s="13"/>
      <c r="N398" s="13"/>
      <c r="O398" s="13"/>
      <c r="P398" s="13"/>
      <c r="Q398" s="13"/>
    </row>
    <row r="399" spans="1:17" ht="18" x14ac:dyDescent="0.35">
      <c r="A399" s="4">
        <v>398</v>
      </c>
      <c r="B399" s="4">
        <v>94.65</v>
      </c>
      <c r="C399" s="4">
        <v>94.01</v>
      </c>
      <c r="D399" s="4">
        <v>99.6</v>
      </c>
      <c r="F399" s="13">
        <v>372</v>
      </c>
      <c r="G399" s="13">
        <v>92.666061986082767</v>
      </c>
      <c r="H399" s="13">
        <v>-0.48606198608275974</v>
      </c>
      <c r="I399" s="13">
        <f t="shared" si="5"/>
        <v>0.48606198608275974</v>
      </c>
      <c r="J399" s="13"/>
      <c r="K399" s="13"/>
      <c r="L399" s="13"/>
      <c r="M399" s="13"/>
      <c r="N399" s="13"/>
      <c r="O399" s="13"/>
      <c r="P399" s="13"/>
      <c r="Q399" s="13"/>
    </row>
    <row r="400" spans="1:17" ht="18" x14ac:dyDescent="0.35">
      <c r="A400" s="4">
        <v>399</v>
      </c>
      <c r="B400" s="4">
        <v>91.81</v>
      </c>
      <c r="C400" s="4">
        <v>94.65</v>
      </c>
      <c r="D400" s="4">
        <v>94.01</v>
      </c>
      <c r="F400" s="13">
        <v>373</v>
      </c>
      <c r="G400" s="13">
        <v>91.727867575536578</v>
      </c>
      <c r="H400" s="13">
        <v>15.072132424463419</v>
      </c>
      <c r="I400" s="13">
        <f t="shared" si="5"/>
        <v>15.072132424463419</v>
      </c>
      <c r="J400" s="13"/>
      <c r="K400" s="13"/>
      <c r="L400" s="13"/>
      <c r="M400" s="13"/>
      <c r="N400" s="13"/>
      <c r="O400" s="13"/>
      <c r="P400" s="13"/>
      <c r="Q400" s="13"/>
    </row>
    <row r="401" spans="1:17" ht="18" x14ac:dyDescent="0.35">
      <c r="A401" s="4">
        <v>400</v>
      </c>
      <c r="B401" s="4">
        <v>94.47</v>
      </c>
      <c r="C401" s="4">
        <v>91.81</v>
      </c>
      <c r="D401" s="4">
        <v>94.65</v>
      </c>
      <c r="F401" s="13">
        <v>374</v>
      </c>
      <c r="G401" s="13">
        <v>107.36380381079039</v>
      </c>
      <c r="H401" s="13">
        <v>6.0261961892096139</v>
      </c>
      <c r="I401" s="13">
        <f t="shared" si="5"/>
        <v>6.0261961892096139</v>
      </c>
      <c r="J401" s="13"/>
      <c r="K401" s="13"/>
      <c r="L401" s="13"/>
      <c r="M401" s="13"/>
      <c r="N401" s="13"/>
      <c r="O401" s="13"/>
      <c r="P401" s="13"/>
      <c r="Q401" s="13"/>
    </row>
    <row r="402" spans="1:17" ht="18" x14ac:dyDescent="0.35">
      <c r="A402" s="4">
        <v>401</v>
      </c>
      <c r="B402" s="4">
        <v>90.79</v>
      </c>
      <c r="C402" s="4">
        <v>94.47</v>
      </c>
      <c r="D402" s="4">
        <v>91.81</v>
      </c>
      <c r="F402" s="13">
        <v>375</v>
      </c>
      <c r="G402" s="13">
        <v>113.22175764006172</v>
      </c>
      <c r="H402" s="13">
        <v>-12.791757640061718</v>
      </c>
      <c r="I402" s="13">
        <f t="shared" si="5"/>
        <v>12.791757640061718</v>
      </c>
      <c r="J402" s="13"/>
      <c r="K402" s="13"/>
      <c r="L402" s="13"/>
      <c r="M402" s="13"/>
      <c r="N402" s="13"/>
      <c r="O402" s="13"/>
      <c r="P402" s="13"/>
      <c r="Q402" s="13"/>
    </row>
    <row r="403" spans="1:17" ht="18" x14ac:dyDescent="0.35">
      <c r="A403" s="4">
        <v>402</v>
      </c>
      <c r="B403" s="4">
        <v>85.29</v>
      </c>
      <c r="C403" s="4">
        <v>90.79</v>
      </c>
      <c r="D403" s="4">
        <v>94.47</v>
      </c>
      <c r="F403" s="13">
        <v>376</v>
      </c>
      <c r="G403" s="13">
        <v>98.886407667364665</v>
      </c>
      <c r="H403" s="13">
        <v>14.803592332635333</v>
      </c>
      <c r="I403" s="13">
        <f t="shared" si="5"/>
        <v>14.803592332635333</v>
      </c>
      <c r="J403" s="13"/>
      <c r="K403" s="13"/>
      <c r="L403" s="13"/>
      <c r="M403" s="13"/>
      <c r="N403" s="13"/>
      <c r="O403" s="13"/>
      <c r="P403" s="13"/>
      <c r="Q403" s="13"/>
    </row>
    <row r="404" spans="1:17" ht="18" x14ac:dyDescent="0.35">
      <c r="A404" s="4">
        <v>403</v>
      </c>
      <c r="B404" s="4">
        <v>87.24</v>
      </c>
      <c r="C404" s="4">
        <v>85.29</v>
      </c>
      <c r="D404" s="4">
        <v>90.79</v>
      </c>
      <c r="F404" s="13">
        <v>377</v>
      </c>
      <c r="G404" s="13">
        <v>114.0488180187396</v>
      </c>
      <c r="H404" s="13">
        <v>-10.158818018739595</v>
      </c>
      <c r="I404" s="13">
        <f t="shared" si="5"/>
        <v>10.158818018739595</v>
      </c>
      <c r="J404" s="13"/>
      <c r="K404" s="13"/>
      <c r="L404" s="13"/>
      <c r="M404" s="13"/>
      <c r="N404" s="13"/>
      <c r="O404" s="13"/>
      <c r="P404" s="13"/>
      <c r="Q404" s="13"/>
    </row>
    <row r="405" spans="1:17" ht="18" x14ac:dyDescent="0.35">
      <c r="A405" s="4">
        <v>404</v>
      </c>
      <c r="B405" s="4">
        <v>83.46</v>
      </c>
      <c r="C405" s="4">
        <v>87.24</v>
      </c>
      <c r="D405" s="4">
        <v>85.29</v>
      </c>
      <c r="F405" s="13">
        <v>378</v>
      </c>
      <c r="G405" s="13">
        <v>102.54956242504224</v>
      </c>
      <c r="H405" s="13">
        <v>-3.3395624250422458</v>
      </c>
      <c r="I405" s="13">
        <f t="shared" si="5"/>
        <v>3.3395624250422458</v>
      </c>
      <c r="J405" s="13"/>
      <c r="K405" s="13"/>
      <c r="L405" s="13"/>
      <c r="M405" s="13"/>
      <c r="N405" s="13"/>
      <c r="O405" s="13"/>
      <c r="P405" s="13"/>
      <c r="Q405" s="13"/>
    </row>
    <row r="406" spans="1:17" ht="18" x14ac:dyDescent="0.35">
      <c r="A406" s="4">
        <v>405</v>
      </c>
      <c r="B406" s="4">
        <v>80.08</v>
      </c>
      <c r="C406" s="4">
        <v>83.46</v>
      </c>
      <c r="D406" s="4">
        <v>87.24</v>
      </c>
      <c r="F406" s="13">
        <v>379</v>
      </c>
      <c r="G406" s="13">
        <v>98.343029776760375</v>
      </c>
      <c r="H406" s="13">
        <v>3.116970223239619</v>
      </c>
      <c r="I406" s="13">
        <f t="shared" si="5"/>
        <v>3.116970223239619</v>
      </c>
      <c r="J406" s="13"/>
      <c r="K406" s="13"/>
      <c r="L406" s="13"/>
      <c r="M406" s="13"/>
      <c r="N406" s="13"/>
      <c r="O406" s="13"/>
      <c r="P406" s="13"/>
      <c r="Q406" s="13"/>
    </row>
    <row r="407" spans="1:17" ht="18" x14ac:dyDescent="0.35">
      <c r="A407" s="4">
        <v>406</v>
      </c>
      <c r="B407" s="4">
        <v>88.22</v>
      </c>
      <c r="C407" s="4">
        <v>80.08</v>
      </c>
      <c r="D407" s="4">
        <v>83.46</v>
      </c>
      <c r="F407" s="13">
        <v>380</v>
      </c>
      <c r="G407" s="13">
        <v>101.11344239571986</v>
      </c>
      <c r="H407" s="13">
        <v>2.9065576042801382</v>
      </c>
      <c r="I407" s="13">
        <f t="shared" si="5"/>
        <v>2.9065576042801382</v>
      </c>
      <c r="J407" s="13"/>
      <c r="K407" s="13"/>
      <c r="L407" s="13"/>
      <c r="M407" s="13"/>
      <c r="N407" s="13"/>
      <c r="O407" s="13"/>
      <c r="P407" s="13"/>
      <c r="Q407" s="13"/>
    </row>
    <row r="408" spans="1:17" ht="18" x14ac:dyDescent="0.35">
      <c r="A408" s="4">
        <v>407</v>
      </c>
      <c r="B408" s="4">
        <v>88.97</v>
      </c>
      <c r="C408" s="4">
        <v>88.22</v>
      </c>
      <c r="D408" s="4">
        <v>80.08</v>
      </c>
      <c r="F408" s="13">
        <v>381</v>
      </c>
      <c r="G408" s="13">
        <v>103.66221936333197</v>
      </c>
      <c r="H408" s="13">
        <v>-0.81221936333197675</v>
      </c>
      <c r="I408" s="13">
        <f t="shared" si="5"/>
        <v>0.81221936333197675</v>
      </c>
      <c r="J408" s="13"/>
      <c r="K408" s="13"/>
      <c r="L408" s="13"/>
      <c r="M408" s="13"/>
      <c r="N408" s="13"/>
      <c r="O408" s="13"/>
      <c r="P408" s="13"/>
      <c r="Q408" s="13"/>
    </row>
    <row r="409" spans="1:17" ht="18" x14ac:dyDescent="0.35">
      <c r="A409" s="4">
        <v>408</v>
      </c>
      <c r="B409" s="4">
        <v>85.36</v>
      </c>
      <c r="C409" s="4">
        <v>88.97</v>
      </c>
      <c r="D409" s="4">
        <v>88.22</v>
      </c>
      <c r="F409" s="13">
        <v>382</v>
      </c>
      <c r="G409" s="13">
        <v>102.21153697263094</v>
      </c>
      <c r="H409" s="13">
        <v>4.4784630273690595</v>
      </c>
      <c r="I409" s="13">
        <f t="shared" si="5"/>
        <v>4.4784630273690595</v>
      </c>
      <c r="J409" s="13"/>
      <c r="K409" s="13"/>
      <c r="L409" s="13"/>
      <c r="M409" s="13"/>
      <c r="N409" s="13"/>
      <c r="O409" s="13"/>
      <c r="P409" s="13"/>
      <c r="Q409" s="13"/>
    </row>
    <row r="410" spans="1:17" ht="18" x14ac:dyDescent="0.35">
      <c r="A410" s="4">
        <v>409</v>
      </c>
      <c r="B410" s="4">
        <v>87.87</v>
      </c>
      <c r="C410" s="4">
        <v>85.36</v>
      </c>
      <c r="D410" s="4">
        <v>88.97</v>
      </c>
      <c r="F410" s="13">
        <v>383</v>
      </c>
      <c r="G410" s="13">
        <v>106.39671414942353</v>
      </c>
      <c r="H410" s="13">
        <v>-1.3967141494235307</v>
      </c>
      <c r="I410" s="13">
        <f t="shared" si="5"/>
        <v>1.3967141494235307</v>
      </c>
      <c r="J410" s="13"/>
      <c r="K410" s="13"/>
      <c r="L410" s="13"/>
      <c r="M410" s="13"/>
      <c r="N410" s="13"/>
      <c r="O410" s="13"/>
      <c r="P410" s="13"/>
      <c r="Q410" s="13"/>
    </row>
    <row r="411" spans="1:17" ht="18" x14ac:dyDescent="0.35">
      <c r="A411" s="4">
        <v>410</v>
      </c>
      <c r="B411" s="4">
        <v>89.14</v>
      </c>
      <c r="C411" s="4">
        <v>87.87</v>
      </c>
      <c r="D411" s="4">
        <v>85.36</v>
      </c>
      <c r="F411" s="13">
        <v>384</v>
      </c>
      <c r="G411" s="13">
        <v>104.2899559520626</v>
      </c>
      <c r="H411" s="13">
        <v>7.8900440479374083</v>
      </c>
      <c r="I411" s="13">
        <f t="shared" si="5"/>
        <v>7.8900440479374083</v>
      </c>
      <c r="J411" s="13"/>
      <c r="K411" s="13"/>
      <c r="L411" s="13"/>
      <c r="M411" s="13"/>
      <c r="N411" s="13"/>
      <c r="O411" s="13"/>
      <c r="P411" s="13"/>
      <c r="Q411" s="13"/>
    </row>
    <row r="412" spans="1:17" ht="18" x14ac:dyDescent="0.35">
      <c r="A412" s="4">
        <v>411</v>
      </c>
      <c r="B412" s="4">
        <v>88.41</v>
      </c>
      <c r="C412" s="4">
        <v>89.14</v>
      </c>
      <c r="D412" s="4">
        <v>87.87</v>
      </c>
      <c r="F412" s="13">
        <v>385</v>
      </c>
      <c r="G412" s="13">
        <v>112.0757267693985</v>
      </c>
      <c r="H412" s="13">
        <v>1.3042732306014955</v>
      </c>
      <c r="I412" s="13">
        <f t="shared" si="5"/>
        <v>1.3042732306014955</v>
      </c>
      <c r="J412" s="13"/>
      <c r="K412" s="13"/>
      <c r="L412" s="13"/>
      <c r="M412" s="13"/>
      <c r="N412" s="13"/>
      <c r="O412" s="13"/>
      <c r="P412" s="13"/>
      <c r="Q412" s="13"/>
    </row>
    <row r="413" spans="1:17" ht="18" x14ac:dyDescent="0.35">
      <c r="A413" s="4">
        <v>412</v>
      </c>
      <c r="B413" s="4">
        <v>84.02</v>
      </c>
      <c r="C413" s="4">
        <v>88.41</v>
      </c>
      <c r="D413" s="4">
        <v>89.14</v>
      </c>
      <c r="F413" s="13">
        <v>386</v>
      </c>
      <c r="G413" s="13">
        <v>112.78258149627084</v>
      </c>
      <c r="H413" s="13">
        <v>3.5874185037291682</v>
      </c>
      <c r="I413" s="13">
        <f t="shared" ref="I413:I476" si="6">ABS(H413)</f>
        <v>3.5874185037291682</v>
      </c>
      <c r="J413" s="13"/>
      <c r="K413" s="13"/>
      <c r="L413" s="13"/>
      <c r="M413" s="13"/>
      <c r="N413" s="13"/>
      <c r="O413" s="13"/>
      <c r="P413" s="13"/>
      <c r="Q413" s="13"/>
    </row>
    <row r="414" spans="1:17" ht="18" x14ac:dyDescent="0.35">
      <c r="A414" s="4">
        <v>413</v>
      </c>
      <c r="B414" s="4">
        <v>78.739999999999995</v>
      </c>
      <c r="C414" s="4">
        <v>84.02</v>
      </c>
      <c r="D414" s="4">
        <v>88.41</v>
      </c>
      <c r="F414" s="13">
        <v>387</v>
      </c>
      <c r="G414" s="13">
        <v>115.87320872247403</v>
      </c>
      <c r="H414" s="13">
        <v>4.5567912775259742</v>
      </c>
      <c r="I414" s="13">
        <f t="shared" si="6"/>
        <v>4.5567912775259742</v>
      </c>
      <c r="J414" s="13"/>
      <c r="K414" s="13"/>
      <c r="L414" s="13"/>
      <c r="M414" s="13"/>
      <c r="N414" s="13"/>
      <c r="O414" s="13"/>
      <c r="P414" s="13"/>
      <c r="Q414" s="13"/>
    </row>
    <row r="415" spans="1:17" ht="18" x14ac:dyDescent="0.35">
      <c r="A415" s="4">
        <v>414</v>
      </c>
      <c r="B415" s="4">
        <v>79.290000000000006</v>
      </c>
      <c r="C415" s="4">
        <v>78.739999999999995</v>
      </c>
      <c r="D415" s="4">
        <v>84.02</v>
      </c>
      <c r="F415" s="13">
        <v>388</v>
      </c>
      <c r="G415" s="13">
        <v>119.96147633376093</v>
      </c>
      <c r="H415" s="13">
        <v>-3.5014763337609338</v>
      </c>
      <c r="I415" s="13">
        <f t="shared" si="6"/>
        <v>3.5014763337609338</v>
      </c>
      <c r="J415" s="13"/>
      <c r="K415" s="13"/>
      <c r="L415" s="13"/>
      <c r="M415" s="13"/>
      <c r="N415" s="13"/>
      <c r="O415" s="13"/>
      <c r="P415" s="13"/>
      <c r="Q415" s="13"/>
    </row>
    <row r="416" spans="1:17" ht="18" x14ac:dyDescent="0.35">
      <c r="A416" s="4">
        <v>415</v>
      </c>
      <c r="B416" s="4">
        <v>73.06</v>
      </c>
      <c r="C416" s="4">
        <v>79.290000000000006</v>
      </c>
      <c r="D416" s="4">
        <v>78.739999999999995</v>
      </c>
      <c r="F416" s="13">
        <v>389</v>
      </c>
      <c r="G416" s="13">
        <v>115.40757830558667</v>
      </c>
      <c r="H416" s="13">
        <v>-7.5275783055866725</v>
      </c>
      <c r="I416" s="13">
        <f t="shared" si="6"/>
        <v>7.5275783055866725</v>
      </c>
      <c r="J416" s="13"/>
      <c r="K416" s="13"/>
      <c r="L416" s="13"/>
      <c r="M416" s="13"/>
      <c r="N416" s="13"/>
      <c r="O416" s="13"/>
      <c r="P416" s="13"/>
      <c r="Q416" s="13"/>
    </row>
    <row r="417" spans="1:17" ht="18" x14ac:dyDescent="0.35">
      <c r="A417" s="4">
        <v>416</v>
      </c>
      <c r="B417" s="4">
        <v>75.12</v>
      </c>
      <c r="C417" s="4">
        <v>73.06</v>
      </c>
      <c r="D417" s="4">
        <v>79.290000000000006</v>
      </c>
      <c r="F417" s="13">
        <v>390</v>
      </c>
      <c r="G417" s="13">
        <v>106.58075966063629</v>
      </c>
      <c r="H417" s="13">
        <v>4.3792403393637045</v>
      </c>
      <c r="I417" s="13">
        <f t="shared" si="6"/>
        <v>4.3792403393637045</v>
      </c>
      <c r="J417" s="13"/>
      <c r="K417" s="13"/>
      <c r="L417" s="13"/>
      <c r="M417" s="13"/>
      <c r="N417" s="13"/>
      <c r="O417" s="13"/>
      <c r="P417" s="13"/>
      <c r="Q417" s="13"/>
    </row>
    <row r="418" spans="1:17" ht="18" x14ac:dyDescent="0.35">
      <c r="A418" s="4">
        <v>417</v>
      </c>
      <c r="B418" s="4">
        <v>77.28</v>
      </c>
      <c r="C418" s="4">
        <v>75.12</v>
      </c>
      <c r="D418" s="4">
        <v>73.06</v>
      </c>
      <c r="F418" s="13">
        <v>391</v>
      </c>
      <c r="G418" s="13">
        <v>110.54627513619013</v>
      </c>
      <c r="H418" s="13">
        <v>-7.2262751361901394</v>
      </c>
      <c r="I418" s="13">
        <f t="shared" si="6"/>
        <v>7.2262751361901394</v>
      </c>
      <c r="J418" s="13"/>
      <c r="K418" s="13"/>
      <c r="L418" s="13"/>
      <c r="M418" s="13"/>
      <c r="N418" s="13"/>
      <c r="O418" s="13"/>
      <c r="P418" s="13"/>
      <c r="Q418" s="13"/>
    </row>
    <row r="419" spans="1:17" ht="18" x14ac:dyDescent="0.35">
      <c r="A419" s="4">
        <v>418</v>
      </c>
      <c r="B419" s="4">
        <v>79.23</v>
      </c>
      <c r="C419" s="4">
        <v>77.28</v>
      </c>
      <c r="D419" s="4">
        <v>75.12</v>
      </c>
      <c r="F419" s="13">
        <v>392</v>
      </c>
      <c r="G419" s="13">
        <v>102.1596042341525</v>
      </c>
      <c r="H419" s="13">
        <v>-2.2396042341524947</v>
      </c>
      <c r="I419" s="13">
        <f t="shared" si="6"/>
        <v>2.2396042341524947</v>
      </c>
      <c r="J419" s="13"/>
      <c r="K419" s="13"/>
      <c r="L419" s="13"/>
      <c r="M419" s="13"/>
      <c r="N419" s="13"/>
      <c r="O419" s="13"/>
      <c r="P419" s="13"/>
      <c r="Q419" s="13"/>
    </row>
    <row r="420" spans="1:17" ht="18" x14ac:dyDescent="0.35">
      <c r="A420" s="4">
        <v>419</v>
      </c>
      <c r="B420" s="4">
        <v>74.27</v>
      </c>
      <c r="C420" s="4">
        <v>79.23</v>
      </c>
      <c r="D420" s="4">
        <v>77.28</v>
      </c>
      <c r="F420" s="13">
        <v>393</v>
      </c>
      <c r="G420" s="13">
        <v>99.145021755977581</v>
      </c>
      <c r="H420" s="13">
        <v>3.0949782440224141</v>
      </c>
      <c r="I420" s="13">
        <f t="shared" si="6"/>
        <v>3.0949782440224141</v>
      </c>
      <c r="J420" s="13"/>
      <c r="K420" s="13"/>
      <c r="L420" s="13"/>
      <c r="M420" s="13"/>
      <c r="N420" s="13"/>
      <c r="O420" s="13"/>
      <c r="P420" s="13"/>
      <c r="Q420" s="13"/>
    </row>
    <row r="421" spans="1:17" ht="18" x14ac:dyDescent="0.35">
      <c r="A421" s="4">
        <v>420</v>
      </c>
      <c r="B421" s="4">
        <v>77.099999999999994</v>
      </c>
      <c r="C421" s="4">
        <v>74.27</v>
      </c>
      <c r="D421" s="4">
        <v>79.23</v>
      </c>
      <c r="F421" s="13">
        <v>394</v>
      </c>
      <c r="G421" s="13">
        <v>101.88807517331485</v>
      </c>
      <c r="H421" s="13">
        <v>-2.2880751733148514</v>
      </c>
      <c r="I421" s="13">
        <f t="shared" si="6"/>
        <v>2.2880751733148514</v>
      </c>
      <c r="J421" s="13"/>
      <c r="K421" s="13"/>
      <c r="L421" s="13"/>
      <c r="M421" s="13"/>
      <c r="N421" s="13"/>
      <c r="O421" s="13"/>
      <c r="P421" s="13"/>
      <c r="Q421" s="13"/>
    </row>
    <row r="422" spans="1:17" ht="18" x14ac:dyDescent="0.35">
      <c r="A422" s="4">
        <v>421</v>
      </c>
      <c r="B422" s="4">
        <v>80.34</v>
      </c>
      <c r="C422" s="4">
        <v>77.099999999999994</v>
      </c>
      <c r="D422" s="4">
        <v>74.27</v>
      </c>
      <c r="F422" s="13">
        <v>395</v>
      </c>
      <c r="G422" s="13">
        <v>98.890045507554731</v>
      </c>
      <c r="H422" s="13">
        <v>-4.8800455075547262</v>
      </c>
      <c r="I422" s="13">
        <f t="shared" si="6"/>
        <v>4.8800455075547262</v>
      </c>
      <c r="J422" s="13"/>
      <c r="K422" s="13"/>
      <c r="L422" s="13"/>
      <c r="M422" s="13"/>
      <c r="N422" s="13"/>
      <c r="O422" s="13"/>
      <c r="P422" s="13"/>
      <c r="Q422" s="13"/>
    </row>
    <row r="423" spans="1:17" ht="18" x14ac:dyDescent="0.35">
      <c r="A423" s="4">
        <v>422</v>
      </c>
      <c r="B423" s="4">
        <v>80.33</v>
      </c>
      <c r="C423" s="4">
        <v>80.34</v>
      </c>
      <c r="D423" s="4">
        <v>77.099999999999994</v>
      </c>
      <c r="F423" s="13">
        <v>396</v>
      </c>
      <c r="G423" s="13">
        <v>93.143499518004774</v>
      </c>
      <c r="H423" s="13">
        <v>1.5065004819952321</v>
      </c>
      <c r="I423" s="13">
        <f t="shared" si="6"/>
        <v>1.5065004819952321</v>
      </c>
      <c r="J423" s="13"/>
      <c r="K423" s="13"/>
      <c r="L423" s="13"/>
      <c r="M423" s="13"/>
      <c r="N423" s="13"/>
      <c r="O423" s="13"/>
      <c r="P423" s="13"/>
      <c r="Q423" s="13"/>
    </row>
    <row r="424" spans="1:17" ht="18" x14ac:dyDescent="0.35">
      <c r="A424" s="4">
        <v>423</v>
      </c>
      <c r="B424" s="4">
        <v>76.510000000000005</v>
      </c>
      <c r="C424" s="4">
        <v>80.33</v>
      </c>
      <c r="D424" s="4">
        <v>80.34</v>
      </c>
      <c r="F424" s="13">
        <v>397</v>
      </c>
      <c r="G424" s="13">
        <v>94.270743735785942</v>
      </c>
      <c r="H424" s="13">
        <v>-2.4607437357859396</v>
      </c>
      <c r="I424" s="13">
        <f t="shared" si="6"/>
        <v>2.4607437357859396</v>
      </c>
      <c r="J424" s="13"/>
      <c r="K424" s="13"/>
      <c r="L424" s="13"/>
      <c r="M424" s="13"/>
      <c r="N424" s="13"/>
      <c r="O424" s="13"/>
      <c r="P424" s="13"/>
      <c r="Q424" s="13"/>
    </row>
    <row r="425" spans="1:17" ht="18" x14ac:dyDescent="0.35">
      <c r="A425" s="4">
        <v>424</v>
      </c>
      <c r="B425" s="4">
        <v>77.510000000000005</v>
      </c>
      <c r="C425" s="4">
        <v>76.510000000000005</v>
      </c>
      <c r="D425" s="4">
        <v>80.33</v>
      </c>
      <c r="F425" s="13">
        <v>398</v>
      </c>
      <c r="G425" s="13">
        <v>91.193402712121568</v>
      </c>
      <c r="H425" s="13">
        <v>3.2765972878784311</v>
      </c>
      <c r="I425" s="13">
        <f t="shared" si="6"/>
        <v>3.2765972878784311</v>
      </c>
      <c r="J425" s="13"/>
      <c r="K425" s="13"/>
      <c r="L425" s="13"/>
      <c r="M425" s="13"/>
      <c r="N425" s="13"/>
      <c r="O425" s="13"/>
      <c r="P425" s="13"/>
      <c r="Q425" s="13"/>
    </row>
    <row r="426" spans="1:17" ht="18" x14ac:dyDescent="0.35">
      <c r="A426" s="4">
        <v>425</v>
      </c>
      <c r="B426" s="4">
        <v>78.510000000000005</v>
      </c>
      <c r="C426" s="4">
        <v>77.510000000000005</v>
      </c>
      <c r="D426" s="4">
        <v>76.510000000000005</v>
      </c>
      <c r="F426" s="13">
        <v>399</v>
      </c>
      <c r="G426" s="13">
        <v>94.254163088382256</v>
      </c>
      <c r="H426" s="13">
        <v>-3.4641630883822501</v>
      </c>
      <c r="I426" s="13">
        <f t="shared" si="6"/>
        <v>3.4641630883822501</v>
      </c>
      <c r="J426" s="13"/>
      <c r="K426" s="13"/>
      <c r="L426" s="13"/>
      <c r="M426" s="13"/>
      <c r="N426" s="13"/>
      <c r="O426" s="13"/>
      <c r="P426" s="13"/>
      <c r="Q426" s="13"/>
    </row>
    <row r="427" spans="1:17" ht="18" x14ac:dyDescent="0.35">
      <c r="A427" s="4">
        <v>426</v>
      </c>
      <c r="B427" s="4">
        <v>75.42</v>
      </c>
      <c r="C427" s="4">
        <v>78.510000000000005</v>
      </c>
      <c r="D427" s="4">
        <v>77.510000000000005</v>
      </c>
      <c r="F427" s="13">
        <v>400</v>
      </c>
      <c r="G427" s="13">
        <v>90.120806018396095</v>
      </c>
      <c r="H427" s="13">
        <v>-4.830806018396089</v>
      </c>
      <c r="I427" s="13">
        <f t="shared" si="6"/>
        <v>4.830806018396089</v>
      </c>
      <c r="J427" s="13"/>
      <c r="K427" s="13"/>
      <c r="L427" s="13"/>
      <c r="M427" s="13"/>
      <c r="N427" s="13"/>
      <c r="O427" s="13"/>
      <c r="P427" s="13"/>
      <c r="Q427" s="13"/>
    </row>
    <row r="428" spans="1:17" ht="18" x14ac:dyDescent="0.35">
      <c r="A428" s="4">
        <v>427</v>
      </c>
      <c r="B428" s="4">
        <v>77.540000000000006</v>
      </c>
      <c r="C428" s="4">
        <v>75.42</v>
      </c>
      <c r="D428" s="4">
        <v>78.510000000000005</v>
      </c>
      <c r="F428" s="13">
        <v>401</v>
      </c>
      <c r="G428" s="13">
        <v>84.553002518070798</v>
      </c>
      <c r="H428" s="13">
        <v>2.6869974819291969</v>
      </c>
      <c r="I428" s="13">
        <f t="shared" si="6"/>
        <v>2.6869974819291969</v>
      </c>
      <c r="J428" s="13"/>
      <c r="K428" s="13"/>
      <c r="L428" s="13"/>
      <c r="M428" s="13"/>
      <c r="N428" s="13"/>
      <c r="O428" s="13"/>
      <c r="P428" s="13"/>
      <c r="Q428" s="13"/>
    </row>
    <row r="429" spans="1:17" ht="18" x14ac:dyDescent="0.35">
      <c r="A429" s="4">
        <v>428</v>
      </c>
      <c r="B429" s="4">
        <v>77.31</v>
      </c>
      <c r="C429" s="4">
        <v>77.540000000000006</v>
      </c>
      <c r="D429" s="4">
        <v>75.42</v>
      </c>
      <c r="F429" s="13">
        <v>402</v>
      </c>
      <c r="G429" s="13">
        <v>87.069042174291269</v>
      </c>
      <c r="H429" s="13">
        <v>-3.6090421742912753</v>
      </c>
      <c r="I429" s="13">
        <f t="shared" si="6"/>
        <v>3.6090421742912753</v>
      </c>
      <c r="J429" s="13"/>
      <c r="K429" s="13"/>
      <c r="L429" s="13"/>
      <c r="M429" s="13"/>
      <c r="N429" s="13"/>
      <c r="O429" s="13"/>
      <c r="P429" s="13"/>
      <c r="Q429" s="13"/>
    </row>
    <row r="430" spans="1:17" ht="18" x14ac:dyDescent="0.35">
      <c r="A430" s="4">
        <v>429</v>
      </c>
      <c r="B430" s="4">
        <v>69.599999999999994</v>
      </c>
      <c r="C430" s="4">
        <v>77.31</v>
      </c>
      <c r="D430" s="4">
        <v>77.540000000000006</v>
      </c>
      <c r="F430" s="13">
        <v>403</v>
      </c>
      <c r="G430" s="13">
        <v>82.885674854550189</v>
      </c>
      <c r="H430" s="13">
        <v>-2.8056748545501904</v>
      </c>
      <c r="I430" s="13">
        <f t="shared" si="6"/>
        <v>2.8056748545501904</v>
      </c>
      <c r="J430" s="13"/>
      <c r="K430" s="13"/>
      <c r="L430" s="13"/>
      <c r="M430" s="13"/>
      <c r="N430" s="13"/>
      <c r="O430" s="13"/>
      <c r="P430" s="13"/>
      <c r="Q430" s="13"/>
    </row>
    <row r="431" spans="1:17" ht="18" x14ac:dyDescent="0.35">
      <c r="A431" s="4">
        <v>430</v>
      </c>
      <c r="B431" s="4">
        <v>69.33</v>
      </c>
      <c r="C431" s="4">
        <v>69.599999999999994</v>
      </c>
      <c r="D431" s="4">
        <v>77.31</v>
      </c>
      <c r="F431" s="13">
        <v>404</v>
      </c>
      <c r="G431" s="13">
        <v>79.584953701366459</v>
      </c>
      <c r="H431" s="13">
        <v>8.6350462986335401</v>
      </c>
      <c r="I431" s="13">
        <f t="shared" si="6"/>
        <v>8.6350462986335401</v>
      </c>
      <c r="J431" s="13"/>
      <c r="K431" s="13"/>
      <c r="L431" s="13"/>
      <c r="M431" s="13"/>
      <c r="N431" s="13"/>
      <c r="O431" s="13"/>
      <c r="P431" s="13"/>
      <c r="Q431" s="13"/>
    </row>
    <row r="432" spans="1:17" ht="18" x14ac:dyDescent="0.35">
      <c r="A432" s="4">
        <v>431</v>
      </c>
      <c r="B432" s="4">
        <v>73.790000000000006</v>
      </c>
      <c r="C432" s="4">
        <v>69.33</v>
      </c>
      <c r="D432" s="4">
        <v>69.599999999999994</v>
      </c>
      <c r="F432" s="13">
        <v>405</v>
      </c>
      <c r="G432" s="13">
        <v>88.528330449030506</v>
      </c>
      <c r="H432" s="13">
        <v>0.44166955096949323</v>
      </c>
      <c r="I432" s="13">
        <f t="shared" si="6"/>
        <v>0.44166955096949323</v>
      </c>
      <c r="J432" s="13"/>
      <c r="K432" s="13"/>
      <c r="L432" s="13"/>
      <c r="M432" s="13"/>
      <c r="N432" s="13"/>
      <c r="O432" s="13"/>
      <c r="P432" s="13"/>
      <c r="Q432" s="13"/>
    </row>
    <row r="433" spans="1:17" ht="18" x14ac:dyDescent="0.35">
      <c r="A433" s="4">
        <v>432</v>
      </c>
      <c r="B433" s="4">
        <v>80.62</v>
      </c>
      <c r="C433" s="4">
        <v>73.790000000000006</v>
      </c>
      <c r="D433" s="4">
        <v>69.33</v>
      </c>
      <c r="F433" s="13">
        <v>406</v>
      </c>
      <c r="G433" s="13">
        <v>88.679191039039651</v>
      </c>
      <c r="H433" s="13">
        <v>-3.3191910390396515</v>
      </c>
      <c r="I433" s="13">
        <f t="shared" si="6"/>
        <v>3.3191910390396515</v>
      </c>
      <c r="J433" s="13"/>
      <c r="K433" s="13"/>
      <c r="L433" s="13"/>
      <c r="M433" s="13"/>
      <c r="N433" s="13"/>
      <c r="O433" s="13"/>
      <c r="P433" s="13"/>
      <c r="Q433" s="13"/>
    </row>
    <row r="434" spans="1:17" ht="18" x14ac:dyDescent="0.35">
      <c r="A434" s="4">
        <v>433</v>
      </c>
      <c r="B434" s="4">
        <v>81.87</v>
      </c>
      <c r="C434" s="4">
        <v>80.62</v>
      </c>
      <c r="D434" s="4">
        <v>73.790000000000006</v>
      </c>
      <c r="F434" s="13">
        <v>407</v>
      </c>
      <c r="G434" s="13">
        <v>84.772560004822779</v>
      </c>
      <c r="H434" s="13">
        <v>3.0974399951772256</v>
      </c>
      <c r="I434" s="13">
        <f t="shared" si="6"/>
        <v>3.0974399951772256</v>
      </c>
      <c r="J434" s="13"/>
      <c r="K434" s="13"/>
      <c r="L434" s="13"/>
      <c r="M434" s="13"/>
      <c r="N434" s="13"/>
      <c r="O434" s="13"/>
      <c r="P434" s="13"/>
      <c r="Q434" s="13"/>
    </row>
    <row r="435" spans="1:17" ht="18" x14ac:dyDescent="0.35">
      <c r="A435" s="4">
        <v>434</v>
      </c>
      <c r="B435" s="4">
        <v>79.22</v>
      </c>
      <c r="C435" s="4">
        <v>81.87</v>
      </c>
      <c r="D435" s="4">
        <v>80.62</v>
      </c>
      <c r="F435" s="13">
        <v>408</v>
      </c>
      <c r="G435" s="13">
        <v>87.734808095783251</v>
      </c>
      <c r="H435" s="13">
        <v>1.4051919042167498</v>
      </c>
      <c r="I435" s="13">
        <f t="shared" si="6"/>
        <v>1.4051919042167498</v>
      </c>
      <c r="J435" s="13"/>
      <c r="K435" s="13"/>
      <c r="L435" s="13"/>
      <c r="M435" s="13"/>
      <c r="N435" s="13"/>
      <c r="O435" s="13"/>
      <c r="P435" s="13"/>
      <c r="Q435" s="13"/>
    </row>
    <row r="436" spans="1:17" ht="18" x14ac:dyDescent="0.35">
      <c r="A436" s="4">
        <v>435</v>
      </c>
      <c r="B436" s="4">
        <v>76.31</v>
      </c>
      <c r="C436" s="4">
        <v>79.22</v>
      </c>
      <c r="D436" s="4">
        <v>81.87</v>
      </c>
      <c r="F436" s="13">
        <v>409</v>
      </c>
      <c r="G436" s="13">
        <v>88.888224361622562</v>
      </c>
      <c r="H436" s="13">
        <v>-0.47822436162256565</v>
      </c>
      <c r="I436" s="13">
        <f t="shared" si="6"/>
        <v>0.47822436162256565</v>
      </c>
      <c r="J436" s="13"/>
      <c r="K436" s="13"/>
      <c r="L436" s="13"/>
      <c r="M436" s="13"/>
      <c r="N436" s="13"/>
      <c r="O436" s="13"/>
      <c r="P436" s="13"/>
      <c r="Q436" s="13"/>
    </row>
    <row r="437" spans="1:17" ht="18" x14ac:dyDescent="0.35">
      <c r="A437" s="4">
        <v>436</v>
      </c>
      <c r="B437" s="4">
        <v>71.16</v>
      </c>
      <c r="C437" s="4">
        <v>76.31</v>
      </c>
      <c r="D437" s="4">
        <v>79.22</v>
      </c>
      <c r="F437" s="13">
        <v>410</v>
      </c>
      <c r="G437" s="13">
        <v>88.009164573870166</v>
      </c>
      <c r="H437" s="13">
        <v>-3.9891645738701698</v>
      </c>
      <c r="I437" s="13">
        <f t="shared" si="6"/>
        <v>3.9891645738701698</v>
      </c>
      <c r="J437" s="13"/>
      <c r="K437" s="13"/>
      <c r="L437" s="13"/>
      <c r="M437" s="13"/>
      <c r="N437" s="13"/>
      <c r="O437" s="13"/>
      <c r="P437" s="13"/>
      <c r="Q437" s="13"/>
    </row>
    <row r="438" spans="1:17" ht="18" x14ac:dyDescent="0.35">
      <c r="A438" s="4">
        <v>437</v>
      </c>
      <c r="B438" s="4">
        <v>72.03</v>
      </c>
      <c r="C438" s="4">
        <v>71.16</v>
      </c>
      <c r="D438" s="4">
        <v>76.31</v>
      </c>
      <c r="F438" s="13">
        <v>411</v>
      </c>
      <c r="G438" s="13">
        <v>83.389231681428683</v>
      </c>
      <c r="H438" s="13">
        <v>-4.649231681428688</v>
      </c>
      <c r="I438" s="13">
        <f t="shared" si="6"/>
        <v>4.649231681428688</v>
      </c>
      <c r="J438" s="13"/>
      <c r="K438" s="13"/>
      <c r="L438" s="13"/>
      <c r="M438" s="13"/>
      <c r="N438" s="13"/>
      <c r="O438" s="13"/>
      <c r="P438" s="13"/>
      <c r="Q438" s="13"/>
    </row>
    <row r="439" spans="1:17" ht="18" x14ac:dyDescent="0.35">
      <c r="A439" s="4">
        <v>438</v>
      </c>
      <c r="B439" s="4">
        <v>71.62</v>
      </c>
      <c r="C439" s="4">
        <v>72.03</v>
      </c>
      <c r="D439" s="4">
        <v>71.16</v>
      </c>
      <c r="F439" s="13">
        <v>412</v>
      </c>
      <c r="G439" s="13">
        <v>78.112416767979099</v>
      </c>
      <c r="H439" s="13">
        <v>1.1775832320209076</v>
      </c>
      <c r="I439" s="13">
        <f t="shared" si="6"/>
        <v>1.1775832320209076</v>
      </c>
      <c r="J439" s="13"/>
      <c r="K439" s="13"/>
      <c r="L439" s="13"/>
      <c r="M439" s="13"/>
      <c r="N439" s="13"/>
      <c r="O439" s="13"/>
      <c r="P439" s="13"/>
      <c r="Q439" s="13"/>
    </row>
    <row r="440" spans="1:17" ht="18" x14ac:dyDescent="0.35">
      <c r="A440" s="4">
        <v>439</v>
      </c>
      <c r="B440" s="4">
        <v>72.62</v>
      </c>
      <c r="C440" s="4">
        <v>71.62</v>
      </c>
      <c r="D440" s="4">
        <v>72.03</v>
      </c>
      <c r="F440" s="13">
        <v>413</v>
      </c>
      <c r="G440" s="13">
        <v>79.119063394120502</v>
      </c>
      <c r="H440" s="13">
        <v>-6.0590633941204999</v>
      </c>
      <c r="I440" s="13">
        <f t="shared" si="6"/>
        <v>6.0590633941204999</v>
      </c>
      <c r="J440" s="13"/>
      <c r="K440" s="13"/>
      <c r="L440" s="13"/>
      <c r="M440" s="13"/>
      <c r="N440" s="13"/>
      <c r="O440" s="13"/>
      <c r="P440" s="13"/>
      <c r="Q440" s="13"/>
    </row>
    <row r="441" spans="1:17" ht="18" x14ac:dyDescent="0.35">
      <c r="A441" s="4">
        <v>440</v>
      </c>
      <c r="B441" s="4">
        <v>69.849999999999994</v>
      </c>
      <c r="C441" s="4">
        <v>72.62</v>
      </c>
      <c r="D441" s="4">
        <v>71.62</v>
      </c>
      <c r="F441" s="13">
        <v>414</v>
      </c>
      <c r="G441" s="13">
        <v>72.436434493917758</v>
      </c>
      <c r="H441" s="13">
        <v>2.6835655060822461</v>
      </c>
      <c r="I441" s="13">
        <f t="shared" si="6"/>
        <v>2.6835655060822461</v>
      </c>
      <c r="J441" s="13"/>
      <c r="K441" s="13"/>
      <c r="L441" s="13"/>
      <c r="M441" s="13"/>
      <c r="N441" s="13"/>
      <c r="O441" s="13"/>
      <c r="P441" s="13"/>
      <c r="Q441" s="13"/>
    </row>
    <row r="442" spans="1:17" ht="18" x14ac:dyDescent="0.35">
      <c r="A442" s="4">
        <v>441</v>
      </c>
      <c r="B442" s="4">
        <v>71.56</v>
      </c>
      <c r="C442" s="4">
        <v>69.849999999999994</v>
      </c>
      <c r="D442" s="4">
        <v>72.62</v>
      </c>
      <c r="F442" s="13">
        <v>415</v>
      </c>
      <c r="G442" s="13">
        <v>75.127837397814915</v>
      </c>
      <c r="H442" s="13">
        <v>2.1521626021850864</v>
      </c>
      <c r="I442" s="13">
        <f t="shared" si="6"/>
        <v>2.1521626021850864</v>
      </c>
      <c r="J442" s="13"/>
      <c r="K442" s="13"/>
      <c r="L442" s="13"/>
      <c r="M442" s="13"/>
      <c r="N442" s="13"/>
      <c r="O442" s="13"/>
      <c r="P442" s="13"/>
      <c r="Q442" s="13"/>
    </row>
    <row r="443" spans="1:17" ht="18" x14ac:dyDescent="0.35">
      <c r="A443" s="4">
        <v>442</v>
      </c>
      <c r="B443" s="4">
        <v>69.42</v>
      </c>
      <c r="C443" s="4">
        <v>71.56</v>
      </c>
      <c r="D443" s="4">
        <v>69.849999999999994</v>
      </c>
      <c r="F443" s="13">
        <v>416</v>
      </c>
      <c r="G443" s="13">
        <v>77.265499423119749</v>
      </c>
      <c r="H443" s="13">
        <v>1.9645005768802548</v>
      </c>
      <c r="I443" s="13">
        <f t="shared" si="6"/>
        <v>1.9645005768802548</v>
      </c>
      <c r="J443" s="13"/>
      <c r="K443" s="13"/>
      <c r="L443" s="13"/>
      <c r="M443" s="13"/>
      <c r="N443" s="13"/>
      <c r="O443" s="13"/>
      <c r="P443" s="13"/>
      <c r="Q443" s="13"/>
    </row>
    <row r="444" spans="1:17" ht="18" x14ac:dyDescent="0.35">
      <c r="A444" s="4">
        <v>443</v>
      </c>
      <c r="B444" s="4">
        <v>70.41</v>
      </c>
      <c r="C444" s="4">
        <v>69.42</v>
      </c>
      <c r="D444" s="4">
        <v>71.56</v>
      </c>
      <c r="F444" s="13">
        <v>417</v>
      </c>
      <c r="G444" s="13">
        <v>79.171415907422031</v>
      </c>
      <c r="H444" s="13">
        <v>-4.9014159074220345</v>
      </c>
      <c r="I444" s="13">
        <f t="shared" si="6"/>
        <v>4.9014159074220345</v>
      </c>
      <c r="J444" s="13"/>
      <c r="K444" s="13"/>
      <c r="L444" s="13"/>
      <c r="M444" s="13"/>
      <c r="N444" s="13"/>
      <c r="O444" s="13"/>
      <c r="P444" s="13"/>
      <c r="Q444" s="13"/>
    </row>
    <row r="445" spans="1:17" ht="18" x14ac:dyDescent="0.35">
      <c r="A445" s="4">
        <v>444</v>
      </c>
      <c r="B445" s="4">
        <v>69.36</v>
      </c>
      <c r="C445" s="4">
        <v>70.41</v>
      </c>
      <c r="D445" s="4">
        <v>69.42</v>
      </c>
      <c r="F445" s="13">
        <v>418</v>
      </c>
      <c r="G445" s="13">
        <v>73.730615377605517</v>
      </c>
      <c r="H445" s="13">
        <v>3.3693846223944774</v>
      </c>
      <c r="I445" s="13">
        <f t="shared" si="6"/>
        <v>3.3693846223944774</v>
      </c>
      <c r="J445" s="13"/>
      <c r="K445" s="13"/>
      <c r="L445" s="13"/>
      <c r="M445" s="13"/>
      <c r="N445" s="13"/>
      <c r="O445" s="13"/>
      <c r="P445" s="13"/>
      <c r="Q445" s="13"/>
    </row>
    <row r="446" spans="1:17" ht="18" x14ac:dyDescent="0.35">
      <c r="A446" s="4">
        <v>445</v>
      </c>
      <c r="B446" s="4">
        <v>71.790000000000006</v>
      </c>
      <c r="C446" s="4">
        <v>69.36</v>
      </c>
      <c r="D446" s="4">
        <v>70.41</v>
      </c>
      <c r="F446" s="13">
        <v>419</v>
      </c>
      <c r="G446" s="13">
        <v>77.141390540456328</v>
      </c>
      <c r="H446" s="13">
        <v>3.1986094595436754</v>
      </c>
      <c r="I446" s="13">
        <f t="shared" si="6"/>
        <v>3.1986094595436754</v>
      </c>
      <c r="J446" s="13"/>
      <c r="K446" s="13"/>
      <c r="L446" s="13"/>
      <c r="M446" s="13"/>
      <c r="N446" s="13"/>
      <c r="O446" s="13"/>
      <c r="P446" s="13"/>
      <c r="Q446" s="13"/>
    </row>
    <row r="447" spans="1:17" ht="18" x14ac:dyDescent="0.35">
      <c r="A447" s="4">
        <v>446</v>
      </c>
      <c r="B447" s="4">
        <v>75.2</v>
      </c>
      <c r="C447" s="4">
        <v>71.790000000000006</v>
      </c>
      <c r="D447" s="4">
        <v>69.36</v>
      </c>
      <c r="F447" s="13">
        <v>420</v>
      </c>
      <c r="G447" s="13">
        <v>80.368592720019151</v>
      </c>
      <c r="H447" s="13">
        <v>-3.8592720019153148E-2</v>
      </c>
      <c r="I447" s="13">
        <f t="shared" si="6"/>
        <v>3.8592720019153148E-2</v>
      </c>
      <c r="J447" s="13"/>
      <c r="K447" s="13"/>
      <c r="L447" s="13"/>
      <c r="M447" s="13"/>
      <c r="N447" s="13"/>
      <c r="O447" s="13"/>
      <c r="P447" s="13"/>
      <c r="Q447" s="13"/>
    </row>
    <row r="448" spans="1:17" ht="18" x14ac:dyDescent="0.35">
      <c r="A448" s="4">
        <v>447</v>
      </c>
      <c r="B448" s="4">
        <v>75.61</v>
      </c>
      <c r="C448" s="4">
        <v>75.2</v>
      </c>
      <c r="D448" s="4">
        <v>71.790000000000006</v>
      </c>
      <c r="F448" s="13">
        <v>421</v>
      </c>
      <c r="G448" s="13">
        <v>80.099868741751067</v>
      </c>
      <c r="H448" s="13">
        <v>-3.5898687417510615</v>
      </c>
      <c r="I448" s="13">
        <f t="shared" si="6"/>
        <v>3.5898687417510615</v>
      </c>
      <c r="J448" s="13"/>
      <c r="K448" s="13"/>
      <c r="L448" s="13"/>
      <c r="M448" s="13"/>
      <c r="N448" s="13"/>
      <c r="O448" s="13"/>
      <c r="P448" s="13"/>
      <c r="Q448" s="13"/>
    </row>
    <row r="449" spans="1:17" ht="18" x14ac:dyDescent="0.35">
      <c r="A449" s="4">
        <v>448</v>
      </c>
      <c r="B449" s="4">
        <v>79.680000000000007</v>
      </c>
      <c r="C449" s="4">
        <v>75.61</v>
      </c>
      <c r="D449" s="4">
        <v>75.2</v>
      </c>
      <c r="F449" s="13">
        <v>422</v>
      </c>
      <c r="G449" s="13">
        <v>76.029991634919369</v>
      </c>
      <c r="H449" s="13">
        <v>1.4800083650806357</v>
      </c>
      <c r="I449" s="13">
        <f t="shared" si="6"/>
        <v>1.4800083650806357</v>
      </c>
      <c r="J449" s="13"/>
      <c r="K449" s="13"/>
      <c r="L449" s="13"/>
      <c r="M449" s="13"/>
      <c r="N449" s="13"/>
      <c r="O449" s="13"/>
      <c r="P449" s="13"/>
      <c r="Q449" s="13"/>
    </row>
    <row r="450" spans="1:17" ht="18" x14ac:dyDescent="0.35">
      <c r="A450" s="4">
        <v>449</v>
      </c>
      <c r="B450" s="4">
        <v>81.400000000000006</v>
      </c>
      <c r="C450" s="4">
        <v>79.680000000000007</v>
      </c>
      <c r="D450" s="4">
        <v>75.61</v>
      </c>
      <c r="F450" s="13">
        <v>423</v>
      </c>
      <c r="G450" s="13">
        <v>77.399878079902791</v>
      </c>
      <c r="H450" s="13">
        <v>1.1101219200972139</v>
      </c>
      <c r="I450" s="13">
        <f t="shared" si="6"/>
        <v>1.1101219200972139</v>
      </c>
      <c r="J450" s="13"/>
      <c r="K450" s="13"/>
      <c r="L450" s="13"/>
      <c r="M450" s="13"/>
      <c r="N450" s="13"/>
      <c r="O450" s="13"/>
      <c r="P450" s="13"/>
      <c r="Q450" s="13"/>
    </row>
    <row r="451" spans="1:17" ht="18" x14ac:dyDescent="0.35">
      <c r="A451" s="4">
        <v>450</v>
      </c>
      <c r="B451" s="4">
        <v>83.04</v>
      </c>
      <c r="C451" s="4">
        <v>81.400000000000006</v>
      </c>
      <c r="D451" s="4">
        <v>79.680000000000007</v>
      </c>
      <c r="F451" s="13">
        <v>424</v>
      </c>
      <c r="G451" s="13">
        <v>78.385848899736658</v>
      </c>
      <c r="H451" s="13">
        <v>-2.9658488997366561</v>
      </c>
      <c r="I451" s="13">
        <f t="shared" si="6"/>
        <v>2.9658488997366561</v>
      </c>
      <c r="J451" s="13"/>
      <c r="K451" s="13"/>
      <c r="L451" s="13"/>
      <c r="M451" s="13"/>
      <c r="N451" s="13"/>
      <c r="O451" s="13"/>
      <c r="P451" s="13"/>
      <c r="Q451" s="13"/>
    </row>
    <row r="452" spans="1:17" ht="18" x14ac:dyDescent="0.35">
      <c r="A452" s="4">
        <v>451</v>
      </c>
      <c r="B452" s="4">
        <v>80.930000000000007</v>
      </c>
      <c r="C452" s="4">
        <v>83.04</v>
      </c>
      <c r="D452" s="4">
        <v>81.400000000000006</v>
      </c>
      <c r="F452" s="13">
        <v>425</v>
      </c>
      <c r="G452" s="13">
        <v>75.013428338885348</v>
      </c>
      <c r="H452" s="13">
        <v>2.5265716611146587</v>
      </c>
      <c r="I452" s="13">
        <f t="shared" si="6"/>
        <v>2.5265716611146587</v>
      </c>
      <c r="J452" s="13"/>
      <c r="K452" s="13"/>
      <c r="L452" s="13"/>
      <c r="M452" s="13"/>
      <c r="N452" s="13"/>
      <c r="O452" s="13"/>
      <c r="P452" s="13"/>
      <c r="Q452" s="13"/>
    </row>
    <row r="453" spans="1:17" ht="18" x14ac:dyDescent="0.35">
      <c r="A453" s="4">
        <v>452</v>
      </c>
      <c r="B453" s="4">
        <v>79.97</v>
      </c>
      <c r="C453" s="4">
        <v>80.930000000000007</v>
      </c>
      <c r="D453" s="4">
        <v>83.04</v>
      </c>
      <c r="F453" s="13">
        <v>426</v>
      </c>
      <c r="G453" s="13">
        <v>77.518665814491072</v>
      </c>
      <c r="H453" s="13">
        <v>-0.20866581449107002</v>
      </c>
      <c r="I453" s="13">
        <f t="shared" si="6"/>
        <v>0.20866581449107002</v>
      </c>
      <c r="J453" s="13"/>
      <c r="K453" s="13"/>
      <c r="L453" s="13"/>
      <c r="M453" s="13"/>
      <c r="N453" s="13"/>
      <c r="O453" s="13"/>
      <c r="P453" s="13"/>
      <c r="Q453" s="13"/>
    </row>
    <row r="454" spans="1:17" ht="18" x14ac:dyDescent="0.35">
      <c r="A454" s="4">
        <v>453</v>
      </c>
      <c r="B454" s="4">
        <v>82.5</v>
      </c>
      <c r="C454" s="4">
        <v>79.97</v>
      </c>
      <c r="D454" s="4">
        <v>80.930000000000007</v>
      </c>
      <c r="F454" s="13">
        <v>427</v>
      </c>
      <c r="G454" s="13">
        <v>77.104713746032715</v>
      </c>
      <c r="H454" s="13">
        <v>-7.5047137460327207</v>
      </c>
      <c r="I454" s="13">
        <f t="shared" si="6"/>
        <v>7.5047137460327207</v>
      </c>
      <c r="J454" s="13"/>
      <c r="K454" s="13"/>
      <c r="L454" s="13"/>
      <c r="M454" s="13"/>
      <c r="N454" s="13"/>
      <c r="O454" s="13"/>
      <c r="P454" s="13"/>
      <c r="Q454" s="13"/>
    </row>
    <row r="455" spans="1:17" ht="18" x14ac:dyDescent="0.35">
      <c r="A455" s="4">
        <v>454</v>
      </c>
      <c r="B455" s="4">
        <v>87.17</v>
      </c>
      <c r="C455" s="4">
        <v>82.5</v>
      </c>
      <c r="D455" s="4">
        <v>79.97</v>
      </c>
      <c r="F455" s="13">
        <v>428</v>
      </c>
      <c r="G455" s="13">
        <v>68.907092651230059</v>
      </c>
      <c r="H455" s="13">
        <v>0.42290734876993952</v>
      </c>
      <c r="I455" s="13">
        <f t="shared" si="6"/>
        <v>0.42290734876993952</v>
      </c>
      <c r="J455" s="13"/>
      <c r="K455" s="13"/>
      <c r="L455" s="13"/>
      <c r="M455" s="13"/>
      <c r="N455" s="13"/>
      <c r="O455" s="13"/>
      <c r="P455" s="13"/>
      <c r="Q455" s="13"/>
    </row>
    <row r="456" spans="1:17" ht="18" x14ac:dyDescent="0.35">
      <c r="A456" s="4">
        <v>455</v>
      </c>
      <c r="B456" s="4">
        <v>89.14</v>
      </c>
      <c r="C456" s="4">
        <v>87.17</v>
      </c>
      <c r="D456" s="4">
        <v>82.5</v>
      </c>
      <c r="F456" s="13">
        <v>429</v>
      </c>
      <c r="G456" s="13">
        <v>69.233480581973012</v>
      </c>
      <c r="H456" s="13">
        <v>4.5565194180269941</v>
      </c>
      <c r="I456" s="13">
        <f t="shared" si="6"/>
        <v>4.5565194180269941</v>
      </c>
      <c r="J456" s="13"/>
      <c r="K456" s="13"/>
      <c r="L456" s="13"/>
      <c r="M456" s="13"/>
      <c r="N456" s="13"/>
      <c r="O456" s="13"/>
      <c r="P456" s="13"/>
      <c r="Q456" s="13"/>
    </row>
    <row r="457" spans="1:17" ht="18" x14ac:dyDescent="0.35">
      <c r="A457" s="4">
        <v>456</v>
      </c>
      <c r="B457" s="4">
        <v>90.28</v>
      </c>
      <c r="C457" s="4">
        <v>89.14</v>
      </c>
      <c r="D457" s="4">
        <v>87.17</v>
      </c>
      <c r="F457" s="13">
        <v>430</v>
      </c>
      <c r="G457" s="13">
        <v>74.007657514564301</v>
      </c>
      <c r="H457" s="13">
        <v>6.612342485435704</v>
      </c>
      <c r="I457" s="13">
        <f t="shared" si="6"/>
        <v>6.612342485435704</v>
      </c>
      <c r="J457" s="13"/>
      <c r="K457" s="13"/>
      <c r="L457" s="13"/>
      <c r="M457" s="13"/>
      <c r="N457" s="13"/>
      <c r="O457" s="13"/>
      <c r="P457" s="13"/>
      <c r="Q457" s="13"/>
    </row>
    <row r="458" spans="1:17" ht="18" x14ac:dyDescent="0.35">
      <c r="A458" s="4">
        <v>457</v>
      </c>
      <c r="B458" s="4">
        <v>91.44</v>
      </c>
      <c r="C458" s="4">
        <v>90.28</v>
      </c>
      <c r="D458" s="4">
        <v>89.14</v>
      </c>
      <c r="F458" s="13">
        <v>431</v>
      </c>
      <c r="G458" s="13">
        <v>80.930610004818874</v>
      </c>
      <c r="H458" s="13">
        <v>0.93938999518113064</v>
      </c>
      <c r="I458" s="13">
        <f t="shared" si="6"/>
        <v>0.93938999518113064</v>
      </c>
      <c r="J458" s="13"/>
      <c r="K458" s="13"/>
      <c r="L458" s="13"/>
      <c r="M458" s="13"/>
      <c r="N458" s="13"/>
      <c r="O458" s="13"/>
      <c r="P458" s="13"/>
      <c r="Q458" s="13"/>
    </row>
    <row r="459" spans="1:17" ht="18" x14ac:dyDescent="0.35">
      <c r="A459" s="4">
        <v>458</v>
      </c>
      <c r="B459" s="4">
        <v>85.5</v>
      </c>
      <c r="C459" s="4">
        <v>91.44</v>
      </c>
      <c r="D459" s="4">
        <v>90.28</v>
      </c>
      <c r="F459" s="13">
        <v>432</v>
      </c>
      <c r="G459" s="13">
        <v>81.718623490537638</v>
      </c>
      <c r="H459" s="13">
        <v>-2.4986234905376392</v>
      </c>
      <c r="I459" s="13">
        <f t="shared" si="6"/>
        <v>2.4986234905376392</v>
      </c>
      <c r="J459" s="13"/>
      <c r="K459" s="13"/>
      <c r="L459" s="13"/>
      <c r="M459" s="13"/>
      <c r="N459" s="13"/>
      <c r="O459" s="13"/>
      <c r="P459" s="13"/>
      <c r="Q459" s="13"/>
    </row>
    <row r="460" spans="1:17" ht="18" x14ac:dyDescent="0.35">
      <c r="A460" s="4">
        <v>459</v>
      </c>
      <c r="B460" s="4">
        <v>85.03</v>
      </c>
      <c r="C460" s="4">
        <v>85.5</v>
      </c>
      <c r="D460" s="4">
        <v>91.44</v>
      </c>
      <c r="F460" s="13">
        <v>433</v>
      </c>
      <c r="G460" s="13">
        <v>78.795163693894239</v>
      </c>
      <c r="H460" s="13">
        <v>-2.4851636938942363</v>
      </c>
      <c r="I460" s="13">
        <f t="shared" si="6"/>
        <v>2.4851636938942363</v>
      </c>
      <c r="J460" s="13"/>
      <c r="K460" s="13"/>
      <c r="L460" s="13"/>
      <c r="M460" s="13"/>
      <c r="N460" s="13"/>
      <c r="O460" s="13"/>
      <c r="P460" s="13"/>
      <c r="Q460" s="13"/>
    </row>
    <row r="461" spans="1:17" ht="18" x14ac:dyDescent="0.35">
      <c r="A461" s="4">
        <v>460</v>
      </c>
      <c r="B461" s="4">
        <v>88.03</v>
      </c>
      <c r="C461" s="4">
        <v>85.03</v>
      </c>
      <c r="D461" s="4">
        <v>85.5</v>
      </c>
      <c r="F461" s="13">
        <v>434</v>
      </c>
      <c r="G461" s="13">
        <v>75.905279466572111</v>
      </c>
      <c r="H461" s="13">
        <v>-4.7452794665721143</v>
      </c>
      <c r="I461" s="13">
        <f t="shared" si="6"/>
        <v>4.7452794665721143</v>
      </c>
      <c r="J461" s="13"/>
      <c r="K461" s="13"/>
      <c r="L461" s="13"/>
      <c r="M461" s="13"/>
      <c r="N461" s="13"/>
      <c r="O461" s="13"/>
      <c r="P461" s="13"/>
      <c r="Q461" s="13"/>
    </row>
    <row r="462" spans="1:17" ht="18" x14ac:dyDescent="0.35">
      <c r="A462" s="4">
        <v>461</v>
      </c>
      <c r="B462" s="4">
        <v>85.2</v>
      </c>
      <c r="C462" s="4">
        <v>88.03</v>
      </c>
      <c r="D462" s="4">
        <v>85.03</v>
      </c>
      <c r="F462" s="13">
        <v>435</v>
      </c>
      <c r="G462" s="13">
        <v>70.649112524441207</v>
      </c>
      <c r="H462" s="13">
        <v>1.3808874755587937</v>
      </c>
      <c r="I462" s="13">
        <f t="shared" si="6"/>
        <v>1.3808874755587937</v>
      </c>
      <c r="J462" s="13"/>
      <c r="K462" s="13"/>
      <c r="L462" s="13"/>
      <c r="M462" s="13"/>
      <c r="N462" s="13"/>
      <c r="O462" s="13"/>
      <c r="P462" s="13"/>
      <c r="Q462" s="13"/>
    </row>
    <row r="463" spans="1:17" ht="18" x14ac:dyDescent="0.35">
      <c r="A463" s="4">
        <v>462</v>
      </c>
      <c r="B463" s="4">
        <v>81.99</v>
      </c>
      <c r="C463" s="4">
        <v>85.2</v>
      </c>
      <c r="D463" s="4">
        <v>88.03</v>
      </c>
      <c r="F463" s="13">
        <v>436</v>
      </c>
      <c r="G463" s="13">
        <v>71.986403416410425</v>
      </c>
      <c r="H463" s="13">
        <v>-0.36640341641042085</v>
      </c>
      <c r="I463" s="13">
        <f t="shared" si="6"/>
        <v>0.36640341641042085</v>
      </c>
      <c r="J463" s="13"/>
      <c r="K463" s="13"/>
      <c r="L463" s="13"/>
      <c r="M463" s="13"/>
      <c r="N463" s="13"/>
      <c r="O463" s="13"/>
      <c r="P463" s="13"/>
      <c r="Q463" s="13"/>
    </row>
    <row r="464" spans="1:17" ht="18" x14ac:dyDescent="0.35">
      <c r="A464" s="4">
        <v>463</v>
      </c>
      <c r="B464" s="4">
        <v>77.92</v>
      </c>
      <c r="C464" s="4">
        <v>81.99</v>
      </c>
      <c r="D464" s="4">
        <v>85.2</v>
      </c>
      <c r="F464" s="13">
        <v>437</v>
      </c>
      <c r="G464" s="13">
        <v>71.480202683143403</v>
      </c>
      <c r="H464" s="13">
        <v>1.1397973168566011</v>
      </c>
      <c r="I464" s="13">
        <f t="shared" si="6"/>
        <v>1.1397973168566011</v>
      </c>
      <c r="J464" s="13"/>
      <c r="K464" s="13"/>
      <c r="L464" s="13"/>
      <c r="M464" s="13"/>
      <c r="N464" s="13"/>
      <c r="O464" s="13"/>
      <c r="P464" s="13"/>
      <c r="Q464" s="13"/>
    </row>
    <row r="465" spans="1:17" ht="18" x14ac:dyDescent="0.35">
      <c r="A465" s="4">
        <v>464</v>
      </c>
      <c r="B465" s="4">
        <v>76.98</v>
      </c>
      <c r="C465" s="4">
        <v>77.92</v>
      </c>
      <c r="D465" s="4">
        <v>81.99</v>
      </c>
      <c r="F465" s="13">
        <v>438</v>
      </c>
      <c r="G465" s="13">
        <v>72.578480770915206</v>
      </c>
      <c r="H465" s="13">
        <v>-2.7284807709152119</v>
      </c>
      <c r="I465" s="13">
        <f t="shared" si="6"/>
        <v>2.7284807709152119</v>
      </c>
      <c r="J465" s="13"/>
      <c r="K465" s="13"/>
      <c r="L465" s="13"/>
      <c r="M465" s="13"/>
      <c r="N465" s="13"/>
      <c r="O465" s="13"/>
      <c r="P465" s="13"/>
      <c r="Q465" s="13"/>
    </row>
    <row r="466" spans="1:17" ht="18" x14ac:dyDescent="0.35">
      <c r="A466" s="4">
        <v>465</v>
      </c>
      <c r="B466" s="4">
        <v>77.02</v>
      </c>
      <c r="C466" s="4">
        <v>76.98</v>
      </c>
      <c r="D466" s="4">
        <v>77.92</v>
      </c>
      <c r="F466" s="13">
        <v>439</v>
      </c>
      <c r="G466" s="13">
        <v>69.547059046694514</v>
      </c>
      <c r="H466" s="13">
        <v>2.0129409533054883</v>
      </c>
      <c r="I466" s="13">
        <f t="shared" si="6"/>
        <v>2.0129409533054883</v>
      </c>
      <c r="J466" s="13"/>
      <c r="K466" s="13"/>
      <c r="L466" s="13"/>
      <c r="M466" s="13"/>
      <c r="N466" s="13"/>
      <c r="O466" s="13"/>
      <c r="P466" s="13"/>
      <c r="Q466" s="13"/>
    </row>
    <row r="467" spans="1:17" ht="18" x14ac:dyDescent="0.35">
      <c r="A467" s="4">
        <v>466</v>
      </c>
      <c r="B467" s="4">
        <v>75.489999999999995</v>
      </c>
      <c r="C467" s="4">
        <v>77.02</v>
      </c>
      <c r="D467" s="4">
        <v>76.98</v>
      </c>
      <c r="F467" s="13">
        <v>440</v>
      </c>
      <c r="G467" s="13">
        <v>71.589903588583468</v>
      </c>
      <c r="H467" s="13">
        <v>-2.1699035885834661</v>
      </c>
      <c r="I467" s="13">
        <f t="shared" si="6"/>
        <v>2.1699035885834661</v>
      </c>
      <c r="J467" s="13"/>
      <c r="K467" s="13"/>
      <c r="L467" s="13"/>
      <c r="M467" s="13"/>
      <c r="N467" s="13"/>
      <c r="O467" s="13"/>
      <c r="P467" s="13"/>
      <c r="Q467" s="13"/>
    </row>
    <row r="468" spans="1:17" ht="18" x14ac:dyDescent="0.35">
      <c r="A468" s="4">
        <v>467</v>
      </c>
      <c r="B468" s="4">
        <v>70.709999999999994</v>
      </c>
      <c r="C468" s="4">
        <v>75.489999999999995</v>
      </c>
      <c r="D468" s="4">
        <v>77.02</v>
      </c>
      <c r="F468" s="13">
        <v>441</v>
      </c>
      <c r="G468" s="13">
        <v>69.17327143728717</v>
      </c>
      <c r="H468" s="13">
        <v>1.2367285627128268</v>
      </c>
      <c r="I468" s="13">
        <f t="shared" si="6"/>
        <v>1.2367285627128268</v>
      </c>
      <c r="J468" s="13"/>
      <c r="K468" s="13"/>
      <c r="L468" s="13"/>
      <c r="M468" s="13"/>
      <c r="N468" s="13"/>
      <c r="O468" s="13"/>
      <c r="P468" s="13"/>
      <c r="Q468" s="13"/>
    </row>
    <row r="469" spans="1:17" ht="18" x14ac:dyDescent="0.35">
      <c r="A469" s="4">
        <v>468</v>
      </c>
      <c r="B469" s="4">
        <v>70.11</v>
      </c>
      <c r="C469" s="4">
        <v>70.709999999999994</v>
      </c>
      <c r="D469" s="4">
        <v>75.489999999999995</v>
      </c>
      <c r="F469" s="13">
        <v>442</v>
      </c>
      <c r="G469" s="13">
        <v>70.398688753635994</v>
      </c>
      <c r="H469" s="13">
        <v>-1.038688753635995</v>
      </c>
      <c r="I469" s="13">
        <f t="shared" si="6"/>
        <v>1.038688753635995</v>
      </c>
      <c r="J469" s="13"/>
      <c r="K469" s="13"/>
      <c r="L469" s="13"/>
      <c r="M469" s="13"/>
      <c r="N469" s="13"/>
      <c r="O469" s="13"/>
      <c r="P469" s="13"/>
      <c r="Q469" s="13"/>
    </row>
    <row r="470" spans="1:17" ht="18" x14ac:dyDescent="0.35">
      <c r="A470" s="4">
        <v>469</v>
      </c>
      <c r="B470" s="4">
        <v>73.23</v>
      </c>
      <c r="C470" s="4">
        <v>70.11</v>
      </c>
      <c r="D470" s="4">
        <v>70.709999999999994</v>
      </c>
      <c r="F470" s="13">
        <v>443</v>
      </c>
      <c r="G470" s="13">
        <v>69.200932281751278</v>
      </c>
      <c r="H470" s="13">
        <v>2.5890677182487281</v>
      </c>
      <c r="I470" s="13">
        <f t="shared" si="6"/>
        <v>2.5890677182487281</v>
      </c>
      <c r="J470" s="13"/>
      <c r="K470" s="13"/>
      <c r="L470" s="13"/>
      <c r="M470" s="13"/>
      <c r="N470" s="13"/>
      <c r="O470" s="13"/>
      <c r="P470" s="13"/>
      <c r="Q470" s="13"/>
    </row>
    <row r="471" spans="1:17" ht="18" x14ac:dyDescent="0.35">
      <c r="A471" s="4">
        <v>470</v>
      </c>
      <c r="B471" s="4">
        <v>73.52</v>
      </c>
      <c r="C471" s="4">
        <v>73.23</v>
      </c>
      <c r="D471" s="4">
        <v>70.11</v>
      </c>
      <c r="F471" s="13">
        <v>444</v>
      </c>
      <c r="G471" s="13">
        <v>71.874025269283791</v>
      </c>
      <c r="H471" s="13">
        <v>3.3259747307162115</v>
      </c>
      <c r="I471" s="13">
        <f t="shared" si="6"/>
        <v>3.3259747307162115</v>
      </c>
      <c r="J471" s="13"/>
      <c r="K471" s="13"/>
      <c r="L471" s="13"/>
      <c r="M471" s="13"/>
      <c r="N471" s="13"/>
      <c r="O471" s="13"/>
      <c r="P471" s="13"/>
      <c r="Q471" s="13"/>
    </row>
    <row r="472" spans="1:17" ht="18" x14ac:dyDescent="0.35">
      <c r="C472" s="10">
        <v>73.52</v>
      </c>
      <c r="D472" s="12">
        <v>73.23</v>
      </c>
      <c r="F472" s="13">
        <v>445</v>
      </c>
      <c r="G472" s="13">
        <v>75.314243298661353</v>
      </c>
      <c r="H472" s="13">
        <v>0.29575670133864662</v>
      </c>
      <c r="I472" s="13">
        <f t="shared" si="6"/>
        <v>0.29575670133864662</v>
      </c>
      <c r="J472" s="13"/>
      <c r="K472" s="13"/>
      <c r="L472" s="13"/>
      <c r="M472" s="13"/>
      <c r="N472" s="13"/>
      <c r="O472" s="13"/>
      <c r="P472" s="13"/>
      <c r="Q472" s="13"/>
    </row>
    <row r="473" spans="1:17" ht="18" x14ac:dyDescent="0.35">
      <c r="D473" s="12">
        <v>73.52</v>
      </c>
      <c r="F473" s="13">
        <v>446</v>
      </c>
      <c r="G473" s="13">
        <v>75.479539700882725</v>
      </c>
      <c r="H473" s="13">
        <v>4.2004602991172817</v>
      </c>
      <c r="I473" s="13">
        <f t="shared" si="6"/>
        <v>4.2004602991172817</v>
      </c>
      <c r="J473" s="13"/>
      <c r="K473" s="13"/>
      <c r="L473" s="13"/>
      <c r="M473" s="13"/>
      <c r="N473" s="13"/>
      <c r="O473" s="13"/>
      <c r="P473" s="13"/>
      <c r="Q473" s="13"/>
    </row>
    <row r="474" spans="1:17" ht="18" x14ac:dyDescent="0.35">
      <c r="F474" s="13">
        <v>447</v>
      </c>
      <c r="G474" s="13">
        <v>79.783961930977384</v>
      </c>
      <c r="H474" s="13">
        <v>1.6160380690226219</v>
      </c>
      <c r="I474" s="13">
        <f t="shared" si="6"/>
        <v>1.6160380690226219</v>
      </c>
      <c r="J474" s="13"/>
      <c r="K474" s="13"/>
      <c r="L474" s="13"/>
      <c r="M474" s="13"/>
      <c r="N474" s="13"/>
      <c r="O474" s="13"/>
      <c r="P474" s="13"/>
      <c r="Q474" s="13"/>
    </row>
    <row r="475" spans="1:17" ht="18" x14ac:dyDescent="0.35">
      <c r="F475" s="13">
        <v>448</v>
      </c>
      <c r="G475" s="13">
        <v>81.292652961195046</v>
      </c>
      <c r="H475" s="13">
        <v>1.7473470388049606</v>
      </c>
      <c r="I475" s="13">
        <f t="shared" si="6"/>
        <v>1.7473470388049606</v>
      </c>
      <c r="J475" s="13"/>
      <c r="K475" s="13"/>
      <c r="L475" s="13"/>
      <c r="M475" s="13"/>
      <c r="N475" s="13"/>
      <c r="O475" s="13"/>
      <c r="P475" s="13"/>
      <c r="Q475" s="13"/>
    </row>
    <row r="476" spans="1:17" ht="18" x14ac:dyDescent="0.35">
      <c r="F476" s="13">
        <v>449</v>
      </c>
      <c r="G476" s="13">
        <v>82.903273062151641</v>
      </c>
      <c r="H476" s="13">
        <v>-1.9732730621516339</v>
      </c>
      <c r="I476" s="13">
        <f t="shared" si="6"/>
        <v>1.9732730621516339</v>
      </c>
      <c r="J476" s="13"/>
      <c r="K476" s="13"/>
      <c r="L476" s="13"/>
      <c r="M476" s="13"/>
      <c r="N476" s="13"/>
      <c r="O476" s="13"/>
      <c r="P476" s="13"/>
      <c r="Q476" s="13"/>
    </row>
    <row r="477" spans="1:17" ht="18" x14ac:dyDescent="0.35">
      <c r="F477" s="13">
        <v>450</v>
      </c>
      <c r="G477" s="13">
        <v>80.524185089914042</v>
      </c>
      <c r="H477" s="13">
        <v>-0.55418508991404281</v>
      </c>
      <c r="I477" s="13">
        <f t="shared" ref="I477:I495" si="7">ABS(H477)</f>
        <v>0.55418508991404281</v>
      </c>
      <c r="J477" s="13"/>
      <c r="K477" s="13"/>
      <c r="L477" s="13"/>
      <c r="M477" s="13"/>
      <c r="N477" s="13"/>
      <c r="O477" s="13"/>
      <c r="P477" s="13"/>
      <c r="Q477" s="13"/>
    </row>
    <row r="478" spans="1:17" ht="18" x14ac:dyDescent="0.35">
      <c r="F478" s="13">
        <v>451</v>
      </c>
      <c r="G478" s="13">
        <v>79.669251229205884</v>
      </c>
      <c r="H478" s="13">
        <v>2.8307487707941164</v>
      </c>
      <c r="I478" s="13">
        <f t="shared" si="7"/>
        <v>2.8307487707941164</v>
      </c>
      <c r="J478" s="13"/>
      <c r="K478" s="13"/>
      <c r="L478" s="13"/>
      <c r="M478" s="13"/>
      <c r="N478" s="13"/>
      <c r="O478" s="13"/>
      <c r="P478" s="13"/>
      <c r="Q478" s="13"/>
    </row>
    <row r="479" spans="1:17" ht="18" x14ac:dyDescent="0.35">
      <c r="F479" s="13">
        <v>452</v>
      </c>
      <c r="G479" s="13">
        <v>82.441737804168127</v>
      </c>
      <c r="H479" s="13">
        <v>4.7282621958318742</v>
      </c>
      <c r="I479" s="13">
        <f t="shared" si="7"/>
        <v>4.7282621958318742</v>
      </c>
      <c r="J479" s="13"/>
      <c r="K479" s="13"/>
      <c r="L479" s="13"/>
      <c r="M479" s="13"/>
      <c r="N479" s="13"/>
      <c r="O479" s="13"/>
      <c r="P479" s="13"/>
      <c r="Q479" s="13"/>
    </row>
    <row r="480" spans="1:17" ht="18" x14ac:dyDescent="0.35">
      <c r="F480" s="13">
        <v>453</v>
      </c>
      <c r="G480" s="13">
        <v>87.216673698315105</v>
      </c>
      <c r="H480" s="13">
        <v>1.9233263016848952</v>
      </c>
      <c r="I480" s="13">
        <f t="shared" si="7"/>
        <v>1.9233263016848952</v>
      </c>
      <c r="J480" s="13"/>
      <c r="K480" s="13"/>
      <c r="L480" s="13"/>
      <c r="M480" s="13"/>
      <c r="N480" s="13"/>
      <c r="O480" s="13"/>
      <c r="P480" s="13"/>
      <c r="Q480" s="13"/>
    </row>
    <row r="481" spans="6:17" ht="18" x14ac:dyDescent="0.35">
      <c r="F481" s="13">
        <v>454</v>
      </c>
      <c r="G481" s="13">
        <v>88.943979742868351</v>
      </c>
      <c r="H481" s="13">
        <v>1.3360202571316506</v>
      </c>
      <c r="I481" s="13">
        <f t="shared" si="7"/>
        <v>1.3360202571316506</v>
      </c>
      <c r="J481" s="13"/>
      <c r="K481" s="13"/>
      <c r="L481" s="13"/>
      <c r="M481" s="13"/>
      <c r="N481" s="13"/>
      <c r="O481" s="13"/>
      <c r="P481" s="13"/>
      <c r="Q481" s="13"/>
    </row>
    <row r="482" spans="6:17" ht="18" x14ac:dyDescent="0.35">
      <c r="F482" s="13">
        <v>455</v>
      </c>
      <c r="G482" s="13">
        <v>90.001876525430376</v>
      </c>
      <c r="H482" s="13">
        <v>1.4381234745696219</v>
      </c>
      <c r="I482" s="13">
        <f t="shared" si="7"/>
        <v>1.4381234745696219</v>
      </c>
      <c r="J482" s="13"/>
      <c r="K482" s="13"/>
      <c r="L482" s="13"/>
      <c r="M482" s="13"/>
      <c r="N482" s="13"/>
      <c r="O482" s="13"/>
      <c r="P482" s="13"/>
      <c r="Q482" s="13"/>
    </row>
    <row r="483" spans="6:17" ht="18" x14ac:dyDescent="0.35">
      <c r="F483" s="13">
        <v>456</v>
      </c>
      <c r="G483" s="13">
        <v>91.147195687330395</v>
      </c>
      <c r="H483" s="13">
        <v>-5.6471956873303952</v>
      </c>
      <c r="I483" s="13">
        <f t="shared" si="7"/>
        <v>5.6471956873303952</v>
      </c>
      <c r="J483" s="13"/>
      <c r="K483" s="13"/>
      <c r="L483" s="13"/>
      <c r="M483" s="13"/>
      <c r="N483" s="13"/>
      <c r="O483" s="13"/>
      <c r="P483" s="13"/>
      <c r="Q483" s="13"/>
    </row>
    <row r="484" spans="6:17" ht="18" x14ac:dyDescent="0.35">
      <c r="F484" s="13">
        <v>457</v>
      </c>
      <c r="G484" s="13">
        <v>84.725010150595693</v>
      </c>
      <c r="H484" s="13">
        <v>0.30498984940430773</v>
      </c>
      <c r="I484" s="13">
        <f t="shared" si="7"/>
        <v>0.30498984940430773</v>
      </c>
      <c r="J484" s="13"/>
      <c r="K484" s="13"/>
      <c r="L484" s="13"/>
      <c r="M484" s="13"/>
      <c r="N484" s="13"/>
      <c r="O484" s="13"/>
      <c r="P484" s="13"/>
      <c r="Q484" s="13"/>
    </row>
    <row r="485" spans="6:17" ht="18" x14ac:dyDescent="0.35">
      <c r="F485" s="13">
        <v>458</v>
      </c>
      <c r="G485" s="13">
        <v>84.697292344437287</v>
      </c>
      <c r="H485" s="13">
        <v>3.3327076555627144</v>
      </c>
      <c r="I485" s="13">
        <f t="shared" si="7"/>
        <v>3.3327076555627144</v>
      </c>
      <c r="J485" s="13"/>
      <c r="K485" s="13"/>
      <c r="L485" s="13"/>
      <c r="M485" s="13"/>
      <c r="N485" s="13"/>
      <c r="O485" s="13"/>
      <c r="P485" s="13"/>
      <c r="Q485" s="13"/>
    </row>
    <row r="486" spans="6:17" ht="18" x14ac:dyDescent="0.35">
      <c r="F486" s="13">
        <v>459</v>
      </c>
      <c r="G486" s="13">
        <v>87.931592193828706</v>
      </c>
      <c r="H486" s="13">
        <v>-2.7315921938287033</v>
      </c>
      <c r="I486" s="13">
        <f t="shared" si="7"/>
        <v>2.7315921938287033</v>
      </c>
      <c r="J486" s="13"/>
      <c r="K486" s="13"/>
      <c r="L486" s="13"/>
      <c r="M486" s="13"/>
      <c r="N486" s="13"/>
      <c r="O486" s="13"/>
      <c r="P486" s="13"/>
      <c r="Q486" s="13"/>
    </row>
    <row r="487" spans="6:17" ht="18" x14ac:dyDescent="0.35">
      <c r="F487" s="13">
        <v>460</v>
      </c>
      <c r="G487" s="13">
        <v>84.676932098466111</v>
      </c>
      <c r="H487" s="13">
        <v>-2.6869320984661158</v>
      </c>
      <c r="I487" s="13">
        <f t="shared" si="7"/>
        <v>2.6869320984661158</v>
      </c>
      <c r="J487" s="13"/>
      <c r="K487" s="13"/>
      <c r="L487" s="13"/>
      <c r="M487" s="13"/>
      <c r="N487" s="13"/>
      <c r="O487" s="13"/>
      <c r="P487" s="13"/>
      <c r="Q487" s="13"/>
    </row>
    <row r="488" spans="6:17" ht="18" x14ac:dyDescent="0.35">
      <c r="F488" s="13">
        <v>461</v>
      </c>
      <c r="G488" s="13">
        <v>81.481698559837412</v>
      </c>
      <c r="H488" s="13">
        <v>-3.56169855983741</v>
      </c>
      <c r="I488" s="13">
        <f t="shared" si="7"/>
        <v>3.56169855983741</v>
      </c>
      <c r="J488" s="13"/>
      <c r="K488" s="13"/>
      <c r="L488" s="13"/>
      <c r="M488" s="13"/>
      <c r="N488" s="13"/>
      <c r="O488" s="13"/>
      <c r="P488" s="13"/>
      <c r="Q488" s="13"/>
    </row>
    <row r="489" spans="6:17" ht="18" x14ac:dyDescent="0.35">
      <c r="F489" s="13">
        <v>462</v>
      </c>
      <c r="G489" s="13">
        <v>77.400297854725906</v>
      </c>
      <c r="H489" s="13">
        <v>-0.4202978547259022</v>
      </c>
      <c r="I489" s="13">
        <f t="shared" si="7"/>
        <v>0.4202978547259022</v>
      </c>
      <c r="J489" s="13"/>
      <c r="K489" s="13"/>
      <c r="L489" s="13"/>
      <c r="M489" s="13"/>
      <c r="N489" s="13"/>
      <c r="O489" s="13"/>
      <c r="P489" s="13"/>
      <c r="Q489" s="13"/>
    </row>
    <row r="490" spans="6:17" ht="18" x14ac:dyDescent="0.35">
      <c r="F490" s="13">
        <v>463</v>
      </c>
      <c r="G490" s="13">
        <v>76.72279148879538</v>
      </c>
      <c r="H490" s="13">
        <v>0.29720851120461589</v>
      </c>
      <c r="I490" s="13">
        <f t="shared" si="7"/>
        <v>0.29720851120461589</v>
      </c>
      <c r="J490" s="13"/>
      <c r="K490" s="13"/>
      <c r="L490" s="13"/>
      <c r="M490" s="13"/>
      <c r="N490" s="13"/>
      <c r="O490" s="13"/>
      <c r="P490" s="13"/>
      <c r="Q490" s="13"/>
    </row>
    <row r="491" spans="6:17" ht="18" x14ac:dyDescent="0.35">
      <c r="F491" s="13">
        <v>464</v>
      </c>
      <c r="G491" s="13">
        <v>76.840287855332832</v>
      </c>
      <c r="H491" s="13">
        <v>-1.3502878553328372</v>
      </c>
      <c r="I491" s="13">
        <f t="shared" si="7"/>
        <v>1.3502878553328372</v>
      </c>
      <c r="J491" s="13"/>
      <c r="K491" s="13"/>
      <c r="L491" s="13"/>
      <c r="M491" s="13"/>
      <c r="N491" s="13"/>
      <c r="O491" s="13"/>
      <c r="P491" s="13"/>
      <c r="Q491" s="13"/>
    </row>
    <row r="492" spans="6:17" ht="18" x14ac:dyDescent="0.35">
      <c r="F492" s="13">
        <v>465</v>
      </c>
      <c r="G492" s="13">
        <v>75.206701145907175</v>
      </c>
      <c r="H492" s="13">
        <v>-4.4967011459071813</v>
      </c>
      <c r="I492" s="13">
        <f t="shared" si="7"/>
        <v>4.4967011459071813</v>
      </c>
      <c r="J492" s="13"/>
      <c r="K492" s="13"/>
      <c r="L492" s="13"/>
      <c r="M492" s="13"/>
      <c r="N492" s="13"/>
      <c r="O492" s="13"/>
      <c r="P492" s="13"/>
      <c r="Q492" s="13"/>
    </row>
    <row r="493" spans="6:17" ht="18" x14ac:dyDescent="0.35">
      <c r="F493" s="13">
        <v>466</v>
      </c>
      <c r="G493" s="13">
        <v>70.234896357031587</v>
      </c>
      <c r="H493" s="13">
        <v>-0.12489635703158797</v>
      </c>
      <c r="I493" s="13">
        <f t="shared" si="7"/>
        <v>0.12489635703158797</v>
      </c>
      <c r="J493" s="13"/>
      <c r="K493" s="13"/>
      <c r="L493" s="13"/>
      <c r="M493" s="13"/>
      <c r="N493" s="13"/>
      <c r="O493" s="13"/>
      <c r="P493" s="13"/>
      <c r="Q493" s="13"/>
    </row>
    <row r="494" spans="6:17" ht="18" x14ac:dyDescent="0.35">
      <c r="F494" s="13">
        <v>467</v>
      </c>
      <c r="G494" s="13">
        <v>69.976253141713258</v>
      </c>
      <c r="H494" s="13">
        <v>3.2537468582867461</v>
      </c>
      <c r="I494" s="13">
        <f t="shared" si="7"/>
        <v>3.2537468582867461</v>
      </c>
      <c r="J494" s="13"/>
      <c r="K494" s="13"/>
      <c r="L494" s="13"/>
      <c r="M494" s="13"/>
      <c r="N494" s="13"/>
      <c r="O494" s="13"/>
      <c r="P494" s="13"/>
      <c r="Q494" s="13"/>
    </row>
    <row r="495" spans="6:17" ht="18.600000000000001" thickBot="1" x14ac:dyDescent="0.4">
      <c r="F495" s="24">
        <v>468</v>
      </c>
      <c r="G495" s="24">
        <v>73.348782125643964</v>
      </c>
      <c r="H495" s="24">
        <v>0.17121787435603153</v>
      </c>
      <c r="I495" s="13">
        <f t="shared" si="7"/>
        <v>0.17121787435603153</v>
      </c>
      <c r="J495" s="13"/>
      <c r="K495" s="13"/>
      <c r="L495" s="13"/>
      <c r="M495" s="13"/>
      <c r="N495" s="13"/>
      <c r="O495" s="13"/>
      <c r="P495" s="13"/>
      <c r="Q495" s="13"/>
    </row>
    <row r="496" spans="6:17" ht="18" x14ac:dyDescent="0.35"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 spans="6:17" ht="18" x14ac:dyDescent="0.35"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 spans="6:17" ht="18" x14ac:dyDescent="0.35"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</sheetData>
  <mergeCells count="1">
    <mergeCell ref="I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23A3-C229-49CE-B55A-2B042667AA77}">
  <sheetPr>
    <tabColor theme="3" tint="0.79998168889431442"/>
  </sheetPr>
  <dimension ref="A1:X498"/>
  <sheetViews>
    <sheetView zoomScale="62" workbookViewId="0">
      <selection activeCell="F1" sqref="F1"/>
    </sheetView>
  </sheetViews>
  <sheetFormatPr defaultRowHeight="14.4" x14ac:dyDescent="0.3"/>
  <cols>
    <col min="1" max="1" width="17.88671875" customWidth="1"/>
    <col min="2" max="2" width="22" customWidth="1"/>
    <col min="3" max="3" width="18.6640625" customWidth="1"/>
    <col min="4" max="4" width="19.5546875" customWidth="1"/>
    <col min="6" max="6" width="15" customWidth="1"/>
    <col min="7" max="7" width="9" bestFit="1" customWidth="1"/>
    <col min="8" max="8" width="11.6640625" bestFit="1" customWidth="1"/>
    <col min="9" max="9" width="14.33203125" customWidth="1"/>
    <col min="10" max="10" width="17.77734375" customWidth="1"/>
    <col min="11" max="14" width="9" bestFit="1" customWidth="1"/>
  </cols>
  <sheetData>
    <row r="1" spans="1:24" ht="54" x14ac:dyDescent="0.35">
      <c r="A1" s="16"/>
      <c r="B1" s="14" t="s">
        <v>30</v>
      </c>
      <c r="C1" s="15" t="s">
        <v>32</v>
      </c>
      <c r="D1" s="14" t="s">
        <v>29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8" x14ac:dyDescent="0.35">
      <c r="A2" s="17"/>
      <c r="B2" s="3"/>
      <c r="C2" s="3"/>
      <c r="D2" s="10"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18" x14ac:dyDescent="0.35">
      <c r="A3" s="13"/>
      <c r="B3" s="4">
        <v>53.44</v>
      </c>
      <c r="C3" s="4">
        <v>48.77</v>
      </c>
      <c r="D3" s="4">
        <v>2</v>
      </c>
      <c r="F3" s="13" t="s">
        <v>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18.600000000000001" thickBot="1" x14ac:dyDescent="0.4">
      <c r="A4" s="18"/>
      <c r="B4" s="4">
        <v>48.77</v>
      </c>
      <c r="C4" s="7">
        <v>47.07</v>
      </c>
      <c r="D4" s="7">
        <v>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ht="18" x14ac:dyDescent="0.35">
      <c r="A5" s="18"/>
      <c r="B5" s="7">
        <v>47.07</v>
      </c>
      <c r="C5" s="7">
        <v>46.46</v>
      </c>
      <c r="D5" s="7">
        <v>4</v>
      </c>
      <c r="F5" s="27" t="s">
        <v>1</v>
      </c>
      <c r="G5" s="2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18" x14ac:dyDescent="0.35">
      <c r="A6" s="18"/>
      <c r="B6" s="7">
        <v>46.46</v>
      </c>
      <c r="C6" s="7">
        <v>45.32</v>
      </c>
      <c r="D6" s="7">
        <v>5</v>
      </c>
      <c r="F6" s="13" t="s">
        <v>2</v>
      </c>
      <c r="G6" s="13">
        <v>0.98693170038722844</v>
      </c>
      <c r="H6" s="13"/>
      <c r="I6" s="39" t="s">
        <v>37</v>
      </c>
      <c r="J6" s="39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ht="18" x14ac:dyDescent="0.35">
      <c r="A7" s="18"/>
      <c r="B7" s="7">
        <v>45.32</v>
      </c>
      <c r="C7" s="7">
        <v>50.58</v>
      </c>
      <c r="D7" s="7">
        <v>6</v>
      </c>
      <c r="F7" s="13" t="s">
        <v>3</v>
      </c>
      <c r="G7" s="13">
        <v>0.97403418122922614</v>
      </c>
      <c r="H7" s="13"/>
      <c r="I7" s="21">
        <f>G19+G20*B471+G21*470</f>
        <v>73.323906246859849</v>
      </c>
      <c r="J7" s="21" t="s">
        <v>38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18" x14ac:dyDescent="0.35">
      <c r="A8" s="18"/>
      <c r="B8" s="7">
        <v>50.58</v>
      </c>
      <c r="C8" s="7">
        <v>51.14</v>
      </c>
      <c r="D8" s="7">
        <v>7</v>
      </c>
      <c r="F8" s="13" t="s">
        <v>4</v>
      </c>
      <c r="G8" s="13">
        <v>0.97392273994694811</v>
      </c>
      <c r="H8" s="13"/>
      <c r="I8" s="21">
        <f>G19+G20*I7+G21*471</f>
        <v>73.417531784277926</v>
      </c>
      <c r="J8" s="21" t="s">
        <v>39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ht="18" x14ac:dyDescent="0.35">
      <c r="A9" s="18"/>
      <c r="B9" s="7">
        <v>51.14</v>
      </c>
      <c r="C9" s="7">
        <v>51.69</v>
      </c>
      <c r="D9" s="7">
        <v>8</v>
      </c>
      <c r="F9" s="13" t="s">
        <v>5</v>
      </c>
      <c r="G9" s="13">
        <v>2.9891004533392307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ht="18.600000000000001" thickBot="1" x14ac:dyDescent="0.4">
      <c r="A10" s="18"/>
      <c r="B10" s="7">
        <v>51.69</v>
      </c>
      <c r="C10" s="7">
        <v>49.16</v>
      </c>
      <c r="D10" s="7">
        <v>9</v>
      </c>
      <c r="F10" s="24" t="s">
        <v>6</v>
      </c>
      <c r="G10" s="24">
        <v>469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ht="18" x14ac:dyDescent="0.35">
      <c r="A11" s="13"/>
      <c r="B11" s="7">
        <v>49.16</v>
      </c>
      <c r="C11" s="4">
        <v>50.38</v>
      </c>
      <c r="D11" s="4">
        <v>10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ht="18.600000000000001" thickBot="1" x14ac:dyDescent="0.4">
      <c r="A12" s="13"/>
      <c r="B12" s="4">
        <v>50.38</v>
      </c>
      <c r="C12" s="4">
        <v>47.69</v>
      </c>
      <c r="D12" s="4">
        <v>11</v>
      </c>
      <c r="F12" s="13" t="s">
        <v>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18" x14ac:dyDescent="0.35">
      <c r="A13" s="13"/>
      <c r="B13" s="4">
        <v>47.69</v>
      </c>
      <c r="C13" s="4">
        <v>44.39</v>
      </c>
      <c r="D13" s="4">
        <v>12</v>
      </c>
      <c r="F13" s="23"/>
      <c r="G13" s="23" t="s">
        <v>12</v>
      </c>
      <c r="H13" s="23" t="s">
        <v>13</v>
      </c>
      <c r="I13" s="23" t="s">
        <v>14</v>
      </c>
      <c r="J13" s="23" t="s">
        <v>15</v>
      </c>
      <c r="K13" s="23" t="s">
        <v>16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ht="18" x14ac:dyDescent="0.35">
      <c r="A14" s="13"/>
      <c r="B14" s="4">
        <v>44.39</v>
      </c>
      <c r="C14" s="4">
        <v>48.68</v>
      </c>
      <c r="D14" s="4">
        <v>13</v>
      </c>
      <c r="F14" s="13" t="s">
        <v>8</v>
      </c>
      <c r="G14" s="13">
        <v>2</v>
      </c>
      <c r="H14" s="13">
        <v>156184.92505647024</v>
      </c>
      <c r="I14" s="13">
        <v>78092.462528235119</v>
      </c>
      <c r="J14" s="13">
        <v>8740.3353705085192</v>
      </c>
      <c r="K14" s="13">
        <v>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18" x14ac:dyDescent="0.35">
      <c r="A15" s="13"/>
      <c r="B15" s="4">
        <v>48.68</v>
      </c>
      <c r="C15" s="4">
        <v>48.91</v>
      </c>
      <c r="D15" s="4">
        <v>14</v>
      </c>
      <c r="F15" s="13" t="s">
        <v>9</v>
      </c>
      <c r="G15" s="13">
        <v>466</v>
      </c>
      <c r="H15" s="13">
        <v>4163.5802283912026</v>
      </c>
      <c r="I15" s="13">
        <v>8.9347215201527952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18.600000000000001" thickBot="1" x14ac:dyDescent="0.4">
      <c r="A16" s="13"/>
      <c r="B16" s="4">
        <v>48.91</v>
      </c>
      <c r="C16" s="4">
        <v>51.78</v>
      </c>
      <c r="D16" s="4">
        <v>15</v>
      </c>
      <c r="F16" s="24" t="s">
        <v>10</v>
      </c>
      <c r="G16" s="24">
        <v>468</v>
      </c>
      <c r="H16" s="24">
        <v>160348.50528486143</v>
      </c>
      <c r="I16" s="24"/>
      <c r="J16" s="24"/>
      <c r="K16" s="24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ht="18.600000000000001" thickBot="1" x14ac:dyDescent="0.4">
      <c r="A17" s="13"/>
      <c r="B17" s="4">
        <v>51.78</v>
      </c>
      <c r="C17" s="4">
        <v>54.78</v>
      </c>
      <c r="D17" s="4">
        <v>16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ht="18" x14ac:dyDescent="0.35">
      <c r="A18" s="13"/>
      <c r="B18" s="4">
        <v>54.78</v>
      </c>
      <c r="C18" s="4">
        <v>56.14</v>
      </c>
      <c r="D18" s="4">
        <v>17</v>
      </c>
      <c r="F18" s="23"/>
      <c r="G18" s="23" t="s">
        <v>17</v>
      </c>
      <c r="H18" s="23" t="s">
        <v>5</v>
      </c>
      <c r="I18" s="23" t="s">
        <v>18</v>
      </c>
      <c r="J18" s="23" t="s">
        <v>19</v>
      </c>
      <c r="K18" s="23" t="s">
        <v>20</v>
      </c>
      <c r="L18" s="23" t="s">
        <v>21</v>
      </c>
      <c r="M18" s="23" t="s">
        <v>22</v>
      </c>
      <c r="N18" s="23" t="s">
        <v>23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ht="18" x14ac:dyDescent="0.35">
      <c r="A19" s="13"/>
      <c r="B19" s="4">
        <v>56.14</v>
      </c>
      <c r="C19" s="4">
        <v>57.98</v>
      </c>
      <c r="D19" s="4">
        <v>18</v>
      </c>
      <c r="F19" s="13" t="s">
        <v>11</v>
      </c>
      <c r="G19" s="13">
        <v>0.86416776362349301</v>
      </c>
      <c r="H19" s="13">
        <v>0.47688124688603295</v>
      </c>
      <c r="I19" s="13">
        <v>1.8121236036568562</v>
      </c>
      <c r="J19" s="13">
        <v>7.0610594604669494E-2</v>
      </c>
      <c r="K19" s="13">
        <v>-7.293618004119562E-2</v>
      </c>
      <c r="L19" s="13">
        <v>1.8012717072881816</v>
      </c>
      <c r="M19" s="13">
        <v>-7.293618004119562E-2</v>
      </c>
      <c r="N19" s="13">
        <v>1.8012717072881816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ht="18" x14ac:dyDescent="0.35">
      <c r="A20" s="13"/>
      <c r="B20" s="4">
        <v>57.98</v>
      </c>
      <c r="C20" s="4">
        <v>59.73</v>
      </c>
      <c r="D20" s="4">
        <v>19</v>
      </c>
      <c r="F20" s="13" t="s">
        <v>24</v>
      </c>
      <c r="G20" s="13">
        <v>0.97805985167073528</v>
      </c>
      <c r="H20" s="13">
        <v>9.8041360437654441E-3</v>
      </c>
      <c r="I20" s="13">
        <v>99.759922476054797</v>
      </c>
      <c r="J20" s="13">
        <v>0</v>
      </c>
      <c r="K20" s="13">
        <v>0.95879406042641446</v>
      </c>
      <c r="L20" s="13">
        <v>0.9973256429150561</v>
      </c>
      <c r="M20" s="13">
        <v>0.95879406042641446</v>
      </c>
      <c r="N20" s="13">
        <v>0.9973256429150561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ht="18.600000000000001" thickBot="1" x14ac:dyDescent="0.4">
      <c r="A21" s="13"/>
      <c r="B21" s="4">
        <v>59.73</v>
      </c>
      <c r="C21" s="4">
        <v>60.01</v>
      </c>
      <c r="D21" s="4">
        <v>20</v>
      </c>
      <c r="F21" s="24" t="s">
        <v>36</v>
      </c>
      <c r="G21" s="24">
        <v>1.7796075433795971E-3</v>
      </c>
      <c r="H21" s="24">
        <v>1.3394864313780973E-3</v>
      </c>
      <c r="I21" s="24">
        <v>1.3285745205710611</v>
      </c>
      <c r="J21" s="24">
        <v>0.18463860660542883</v>
      </c>
      <c r="K21" s="24">
        <v>-8.5257400187151492E-4</v>
      </c>
      <c r="L21" s="24">
        <v>4.4117890886307088E-3</v>
      </c>
      <c r="M21" s="24">
        <v>-8.5257400187151492E-4</v>
      </c>
      <c r="N21" s="24">
        <v>4.4117890886307088E-3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ht="18" x14ac:dyDescent="0.35">
      <c r="A22" s="13"/>
      <c r="B22" s="4">
        <v>60.01</v>
      </c>
      <c r="C22" s="4">
        <v>58.95</v>
      </c>
      <c r="D22" s="4">
        <v>21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ht="18" x14ac:dyDescent="0.35">
      <c r="A23" s="13"/>
      <c r="B23" s="4">
        <v>58.95</v>
      </c>
      <c r="C23" s="4">
        <v>58.19</v>
      </c>
      <c r="D23" s="4">
        <v>22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ht="18" x14ac:dyDescent="0.35">
      <c r="A24" s="13"/>
      <c r="B24" s="4">
        <v>58.19</v>
      </c>
      <c r="C24" s="4">
        <v>59.66</v>
      </c>
      <c r="D24" s="4">
        <v>23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ht="18" x14ac:dyDescent="0.35">
      <c r="A25" s="13"/>
      <c r="B25" s="4">
        <v>59.66</v>
      </c>
      <c r="C25" s="4">
        <v>60.07</v>
      </c>
      <c r="D25" s="4">
        <v>24</v>
      </c>
      <c r="F25" s="13" t="s">
        <v>25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ht="18.600000000000001" thickBot="1" x14ac:dyDescent="0.4">
      <c r="A26" s="13"/>
      <c r="B26" s="4">
        <v>60.07</v>
      </c>
      <c r="C26" s="4">
        <v>59.89</v>
      </c>
      <c r="D26" s="4">
        <v>25</v>
      </c>
      <c r="F26" s="13"/>
      <c r="G26" s="13"/>
      <c r="H26" s="13"/>
      <c r="I26" s="24"/>
      <c r="J26" s="24"/>
      <c r="K26" s="2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ht="36" x14ac:dyDescent="0.35">
      <c r="A27" s="13"/>
      <c r="B27" s="4">
        <v>59.89</v>
      </c>
      <c r="C27" s="4">
        <v>60.01</v>
      </c>
      <c r="D27" s="4">
        <v>26</v>
      </c>
      <c r="F27" s="23" t="s">
        <v>26</v>
      </c>
      <c r="G27" s="23" t="s">
        <v>27</v>
      </c>
      <c r="H27" s="23" t="s">
        <v>28</v>
      </c>
      <c r="I27" s="28" t="s">
        <v>33</v>
      </c>
      <c r="J27" s="29" t="s">
        <v>34</v>
      </c>
      <c r="K27" s="29" t="s">
        <v>35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ht="18" x14ac:dyDescent="0.35">
      <c r="A28" s="13"/>
      <c r="B28" s="4">
        <v>60.01</v>
      </c>
      <c r="C28" s="4">
        <v>57.92</v>
      </c>
      <c r="D28" s="4">
        <v>27</v>
      </c>
      <c r="F28" s="13">
        <v>1</v>
      </c>
      <c r="G28" s="13">
        <v>48.567705944692015</v>
      </c>
      <c r="H28" s="13">
        <v>4.8722940553079823</v>
      </c>
      <c r="I28" s="13">
        <f>ABS(H28)</f>
        <v>4.8722940553079823</v>
      </c>
      <c r="J28" s="13">
        <f>SUM(I28:I496)</f>
        <v>981.21442421367703</v>
      </c>
      <c r="K28" s="13">
        <f>J28/469</f>
        <v>2.0921416294534692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ht="18" x14ac:dyDescent="0.35">
      <c r="A29" s="13"/>
      <c r="B29" s="4">
        <v>57.92</v>
      </c>
      <c r="C29" s="4">
        <v>52.38</v>
      </c>
      <c r="D29" s="4">
        <v>28</v>
      </c>
      <c r="F29" s="13">
        <v>2</v>
      </c>
      <c r="G29" s="13">
        <v>46.90678380439514</v>
      </c>
      <c r="H29" s="13">
        <v>1.8632161956048634</v>
      </c>
      <c r="I29" s="13">
        <f t="shared" ref="I29:I92" si="0">ABS(H29)</f>
        <v>1.8632161956048634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ht="18" x14ac:dyDescent="0.35">
      <c r="A30" s="13"/>
      <c r="B30" s="4">
        <v>52.38</v>
      </c>
      <c r="C30" s="4">
        <v>51.68</v>
      </c>
      <c r="D30" s="4">
        <v>29</v>
      </c>
      <c r="F30" s="13">
        <v>3</v>
      </c>
      <c r="G30" s="13">
        <v>46.311946902419372</v>
      </c>
      <c r="H30" s="13">
        <v>0.75805309758062833</v>
      </c>
      <c r="I30" s="13">
        <f t="shared" si="0"/>
        <v>0.75805309758062833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ht="18" x14ac:dyDescent="0.35">
      <c r="A31" s="13"/>
      <c r="B31" s="4">
        <v>51.68</v>
      </c>
      <c r="C31" s="4">
        <v>49.21</v>
      </c>
      <c r="D31" s="4">
        <v>30</v>
      </c>
      <c r="F31" s="13">
        <v>4</v>
      </c>
      <c r="G31" s="13">
        <v>45.198738279058112</v>
      </c>
      <c r="H31" s="13">
        <v>1.2612617209418886</v>
      </c>
      <c r="I31" s="13">
        <f t="shared" si="0"/>
        <v>1.2612617209418886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ht="18" x14ac:dyDescent="0.35">
      <c r="A32" s="13"/>
      <c r="B32" s="4">
        <v>49.21</v>
      </c>
      <c r="C32" s="4">
        <v>47.91</v>
      </c>
      <c r="D32" s="4">
        <v>31</v>
      </c>
      <c r="F32" s="13">
        <v>5</v>
      </c>
      <c r="G32" s="13">
        <v>50.345112706389564</v>
      </c>
      <c r="H32" s="13">
        <v>-5.0251127063895638</v>
      </c>
      <c r="I32" s="13">
        <f t="shared" si="0"/>
        <v>5.0251127063895638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ht="18" x14ac:dyDescent="0.35">
      <c r="A33" s="13"/>
      <c r="B33" s="4">
        <v>47.91</v>
      </c>
      <c r="C33" s="4">
        <v>44.94</v>
      </c>
      <c r="D33" s="4">
        <v>32</v>
      </c>
      <c r="F33" s="13">
        <v>6</v>
      </c>
      <c r="G33" s="13">
        <v>50.894605830868549</v>
      </c>
      <c r="H33" s="13">
        <v>-0.3146058308685511</v>
      </c>
      <c r="I33" s="13">
        <f t="shared" si="0"/>
        <v>0.3146058308685511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ht="18" x14ac:dyDescent="0.35">
      <c r="A34" s="13"/>
      <c r="B34" s="4">
        <v>44.94</v>
      </c>
      <c r="C34" s="4">
        <v>43.2</v>
      </c>
      <c r="D34" s="4">
        <v>33</v>
      </c>
      <c r="F34" s="13">
        <v>7</v>
      </c>
      <c r="G34" s="13">
        <v>51.434318356830836</v>
      </c>
      <c r="H34" s="13">
        <v>-0.29431835683083563</v>
      </c>
      <c r="I34" s="13">
        <f t="shared" si="0"/>
        <v>0.29431835683083563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ht="18" x14ac:dyDescent="0.35">
      <c r="A35" s="13"/>
      <c r="B35" s="4">
        <v>43.2</v>
      </c>
      <c r="C35" s="4">
        <v>41.34</v>
      </c>
      <c r="D35" s="4">
        <v>34</v>
      </c>
      <c r="F35" s="13">
        <v>8</v>
      </c>
      <c r="G35" s="13">
        <v>48.961606539647249</v>
      </c>
      <c r="H35" s="13">
        <v>2.7283934603527484</v>
      </c>
      <c r="I35" s="13">
        <f t="shared" si="0"/>
        <v>2.7283934603527484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ht="18" x14ac:dyDescent="0.35">
      <c r="A36" s="13"/>
      <c r="B36" s="4">
        <v>41.34</v>
      </c>
      <c r="C36" s="4">
        <v>40.729999999999997</v>
      </c>
      <c r="D36" s="4">
        <v>35</v>
      </c>
      <c r="F36" s="13">
        <v>9</v>
      </c>
      <c r="G36" s="13">
        <v>50.156619166228928</v>
      </c>
      <c r="H36" s="13">
        <v>-0.99661916622893187</v>
      </c>
      <c r="I36" s="13">
        <f t="shared" si="0"/>
        <v>0.99661916622893187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ht="18" x14ac:dyDescent="0.35">
      <c r="A37" s="13"/>
      <c r="B37" s="4">
        <v>40.729999999999997</v>
      </c>
      <c r="C37" s="4">
        <v>46.73</v>
      </c>
      <c r="D37" s="4">
        <v>36</v>
      </c>
      <c r="F37" s="13">
        <v>10</v>
      </c>
      <c r="G37" s="13">
        <v>47.52741777277803</v>
      </c>
      <c r="H37" s="13">
        <v>2.8525822272219727</v>
      </c>
      <c r="I37" s="13">
        <f t="shared" si="0"/>
        <v>2.8525822272219727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ht="18" x14ac:dyDescent="0.35">
      <c r="A38" s="13"/>
      <c r="B38" s="4">
        <v>46.73</v>
      </c>
      <c r="C38" s="4">
        <v>45.16</v>
      </c>
      <c r="D38" s="4">
        <v>37</v>
      </c>
      <c r="F38" s="13">
        <v>11</v>
      </c>
      <c r="G38" s="13">
        <v>44.301599869807987</v>
      </c>
      <c r="H38" s="13">
        <v>3.3884001301920108</v>
      </c>
      <c r="I38" s="13">
        <f t="shared" si="0"/>
        <v>3.3884001301920108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8" x14ac:dyDescent="0.35">
      <c r="A39" s="13"/>
      <c r="B39" s="4">
        <v>45.16</v>
      </c>
      <c r="C39" s="4">
        <v>45.48</v>
      </c>
      <c r="D39" s="4">
        <v>38</v>
      </c>
      <c r="F39" s="13">
        <v>12</v>
      </c>
      <c r="G39" s="13">
        <v>48.49925624101882</v>
      </c>
      <c r="H39" s="13">
        <v>-4.1092562410188194</v>
      </c>
      <c r="I39" s="13">
        <f t="shared" si="0"/>
        <v>4.1092562410188194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18" x14ac:dyDescent="0.35">
      <c r="A40" s="13"/>
      <c r="B40" s="4">
        <v>45.48</v>
      </c>
      <c r="C40" s="4">
        <v>45.57</v>
      </c>
      <c r="D40" s="4">
        <v>39</v>
      </c>
      <c r="F40" s="13">
        <v>13</v>
      </c>
      <c r="G40" s="13">
        <v>48.725989614446462</v>
      </c>
      <c r="H40" s="13">
        <v>-4.5989614446462213E-2</v>
      </c>
      <c r="I40" s="13">
        <f t="shared" si="0"/>
        <v>4.5989614446462213E-2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18" x14ac:dyDescent="0.35">
      <c r="A41" s="13"/>
      <c r="B41" s="4">
        <v>45.57</v>
      </c>
      <c r="C41" s="4">
        <v>45</v>
      </c>
      <c r="D41" s="4">
        <v>40</v>
      </c>
      <c r="F41" s="13">
        <v>14</v>
      </c>
      <c r="G41" s="13">
        <v>51.534800996284865</v>
      </c>
      <c r="H41" s="13">
        <v>-2.6248009962848684</v>
      </c>
      <c r="I41" s="13">
        <f t="shared" si="0"/>
        <v>2.6248009962848684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8" x14ac:dyDescent="0.35">
      <c r="A42" s="13"/>
      <c r="B42" s="4">
        <v>45</v>
      </c>
      <c r="C42" s="4">
        <v>48.36</v>
      </c>
      <c r="D42" s="4">
        <v>41</v>
      </c>
      <c r="F42" s="13">
        <v>15</v>
      </c>
      <c r="G42" s="13">
        <v>54.470760158840442</v>
      </c>
      <c r="H42" s="13">
        <v>-2.6907601588404404</v>
      </c>
      <c r="I42" s="13">
        <f t="shared" si="0"/>
        <v>2.6907601588404404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8" x14ac:dyDescent="0.35">
      <c r="A43" s="13"/>
      <c r="B43" s="4">
        <v>48.36</v>
      </c>
      <c r="C43" s="4">
        <v>46.82</v>
      </c>
      <c r="D43" s="4">
        <v>42</v>
      </c>
      <c r="F43" s="13">
        <v>16</v>
      </c>
      <c r="G43" s="13">
        <v>55.802701164656021</v>
      </c>
      <c r="H43" s="13">
        <v>-1.02270116465602</v>
      </c>
      <c r="I43" s="13">
        <f t="shared" si="0"/>
        <v>1.02270116465602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8" x14ac:dyDescent="0.35">
      <c r="A44" s="13"/>
      <c r="B44" s="4">
        <v>46.82</v>
      </c>
      <c r="C44" s="4">
        <v>45.16</v>
      </c>
      <c r="D44" s="4">
        <v>43</v>
      </c>
      <c r="F44" s="13">
        <v>17</v>
      </c>
      <c r="G44" s="13">
        <v>57.60411089927355</v>
      </c>
      <c r="H44" s="13">
        <v>-1.4641108992735496</v>
      </c>
      <c r="I44" s="13">
        <f t="shared" si="0"/>
        <v>1.4641108992735496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8" x14ac:dyDescent="0.35">
      <c r="A45" s="13"/>
      <c r="B45" s="4">
        <v>45.16</v>
      </c>
      <c r="C45" s="4">
        <v>44.99</v>
      </c>
      <c r="D45" s="4">
        <v>44</v>
      </c>
      <c r="F45" s="13">
        <v>18</v>
      </c>
      <c r="G45" s="13">
        <v>59.317495247240714</v>
      </c>
      <c r="H45" s="13">
        <v>-1.3374952472407173</v>
      </c>
      <c r="I45" s="13">
        <f t="shared" si="0"/>
        <v>1.3374952472407173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8" x14ac:dyDescent="0.35">
      <c r="A46" s="13"/>
      <c r="B46" s="4">
        <v>44.99</v>
      </c>
      <c r="C46" s="4">
        <v>45.98</v>
      </c>
      <c r="D46" s="4">
        <v>45</v>
      </c>
      <c r="F46" s="13">
        <v>19</v>
      </c>
      <c r="G46" s="13">
        <v>59.593131613251906</v>
      </c>
      <c r="H46" s="13">
        <v>0.1368683867480911</v>
      </c>
      <c r="I46" s="13">
        <f t="shared" si="0"/>
        <v>0.1368683867480911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8" x14ac:dyDescent="0.35">
      <c r="A47" s="13"/>
      <c r="B47" s="4">
        <v>45.98</v>
      </c>
      <c r="C47" s="4">
        <v>42.7</v>
      </c>
      <c r="D47" s="4">
        <v>46</v>
      </c>
      <c r="F47" s="13">
        <v>20</v>
      </c>
      <c r="G47" s="13">
        <v>58.558167778024313</v>
      </c>
      <c r="H47" s="13">
        <v>1.4518322219756854</v>
      </c>
      <c r="I47" s="13">
        <f t="shared" si="0"/>
        <v>1.4518322219756854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8" x14ac:dyDescent="0.35">
      <c r="A48" s="13"/>
      <c r="B48" s="4">
        <v>42.7</v>
      </c>
      <c r="C48" s="4">
        <v>40.619999999999997</v>
      </c>
      <c r="D48" s="4">
        <v>47</v>
      </c>
      <c r="F48" s="13">
        <v>21</v>
      </c>
      <c r="G48" s="13">
        <v>57.816621898297932</v>
      </c>
      <c r="H48" s="13">
        <v>1.1333781017020712</v>
      </c>
      <c r="I48" s="13">
        <f t="shared" si="0"/>
        <v>1.1333781017020712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8" x14ac:dyDescent="0.35">
      <c r="A49" s="13"/>
      <c r="B49" s="4">
        <v>40.619999999999997</v>
      </c>
      <c r="C49" s="4">
        <v>40.49</v>
      </c>
      <c r="D49" s="4">
        <v>48</v>
      </c>
      <c r="F49" s="13">
        <v>22</v>
      </c>
      <c r="G49" s="13">
        <v>59.256149487797288</v>
      </c>
      <c r="H49" s="13">
        <v>-1.0661494877972899</v>
      </c>
      <c r="I49" s="13">
        <f t="shared" si="0"/>
        <v>1.0661494877972899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18" x14ac:dyDescent="0.35">
      <c r="A50" s="13"/>
      <c r="B50" s="4">
        <v>40.49</v>
      </c>
      <c r="C50" s="4">
        <v>40.4</v>
      </c>
      <c r="D50" s="4">
        <v>49</v>
      </c>
      <c r="F50" s="13">
        <v>23</v>
      </c>
      <c r="G50" s="13">
        <v>59.658933634525674</v>
      </c>
      <c r="H50" s="13">
        <v>1.0663654743225948E-3</v>
      </c>
      <c r="I50" s="13">
        <f t="shared" si="0"/>
        <v>1.0663654743225948E-3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18" x14ac:dyDescent="0.35">
      <c r="A51" s="13"/>
      <c r="B51" s="4">
        <v>40.4</v>
      </c>
      <c r="C51" s="4">
        <v>36.93</v>
      </c>
      <c r="D51" s="4">
        <v>50</v>
      </c>
      <c r="F51" s="13">
        <v>24</v>
      </c>
      <c r="G51" s="13">
        <v>59.48466246876832</v>
      </c>
      <c r="H51" s="13">
        <v>0.58533753123167998</v>
      </c>
      <c r="I51" s="13">
        <f t="shared" si="0"/>
        <v>0.58533753123167998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18" x14ac:dyDescent="0.35">
      <c r="A52" s="13"/>
      <c r="B52" s="4">
        <v>36.93</v>
      </c>
      <c r="C52" s="4">
        <v>35.78</v>
      </c>
      <c r="D52" s="4">
        <v>51</v>
      </c>
      <c r="F52" s="13">
        <v>25</v>
      </c>
      <c r="G52" s="13">
        <v>59.603809258512179</v>
      </c>
      <c r="H52" s="13">
        <v>0.28619074148782175</v>
      </c>
      <c r="I52" s="13">
        <f t="shared" si="0"/>
        <v>0.28619074148782175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ht="18" x14ac:dyDescent="0.35">
      <c r="A53" s="13"/>
      <c r="B53" s="4">
        <v>35.78</v>
      </c>
      <c r="C53" s="4">
        <v>36.26</v>
      </c>
      <c r="D53" s="4">
        <v>52</v>
      </c>
      <c r="F53" s="13">
        <v>26</v>
      </c>
      <c r="G53" s="13">
        <v>57.561443776063733</v>
      </c>
      <c r="H53" s="13">
        <v>2.448556223936265</v>
      </c>
      <c r="I53" s="13">
        <f t="shared" si="0"/>
        <v>2.448556223936265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18" x14ac:dyDescent="0.35">
      <c r="A54" s="13"/>
      <c r="B54" s="4">
        <v>36.26</v>
      </c>
      <c r="C54" s="4">
        <v>36.99</v>
      </c>
      <c r="D54" s="4">
        <v>53</v>
      </c>
      <c r="F54" s="13">
        <v>27</v>
      </c>
      <c r="G54" s="13">
        <v>52.144771805351233</v>
      </c>
      <c r="H54" s="13">
        <v>5.7752281946487685</v>
      </c>
      <c r="I54" s="13">
        <f t="shared" si="0"/>
        <v>5.7752281946487685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ht="18" x14ac:dyDescent="0.35">
      <c r="A55" s="13"/>
      <c r="B55" s="4">
        <v>36.99</v>
      </c>
      <c r="C55" s="4">
        <v>34.65</v>
      </c>
      <c r="D55" s="4">
        <v>54</v>
      </c>
      <c r="F55" s="13">
        <v>28</v>
      </c>
      <c r="G55" s="13">
        <v>51.4619095167251</v>
      </c>
      <c r="H55" s="13">
        <v>0.91809048327490217</v>
      </c>
      <c r="I55" s="13">
        <f t="shared" si="0"/>
        <v>0.91809048327490217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ht="18" x14ac:dyDescent="0.35">
      <c r="A56" s="13"/>
      <c r="B56" s="4">
        <v>34.65</v>
      </c>
      <c r="C56" s="4">
        <v>30.59</v>
      </c>
      <c r="D56" s="4">
        <v>55</v>
      </c>
      <c r="F56" s="13">
        <v>29</v>
      </c>
      <c r="G56" s="13">
        <v>49.047881290641762</v>
      </c>
      <c r="H56" s="13">
        <v>2.6321187093582381</v>
      </c>
      <c r="I56" s="13">
        <f t="shared" si="0"/>
        <v>2.6321187093582381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ht="18" x14ac:dyDescent="0.35">
      <c r="A57" s="13"/>
      <c r="B57" s="4">
        <v>30.59</v>
      </c>
      <c r="C57" s="4">
        <v>29.19</v>
      </c>
      <c r="D57" s="4">
        <v>56</v>
      </c>
      <c r="F57" s="13">
        <v>30</v>
      </c>
      <c r="G57" s="13">
        <v>47.778183091013183</v>
      </c>
      <c r="H57" s="13">
        <v>1.4318169089868178</v>
      </c>
      <c r="I57" s="13">
        <f t="shared" si="0"/>
        <v>1.4318169089868178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ht="18" x14ac:dyDescent="0.35">
      <c r="A58" s="13"/>
      <c r="B58" s="4">
        <v>29.19</v>
      </c>
      <c r="C58" s="4">
        <v>31.81</v>
      </c>
      <c r="D58" s="4">
        <v>57</v>
      </c>
      <c r="F58" s="13">
        <v>31</v>
      </c>
      <c r="G58" s="13">
        <v>44.875124939094476</v>
      </c>
      <c r="H58" s="13">
        <v>3.0348750609055202</v>
      </c>
      <c r="I58" s="13">
        <f t="shared" si="0"/>
        <v>3.0348750609055202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ht="18" x14ac:dyDescent="0.35">
      <c r="A59" s="13"/>
      <c r="B59" s="4">
        <v>31.81</v>
      </c>
      <c r="C59" s="4">
        <v>31.26</v>
      </c>
      <c r="D59" s="4">
        <v>58</v>
      </c>
      <c r="F59" s="13">
        <v>32</v>
      </c>
      <c r="G59" s="13">
        <v>43.175080404730785</v>
      </c>
      <c r="H59" s="13">
        <v>1.7649195952692125</v>
      </c>
      <c r="I59" s="13">
        <f t="shared" si="0"/>
        <v>1.7649195952692125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ht="18" x14ac:dyDescent="0.35">
      <c r="A60" s="13"/>
      <c r="B60" s="4">
        <v>31.26</v>
      </c>
      <c r="C60" s="4">
        <v>28.14</v>
      </c>
      <c r="D60" s="4">
        <v>59</v>
      </c>
      <c r="F60" s="13">
        <v>33</v>
      </c>
      <c r="G60" s="13">
        <v>41.357668688166598</v>
      </c>
      <c r="H60" s="13">
        <v>1.842331311833405</v>
      </c>
      <c r="I60" s="13">
        <f t="shared" si="0"/>
        <v>1.842331311833405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ht="18" x14ac:dyDescent="0.35">
      <c r="A61" s="13"/>
      <c r="B61" s="4">
        <v>28.14</v>
      </c>
      <c r="C61" s="4">
        <v>30.02</v>
      </c>
      <c r="D61" s="4">
        <v>60</v>
      </c>
      <c r="F61" s="13">
        <v>34</v>
      </c>
      <c r="G61" s="13">
        <v>40.762831786190823</v>
      </c>
      <c r="H61" s="13">
        <v>0.57716821380918049</v>
      </c>
      <c r="I61" s="13">
        <f t="shared" si="0"/>
        <v>0.57716821380918049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ht="18" x14ac:dyDescent="0.35">
      <c r="A62" s="13"/>
      <c r="B62" s="4">
        <v>30.02</v>
      </c>
      <c r="C62" s="4">
        <v>31.32</v>
      </c>
      <c r="D62" s="4">
        <v>61</v>
      </c>
      <c r="F62" s="13">
        <v>35</v>
      </c>
      <c r="G62" s="13">
        <v>46.632970503758614</v>
      </c>
      <c r="H62" s="13">
        <v>-5.9029705037586169</v>
      </c>
      <c r="I62" s="13">
        <f t="shared" si="0"/>
        <v>5.9029705037586169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ht="18" x14ac:dyDescent="0.35">
      <c r="A63" s="13"/>
      <c r="B63" s="4">
        <v>31.32</v>
      </c>
      <c r="C63" s="4">
        <v>34.43</v>
      </c>
      <c r="D63" s="4">
        <v>62</v>
      </c>
      <c r="F63" s="13">
        <v>36</v>
      </c>
      <c r="G63" s="13">
        <v>45.09919614417894</v>
      </c>
      <c r="H63" s="13">
        <v>1.6308038558210569</v>
      </c>
      <c r="I63" s="13">
        <f t="shared" si="0"/>
        <v>1.6308038558210569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ht="18" x14ac:dyDescent="0.35">
      <c r="A64" s="13"/>
      <c r="B64" s="4">
        <v>34.43</v>
      </c>
      <c r="C64" s="4">
        <v>37.69</v>
      </c>
      <c r="D64" s="4">
        <v>63</v>
      </c>
      <c r="F64" s="13">
        <v>37</v>
      </c>
      <c r="G64" s="13">
        <v>45.413954904256954</v>
      </c>
      <c r="H64" s="13">
        <v>-0.25395490425695755</v>
      </c>
      <c r="I64" s="13">
        <f t="shared" si="0"/>
        <v>0.25395490425695755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ht="18" x14ac:dyDescent="0.35">
      <c r="A65" s="13"/>
      <c r="B65" s="4">
        <v>37.69</v>
      </c>
      <c r="C65" s="4">
        <v>38.32</v>
      </c>
      <c r="D65" s="4">
        <v>64</v>
      </c>
      <c r="F65" s="13">
        <v>38</v>
      </c>
      <c r="G65" s="13">
        <v>45.503759898450703</v>
      </c>
      <c r="H65" s="13">
        <v>-2.3759898450705919E-2</v>
      </c>
      <c r="I65" s="13">
        <f t="shared" si="0"/>
        <v>2.3759898450705919E-2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ht="18" x14ac:dyDescent="0.35">
      <c r="A66" s="13"/>
      <c r="B66" s="4">
        <v>38.32</v>
      </c>
      <c r="C66" s="4">
        <v>39.450000000000003</v>
      </c>
      <c r="D66" s="4">
        <v>65</v>
      </c>
      <c r="F66" s="13">
        <v>39</v>
      </c>
      <c r="G66" s="13">
        <v>44.948045390541765</v>
      </c>
      <c r="H66" s="13">
        <v>0.62195460945823555</v>
      </c>
      <c r="I66" s="13">
        <f t="shared" si="0"/>
        <v>0.62195460945823555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ht="18" x14ac:dyDescent="0.35">
      <c r="A67" s="13"/>
      <c r="B67" s="4">
        <v>39.450000000000003</v>
      </c>
      <c r="C67" s="4">
        <v>36.82</v>
      </c>
      <c r="D67" s="4">
        <v>66</v>
      </c>
      <c r="F67" s="13">
        <v>40</v>
      </c>
      <c r="G67" s="13">
        <v>48.236106099698816</v>
      </c>
      <c r="H67" s="13">
        <v>-3.2361060996988158</v>
      </c>
      <c r="I67" s="13">
        <f t="shared" si="0"/>
        <v>3.2361060996988158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ht="18" x14ac:dyDescent="0.35">
      <c r="A68" s="13"/>
      <c r="B68" s="4">
        <v>36.82</v>
      </c>
      <c r="C68" s="4">
        <v>36.72</v>
      </c>
      <c r="D68" s="4">
        <v>67</v>
      </c>
      <c r="F68" s="13">
        <v>41</v>
      </c>
      <c r="G68" s="13">
        <v>46.731673535669259</v>
      </c>
      <c r="H68" s="13">
        <v>1.6283264643307405</v>
      </c>
      <c r="I68" s="13">
        <f t="shared" si="0"/>
        <v>1.6283264643307405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ht="18" x14ac:dyDescent="0.35">
      <c r="A69" s="13"/>
      <c r="B69" s="4">
        <v>36.72</v>
      </c>
      <c r="C69" s="4">
        <v>41.23</v>
      </c>
      <c r="D69" s="4">
        <v>68</v>
      </c>
      <c r="F69" s="13">
        <v>42</v>
      </c>
      <c r="G69" s="13">
        <v>45.10987378943922</v>
      </c>
      <c r="H69" s="13">
        <v>1.7101262105607802</v>
      </c>
      <c r="I69" s="13">
        <f t="shared" si="0"/>
        <v>1.7101262105607802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ht="18" x14ac:dyDescent="0.35">
      <c r="A70" s="13"/>
      <c r="B70" s="4">
        <v>41.23</v>
      </c>
      <c r="C70" s="4">
        <v>41.86</v>
      </c>
      <c r="D70" s="4">
        <v>69</v>
      </c>
      <c r="F70" s="13">
        <v>43</v>
      </c>
      <c r="G70" s="13">
        <v>44.945383222198572</v>
      </c>
      <c r="H70" s="13">
        <v>0.21461677780142452</v>
      </c>
      <c r="I70" s="13">
        <f t="shared" si="0"/>
        <v>0.21461677780142452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ht="18" x14ac:dyDescent="0.35">
      <c r="A71" s="13"/>
      <c r="B71" s="4">
        <v>41.86</v>
      </c>
      <c r="C71" s="4">
        <v>44.3</v>
      </c>
      <c r="D71" s="4">
        <v>70</v>
      </c>
      <c r="F71" s="13">
        <v>44</v>
      </c>
      <c r="G71" s="13">
        <v>45.915442082895979</v>
      </c>
      <c r="H71" s="13">
        <v>-0.92544208289597663</v>
      </c>
      <c r="I71" s="13">
        <f t="shared" si="0"/>
        <v>0.92544208289597663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ht="18" x14ac:dyDescent="0.35">
      <c r="A72" s="13"/>
      <c r="B72" s="4">
        <v>44.3</v>
      </c>
      <c r="C72" s="4">
        <v>44.22</v>
      </c>
      <c r="D72" s="4">
        <v>71</v>
      </c>
      <c r="F72" s="13">
        <v>45</v>
      </c>
      <c r="G72" s="13">
        <v>42.709185376959354</v>
      </c>
      <c r="H72" s="13">
        <v>3.2708146230406427</v>
      </c>
      <c r="I72" s="13">
        <f t="shared" si="0"/>
        <v>3.2708146230406427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ht="18" x14ac:dyDescent="0.35">
      <c r="A73" s="13"/>
      <c r="B73" s="4">
        <v>44.22</v>
      </c>
      <c r="C73" s="4">
        <v>45.44</v>
      </c>
      <c r="D73" s="4">
        <v>72</v>
      </c>
      <c r="F73" s="13">
        <v>46</v>
      </c>
      <c r="G73" s="13">
        <v>40.6766004930276</v>
      </c>
      <c r="H73" s="13">
        <v>2.0233995069724031</v>
      </c>
      <c r="I73" s="13">
        <f t="shared" si="0"/>
        <v>2.0233995069724031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ht="18" x14ac:dyDescent="0.35">
      <c r="A74" s="13"/>
      <c r="B74" s="4">
        <v>45.44</v>
      </c>
      <c r="C74" s="4">
        <v>47.99</v>
      </c>
      <c r="D74" s="4">
        <v>73</v>
      </c>
      <c r="F74" s="13">
        <v>47</v>
      </c>
      <c r="G74" s="13">
        <v>40.551232319853789</v>
      </c>
      <c r="H74" s="13">
        <v>6.8767680146208932E-2</v>
      </c>
      <c r="I74" s="13">
        <f t="shared" si="0"/>
        <v>6.8767680146208932E-2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ht="18" x14ac:dyDescent="0.35">
      <c r="A75" s="13"/>
      <c r="B75" s="4">
        <v>47.99</v>
      </c>
      <c r="C75" s="4">
        <v>48.72</v>
      </c>
      <c r="D75" s="4">
        <v>74</v>
      </c>
      <c r="F75" s="13">
        <v>48</v>
      </c>
      <c r="G75" s="13">
        <v>40.4649865407468</v>
      </c>
      <c r="H75" s="13">
        <v>2.5013459253202086E-2</v>
      </c>
      <c r="I75" s="13">
        <f t="shared" si="0"/>
        <v>2.5013459253202086E-2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ht="18" x14ac:dyDescent="0.35">
      <c r="A76" s="13"/>
      <c r="B76" s="4">
        <v>48.72</v>
      </c>
      <c r="C76" s="4">
        <v>49</v>
      </c>
      <c r="D76" s="4">
        <v>75</v>
      </c>
      <c r="F76" s="13">
        <v>49</v>
      </c>
      <c r="G76" s="13">
        <v>37.072898462992725</v>
      </c>
      <c r="H76" s="13">
        <v>3.3271015370072732</v>
      </c>
      <c r="I76" s="13">
        <f t="shared" si="0"/>
        <v>3.3271015370072732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18" x14ac:dyDescent="0.35">
      <c r="A77" s="13"/>
      <c r="B77" s="4">
        <v>49</v>
      </c>
      <c r="C77" s="4">
        <v>50.18</v>
      </c>
      <c r="D77" s="4">
        <v>76</v>
      </c>
      <c r="F77" s="13">
        <v>50</v>
      </c>
      <c r="G77" s="13">
        <v>35.94990924111476</v>
      </c>
      <c r="H77" s="13">
        <v>0.98009075888523967</v>
      </c>
      <c r="I77" s="13">
        <f t="shared" si="0"/>
        <v>0.98009075888523967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18" x14ac:dyDescent="0.35">
      <c r="A78" s="13"/>
      <c r="B78" s="4">
        <v>50.18</v>
      </c>
      <c r="C78" s="4">
        <v>47.89</v>
      </c>
      <c r="D78" s="4">
        <v>77</v>
      </c>
      <c r="F78" s="13">
        <v>51</v>
      </c>
      <c r="G78" s="13">
        <v>36.421157577460093</v>
      </c>
      <c r="H78" s="13">
        <v>-0.64115757746009194</v>
      </c>
      <c r="I78" s="13">
        <f t="shared" si="0"/>
        <v>0.64115757746009194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ht="18" x14ac:dyDescent="0.35">
      <c r="A79" s="13"/>
      <c r="B79" s="4">
        <v>47.89</v>
      </c>
      <c r="C79" s="4">
        <v>48.71</v>
      </c>
      <c r="D79" s="4">
        <v>78</v>
      </c>
      <c r="F79" s="13">
        <v>52</v>
      </c>
      <c r="G79" s="13">
        <v>37.13692087672311</v>
      </c>
      <c r="H79" s="13">
        <v>-0.87692087672311203</v>
      </c>
      <c r="I79" s="13">
        <f t="shared" si="0"/>
        <v>0.87692087672311203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18" x14ac:dyDescent="0.35">
      <c r="A80" s="13"/>
      <c r="B80" s="4">
        <v>48.71</v>
      </c>
      <c r="C80" s="4">
        <v>48.17</v>
      </c>
      <c r="D80" s="4">
        <v>79</v>
      </c>
      <c r="F80" s="13">
        <v>53</v>
      </c>
      <c r="G80" s="13">
        <v>34.850040431356966</v>
      </c>
      <c r="H80" s="13">
        <v>2.1399595686430359</v>
      </c>
      <c r="I80" s="13">
        <f t="shared" si="0"/>
        <v>2.1399595686430359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8" x14ac:dyDescent="0.35">
      <c r="A81" s="13"/>
      <c r="B81" s="4">
        <v>48.17</v>
      </c>
      <c r="C81" s="4">
        <v>46.17</v>
      </c>
      <c r="D81" s="4">
        <v>80</v>
      </c>
      <c r="F81" s="13">
        <v>54</v>
      </c>
      <c r="G81" s="13">
        <v>30.880897041117159</v>
      </c>
      <c r="H81" s="13">
        <v>3.76910295888284</v>
      </c>
      <c r="I81" s="13">
        <f t="shared" si="0"/>
        <v>3.76910295888284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ht="18" x14ac:dyDescent="0.35">
      <c r="A82" s="13"/>
      <c r="B82" s="4">
        <v>46.17</v>
      </c>
      <c r="C82" s="4">
        <v>45.6</v>
      </c>
      <c r="D82" s="4">
        <v>81</v>
      </c>
      <c r="F82" s="13">
        <v>55</v>
      </c>
      <c r="G82" s="13">
        <v>29.513392856321513</v>
      </c>
      <c r="H82" s="13">
        <v>1.076607143678487</v>
      </c>
      <c r="I82" s="13">
        <f t="shared" si="0"/>
        <v>1.076607143678487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18" x14ac:dyDescent="0.35">
      <c r="A83" s="13"/>
      <c r="B83" s="4">
        <v>45.6</v>
      </c>
      <c r="C83" s="4">
        <v>44.44</v>
      </c>
      <c r="D83" s="4">
        <v>82</v>
      </c>
      <c r="F83" s="13">
        <v>56</v>
      </c>
      <c r="G83" s="13">
        <v>32.077689275242221</v>
      </c>
      <c r="H83" s="13">
        <v>-2.8876892752422201</v>
      </c>
      <c r="I83" s="13">
        <f t="shared" si="0"/>
        <v>2.8876892752422201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18" x14ac:dyDescent="0.35">
      <c r="A84" s="13"/>
      <c r="B84" s="4">
        <v>44.44</v>
      </c>
      <c r="C84" s="4">
        <v>41.83</v>
      </c>
      <c r="D84" s="4">
        <v>83</v>
      </c>
      <c r="F84" s="13">
        <v>57</v>
      </c>
      <c r="G84" s="13">
        <v>31.541535964366695</v>
      </c>
      <c r="H84" s="13">
        <v>0.26846403563330412</v>
      </c>
      <c r="I84" s="13">
        <f t="shared" si="0"/>
        <v>0.26846403563330412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18" x14ac:dyDescent="0.35">
      <c r="A85" s="13"/>
      <c r="B85" s="4">
        <v>41.83</v>
      </c>
      <c r="C85" s="4">
        <v>40.82</v>
      </c>
      <c r="D85" s="4">
        <v>84</v>
      </c>
      <c r="F85" s="13">
        <v>58</v>
      </c>
      <c r="G85" s="13">
        <v>28.491768834697378</v>
      </c>
      <c r="H85" s="13">
        <v>2.7682311653026233</v>
      </c>
      <c r="I85" s="13">
        <f t="shared" si="0"/>
        <v>2.7682311653026233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18" x14ac:dyDescent="0.35">
      <c r="A86" s="13"/>
      <c r="B86" s="4">
        <v>40.82</v>
      </c>
      <c r="C86" s="4">
        <v>43.11</v>
      </c>
      <c r="D86" s="4">
        <v>85</v>
      </c>
      <c r="F86" s="13">
        <v>59</v>
      </c>
      <c r="G86" s="13">
        <v>30.332300963381741</v>
      </c>
      <c r="H86" s="13">
        <v>-2.1923009633817401</v>
      </c>
      <c r="I86" s="13">
        <f t="shared" si="0"/>
        <v>2.1923009633817401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18" x14ac:dyDescent="0.35">
      <c r="A87" s="13"/>
      <c r="B87" s="4">
        <v>43.11</v>
      </c>
      <c r="C87" s="4">
        <v>47.16</v>
      </c>
      <c r="D87" s="4">
        <v>86</v>
      </c>
      <c r="F87" s="13">
        <v>60</v>
      </c>
      <c r="G87" s="13">
        <v>31.605558378097079</v>
      </c>
      <c r="H87" s="13">
        <v>-1.5855583780970797</v>
      </c>
      <c r="I87" s="13">
        <f t="shared" si="0"/>
        <v>1.5855583780970797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18" x14ac:dyDescent="0.35">
      <c r="A88" s="13"/>
      <c r="B88" s="4">
        <v>47.16</v>
      </c>
      <c r="C88" s="4">
        <v>47.05</v>
      </c>
      <c r="D88" s="4">
        <v>87</v>
      </c>
      <c r="F88" s="13">
        <v>61</v>
      </c>
      <c r="G88" s="13">
        <v>34.649104124336439</v>
      </c>
      <c r="H88" s="13">
        <v>-3.329104124336439</v>
      </c>
      <c r="I88" s="13">
        <f t="shared" si="0"/>
        <v>3.329104124336439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18" x14ac:dyDescent="0.35">
      <c r="A89" s="13"/>
      <c r="B89" s="4">
        <v>47.05</v>
      </c>
      <c r="C89" s="4">
        <v>45.11</v>
      </c>
      <c r="D89" s="4">
        <v>88</v>
      </c>
      <c r="F89" s="13">
        <v>62</v>
      </c>
      <c r="G89" s="13">
        <v>37.83935884832642</v>
      </c>
      <c r="H89" s="13">
        <v>-3.4093588483264199</v>
      </c>
      <c r="I89" s="13">
        <f t="shared" si="0"/>
        <v>3.4093588483264199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8" x14ac:dyDescent="0.35">
      <c r="A90" s="13"/>
      <c r="B90" s="4">
        <v>45.11</v>
      </c>
      <c r="C90" s="4">
        <v>45.96</v>
      </c>
      <c r="D90" s="4">
        <v>89</v>
      </c>
      <c r="F90" s="13">
        <v>63</v>
      </c>
      <c r="G90" s="13">
        <v>38.457316162422359</v>
      </c>
      <c r="H90" s="13">
        <v>-0.767316162422361</v>
      </c>
      <c r="I90" s="13">
        <f t="shared" si="0"/>
        <v>0.767316162422361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18" x14ac:dyDescent="0.35">
      <c r="A91" s="13"/>
      <c r="B91" s="4">
        <v>45.96</v>
      </c>
      <c r="C91" s="4">
        <v>44.34</v>
      </c>
      <c r="D91" s="4">
        <v>90</v>
      </c>
      <c r="F91" s="13">
        <v>64</v>
      </c>
      <c r="G91" s="13">
        <v>39.56430340235368</v>
      </c>
      <c r="H91" s="13">
        <v>-1.2443034023536796</v>
      </c>
      <c r="I91" s="13">
        <f t="shared" si="0"/>
        <v>1.2443034023536796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ht="18" x14ac:dyDescent="0.35">
      <c r="A92" s="13"/>
      <c r="B92" s="4">
        <v>44.34</v>
      </c>
      <c r="C92" s="4">
        <v>44.59</v>
      </c>
      <c r="D92" s="4">
        <v>91</v>
      </c>
      <c r="F92" s="13">
        <v>65</v>
      </c>
      <c r="G92" s="13">
        <v>36.993785600003015</v>
      </c>
      <c r="H92" s="13">
        <v>2.4562143999969877</v>
      </c>
      <c r="I92" s="13">
        <f t="shared" si="0"/>
        <v>2.4562143999969877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18" x14ac:dyDescent="0.35">
      <c r="A93" s="13"/>
      <c r="B93" s="4">
        <v>44.59</v>
      </c>
      <c r="C93" s="4">
        <v>46.55</v>
      </c>
      <c r="D93" s="4">
        <v>92</v>
      </c>
      <c r="F93" s="13">
        <v>66</v>
      </c>
      <c r="G93" s="13">
        <v>36.897759222379321</v>
      </c>
      <c r="H93" s="13">
        <v>-7.7759222379320647E-2</v>
      </c>
      <c r="I93" s="13">
        <f t="shared" ref="I93:I156" si="1">ABS(H93)</f>
        <v>7.7759222379320647E-2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18" x14ac:dyDescent="0.35">
      <c r="A94" s="13"/>
      <c r="B94" s="4">
        <v>46.55</v>
      </c>
      <c r="C94" s="4">
        <v>49.48</v>
      </c>
      <c r="D94" s="4">
        <v>93</v>
      </c>
      <c r="F94" s="13">
        <v>67</v>
      </c>
      <c r="G94" s="13">
        <v>41.310588760957721</v>
      </c>
      <c r="H94" s="13">
        <v>-4.5905887609577221</v>
      </c>
      <c r="I94" s="13">
        <f t="shared" si="1"/>
        <v>4.5905887609577221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ht="18" x14ac:dyDescent="0.35">
      <c r="A95" s="13"/>
      <c r="B95" s="4">
        <v>49.48</v>
      </c>
      <c r="C95" s="4">
        <v>50.29</v>
      </c>
      <c r="D95" s="4">
        <v>94</v>
      </c>
      <c r="F95" s="13">
        <v>68</v>
      </c>
      <c r="G95" s="13">
        <v>41.92854607505366</v>
      </c>
      <c r="H95" s="13">
        <v>-0.69854607505366317</v>
      </c>
      <c r="I95" s="13">
        <f t="shared" si="1"/>
        <v>0.69854607505366317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ht="18" x14ac:dyDescent="0.35">
      <c r="A96" s="13"/>
      <c r="B96" s="4">
        <v>50.29</v>
      </c>
      <c r="C96" s="4">
        <v>50.56</v>
      </c>
      <c r="D96" s="4">
        <v>95</v>
      </c>
      <c r="F96" s="13">
        <v>69</v>
      </c>
      <c r="G96" s="13">
        <v>44.316791720673635</v>
      </c>
      <c r="H96" s="13">
        <v>-2.4567917206736354</v>
      </c>
      <c r="I96" s="13">
        <f t="shared" si="1"/>
        <v>2.4567917206736354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ht="18" x14ac:dyDescent="0.35">
      <c r="A97" s="13"/>
      <c r="B97" s="4">
        <v>50.56</v>
      </c>
      <c r="C97" s="4">
        <v>49.36</v>
      </c>
      <c r="D97" s="4">
        <v>96</v>
      </c>
      <c r="F97" s="13">
        <v>70</v>
      </c>
      <c r="G97" s="13">
        <v>44.240326540083352</v>
      </c>
      <c r="H97" s="13">
        <v>5.9673459916645299E-2</v>
      </c>
      <c r="I97" s="13">
        <f t="shared" si="1"/>
        <v>5.9673459916645299E-2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18" x14ac:dyDescent="0.35">
      <c r="A98" s="13"/>
      <c r="B98" s="4">
        <v>49.36</v>
      </c>
      <c r="C98" s="4">
        <v>45.51</v>
      </c>
      <c r="D98" s="4">
        <v>97</v>
      </c>
      <c r="F98" s="13">
        <v>71</v>
      </c>
      <c r="G98" s="13">
        <v>45.435339166665031</v>
      </c>
      <c r="H98" s="13">
        <v>-1.2153391666650322</v>
      </c>
      <c r="I98" s="13">
        <f t="shared" si="1"/>
        <v>1.2153391666650322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ht="18" x14ac:dyDescent="0.35">
      <c r="A99" s="13"/>
      <c r="B99" s="4">
        <v>45.51</v>
      </c>
      <c r="C99" s="4">
        <v>44.61</v>
      </c>
      <c r="D99" s="4">
        <v>98</v>
      </c>
      <c r="F99" s="13">
        <v>72</v>
      </c>
      <c r="G99" s="13">
        <v>47.931171395968789</v>
      </c>
      <c r="H99" s="13">
        <v>-2.4911713959687916</v>
      </c>
      <c r="I99" s="13">
        <f t="shared" si="1"/>
        <v>2.4911713959687916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ht="18" x14ac:dyDescent="0.35">
      <c r="A100" s="13"/>
      <c r="B100" s="4">
        <v>44.61</v>
      </c>
      <c r="C100" s="4">
        <v>45.15</v>
      </c>
      <c r="D100" s="4">
        <v>99</v>
      </c>
      <c r="F100" s="13">
        <v>73</v>
      </c>
      <c r="G100" s="13">
        <v>48.646934695231806</v>
      </c>
      <c r="H100" s="13">
        <v>-0.65693469523180426</v>
      </c>
      <c r="I100" s="13">
        <f t="shared" si="1"/>
        <v>0.65693469523180426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ht="18" x14ac:dyDescent="0.35">
      <c r="A101" s="13"/>
      <c r="B101" s="4">
        <v>45.15</v>
      </c>
      <c r="C101" s="4">
        <v>47.25</v>
      </c>
      <c r="D101" s="4">
        <v>100</v>
      </c>
      <c r="F101" s="13">
        <v>74</v>
      </c>
      <c r="G101" s="13">
        <v>48.922571061242991</v>
      </c>
      <c r="H101" s="13">
        <v>-0.20257106124299185</v>
      </c>
      <c r="I101" s="13">
        <f t="shared" si="1"/>
        <v>0.20257106124299185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ht="18" x14ac:dyDescent="0.35">
      <c r="A102" s="13"/>
      <c r="B102" s="4">
        <v>47.25</v>
      </c>
      <c r="C102" s="4">
        <v>48.63</v>
      </c>
      <c r="D102" s="4">
        <v>101</v>
      </c>
      <c r="F102" s="13">
        <v>75</v>
      </c>
      <c r="G102" s="13">
        <v>50.078461293757833</v>
      </c>
      <c r="H102" s="13">
        <v>-1.0784612937578331</v>
      </c>
      <c r="I102" s="13">
        <f t="shared" si="1"/>
        <v>1.0784612937578331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ht="18" x14ac:dyDescent="0.35">
      <c r="A103" s="13"/>
      <c r="B103" s="4">
        <v>48.63</v>
      </c>
      <c r="C103" s="4">
        <v>50.97</v>
      </c>
      <c r="D103" s="4">
        <v>102</v>
      </c>
      <c r="F103" s="13">
        <v>76</v>
      </c>
      <c r="G103" s="13">
        <v>47.840483840975232</v>
      </c>
      <c r="H103" s="13">
        <v>2.3395161590247682</v>
      </c>
      <c r="I103" s="13">
        <f t="shared" si="1"/>
        <v>2.3395161590247682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ht="18" x14ac:dyDescent="0.35">
      <c r="A104" s="13"/>
      <c r="B104" s="4">
        <v>50.97</v>
      </c>
      <c r="C104" s="4">
        <v>51.91</v>
      </c>
      <c r="D104" s="4">
        <v>103</v>
      </c>
      <c r="F104" s="13">
        <v>77</v>
      </c>
      <c r="G104" s="13">
        <v>48.644272526888614</v>
      </c>
      <c r="H104" s="13">
        <v>-0.75427252688861302</v>
      </c>
      <c r="I104" s="13">
        <f t="shared" si="1"/>
        <v>0.75427252688861302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ht="18" x14ac:dyDescent="0.35">
      <c r="A105" s="13"/>
      <c r="B105" s="4">
        <v>51.91</v>
      </c>
      <c r="C105" s="4">
        <v>51.95</v>
      </c>
      <c r="D105" s="4">
        <v>104</v>
      </c>
      <c r="F105" s="13">
        <v>78</v>
      </c>
      <c r="G105" s="13">
        <v>48.1178998145298</v>
      </c>
      <c r="H105" s="13">
        <v>0.59210018547020127</v>
      </c>
      <c r="I105" s="13">
        <f t="shared" si="1"/>
        <v>0.59210018547020127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ht="18" x14ac:dyDescent="0.35">
      <c r="A106" s="13"/>
      <c r="B106" s="4">
        <v>51.95</v>
      </c>
      <c r="C106" s="4">
        <v>53.6</v>
      </c>
      <c r="D106" s="4">
        <v>105</v>
      </c>
      <c r="F106" s="13">
        <v>79</v>
      </c>
      <c r="G106" s="13">
        <v>46.163559718731705</v>
      </c>
      <c r="H106" s="13">
        <v>2.0064402812682971</v>
      </c>
      <c r="I106" s="13">
        <f t="shared" si="1"/>
        <v>2.0064402812682971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ht="18" x14ac:dyDescent="0.35">
      <c r="A107" s="13"/>
      <c r="B107" s="4">
        <v>53.6</v>
      </c>
      <c r="C107" s="4">
        <v>53.34</v>
      </c>
      <c r="D107" s="4">
        <v>106</v>
      </c>
      <c r="F107" s="13">
        <v>80</v>
      </c>
      <c r="G107" s="13">
        <v>45.607845210822774</v>
      </c>
      <c r="H107" s="13">
        <v>0.56215478917722805</v>
      </c>
      <c r="I107" s="13">
        <f t="shared" si="1"/>
        <v>0.56215478917722805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ht="18" x14ac:dyDescent="0.35">
      <c r="A108" s="13"/>
      <c r="B108" s="4">
        <v>53.34</v>
      </c>
      <c r="C108" s="4">
        <v>52.07</v>
      </c>
      <c r="D108" s="4">
        <v>107</v>
      </c>
      <c r="F108" s="13">
        <v>81</v>
      </c>
      <c r="G108" s="13">
        <v>44.475075390428088</v>
      </c>
      <c r="H108" s="13">
        <v>1.124924609571913</v>
      </c>
      <c r="I108" s="13">
        <f t="shared" si="1"/>
        <v>1.124924609571913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ht="18" x14ac:dyDescent="0.35">
      <c r="A109" s="13"/>
      <c r="B109" s="4">
        <v>52.07</v>
      </c>
      <c r="C109" s="4">
        <v>51.82</v>
      </c>
      <c r="D109" s="4">
        <v>108</v>
      </c>
      <c r="F109" s="13">
        <v>82</v>
      </c>
      <c r="G109" s="13">
        <v>41.924118785110856</v>
      </c>
      <c r="H109" s="13">
        <v>2.5158812148891414</v>
      </c>
      <c r="I109" s="13">
        <f t="shared" si="1"/>
        <v>2.5158812148891414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ht="18" x14ac:dyDescent="0.35">
      <c r="A110" s="13"/>
      <c r="B110" s="4">
        <v>51.82</v>
      </c>
      <c r="C110" s="4">
        <v>52.74</v>
      </c>
      <c r="D110" s="4">
        <v>109</v>
      </c>
      <c r="F110" s="13">
        <v>83</v>
      </c>
      <c r="G110" s="13">
        <v>40.938057942466791</v>
      </c>
      <c r="H110" s="13">
        <v>0.89194205753320688</v>
      </c>
      <c r="I110" s="13">
        <f t="shared" si="1"/>
        <v>0.89194205753320688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ht="18" x14ac:dyDescent="0.35">
      <c r="A111" s="13"/>
      <c r="B111" s="4">
        <v>52.74</v>
      </c>
      <c r="C111" s="4">
        <v>53.33</v>
      </c>
      <c r="D111" s="4">
        <v>110</v>
      </c>
      <c r="F111" s="13">
        <v>84</v>
      </c>
      <c r="G111" s="13">
        <v>43.179594610336153</v>
      </c>
      <c r="H111" s="13">
        <v>-2.3595946103361527</v>
      </c>
      <c r="I111" s="13">
        <f t="shared" si="1"/>
        <v>2.3595946103361527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ht="18" x14ac:dyDescent="0.35">
      <c r="A112" s="13"/>
      <c r="B112" s="4">
        <v>53.33</v>
      </c>
      <c r="C112" s="4">
        <v>52.88</v>
      </c>
      <c r="D112" s="4">
        <v>111</v>
      </c>
      <c r="F112" s="13">
        <v>85</v>
      </c>
      <c r="G112" s="13">
        <v>47.142516617146008</v>
      </c>
      <c r="H112" s="13">
        <v>-4.0325166171460083</v>
      </c>
      <c r="I112" s="13">
        <f t="shared" si="1"/>
        <v>4.0325166171460083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ht="18" x14ac:dyDescent="0.35">
      <c r="A113" s="13"/>
      <c r="B113" s="4">
        <v>52.88</v>
      </c>
      <c r="C113" s="4">
        <v>53.22</v>
      </c>
      <c r="D113" s="4">
        <v>112</v>
      </c>
      <c r="F113" s="13">
        <v>86</v>
      </c>
      <c r="G113" s="13">
        <v>47.036709641005608</v>
      </c>
      <c r="H113" s="13">
        <v>0.12329035899438878</v>
      </c>
      <c r="I113" s="13">
        <f t="shared" si="1"/>
        <v>0.12329035899438878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ht="18" x14ac:dyDescent="0.35">
      <c r="A114" s="13"/>
      <c r="B114" s="4">
        <v>53.22</v>
      </c>
      <c r="C114" s="4">
        <v>54.03</v>
      </c>
      <c r="D114" s="4">
        <v>113</v>
      </c>
      <c r="F114" s="13">
        <v>87</v>
      </c>
      <c r="G114" s="13">
        <v>45.141053136307768</v>
      </c>
      <c r="H114" s="13">
        <v>1.9089468636922291</v>
      </c>
      <c r="I114" s="13">
        <f t="shared" si="1"/>
        <v>1.9089468636922291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ht="18" x14ac:dyDescent="0.35">
      <c r="A115" s="13"/>
      <c r="B115" s="4">
        <v>54.03</v>
      </c>
      <c r="C115" s="4">
        <v>53.56</v>
      </c>
      <c r="D115" s="4">
        <v>114</v>
      </c>
      <c r="F115" s="13">
        <v>88</v>
      </c>
      <c r="G115" s="13">
        <v>45.974183617771267</v>
      </c>
      <c r="H115" s="13">
        <v>-0.86418361777126762</v>
      </c>
      <c r="I115" s="13">
        <f t="shared" si="1"/>
        <v>0.86418361777126762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ht="18" x14ac:dyDescent="0.35">
      <c r="A116" s="13"/>
      <c r="B116" s="4">
        <v>53.56</v>
      </c>
      <c r="C116" s="4">
        <v>50.5</v>
      </c>
      <c r="D116" s="4">
        <v>115</v>
      </c>
      <c r="F116" s="13">
        <v>89</v>
      </c>
      <c r="G116" s="13">
        <v>44.391506265608065</v>
      </c>
      <c r="H116" s="13">
        <v>1.5684937343919358</v>
      </c>
      <c r="I116" s="13">
        <f t="shared" si="1"/>
        <v>1.5684937343919358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ht="18" x14ac:dyDescent="0.35">
      <c r="A117" s="13"/>
      <c r="B117" s="4">
        <v>50.5</v>
      </c>
      <c r="C117" s="4">
        <v>48.03</v>
      </c>
      <c r="D117" s="4">
        <v>116</v>
      </c>
      <c r="F117" s="13">
        <v>90</v>
      </c>
      <c r="G117" s="13">
        <v>44.637800836069125</v>
      </c>
      <c r="H117" s="13">
        <v>-0.297800836069122</v>
      </c>
      <c r="I117" s="13">
        <f t="shared" si="1"/>
        <v>0.297800836069122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ht="18" x14ac:dyDescent="0.35">
      <c r="A118" s="13"/>
      <c r="B118" s="4">
        <v>48.03</v>
      </c>
      <c r="C118" s="4">
        <v>47.28</v>
      </c>
      <c r="D118" s="4">
        <v>117</v>
      </c>
      <c r="F118" s="13">
        <v>91</v>
      </c>
      <c r="G118" s="13">
        <v>46.556577752887137</v>
      </c>
      <c r="H118" s="13">
        <v>-1.9665777528871331</v>
      </c>
      <c r="I118" s="13">
        <f t="shared" si="1"/>
        <v>1.9665777528871331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1:24" ht="18" x14ac:dyDescent="0.35">
      <c r="A119" s="13"/>
      <c r="B119" s="4">
        <v>47.28</v>
      </c>
      <c r="C119" s="4">
        <v>49.14</v>
      </c>
      <c r="D119" s="4">
        <v>118</v>
      </c>
      <c r="F119" s="13">
        <v>92</v>
      </c>
      <c r="G119" s="13">
        <v>49.424072725825773</v>
      </c>
      <c r="H119" s="13">
        <v>-2.8740727258257763</v>
      </c>
      <c r="I119" s="13">
        <f t="shared" si="1"/>
        <v>2.8740727258257763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1:24" ht="18" x14ac:dyDescent="0.35">
      <c r="A120" s="13"/>
      <c r="B120" s="4">
        <v>49.14</v>
      </c>
      <c r="C120" s="4">
        <v>51.26</v>
      </c>
      <c r="D120" s="4">
        <v>119</v>
      </c>
      <c r="F120" s="13">
        <v>93</v>
      </c>
      <c r="G120" s="13">
        <v>50.21808081322245</v>
      </c>
      <c r="H120" s="13">
        <v>-0.738080813222453</v>
      </c>
      <c r="I120" s="13">
        <f t="shared" si="1"/>
        <v>0.738080813222453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ht="18" x14ac:dyDescent="0.35">
      <c r="A121" s="13"/>
      <c r="B121" s="4">
        <v>51.26</v>
      </c>
      <c r="C121" s="4">
        <v>53.19</v>
      </c>
      <c r="D121" s="4">
        <v>120</v>
      </c>
      <c r="F121" s="13">
        <v>94</v>
      </c>
      <c r="G121" s="13">
        <v>50.483936580716936</v>
      </c>
      <c r="H121" s="13">
        <v>-0.19393658071693665</v>
      </c>
      <c r="I121" s="13">
        <f t="shared" si="1"/>
        <v>0.19393658071693665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ht="18" x14ac:dyDescent="0.35">
      <c r="A122" s="13"/>
      <c r="B122" s="4">
        <v>53.19</v>
      </c>
      <c r="C122" s="4">
        <v>51.09</v>
      </c>
      <c r="D122" s="4">
        <v>121</v>
      </c>
      <c r="F122" s="13">
        <v>95</v>
      </c>
      <c r="G122" s="13">
        <v>49.312044366255421</v>
      </c>
      <c r="H122" s="13">
        <v>1.2479556337445814</v>
      </c>
      <c r="I122" s="13">
        <f t="shared" si="1"/>
        <v>1.2479556337445814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1:24" ht="18" x14ac:dyDescent="0.35">
      <c r="A123" s="13"/>
      <c r="B123" s="4">
        <v>51.09</v>
      </c>
      <c r="C123" s="4">
        <v>49.12</v>
      </c>
      <c r="D123" s="4">
        <v>122</v>
      </c>
      <c r="F123" s="13">
        <v>96</v>
      </c>
      <c r="G123" s="13">
        <v>45.548293544866475</v>
      </c>
      <c r="H123" s="13">
        <v>3.8117064551335247</v>
      </c>
      <c r="I123" s="13">
        <f t="shared" si="1"/>
        <v>3.8117064551335247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1:24" ht="18" x14ac:dyDescent="0.35">
      <c r="A124" s="13"/>
      <c r="B124" s="4">
        <v>49.12</v>
      </c>
      <c r="C124" s="4">
        <v>47.21</v>
      </c>
      <c r="D124" s="4">
        <v>123</v>
      </c>
      <c r="F124" s="13">
        <v>97</v>
      </c>
      <c r="G124" s="13">
        <v>44.669819285906193</v>
      </c>
      <c r="H124" s="13">
        <v>0.84018071409380468</v>
      </c>
      <c r="I124" s="13">
        <f t="shared" si="1"/>
        <v>0.84018071409380468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ht="18" x14ac:dyDescent="0.35">
      <c r="A125" s="13"/>
      <c r="B125" s="4">
        <v>47.21</v>
      </c>
      <c r="C125" s="4">
        <v>47.04</v>
      </c>
      <c r="D125" s="4">
        <v>124</v>
      </c>
      <c r="F125" s="13">
        <v>98</v>
      </c>
      <c r="G125" s="13">
        <v>45.199751213351774</v>
      </c>
      <c r="H125" s="13">
        <v>-0.58975121335177505</v>
      </c>
      <c r="I125" s="13">
        <f t="shared" si="1"/>
        <v>0.58975121335177505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1:24" ht="18" x14ac:dyDescent="0.35">
      <c r="A126" s="13"/>
      <c r="B126" s="4">
        <v>47.04</v>
      </c>
      <c r="C126" s="4">
        <v>49.24</v>
      </c>
      <c r="D126" s="4">
        <v>125</v>
      </c>
      <c r="F126" s="13">
        <v>99</v>
      </c>
      <c r="G126" s="13">
        <v>47.255456509403693</v>
      </c>
      <c r="H126" s="13">
        <v>-2.1054565094036946</v>
      </c>
      <c r="I126" s="13">
        <f t="shared" si="1"/>
        <v>2.1054565094036946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ht="18" x14ac:dyDescent="0.35">
      <c r="A127" s="13"/>
      <c r="B127" s="4">
        <v>49.24</v>
      </c>
      <c r="C127" s="4">
        <v>50.21</v>
      </c>
      <c r="D127" s="4">
        <v>126</v>
      </c>
      <c r="F127" s="13">
        <v>100</v>
      </c>
      <c r="G127" s="13">
        <v>48.606958712252684</v>
      </c>
      <c r="H127" s="13">
        <v>-1.3569587122526841</v>
      </c>
      <c r="I127" s="13">
        <f t="shared" si="1"/>
        <v>1.3569587122526841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ht="18" x14ac:dyDescent="0.35">
      <c r="A128" s="13"/>
      <c r="B128" s="4">
        <v>50.21</v>
      </c>
      <c r="C128" s="4">
        <v>48.48</v>
      </c>
      <c r="D128" s="4">
        <v>127</v>
      </c>
      <c r="F128" s="13">
        <v>101</v>
      </c>
      <c r="G128" s="13">
        <v>50.897398372705588</v>
      </c>
      <c r="H128" s="13">
        <v>-2.2673983727055855</v>
      </c>
      <c r="I128" s="13">
        <f t="shared" si="1"/>
        <v>2.2673983727055855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ht="18" x14ac:dyDescent="0.35">
      <c r="A129" s="13"/>
      <c r="B129" s="4">
        <v>48.48</v>
      </c>
      <c r="C129" s="4">
        <v>46.57</v>
      </c>
      <c r="D129" s="4">
        <v>128</v>
      </c>
      <c r="F129" s="13">
        <v>102</v>
      </c>
      <c r="G129" s="13">
        <v>51.818554240819452</v>
      </c>
      <c r="H129" s="13">
        <v>-0.8485542408194533</v>
      </c>
      <c r="I129" s="13">
        <f t="shared" si="1"/>
        <v>0.8485542408194533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ht="18" x14ac:dyDescent="0.35">
      <c r="A130" s="13"/>
      <c r="B130" s="4">
        <v>46.57</v>
      </c>
      <c r="C130" s="4">
        <v>45.3</v>
      </c>
      <c r="D130" s="4">
        <v>129</v>
      </c>
      <c r="F130" s="13">
        <v>103</v>
      </c>
      <c r="G130" s="13">
        <v>51.859456242429673</v>
      </c>
      <c r="H130" s="13">
        <v>5.0543757570324033E-2</v>
      </c>
      <c r="I130" s="13">
        <f t="shared" si="1"/>
        <v>5.0543757570324033E-2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1:24" ht="18" x14ac:dyDescent="0.35">
      <c r="A131" s="13"/>
      <c r="B131" s="4">
        <v>45.3</v>
      </c>
      <c r="C131" s="4">
        <v>43.09</v>
      </c>
      <c r="D131" s="4">
        <v>130</v>
      </c>
      <c r="F131" s="13">
        <v>104</v>
      </c>
      <c r="G131" s="13">
        <v>53.475034605229759</v>
      </c>
      <c r="H131" s="13">
        <v>-1.5250346052297559</v>
      </c>
      <c r="I131" s="13">
        <f t="shared" si="1"/>
        <v>1.5250346052297559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18" x14ac:dyDescent="0.35">
      <c r="A132" s="13"/>
      <c r="B132" s="4">
        <v>43.09</v>
      </c>
      <c r="C132" s="4">
        <v>44.63</v>
      </c>
      <c r="D132" s="4">
        <v>131</v>
      </c>
      <c r="F132" s="13">
        <v>105</v>
      </c>
      <c r="G132" s="13">
        <v>53.222518651338753</v>
      </c>
      <c r="H132" s="13">
        <v>0.37748134866124872</v>
      </c>
      <c r="I132" s="13">
        <f t="shared" si="1"/>
        <v>0.37748134866124872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ht="18" x14ac:dyDescent="0.35">
      <c r="A133" s="13"/>
      <c r="B133" s="4">
        <v>44.63</v>
      </c>
      <c r="C133" s="4">
        <v>44.96</v>
      </c>
      <c r="D133" s="4">
        <v>132</v>
      </c>
      <c r="F133" s="13">
        <v>106</v>
      </c>
      <c r="G133" s="13">
        <v>51.982162247260291</v>
      </c>
      <c r="H133" s="13">
        <v>1.3578377527397123</v>
      </c>
      <c r="I133" s="13">
        <f t="shared" si="1"/>
        <v>1.3578377527397123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ht="18" x14ac:dyDescent="0.35">
      <c r="A134" s="13"/>
      <c r="B134" s="4">
        <v>44.96</v>
      </c>
      <c r="C134" s="4">
        <v>45.51</v>
      </c>
      <c r="D134" s="4">
        <v>133</v>
      </c>
      <c r="F134" s="13">
        <v>107</v>
      </c>
      <c r="G134" s="13">
        <v>51.739426891885991</v>
      </c>
      <c r="H134" s="13">
        <v>0.33057310811400953</v>
      </c>
      <c r="I134" s="13">
        <f t="shared" si="1"/>
        <v>0.33057310811400953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ht="18" x14ac:dyDescent="0.35">
      <c r="A135" s="13"/>
      <c r="B135" s="4">
        <v>45.51</v>
      </c>
      <c r="C135" s="4">
        <v>46.41</v>
      </c>
      <c r="D135" s="4">
        <v>134</v>
      </c>
      <c r="F135" s="13">
        <v>108</v>
      </c>
      <c r="G135" s="13">
        <v>52.641021562966451</v>
      </c>
      <c r="H135" s="13">
        <v>-0.82102156296645035</v>
      </c>
      <c r="I135" s="13">
        <f t="shared" si="1"/>
        <v>0.82102156296645035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18" x14ac:dyDescent="0.35">
      <c r="A136" s="13"/>
      <c r="B136" s="4">
        <v>46.41</v>
      </c>
      <c r="C136" s="4">
        <v>48.27</v>
      </c>
      <c r="D136" s="4">
        <v>135</v>
      </c>
      <c r="F136" s="13">
        <v>109</v>
      </c>
      <c r="G136" s="13">
        <v>53.219856482995553</v>
      </c>
      <c r="H136" s="13">
        <v>-0.47985648299555095</v>
      </c>
      <c r="I136" s="13">
        <f t="shared" si="1"/>
        <v>0.47985648299555095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1:24" ht="18" x14ac:dyDescent="0.35">
      <c r="A137" s="13"/>
      <c r="B137" s="4">
        <v>48.27</v>
      </c>
      <c r="C137" s="4">
        <v>49.52</v>
      </c>
      <c r="D137" s="4">
        <v>136</v>
      </c>
      <c r="F137" s="13">
        <v>110</v>
      </c>
      <c r="G137" s="13">
        <v>52.781509157287111</v>
      </c>
      <c r="H137" s="13">
        <v>0.54849084271288717</v>
      </c>
      <c r="I137" s="13">
        <f t="shared" si="1"/>
        <v>0.54849084271288717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ht="18" x14ac:dyDescent="0.35">
      <c r="A138" s="13"/>
      <c r="B138" s="4">
        <v>49.52</v>
      </c>
      <c r="C138" s="4">
        <v>49.08</v>
      </c>
      <c r="D138" s="4">
        <v>137</v>
      </c>
      <c r="F138" s="13">
        <v>111</v>
      </c>
      <c r="G138" s="13">
        <v>53.115829114398537</v>
      </c>
      <c r="H138" s="13">
        <v>-0.23582911439853405</v>
      </c>
      <c r="I138" s="13">
        <f t="shared" si="1"/>
        <v>0.23582911439853405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ht="18" x14ac:dyDescent="0.35">
      <c r="A139" s="13"/>
      <c r="B139" s="4">
        <v>49.08</v>
      </c>
      <c r="C139" s="4">
        <v>47.52</v>
      </c>
      <c r="D139" s="4">
        <v>138</v>
      </c>
      <c r="F139" s="13">
        <v>112</v>
      </c>
      <c r="G139" s="13">
        <v>53.909837201795213</v>
      </c>
      <c r="H139" s="13">
        <v>-0.68983720179521413</v>
      </c>
      <c r="I139" s="13">
        <f t="shared" si="1"/>
        <v>0.68983720179521413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4" ht="18" x14ac:dyDescent="0.35">
      <c r="A140" s="13"/>
      <c r="B140" s="4">
        <v>47.52</v>
      </c>
      <c r="C140" s="4">
        <v>47.68</v>
      </c>
      <c r="D140" s="4">
        <v>139</v>
      </c>
      <c r="F140" s="13">
        <v>113</v>
      </c>
      <c r="G140" s="13">
        <v>53.451928679053346</v>
      </c>
      <c r="H140" s="13">
        <v>0.57807132094665548</v>
      </c>
      <c r="I140" s="13">
        <f t="shared" si="1"/>
        <v>0.57807132094665548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18" x14ac:dyDescent="0.35">
      <c r="A141" s="13"/>
      <c r="B141" s="4">
        <v>47.68</v>
      </c>
      <c r="C141" s="4">
        <v>46.68</v>
      </c>
      <c r="D141" s="4">
        <v>140</v>
      </c>
      <c r="F141" s="13">
        <v>114</v>
      </c>
      <c r="G141" s="13">
        <v>50.460845140484281</v>
      </c>
      <c r="H141" s="13">
        <v>3.0991548595157212</v>
      </c>
      <c r="I141" s="13">
        <f t="shared" si="1"/>
        <v>3.0991548595157212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1:24" ht="18" x14ac:dyDescent="0.35">
      <c r="A142" s="13"/>
      <c r="B142" s="4">
        <v>46.68</v>
      </c>
      <c r="C142" s="4">
        <v>48.58</v>
      </c>
      <c r="D142" s="4">
        <v>141</v>
      </c>
      <c r="F142" s="13">
        <v>115</v>
      </c>
      <c r="G142" s="13">
        <v>48.046816914400942</v>
      </c>
      <c r="H142" s="13">
        <v>2.4531830855990577</v>
      </c>
      <c r="I142" s="13">
        <f t="shared" si="1"/>
        <v>2.4531830855990577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18" x14ac:dyDescent="0.35">
      <c r="A143" s="13"/>
      <c r="B143" s="4">
        <v>48.58</v>
      </c>
      <c r="C143" s="4">
        <v>49.07</v>
      </c>
      <c r="D143" s="4">
        <v>142</v>
      </c>
      <c r="F143" s="13">
        <v>116</v>
      </c>
      <c r="G143" s="13">
        <v>47.315051633191267</v>
      </c>
      <c r="H143" s="13">
        <v>0.71494836680873419</v>
      </c>
      <c r="I143" s="13">
        <f t="shared" si="1"/>
        <v>0.71494836680873419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1:24" ht="18" x14ac:dyDescent="0.35">
      <c r="A144" s="13"/>
      <c r="B144" s="4">
        <v>49.07</v>
      </c>
      <c r="C144" s="4">
        <v>50.12</v>
      </c>
      <c r="D144" s="4">
        <v>143</v>
      </c>
      <c r="F144" s="13">
        <v>117</v>
      </c>
      <c r="G144" s="13">
        <v>49.136022564842214</v>
      </c>
      <c r="H144" s="13">
        <v>-1.8560225648422133</v>
      </c>
      <c r="I144" s="13">
        <f t="shared" si="1"/>
        <v>1.8560225648422133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1:24" ht="18" x14ac:dyDescent="0.35">
      <c r="A145" s="13"/>
      <c r="B145" s="4">
        <v>50.12</v>
      </c>
      <c r="C145" s="4">
        <v>51.77</v>
      </c>
      <c r="D145" s="4">
        <v>144</v>
      </c>
      <c r="F145" s="13">
        <v>118</v>
      </c>
      <c r="G145" s="13">
        <v>51.211289057927551</v>
      </c>
      <c r="H145" s="13">
        <v>-2.0712890579275509</v>
      </c>
      <c r="I145" s="13">
        <f t="shared" si="1"/>
        <v>2.0712890579275509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ht="18" x14ac:dyDescent="0.35">
      <c r="A146" s="13"/>
      <c r="B146" s="4">
        <v>51.77</v>
      </c>
      <c r="C146" s="4">
        <v>50.23</v>
      </c>
      <c r="D146" s="4">
        <v>145</v>
      </c>
      <c r="F146" s="13">
        <v>119</v>
      </c>
      <c r="G146" s="13">
        <v>53.100724179195453</v>
      </c>
      <c r="H146" s="13">
        <v>-1.8407241791954547</v>
      </c>
      <c r="I146" s="13">
        <f t="shared" si="1"/>
        <v>1.8407241791954547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ht="18" x14ac:dyDescent="0.35">
      <c r="A147" s="13"/>
      <c r="B147" s="4">
        <v>50.23</v>
      </c>
      <c r="C147" s="4">
        <v>50.77</v>
      </c>
      <c r="D147" s="4">
        <v>146</v>
      </c>
      <c r="F147" s="13">
        <v>120</v>
      </c>
      <c r="G147" s="13">
        <v>51.048578098230287</v>
      </c>
      <c r="H147" s="13">
        <v>2.1414219017697107</v>
      </c>
      <c r="I147" s="13">
        <f t="shared" si="1"/>
        <v>2.1414219017697107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1:24" ht="18" x14ac:dyDescent="0.35">
      <c r="A148" s="13"/>
      <c r="B148" s="4">
        <v>50.77</v>
      </c>
      <c r="C148" s="4">
        <v>51.74</v>
      </c>
      <c r="D148" s="4">
        <v>147</v>
      </c>
      <c r="F148" s="13">
        <v>121</v>
      </c>
      <c r="G148" s="13">
        <v>49.123579797982316</v>
      </c>
      <c r="H148" s="13">
        <v>1.9664202020176873</v>
      </c>
      <c r="I148" s="13">
        <f t="shared" si="1"/>
        <v>1.9664202020176873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1:24" ht="18" x14ac:dyDescent="0.35">
      <c r="A149" s="13"/>
      <c r="B149" s="4">
        <v>51.74</v>
      </c>
      <c r="C149" s="4">
        <v>52.51</v>
      </c>
      <c r="D149" s="4">
        <v>148</v>
      </c>
      <c r="F149" s="13">
        <v>122</v>
      </c>
      <c r="G149" s="13">
        <v>47.257265088834593</v>
      </c>
      <c r="H149" s="13">
        <v>1.8627349111654041</v>
      </c>
      <c r="I149" s="13">
        <f t="shared" si="1"/>
        <v>1.8627349111654041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1:24" ht="18" x14ac:dyDescent="0.35">
      <c r="A150" s="13"/>
      <c r="B150" s="4">
        <v>52.51</v>
      </c>
      <c r="C150" s="4">
        <v>54.59</v>
      </c>
      <c r="D150" s="4">
        <v>149</v>
      </c>
      <c r="F150" s="13">
        <v>123</v>
      </c>
      <c r="G150" s="13">
        <v>47.092774521593952</v>
      </c>
      <c r="H150" s="13">
        <v>0.11722547840604847</v>
      </c>
      <c r="I150" s="13">
        <f t="shared" si="1"/>
        <v>0.11722547840604847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1:24" ht="18" x14ac:dyDescent="0.35">
      <c r="A151" s="13"/>
      <c r="B151" s="4">
        <v>54.59</v>
      </c>
      <c r="C151" s="4">
        <v>57.05</v>
      </c>
      <c r="D151" s="4">
        <v>150</v>
      </c>
      <c r="F151" s="13">
        <v>124</v>
      </c>
      <c r="G151" s="13">
        <v>49.246285802812949</v>
      </c>
      <c r="H151" s="13">
        <v>-2.2062858028129497</v>
      </c>
      <c r="I151" s="13">
        <f t="shared" si="1"/>
        <v>2.2062858028129497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ht="18" x14ac:dyDescent="0.35">
      <c r="A152" s="13"/>
      <c r="B152" s="4">
        <v>57.05</v>
      </c>
      <c r="C152" s="4">
        <v>55.81</v>
      </c>
      <c r="D152" s="4">
        <v>151</v>
      </c>
      <c r="F152" s="13">
        <v>125</v>
      </c>
      <c r="G152" s="13">
        <v>50.196783466476937</v>
      </c>
      <c r="H152" s="13">
        <v>-0.95678346647693502</v>
      </c>
      <c r="I152" s="13">
        <f t="shared" si="1"/>
        <v>0.95678346647693502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1:24" ht="18" x14ac:dyDescent="0.35">
      <c r="A153" s="13"/>
      <c r="B153" s="4">
        <v>55.81</v>
      </c>
      <c r="C153" s="4">
        <v>57.47</v>
      </c>
      <c r="D153" s="4">
        <v>152</v>
      </c>
      <c r="F153" s="13">
        <v>126</v>
      </c>
      <c r="G153" s="13">
        <v>48.506519530629944</v>
      </c>
      <c r="H153" s="13">
        <v>1.7034804693700565</v>
      </c>
      <c r="I153" s="13">
        <f t="shared" si="1"/>
        <v>1.7034804693700565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1:24" ht="18" x14ac:dyDescent="0.35">
      <c r="A154" s="13"/>
      <c r="B154" s="4">
        <v>57.47</v>
      </c>
      <c r="C154" s="4">
        <v>57.81</v>
      </c>
      <c r="D154" s="4">
        <v>153</v>
      </c>
      <c r="F154" s="13">
        <v>127</v>
      </c>
      <c r="G154" s="13">
        <v>46.640204821482222</v>
      </c>
      <c r="H154" s="13">
        <v>1.8397951785177753</v>
      </c>
      <c r="I154" s="13">
        <f t="shared" si="1"/>
        <v>1.8397951785177753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1:24" ht="18" x14ac:dyDescent="0.35">
      <c r="A155" s="13"/>
      <c r="B155" s="4">
        <v>57.81</v>
      </c>
      <c r="C155" s="4">
        <v>56.92</v>
      </c>
      <c r="D155" s="4">
        <v>154</v>
      </c>
      <c r="F155" s="13">
        <v>128</v>
      </c>
      <c r="G155" s="13">
        <v>45.399848417403767</v>
      </c>
      <c r="H155" s="13">
        <v>1.1701515825962332</v>
      </c>
      <c r="I155" s="13">
        <f t="shared" si="1"/>
        <v>1.1701515825962332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ht="18" x14ac:dyDescent="0.35">
      <c r="A156" s="13"/>
      <c r="B156" s="4">
        <v>56.92</v>
      </c>
      <c r="C156" s="4">
        <v>57.17</v>
      </c>
      <c r="D156" s="4">
        <v>155</v>
      </c>
      <c r="F156" s="13">
        <v>129</v>
      </c>
      <c r="G156" s="13">
        <v>43.240115752754825</v>
      </c>
      <c r="H156" s="13">
        <v>2.0598842472451722</v>
      </c>
      <c r="I156" s="13">
        <f t="shared" si="1"/>
        <v>2.0598842472451722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ht="18" x14ac:dyDescent="0.35">
      <c r="A157" s="13"/>
      <c r="B157" s="4">
        <v>57.17</v>
      </c>
      <c r="C157" s="4">
        <v>57.87</v>
      </c>
      <c r="D157" s="4">
        <v>156</v>
      </c>
      <c r="F157" s="13">
        <v>130</v>
      </c>
      <c r="G157" s="13">
        <v>44.748107531871142</v>
      </c>
      <c r="H157" s="13">
        <v>-1.6581075318711385</v>
      </c>
      <c r="I157" s="13">
        <f t="shared" ref="I157:I220" si="2">ABS(H157)</f>
        <v>1.6581075318711385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1:24" ht="18" x14ac:dyDescent="0.35">
      <c r="A158" s="13"/>
      <c r="B158" s="4">
        <v>57.87</v>
      </c>
      <c r="C158" s="4">
        <v>59.88</v>
      </c>
      <c r="D158" s="4">
        <v>157</v>
      </c>
      <c r="F158" s="13">
        <v>131</v>
      </c>
      <c r="G158" s="13">
        <v>45.072646890465855</v>
      </c>
      <c r="H158" s="13">
        <v>-0.44264689046585204</v>
      </c>
      <c r="I158" s="13">
        <f t="shared" si="2"/>
        <v>0.44264689046585204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1:24" ht="18" x14ac:dyDescent="0.35">
      <c r="A159" s="13"/>
      <c r="B159" s="4">
        <v>59.88</v>
      </c>
      <c r="C159" s="4">
        <v>61.36</v>
      </c>
      <c r="D159" s="4">
        <v>158</v>
      </c>
      <c r="F159" s="13">
        <v>132</v>
      </c>
      <c r="G159" s="13">
        <v>45.612359416428141</v>
      </c>
      <c r="H159" s="13">
        <v>-0.65235941642814055</v>
      </c>
      <c r="I159" s="13">
        <f t="shared" si="2"/>
        <v>0.65235941642814055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ht="18" x14ac:dyDescent="0.35">
      <c r="A160" s="13"/>
      <c r="B160" s="4">
        <v>61.36</v>
      </c>
      <c r="C160" s="4">
        <v>63.26</v>
      </c>
      <c r="D160" s="4">
        <v>159</v>
      </c>
      <c r="F160" s="13">
        <v>133</v>
      </c>
      <c r="G160" s="13">
        <v>46.494392890475176</v>
      </c>
      <c r="H160" s="13">
        <v>-0.98439289047517775</v>
      </c>
      <c r="I160" s="13">
        <f t="shared" si="2"/>
        <v>0.98439289047517775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1:24" ht="18" x14ac:dyDescent="0.35">
      <c r="A161" s="13"/>
      <c r="B161" s="4">
        <v>63.26</v>
      </c>
      <c r="C161" s="4">
        <v>63.77</v>
      </c>
      <c r="D161" s="4">
        <v>160</v>
      </c>
      <c r="F161" s="13">
        <v>134</v>
      </c>
      <c r="G161" s="13">
        <v>48.31536382212613</v>
      </c>
      <c r="H161" s="13">
        <v>-1.9053638221261338</v>
      </c>
      <c r="I161" s="13">
        <f t="shared" si="2"/>
        <v>1.9053638221261338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ht="18" x14ac:dyDescent="0.35">
      <c r="A162" s="13"/>
      <c r="B162" s="4">
        <v>63.77</v>
      </c>
      <c r="C162" s="4">
        <v>65.14</v>
      </c>
      <c r="D162" s="4">
        <v>161</v>
      </c>
      <c r="F162" s="13">
        <v>135</v>
      </c>
      <c r="G162" s="13">
        <v>49.539718244257934</v>
      </c>
      <c r="H162" s="13">
        <v>-1.2697182442579305</v>
      </c>
      <c r="I162" s="13">
        <f t="shared" si="2"/>
        <v>1.2697182442579305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1:24" ht="18" x14ac:dyDescent="0.35">
      <c r="A163" s="13"/>
      <c r="B163" s="4">
        <v>65.14</v>
      </c>
      <c r="C163" s="4">
        <v>65.319999999999993</v>
      </c>
      <c r="D163" s="4">
        <v>162</v>
      </c>
      <c r="F163" s="13">
        <v>136</v>
      </c>
      <c r="G163" s="13">
        <v>49.111151517066183</v>
      </c>
      <c r="H163" s="13">
        <v>0.40884848293381992</v>
      </c>
      <c r="I163" s="13">
        <f t="shared" si="2"/>
        <v>0.40884848293381992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1:24" ht="18" x14ac:dyDescent="0.35">
      <c r="A164" s="13"/>
      <c r="B164" s="4">
        <v>65.319999999999993</v>
      </c>
      <c r="C164" s="4">
        <v>62.01</v>
      </c>
      <c r="D164" s="4">
        <v>163</v>
      </c>
      <c r="F164" s="13">
        <v>137</v>
      </c>
      <c r="G164" s="13">
        <v>47.587157756003222</v>
      </c>
      <c r="H164" s="13">
        <v>1.4928422439967761</v>
      </c>
      <c r="I164" s="13">
        <f t="shared" si="2"/>
        <v>1.4928422439967761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1:24" ht="18" x14ac:dyDescent="0.35">
      <c r="A165" s="13"/>
      <c r="B165" s="4">
        <v>62.01</v>
      </c>
      <c r="C165" s="4">
        <v>60.56</v>
      </c>
      <c r="D165" s="4">
        <v>164</v>
      </c>
      <c r="F165" s="13">
        <v>138</v>
      </c>
      <c r="G165" s="13">
        <v>47.74542693981391</v>
      </c>
      <c r="H165" s="13">
        <v>-0.22542693981390727</v>
      </c>
      <c r="I165" s="13">
        <f t="shared" si="2"/>
        <v>0.22542693981390727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1:24" ht="18" x14ac:dyDescent="0.35">
      <c r="A166" s="13"/>
      <c r="B166" s="4">
        <v>60.56</v>
      </c>
      <c r="C166" s="4">
        <v>62.47</v>
      </c>
      <c r="D166" s="4">
        <v>165</v>
      </c>
      <c r="F166" s="13">
        <v>139</v>
      </c>
      <c r="G166" s="13">
        <v>46.769146695686558</v>
      </c>
      <c r="H166" s="13">
        <v>0.91085330431344147</v>
      </c>
      <c r="I166" s="13">
        <f t="shared" si="2"/>
        <v>0.91085330431344147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1:24" ht="18" x14ac:dyDescent="0.35">
      <c r="A167" s="13"/>
      <c r="B167" s="4">
        <v>62.47</v>
      </c>
      <c r="C167" s="4">
        <v>62.07</v>
      </c>
      <c r="D167" s="4">
        <v>166</v>
      </c>
      <c r="F167" s="13">
        <v>140</v>
      </c>
      <c r="G167" s="13">
        <v>48.629240021404335</v>
      </c>
      <c r="H167" s="13">
        <v>-1.9492400214043357</v>
      </c>
      <c r="I167" s="13">
        <f t="shared" si="2"/>
        <v>1.9492400214043357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1:24" ht="18" x14ac:dyDescent="0.35">
      <c r="A168" s="13"/>
      <c r="B168" s="4">
        <v>62.07</v>
      </c>
      <c r="C168" s="4">
        <v>61.65</v>
      </c>
      <c r="D168" s="4">
        <v>167</v>
      </c>
      <c r="F168" s="13">
        <v>141</v>
      </c>
      <c r="G168" s="13">
        <v>49.110268956266374</v>
      </c>
      <c r="H168" s="13">
        <v>-0.53026895626637582</v>
      </c>
      <c r="I168" s="13">
        <f t="shared" si="2"/>
        <v>0.53026895626637582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1:24" ht="18" x14ac:dyDescent="0.35">
      <c r="A169" s="13"/>
      <c r="B169" s="4">
        <v>61.65</v>
      </c>
      <c r="C169" s="4">
        <v>61.28</v>
      </c>
      <c r="D169" s="4">
        <v>168</v>
      </c>
      <c r="F169" s="13">
        <v>142</v>
      </c>
      <c r="G169" s="13">
        <v>50.139011408064022</v>
      </c>
      <c r="H169" s="13">
        <v>-1.0690114080640214</v>
      </c>
      <c r="I169" s="13">
        <f t="shared" si="2"/>
        <v>1.0690114080640214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1:24" ht="18" x14ac:dyDescent="0.35">
      <c r="A170" s="13"/>
      <c r="B170" s="4">
        <v>61.28</v>
      </c>
      <c r="C170" s="4">
        <v>64.11</v>
      </c>
      <c r="D170" s="4">
        <v>169</v>
      </c>
      <c r="F170" s="13">
        <v>143</v>
      </c>
      <c r="G170" s="13">
        <v>51.754589770864122</v>
      </c>
      <c r="H170" s="13">
        <v>-1.6345897708641246</v>
      </c>
      <c r="I170" s="13">
        <f t="shared" si="2"/>
        <v>1.6345897708641246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1:24" ht="18" x14ac:dyDescent="0.35">
      <c r="A171" s="13"/>
      <c r="B171" s="4">
        <v>64.11</v>
      </c>
      <c r="C171" s="4">
        <v>64.97</v>
      </c>
      <c r="D171" s="4">
        <v>170</v>
      </c>
      <c r="F171" s="13">
        <v>144</v>
      </c>
      <c r="G171" s="13">
        <v>50.250157206834565</v>
      </c>
      <c r="H171" s="13">
        <v>1.5198427931654379</v>
      </c>
      <c r="I171" s="13">
        <f t="shared" si="2"/>
        <v>1.5198427931654379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1:24" ht="18" x14ac:dyDescent="0.35">
      <c r="A172" s="13"/>
      <c r="B172" s="4">
        <v>64.97</v>
      </c>
      <c r="C172" s="4">
        <v>63.07</v>
      </c>
      <c r="D172" s="4">
        <v>171</v>
      </c>
      <c r="F172" s="13">
        <v>145</v>
      </c>
      <c r="G172" s="13">
        <v>50.780089134280146</v>
      </c>
      <c r="H172" s="13">
        <v>-0.55008913428014949</v>
      </c>
      <c r="I172" s="13">
        <f t="shared" si="2"/>
        <v>0.55008913428014949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1:24" ht="18" x14ac:dyDescent="0.35">
      <c r="A173" s="13"/>
      <c r="B173" s="4">
        <v>63.07</v>
      </c>
      <c r="C173" s="4">
        <v>66.02</v>
      </c>
      <c r="D173" s="4">
        <v>172</v>
      </c>
      <c r="F173" s="13">
        <v>146</v>
      </c>
      <c r="G173" s="13">
        <v>51.730586797944142</v>
      </c>
      <c r="H173" s="13">
        <v>-0.96058679794413848</v>
      </c>
      <c r="I173" s="13">
        <f t="shared" si="2"/>
        <v>0.96058679794413848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1:24" ht="18" x14ac:dyDescent="0.35">
      <c r="A174" s="13"/>
      <c r="B174" s="4">
        <v>66.02</v>
      </c>
      <c r="C174" s="4">
        <v>67.55</v>
      </c>
      <c r="D174" s="4">
        <v>173</v>
      </c>
      <c r="F174" s="13">
        <v>147</v>
      </c>
      <c r="G174" s="13">
        <v>52.485472491273981</v>
      </c>
      <c r="H174" s="13">
        <v>-0.74547249127397919</v>
      </c>
      <c r="I174" s="13">
        <f t="shared" si="2"/>
        <v>0.74547249127397919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1:24" ht="18" x14ac:dyDescent="0.35">
      <c r="A175" s="13"/>
      <c r="B175" s="4">
        <v>67.55</v>
      </c>
      <c r="C175" s="4">
        <v>67.91</v>
      </c>
      <c r="D175" s="4">
        <v>174</v>
      </c>
      <c r="F175" s="13">
        <v>148</v>
      </c>
      <c r="G175" s="13">
        <v>54.521616590292496</v>
      </c>
      <c r="H175" s="13">
        <v>-2.0116165902924976</v>
      </c>
      <c r="I175" s="13">
        <f t="shared" si="2"/>
        <v>2.0116165902924976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1:24" ht="18" x14ac:dyDescent="0.35">
      <c r="A176" s="13"/>
      <c r="B176" s="4">
        <v>67.91</v>
      </c>
      <c r="C176" s="4">
        <v>68.38</v>
      </c>
      <c r="D176" s="4">
        <v>175</v>
      </c>
      <c r="F176" s="13">
        <v>149</v>
      </c>
      <c r="G176" s="13">
        <v>56.929423432945875</v>
      </c>
      <c r="H176" s="13">
        <v>-2.3394234329458712</v>
      </c>
      <c r="I176" s="13">
        <f t="shared" si="2"/>
        <v>2.3394234329458712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1:24" ht="18" x14ac:dyDescent="0.35">
      <c r="A177" s="13"/>
      <c r="B177" s="4">
        <v>68.38</v>
      </c>
      <c r="C177" s="4">
        <v>70.56</v>
      </c>
      <c r="D177" s="4">
        <v>176</v>
      </c>
      <c r="F177" s="13">
        <v>150</v>
      </c>
      <c r="G177" s="13">
        <v>55.718408824417544</v>
      </c>
      <c r="H177" s="13">
        <v>1.331591175582453</v>
      </c>
      <c r="I177" s="13">
        <f t="shared" si="2"/>
        <v>1.331591175582453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1:24" ht="18" x14ac:dyDescent="0.35">
      <c r="A178" s="13"/>
      <c r="B178" s="4">
        <v>70.56</v>
      </c>
      <c r="C178" s="4">
        <v>71.3</v>
      </c>
      <c r="D178" s="4">
        <v>177</v>
      </c>
      <c r="F178" s="13">
        <v>151</v>
      </c>
      <c r="G178" s="13">
        <v>57.34376778573435</v>
      </c>
      <c r="H178" s="13">
        <v>-1.5337677857343479</v>
      </c>
      <c r="I178" s="13">
        <f t="shared" si="2"/>
        <v>1.5337677857343479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1:24" ht="18" x14ac:dyDescent="0.35">
      <c r="A179" s="13"/>
      <c r="B179" s="4">
        <v>71.3</v>
      </c>
      <c r="C179" s="4">
        <v>70.98</v>
      </c>
      <c r="D179" s="4">
        <v>178</v>
      </c>
      <c r="F179" s="13">
        <v>152</v>
      </c>
      <c r="G179" s="13">
        <v>57.678087742845776</v>
      </c>
      <c r="H179" s="13">
        <v>-0.2080877428457768</v>
      </c>
      <c r="I179" s="13">
        <f t="shared" si="2"/>
        <v>0.2080877428457768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1:24" ht="18" x14ac:dyDescent="0.35">
      <c r="A180" s="13"/>
      <c r="B180" s="4">
        <v>70.98</v>
      </c>
      <c r="C180" s="4">
        <v>66.959999999999994</v>
      </c>
      <c r="D180" s="4">
        <v>179</v>
      </c>
      <c r="F180" s="13">
        <v>153</v>
      </c>
      <c r="G180" s="13">
        <v>56.809394082402207</v>
      </c>
      <c r="H180" s="13">
        <v>1.0006059175977953</v>
      </c>
      <c r="I180" s="13">
        <f t="shared" si="2"/>
        <v>1.0006059175977953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1:24" ht="18" x14ac:dyDescent="0.35">
      <c r="A181" s="13"/>
      <c r="B181" s="4">
        <v>66.959999999999994</v>
      </c>
      <c r="C181" s="4">
        <v>65.349999999999994</v>
      </c>
      <c r="D181" s="4">
        <v>180</v>
      </c>
      <c r="F181" s="13">
        <v>154</v>
      </c>
      <c r="G181" s="13">
        <v>57.055688652863267</v>
      </c>
      <c r="H181" s="13">
        <v>-0.1356886528632657</v>
      </c>
      <c r="I181" s="13">
        <f t="shared" si="2"/>
        <v>0.1356886528632657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1:24" ht="18" x14ac:dyDescent="0.35">
      <c r="A182" s="13"/>
      <c r="B182" s="4">
        <v>65.349999999999994</v>
      </c>
      <c r="C182" s="4">
        <v>66.209999999999994</v>
      </c>
      <c r="D182" s="4">
        <v>181</v>
      </c>
      <c r="F182" s="13">
        <v>155</v>
      </c>
      <c r="G182" s="13">
        <v>57.74211015657616</v>
      </c>
      <c r="H182" s="13">
        <v>-0.5721101565761586</v>
      </c>
      <c r="I182" s="13">
        <f t="shared" si="2"/>
        <v>0.5721101565761586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1:24" ht="18" x14ac:dyDescent="0.35">
      <c r="A183" s="13"/>
      <c r="B183" s="4">
        <v>66.209999999999994</v>
      </c>
      <c r="C183" s="4">
        <v>66.319999999999993</v>
      </c>
      <c r="D183" s="4">
        <v>182</v>
      </c>
      <c r="F183" s="13">
        <v>156</v>
      </c>
      <c r="G183" s="13">
        <v>59.709790065977721</v>
      </c>
      <c r="H183" s="13">
        <v>-1.8397900659777235</v>
      </c>
      <c r="I183" s="13">
        <f t="shared" si="2"/>
        <v>1.8397900659777235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1:24" ht="18" x14ac:dyDescent="0.35">
      <c r="A184" s="13"/>
      <c r="B184" s="4">
        <v>66.319999999999993</v>
      </c>
      <c r="C184" s="4">
        <v>74.03</v>
      </c>
      <c r="D184" s="4">
        <v>183</v>
      </c>
      <c r="F184" s="13">
        <v>157</v>
      </c>
      <c r="G184" s="13">
        <v>61.15909825399379</v>
      </c>
      <c r="H184" s="13">
        <v>-1.2790982539937872</v>
      </c>
      <c r="I184" s="13">
        <f t="shared" si="2"/>
        <v>1.2790982539937872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1:24" ht="18" x14ac:dyDescent="0.35">
      <c r="A185" s="13"/>
      <c r="B185" s="4">
        <v>74.03</v>
      </c>
      <c r="C185" s="4">
        <v>73.73</v>
      </c>
      <c r="D185" s="4">
        <v>184</v>
      </c>
      <c r="F185" s="13">
        <v>158</v>
      </c>
      <c r="G185" s="13">
        <v>63.01919157971156</v>
      </c>
      <c r="H185" s="13">
        <v>-1.6591915797115604</v>
      </c>
      <c r="I185" s="13">
        <f t="shared" si="2"/>
        <v>1.6591915797115604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1:24" ht="18" x14ac:dyDescent="0.35">
      <c r="A186" s="13"/>
      <c r="B186" s="4">
        <v>73.73</v>
      </c>
      <c r="C186" s="4">
        <v>71.959999999999994</v>
      </c>
      <c r="D186" s="4">
        <v>185</v>
      </c>
      <c r="F186" s="13">
        <v>159</v>
      </c>
      <c r="G186" s="13">
        <v>63.519781711607017</v>
      </c>
      <c r="H186" s="13">
        <v>-0.25978171160701891</v>
      </c>
      <c r="I186" s="13">
        <f t="shared" si="2"/>
        <v>0.25978171160701891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1:24" ht="18" x14ac:dyDescent="0.35">
      <c r="A187" s="13"/>
      <c r="B187" s="4">
        <v>71.959999999999994</v>
      </c>
      <c r="C187" s="4">
        <v>68.95</v>
      </c>
      <c r="D187" s="4">
        <v>186</v>
      </c>
      <c r="F187" s="13">
        <v>160</v>
      </c>
      <c r="G187" s="13">
        <v>64.861503315939302</v>
      </c>
      <c r="H187" s="13">
        <v>-1.0915033159392991</v>
      </c>
      <c r="I187" s="13">
        <f t="shared" si="2"/>
        <v>1.0915033159392991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1:24" ht="18" x14ac:dyDescent="0.35">
      <c r="A188" s="13"/>
      <c r="B188" s="4">
        <v>68.95</v>
      </c>
      <c r="C188" s="4">
        <v>70.010000000000005</v>
      </c>
      <c r="D188" s="4">
        <v>187</v>
      </c>
      <c r="F188" s="13">
        <v>161</v>
      </c>
      <c r="G188" s="13">
        <v>65.039333696783416</v>
      </c>
      <c r="H188" s="13">
        <v>0.10066630321658465</v>
      </c>
      <c r="I188" s="13">
        <f t="shared" si="2"/>
        <v>0.10066630321658465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1:24" ht="18" x14ac:dyDescent="0.35">
      <c r="A189" s="13"/>
      <c r="B189" s="4">
        <v>70.010000000000005</v>
      </c>
      <c r="C189" s="4">
        <v>69.459999999999994</v>
      </c>
      <c r="D189" s="4">
        <v>188</v>
      </c>
      <c r="F189" s="13">
        <v>162</v>
      </c>
      <c r="G189" s="13">
        <v>61.80373519529666</v>
      </c>
      <c r="H189" s="13">
        <v>3.5162648047033329</v>
      </c>
      <c r="I189" s="13">
        <f t="shared" si="2"/>
        <v>3.5162648047033329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1:24" ht="18" x14ac:dyDescent="0.35">
      <c r="A190" s="13"/>
      <c r="B190" s="4">
        <v>69.459999999999994</v>
      </c>
      <c r="C190" s="4">
        <v>67.900000000000006</v>
      </c>
      <c r="D190" s="4">
        <v>189</v>
      </c>
      <c r="F190" s="13">
        <v>163</v>
      </c>
      <c r="G190" s="13">
        <v>60.387328017917476</v>
      </c>
      <c r="H190" s="13">
        <v>1.6226719820825224</v>
      </c>
      <c r="I190" s="13">
        <f t="shared" si="2"/>
        <v>1.6226719820825224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1:24" ht="18" x14ac:dyDescent="0.35">
      <c r="A191" s="13"/>
      <c r="B191" s="4">
        <v>67.900000000000006</v>
      </c>
      <c r="C191" s="4">
        <v>66.150000000000006</v>
      </c>
      <c r="D191" s="4">
        <v>190</v>
      </c>
      <c r="F191" s="13">
        <v>164</v>
      </c>
      <c r="G191" s="13">
        <v>62.257201942151958</v>
      </c>
      <c r="H191" s="13">
        <v>-1.6972019421519562</v>
      </c>
      <c r="I191" s="13">
        <f t="shared" si="2"/>
        <v>1.6972019421519562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1:24" ht="18" x14ac:dyDescent="0.35">
      <c r="A192" s="13"/>
      <c r="B192" s="4">
        <v>66.150000000000006</v>
      </c>
      <c r="C192" s="4">
        <v>68.099999999999994</v>
      </c>
      <c r="D192" s="4">
        <v>191</v>
      </c>
      <c r="F192" s="13">
        <v>165</v>
      </c>
      <c r="G192" s="13">
        <v>61.867757609027045</v>
      </c>
      <c r="H192" s="13">
        <v>0.60224239097295396</v>
      </c>
      <c r="I192" s="13">
        <f t="shared" si="2"/>
        <v>0.60224239097295396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1:24" ht="18" x14ac:dyDescent="0.35">
      <c r="A193" s="13"/>
      <c r="B193" s="4">
        <v>68.099999999999994</v>
      </c>
      <c r="C193" s="4">
        <v>69.66</v>
      </c>
      <c r="D193" s="4">
        <v>192</v>
      </c>
      <c r="F193" s="13">
        <v>166</v>
      </c>
      <c r="G193" s="13">
        <v>61.458752078868713</v>
      </c>
      <c r="H193" s="13">
        <v>0.61124792113128734</v>
      </c>
      <c r="I193" s="13">
        <f t="shared" si="2"/>
        <v>0.61124792113128734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1:24" ht="18" x14ac:dyDescent="0.35">
      <c r="A194" s="13"/>
      <c r="B194" s="4">
        <v>69.66</v>
      </c>
      <c r="C194" s="4">
        <v>68.510000000000005</v>
      </c>
      <c r="D194" s="4">
        <v>193</v>
      </c>
      <c r="F194" s="13">
        <v>167</v>
      </c>
      <c r="G194" s="13">
        <v>61.098649541293923</v>
      </c>
      <c r="H194" s="13">
        <v>0.55135045870607513</v>
      </c>
      <c r="I194" s="13">
        <f t="shared" si="2"/>
        <v>0.55135045870607513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1:24" ht="18" x14ac:dyDescent="0.35">
      <c r="A195" s="13"/>
      <c r="B195" s="4">
        <v>68.510000000000005</v>
      </c>
      <c r="C195" s="4">
        <v>68.959999999999994</v>
      </c>
      <c r="D195" s="4">
        <v>194</v>
      </c>
      <c r="F195" s="13">
        <v>168</v>
      </c>
      <c r="G195" s="13">
        <v>63.868338529065483</v>
      </c>
      <c r="H195" s="13">
        <v>-2.5883385290654815</v>
      </c>
      <c r="I195" s="13">
        <f t="shared" si="2"/>
        <v>2.5883385290654815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1:24" ht="18" x14ac:dyDescent="0.35">
      <c r="A196" s="13"/>
      <c r="B196" s="4">
        <v>68.959999999999994</v>
      </c>
      <c r="C196" s="4">
        <v>70.28</v>
      </c>
      <c r="D196" s="4">
        <v>195</v>
      </c>
      <c r="F196" s="13">
        <v>169</v>
      </c>
      <c r="G196" s="13">
        <v>64.711249609045694</v>
      </c>
      <c r="H196" s="13">
        <v>-0.60124960904569491</v>
      </c>
      <c r="I196" s="13">
        <f t="shared" si="2"/>
        <v>0.60124960904569491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1:24" ht="18" x14ac:dyDescent="0.35">
      <c r="A197" s="13"/>
      <c r="B197" s="4">
        <v>70.28</v>
      </c>
      <c r="C197" s="4">
        <v>72.84</v>
      </c>
      <c r="D197" s="4">
        <v>196</v>
      </c>
      <c r="F197" s="13">
        <v>170</v>
      </c>
      <c r="G197" s="13">
        <v>62.854715498414677</v>
      </c>
      <c r="H197" s="13">
        <v>2.1152845015853217</v>
      </c>
      <c r="I197" s="13">
        <f t="shared" si="2"/>
        <v>2.1152845015853217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1:24" ht="18" x14ac:dyDescent="0.35">
      <c r="A198" s="13"/>
      <c r="B198" s="4">
        <v>72.84</v>
      </c>
      <c r="C198" s="4">
        <v>75.13</v>
      </c>
      <c r="D198" s="4">
        <v>197</v>
      </c>
      <c r="F198" s="13">
        <v>171</v>
      </c>
      <c r="G198" s="13">
        <v>65.741771668386733</v>
      </c>
      <c r="H198" s="13">
        <v>-2.6717716683867323</v>
      </c>
      <c r="I198" s="13">
        <f t="shared" si="2"/>
        <v>2.6717716683867323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1:24" ht="18" x14ac:dyDescent="0.35">
      <c r="A199" s="13"/>
      <c r="B199" s="4">
        <v>75.13</v>
      </c>
      <c r="C199" s="4">
        <v>72.959999999999994</v>
      </c>
      <c r="D199" s="4">
        <v>198</v>
      </c>
      <c r="F199" s="13">
        <v>172</v>
      </c>
      <c r="G199" s="13">
        <v>67.239982848986344</v>
      </c>
      <c r="H199" s="13">
        <v>-1.2199828489863478</v>
      </c>
      <c r="I199" s="13">
        <f t="shared" si="2"/>
        <v>1.2199828489863478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1:24" ht="18" x14ac:dyDescent="0.35">
      <c r="A200" s="13"/>
      <c r="B200" s="4">
        <v>72.959999999999994</v>
      </c>
      <c r="C200" s="4">
        <v>70.239999999999995</v>
      </c>
      <c r="D200" s="4">
        <v>199</v>
      </c>
      <c r="F200" s="13">
        <v>173</v>
      </c>
      <c r="G200" s="13">
        <v>67.593864003131173</v>
      </c>
      <c r="H200" s="13">
        <v>-4.3864003131176332E-2</v>
      </c>
      <c r="I200" s="13">
        <f t="shared" si="2"/>
        <v>4.3864003131176332E-2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1:24" ht="18" x14ac:dyDescent="0.35">
      <c r="A201" s="13"/>
      <c r="B201" s="4">
        <v>70.239999999999995</v>
      </c>
      <c r="C201" s="4">
        <v>67.430000000000007</v>
      </c>
      <c r="D201" s="4">
        <v>200</v>
      </c>
      <c r="F201" s="13">
        <v>174</v>
      </c>
      <c r="G201" s="13">
        <v>68.055331740959801</v>
      </c>
      <c r="H201" s="13">
        <v>-0.14533174095980428</v>
      </c>
      <c r="I201" s="13">
        <f t="shared" si="2"/>
        <v>0.14533174095980428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1:24" ht="18" x14ac:dyDescent="0.35">
      <c r="A202" s="13"/>
      <c r="B202" s="4">
        <v>67.430000000000007</v>
      </c>
      <c r="C202" s="4">
        <v>65.06</v>
      </c>
      <c r="D202" s="4">
        <v>201</v>
      </c>
      <c r="F202" s="13">
        <v>175</v>
      </c>
      <c r="G202" s="13">
        <v>70.1892818251454</v>
      </c>
      <c r="H202" s="13">
        <v>-1.8092818251454048</v>
      </c>
      <c r="I202" s="13">
        <f t="shared" si="2"/>
        <v>1.8092818251454048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1:24" ht="18" x14ac:dyDescent="0.35">
      <c r="A203" s="13"/>
      <c r="B203" s="4">
        <v>65.06</v>
      </c>
      <c r="C203" s="4">
        <v>61.57</v>
      </c>
      <c r="D203" s="4">
        <v>202</v>
      </c>
      <c r="F203" s="13">
        <v>176</v>
      </c>
      <c r="G203" s="13">
        <v>70.914825722925102</v>
      </c>
      <c r="H203" s="13">
        <v>-0.35482572292509929</v>
      </c>
      <c r="I203" s="13">
        <f t="shared" si="2"/>
        <v>0.35482572292509929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1:24" ht="18" x14ac:dyDescent="0.35">
      <c r="A204" s="13"/>
      <c r="B204" s="4">
        <v>61.57</v>
      </c>
      <c r="C204" s="4">
        <v>56.92</v>
      </c>
      <c r="D204" s="4">
        <v>203</v>
      </c>
      <c r="F204" s="13">
        <v>177</v>
      </c>
      <c r="G204" s="13">
        <v>70.603626177933862</v>
      </c>
      <c r="H204" s="13">
        <v>0.69637382206613552</v>
      </c>
      <c r="I204" s="13">
        <f t="shared" si="2"/>
        <v>0.69637382206613552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1:24" ht="18" x14ac:dyDescent="0.35">
      <c r="A205" s="13"/>
      <c r="B205" s="4">
        <v>56.92</v>
      </c>
      <c r="C205" s="4">
        <v>54.99</v>
      </c>
      <c r="D205" s="4">
        <v>204</v>
      </c>
      <c r="F205" s="13">
        <v>178</v>
      </c>
      <c r="G205" s="13">
        <v>66.673605181760877</v>
      </c>
      <c r="H205" s="13">
        <v>4.3063948182391272</v>
      </c>
      <c r="I205" s="13">
        <f t="shared" si="2"/>
        <v>4.3063948182391272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1:24" ht="18" x14ac:dyDescent="0.35">
      <c r="A206" s="13"/>
      <c r="B206" s="4">
        <v>54.99</v>
      </c>
      <c r="C206" s="4">
        <v>51.01</v>
      </c>
      <c r="D206" s="4">
        <v>205</v>
      </c>
      <c r="F206" s="13">
        <v>179</v>
      </c>
      <c r="G206" s="13">
        <v>65.100708428114373</v>
      </c>
      <c r="H206" s="13">
        <v>1.8592915718856204</v>
      </c>
      <c r="I206" s="13">
        <f t="shared" si="2"/>
        <v>1.8592915718856204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1:24" ht="18" x14ac:dyDescent="0.35">
      <c r="A207" s="13"/>
      <c r="B207" s="4">
        <v>51.01</v>
      </c>
      <c r="C207" s="4">
        <v>52.63</v>
      </c>
      <c r="D207" s="4">
        <v>206</v>
      </c>
      <c r="F207" s="13">
        <v>180</v>
      </c>
      <c r="G207" s="13">
        <v>65.943619508094585</v>
      </c>
      <c r="H207" s="13">
        <v>-0.59361950809459074</v>
      </c>
      <c r="I207" s="13">
        <f t="shared" si="2"/>
        <v>0.59361950809459074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1:24" ht="18" x14ac:dyDescent="0.35">
      <c r="A208" s="13"/>
      <c r="B208" s="4">
        <v>52.63</v>
      </c>
      <c r="C208" s="4">
        <v>51.54</v>
      </c>
      <c r="D208" s="4">
        <v>207</v>
      </c>
      <c r="F208" s="13">
        <v>181</v>
      </c>
      <c r="G208" s="13">
        <v>66.052985699321738</v>
      </c>
      <c r="H208" s="13">
        <v>0.15701430067825584</v>
      </c>
      <c r="I208" s="13">
        <f t="shared" si="2"/>
        <v>0.15701430067825584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1:24" ht="18" x14ac:dyDescent="0.35">
      <c r="A209" s="13"/>
      <c r="B209" s="4">
        <v>51.54</v>
      </c>
      <c r="C209" s="4">
        <v>46.98</v>
      </c>
      <c r="D209" s="4">
        <v>208</v>
      </c>
      <c r="F209" s="13">
        <v>182</v>
      </c>
      <c r="G209" s="13">
        <v>73.595606763246508</v>
      </c>
      <c r="H209" s="13">
        <v>-7.2756067632465147</v>
      </c>
      <c r="I209" s="13">
        <f t="shared" si="2"/>
        <v>7.2756067632465147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1:24" ht="18" x14ac:dyDescent="0.35">
      <c r="A210" s="13"/>
      <c r="B210" s="4">
        <v>46.98</v>
      </c>
      <c r="C210" s="4">
        <v>45.22</v>
      </c>
      <c r="D210" s="4">
        <v>209</v>
      </c>
      <c r="F210" s="13">
        <v>183</v>
      </c>
      <c r="G210" s="13">
        <v>73.303968415288651</v>
      </c>
      <c r="H210" s="13">
        <v>0.72603158471135032</v>
      </c>
      <c r="I210" s="13">
        <f t="shared" si="2"/>
        <v>0.72603158471135032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1:24" ht="18" x14ac:dyDescent="0.35">
      <c r="A211" s="13"/>
      <c r="B211" s="4">
        <v>45.22</v>
      </c>
      <c r="C211" s="4">
        <v>47</v>
      </c>
      <c r="D211" s="4">
        <v>210</v>
      </c>
      <c r="F211" s="13">
        <v>184</v>
      </c>
      <c r="G211" s="13">
        <v>71.574582085374828</v>
      </c>
      <c r="H211" s="13">
        <v>2.1554179146251755</v>
      </c>
      <c r="I211" s="13">
        <f t="shared" si="2"/>
        <v>2.1554179146251755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1:24" ht="18" x14ac:dyDescent="0.35">
      <c r="A212" s="13"/>
      <c r="B212" s="4">
        <v>47</v>
      </c>
      <c r="C212" s="4">
        <v>50.78</v>
      </c>
      <c r="D212" s="4">
        <v>211</v>
      </c>
      <c r="F212" s="13">
        <v>185</v>
      </c>
      <c r="G212" s="13">
        <v>68.632401539389306</v>
      </c>
      <c r="H212" s="13">
        <v>3.3275984606106874</v>
      </c>
      <c r="I212" s="13">
        <f t="shared" si="2"/>
        <v>3.3275984606106874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1:24" ht="18" x14ac:dyDescent="0.35">
      <c r="A213" s="13"/>
      <c r="B213" s="4">
        <v>50.78</v>
      </c>
      <c r="C213" s="4">
        <v>51.92</v>
      </c>
      <c r="D213" s="4">
        <v>212</v>
      </c>
      <c r="F213" s="13">
        <v>186</v>
      </c>
      <c r="G213" s="13">
        <v>69.670924589703674</v>
      </c>
      <c r="H213" s="13">
        <v>-0.7209245897036709</v>
      </c>
      <c r="I213" s="13">
        <f t="shared" si="2"/>
        <v>0.7209245897036709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1:24" ht="18" x14ac:dyDescent="0.35">
      <c r="A214" s="13"/>
      <c r="B214" s="4">
        <v>51.92</v>
      </c>
      <c r="C214" s="4">
        <v>52.88</v>
      </c>
      <c r="D214" s="4">
        <v>213</v>
      </c>
      <c r="F214" s="13">
        <v>187</v>
      </c>
      <c r="G214" s="13">
        <v>69.134771278828126</v>
      </c>
      <c r="H214" s="13">
        <v>0.87522872117187944</v>
      </c>
      <c r="I214" s="13">
        <f t="shared" si="2"/>
        <v>0.87522872117187944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1:24" ht="18" x14ac:dyDescent="0.35">
      <c r="A215" s="13"/>
      <c r="B215" s="4">
        <v>52.88</v>
      </c>
      <c r="C215" s="4">
        <v>53.63</v>
      </c>
      <c r="D215" s="4">
        <v>214</v>
      </c>
      <c r="F215" s="13">
        <v>188</v>
      </c>
      <c r="G215" s="13">
        <v>67.610777517765172</v>
      </c>
      <c r="H215" s="13">
        <v>1.849222482234822</v>
      </c>
      <c r="I215" s="13">
        <f t="shared" si="2"/>
        <v>1.849222482234822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1:24" ht="18" x14ac:dyDescent="0.35">
      <c r="A216" s="13"/>
      <c r="B216" s="4">
        <v>53.63</v>
      </c>
      <c r="C216" s="4">
        <v>53.53</v>
      </c>
      <c r="D216" s="4">
        <v>215</v>
      </c>
      <c r="F216" s="13">
        <v>189</v>
      </c>
      <c r="G216" s="13">
        <v>65.900952384884775</v>
      </c>
      <c r="H216" s="13">
        <v>1.9990476151152308</v>
      </c>
      <c r="I216" s="13">
        <f t="shared" si="2"/>
        <v>1.9990476151152308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1:24" ht="18" x14ac:dyDescent="0.35">
      <c r="A217" s="13"/>
      <c r="B217" s="4">
        <v>53.53</v>
      </c>
      <c r="C217" s="4">
        <v>53.88</v>
      </c>
      <c r="D217" s="4">
        <v>216</v>
      </c>
      <c r="F217" s="13">
        <v>190</v>
      </c>
      <c r="G217" s="13">
        <v>67.80994870318608</v>
      </c>
      <c r="H217" s="13">
        <v>-1.6599487031860747</v>
      </c>
      <c r="I217" s="13">
        <f t="shared" si="2"/>
        <v>1.6599487031860747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1:24" ht="18" x14ac:dyDescent="0.35">
      <c r="A218" s="13"/>
      <c r="B218" s="4">
        <v>53.88</v>
      </c>
      <c r="C218" s="4">
        <v>56.74</v>
      </c>
      <c r="D218" s="4">
        <v>217</v>
      </c>
      <c r="F218" s="13">
        <v>191</v>
      </c>
      <c r="G218" s="13">
        <v>69.337501679335801</v>
      </c>
      <c r="H218" s="13">
        <v>-1.2375016793358071</v>
      </c>
      <c r="I218" s="13">
        <f t="shared" si="2"/>
        <v>1.2375016793358071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1:24" ht="18" x14ac:dyDescent="0.35">
      <c r="A219" s="13"/>
      <c r="B219" s="4">
        <v>56.74</v>
      </c>
      <c r="C219" s="4">
        <v>56.12</v>
      </c>
      <c r="D219" s="4">
        <v>218</v>
      </c>
      <c r="F219" s="13">
        <v>192</v>
      </c>
      <c r="G219" s="13">
        <v>68.214512457457843</v>
      </c>
      <c r="H219" s="13">
        <v>1.4454875425421534</v>
      </c>
      <c r="I219" s="13">
        <f t="shared" si="2"/>
        <v>1.4454875425421534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1:24" ht="18" x14ac:dyDescent="0.35">
      <c r="A220" s="13"/>
      <c r="B220" s="4">
        <v>56.12</v>
      </c>
      <c r="C220" s="4">
        <v>56.35</v>
      </c>
      <c r="D220" s="4">
        <v>219</v>
      </c>
      <c r="F220" s="13">
        <v>193</v>
      </c>
      <c r="G220" s="13">
        <v>68.656418998253045</v>
      </c>
      <c r="H220" s="13">
        <v>-0.14641899825303994</v>
      </c>
      <c r="I220" s="13">
        <f t="shared" si="2"/>
        <v>0.14641899825303994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1:24" ht="18" x14ac:dyDescent="0.35">
      <c r="A221" s="13"/>
      <c r="B221" s="4">
        <v>56.35</v>
      </c>
      <c r="C221" s="4">
        <v>57.81</v>
      </c>
      <c r="D221" s="4">
        <v>220</v>
      </c>
      <c r="F221" s="13">
        <v>194</v>
      </c>
      <c r="G221" s="13">
        <v>69.949237610001788</v>
      </c>
      <c r="H221" s="13">
        <v>-0.98923761000179411</v>
      </c>
      <c r="I221" s="13">
        <f t="shared" ref="I221:I284" si="3">ABS(H221)</f>
        <v>0.98923761000179411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1:24" ht="18" x14ac:dyDescent="0.35">
      <c r="A222" s="13"/>
      <c r="B222" s="4">
        <v>57.81</v>
      </c>
      <c r="C222" s="4">
        <v>59.44</v>
      </c>
      <c r="D222" s="4">
        <v>221</v>
      </c>
      <c r="F222" s="13">
        <v>195</v>
      </c>
      <c r="G222" s="13">
        <v>72.454850437822259</v>
      </c>
      <c r="H222" s="13">
        <v>-2.1748504378222577</v>
      </c>
      <c r="I222" s="13">
        <f t="shared" si="3"/>
        <v>2.1748504378222577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1:24" ht="18" x14ac:dyDescent="0.35">
      <c r="A223" s="13"/>
      <c r="B223" s="4">
        <v>59.44</v>
      </c>
      <c r="C223" s="4">
        <v>59.49</v>
      </c>
      <c r="D223" s="4">
        <v>222</v>
      </c>
      <c r="F223" s="13">
        <v>196</v>
      </c>
      <c r="G223" s="13">
        <v>74.696387105691613</v>
      </c>
      <c r="H223" s="13">
        <v>-1.8563871056916099</v>
      </c>
      <c r="I223" s="13">
        <f t="shared" si="3"/>
        <v>1.8563871056916099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1:24" ht="18" x14ac:dyDescent="0.35">
      <c r="A224" s="13"/>
      <c r="B224" s="4">
        <v>59.49</v>
      </c>
      <c r="C224" s="4">
        <v>62.36</v>
      </c>
      <c r="D224" s="4">
        <v>223</v>
      </c>
      <c r="F224" s="13">
        <v>197</v>
      </c>
      <c r="G224" s="13">
        <v>72.575776835109508</v>
      </c>
      <c r="H224" s="13">
        <v>2.5542231648904874</v>
      </c>
      <c r="I224" s="13">
        <f t="shared" si="3"/>
        <v>2.5542231648904874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1:24" ht="18" x14ac:dyDescent="0.35">
      <c r="A225" s="13"/>
      <c r="B225" s="4">
        <v>62.36</v>
      </c>
      <c r="C225" s="4">
        <v>64.099999999999994</v>
      </c>
      <c r="D225" s="4">
        <v>224</v>
      </c>
      <c r="F225" s="13">
        <v>198</v>
      </c>
      <c r="G225" s="13">
        <v>69.917233646108471</v>
      </c>
      <c r="H225" s="13">
        <v>3.0427663538915226</v>
      </c>
      <c r="I225" s="13">
        <f t="shared" si="3"/>
        <v>3.0427663538915226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1:24" ht="18" x14ac:dyDescent="0.35">
      <c r="A226" s="13"/>
      <c r="B226" s="4">
        <v>64.099999999999994</v>
      </c>
      <c r="C226" s="4">
        <v>63.8</v>
      </c>
      <c r="D226" s="4">
        <v>225</v>
      </c>
      <c r="F226" s="13">
        <v>199</v>
      </c>
      <c r="G226" s="13">
        <v>67.170665070457105</v>
      </c>
      <c r="H226" s="13">
        <v>3.0693349295428902</v>
      </c>
      <c r="I226" s="13">
        <f t="shared" si="3"/>
        <v>3.0693349295428902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1:24" ht="18" x14ac:dyDescent="0.35">
      <c r="A227" s="13"/>
      <c r="B227" s="4">
        <v>63.8</v>
      </c>
      <c r="C227" s="4">
        <v>65.28</v>
      </c>
      <c r="D227" s="4">
        <v>226</v>
      </c>
      <c r="F227" s="13">
        <v>200</v>
      </c>
      <c r="G227" s="13">
        <v>64.854442829540844</v>
      </c>
      <c r="H227" s="13">
        <v>2.5755571704591631</v>
      </c>
      <c r="I227" s="13">
        <f t="shared" si="3"/>
        <v>2.5755571704591631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1:24" ht="18" x14ac:dyDescent="0.35">
      <c r="A228" s="13"/>
      <c r="B228" s="4">
        <v>65.28</v>
      </c>
      <c r="C228" s="4">
        <v>62.9</v>
      </c>
      <c r="D228" s="4">
        <v>227</v>
      </c>
      <c r="F228" s="13">
        <v>201</v>
      </c>
      <c r="G228" s="13">
        <v>61.442793554753344</v>
      </c>
      <c r="H228" s="13">
        <v>3.6172064452466586</v>
      </c>
      <c r="I228" s="13">
        <f t="shared" si="3"/>
        <v>3.6172064452466586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1:24" ht="18" x14ac:dyDescent="0.35">
      <c r="A229" s="13"/>
      <c r="B229" s="4">
        <v>62.9</v>
      </c>
      <c r="C229" s="4">
        <v>61.81</v>
      </c>
      <c r="D229" s="4">
        <v>228</v>
      </c>
      <c r="F229" s="13">
        <v>202</v>
      </c>
      <c r="G229" s="13">
        <v>56.896594852027803</v>
      </c>
      <c r="H229" s="13">
        <v>4.673405147972197</v>
      </c>
      <c r="I229" s="13">
        <f t="shared" si="3"/>
        <v>4.673405147972197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1:24" ht="18" x14ac:dyDescent="0.35">
      <c r="A230" s="13"/>
      <c r="B230" s="4">
        <v>61.81</v>
      </c>
      <c r="C230" s="4">
        <v>62.1</v>
      </c>
      <c r="D230" s="4">
        <v>229</v>
      </c>
      <c r="F230" s="13">
        <v>203</v>
      </c>
      <c r="G230" s="13">
        <v>55.010718945846669</v>
      </c>
      <c r="H230" s="13">
        <v>1.9092810541533325</v>
      </c>
      <c r="I230" s="13">
        <f t="shared" si="3"/>
        <v>1.9092810541533325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1:24" ht="18" x14ac:dyDescent="0.35">
      <c r="A231" s="13"/>
      <c r="B231" s="4">
        <v>62.1</v>
      </c>
      <c r="C231" s="4">
        <v>60.72</v>
      </c>
      <c r="D231" s="4">
        <v>230</v>
      </c>
      <c r="F231" s="13">
        <v>204</v>
      </c>
      <c r="G231" s="13">
        <v>51.119820343740514</v>
      </c>
      <c r="H231" s="13">
        <v>3.8701796562594879</v>
      </c>
      <c r="I231" s="13">
        <f t="shared" si="3"/>
        <v>3.8701796562594879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1:24" ht="18" x14ac:dyDescent="0.35">
      <c r="A232" s="13"/>
      <c r="B232" s="4">
        <v>60.72</v>
      </c>
      <c r="C232" s="4">
        <v>56.93</v>
      </c>
      <c r="D232" s="4">
        <v>231</v>
      </c>
      <c r="F232" s="13">
        <v>205</v>
      </c>
      <c r="G232" s="13">
        <v>52.70605691099049</v>
      </c>
      <c r="H232" s="13">
        <v>-1.6960569109904924</v>
      </c>
      <c r="I232" s="13">
        <f t="shared" si="3"/>
        <v>1.6960569109904924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1:24" ht="18" x14ac:dyDescent="0.35">
      <c r="A233" s="13"/>
      <c r="B233" s="4">
        <v>56.93</v>
      </c>
      <c r="C233" s="4">
        <v>52.97</v>
      </c>
      <c r="D233" s="4">
        <v>232</v>
      </c>
      <c r="F233" s="13">
        <v>206</v>
      </c>
      <c r="G233" s="13">
        <v>51.641751280212766</v>
      </c>
      <c r="H233" s="13">
        <v>0.9882487197872365</v>
      </c>
      <c r="I233" s="13">
        <f t="shared" si="3"/>
        <v>0.9882487197872365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1:24" ht="18" x14ac:dyDescent="0.35">
      <c r="A234" s="13"/>
      <c r="B234" s="4">
        <v>52.97</v>
      </c>
      <c r="C234" s="4">
        <v>52.52</v>
      </c>
      <c r="D234" s="4">
        <v>233</v>
      </c>
      <c r="F234" s="13">
        <v>207</v>
      </c>
      <c r="G234" s="13">
        <v>47.183577964137584</v>
      </c>
      <c r="H234" s="13">
        <v>4.3564220358624155</v>
      </c>
      <c r="I234" s="13">
        <f t="shared" si="3"/>
        <v>4.3564220358624155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1:24" ht="18" x14ac:dyDescent="0.35">
      <c r="A235" s="13"/>
      <c r="B235" s="4">
        <v>52.52</v>
      </c>
      <c r="C235" s="4">
        <v>54.75</v>
      </c>
      <c r="D235" s="4">
        <v>234</v>
      </c>
      <c r="F235" s="13">
        <v>208</v>
      </c>
      <c r="G235" s="13">
        <v>45.463972232740474</v>
      </c>
      <c r="H235" s="13">
        <v>1.5160277672595228</v>
      </c>
      <c r="I235" s="13">
        <f t="shared" si="3"/>
        <v>1.5160277672595228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1:24" ht="18" x14ac:dyDescent="0.35">
      <c r="A236" s="13"/>
      <c r="B236" s="4">
        <v>54.75</v>
      </c>
      <c r="C236" s="4">
        <v>58.38</v>
      </c>
      <c r="D236" s="4">
        <v>235</v>
      </c>
      <c r="F236" s="13">
        <v>209</v>
      </c>
      <c r="G236" s="13">
        <v>47.206698376257762</v>
      </c>
      <c r="H236" s="13">
        <v>-1.9866983762577632</v>
      </c>
      <c r="I236" s="13">
        <f t="shared" si="3"/>
        <v>1.9866983762577632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1:24" ht="18" x14ac:dyDescent="0.35">
      <c r="A237" s="13"/>
      <c r="B237" s="4">
        <v>58.38</v>
      </c>
      <c r="C237" s="4">
        <v>57.32</v>
      </c>
      <c r="D237" s="4">
        <v>236</v>
      </c>
      <c r="F237" s="13">
        <v>210</v>
      </c>
      <c r="G237" s="13">
        <v>50.905544223116529</v>
      </c>
      <c r="H237" s="13">
        <v>-3.9055442231165287</v>
      </c>
      <c r="I237" s="13">
        <f t="shared" si="3"/>
        <v>3.9055442231165287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1:24" ht="18" x14ac:dyDescent="0.35">
      <c r="A238" s="13"/>
      <c r="B238" s="4">
        <v>57.32</v>
      </c>
      <c r="C238" s="4">
        <v>59.02</v>
      </c>
      <c r="D238" s="4">
        <v>237</v>
      </c>
      <c r="F238" s="13">
        <v>211</v>
      </c>
      <c r="G238" s="13">
        <v>52.022312061564541</v>
      </c>
      <c r="H238" s="13">
        <v>-1.2423120615645402</v>
      </c>
      <c r="I238" s="13">
        <f t="shared" si="3"/>
        <v>1.2423120615645402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1:24" ht="18" x14ac:dyDescent="0.35">
      <c r="A239" s="13"/>
      <c r="B239" s="4">
        <v>59.02</v>
      </c>
      <c r="C239" s="4">
        <v>56.74</v>
      </c>
      <c r="D239" s="4">
        <v>238</v>
      </c>
      <c r="F239" s="13">
        <v>212</v>
      </c>
      <c r="G239" s="13">
        <v>52.963029126711831</v>
      </c>
      <c r="H239" s="13">
        <v>-1.0430291267118292</v>
      </c>
      <c r="I239" s="13">
        <f t="shared" si="3"/>
        <v>1.0430291267118292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1:24" ht="18" x14ac:dyDescent="0.35">
      <c r="A240" s="13"/>
      <c r="B240" s="4">
        <v>56.74</v>
      </c>
      <c r="C240" s="4">
        <v>56.05</v>
      </c>
      <c r="D240" s="4">
        <v>239</v>
      </c>
      <c r="F240" s="13">
        <v>213</v>
      </c>
      <c r="G240" s="13">
        <v>53.698353623008259</v>
      </c>
      <c r="H240" s="13">
        <v>-0.81835362300825665</v>
      </c>
      <c r="I240" s="13">
        <f t="shared" si="3"/>
        <v>0.81835362300825665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1:24" ht="18" x14ac:dyDescent="0.35">
      <c r="A241" s="13"/>
      <c r="B241" s="4">
        <v>56.05</v>
      </c>
      <c r="C241" s="4">
        <v>56.55</v>
      </c>
      <c r="D241" s="4">
        <v>240</v>
      </c>
      <c r="F241" s="13">
        <v>214</v>
      </c>
      <c r="G241" s="13">
        <v>53.602327245384572</v>
      </c>
      <c r="H241" s="13">
        <v>2.7672754615430506E-2</v>
      </c>
      <c r="I241" s="13">
        <f t="shared" si="3"/>
        <v>2.7672754615430506E-2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1:24" ht="18" x14ac:dyDescent="0.35">
      <c r="A242" s="13"/>
      <c r="B242" s="4">
        <v>56.55</v>
      </c>
      <c r="C242" s="4">
        <v>53.28</v>
      </c>
      <c r="D242" s="4">
        <v>241</v>
      </c>
      <c r="F242" s="13">
        <v>215</v>
      </c>
      <c r="G242" s="13">
        <v>53.946427801012703</v>
      </c>
      <c r="H242" s="13">
        <v>-0.41642780101270205</v>
      </c>
      <c r="I242" s="13">
        <f t="shared" si="3"/>
        <v>0.41642780101270205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1:24" ht="18" x14ac:dyDescent="0.35">
      <c r="A243" s="13"/>
      <c r="B243" s="4">
        <v>53.28</v>
      </c>
      <c r="C243" s="4">
        <v>55.31</v>
      </c>
      <c r="D243" s="4">
        <v>242</v>
      </c>
      <c r="F243" s="13">
        <v>216</v>
      </c>
      <c r="G243" s="13">
        <v>56.745458584334379</v>
      </c>
      <c r="H243" s="13">
        <v>-2.8654585843343767</v>
      </c>
      <c r="I243" s="13">
        <f t="shared" si="3"/>
        <v>2.8654585843343767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1:24" ht="18" x14ac:dyDescent="0.35">
      <c r="A244" s="13"/>
      <c r="B244" s="4">
        <v>55.31</v>
      </c>
      <c r="C244" s="4">
        <v>55.5</v>
      </c>
      <c r="D244" s="4">
        <v>243</v>
      </c>
      <c r="F244" s="13">
        <v>217</v>
      </c>
      <c r="G244" s="13">
        <v>56.140841083841906</v>
      </c>
      <c r="H244" s="13">
        <v>0.59915891615809613</v>
      </c>
      <c r="I244" s="13">
        <f t="shared" si="3"/>
        <v>0.59915891615809613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1:24" ht="18" x14ac:dyDescent="0.35">
      <c r="A245" s="13"/>
      <c r="B245" s="4">
        <v>55.5</v>
      </c>
      <c r="C245" s="4">
        <v>55.21</v>
      </c>
      <c r="D245" s="4">
        <v>244</v>
      </c>
      <c r="F245" s="13">
        <v>218</v>
      </c>
      <c r="G245" s="13">
        <v>56.367574457269555</v>
      </c>
      <c r="H245" s="13">
        <v>-0.24757445726955751</v>
      </c>
      <c r="I245" s="13">
        <f t="shared" si="3"/>
        <v>0.24757445726955751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1:24" ht="18" x14ac:dyDescent="0.35">
      <c r="A246" s="13"/>
      <c r="B246" s="4">
        <v>55.21</v>
      </c>
      <c r="C246" s="4">
        <v>55.73</v>
      </c>
      <c r="D246" s="4">
        <v>245</v>
      </c>
      <c r="F246" s="13">
        <v>219</v>
      </c>
      <c r="G246" s="13">
        <v>57.797321448252212</v>
      </c>
      <c r="H246" s="13">
        <v>-1.447321448252211</v>
      </c>
      <c r="I246" s="13">
        <f t="shared" si="3"/>
        <v>1.447321448252211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1:24" ht="18" x14ac:dyDescent="0.35">
      <c r="A247" s="13"/>
      <c r="B247" s="4">
        <v>55.73</v>
      </c>
      <c r="C247" s="4">
        <v>56.16</v>
      </c>
      <c r="D247" s="4">
        <v>246</v>
      </c>
      <c r="F247" s="13">
        <v>220</v>
      </c>
      <c r="G247" s="13">
        <v>59.393338614018887</v>
      </c>
      <c r="H247" s="13">
        <v>-1.583338614018885</v>
      </c>
      <c r="I247" s="13">
        <f t="shared" si="3"/>
        <v>1.583338614018885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1:24" ht="18" x14ac:dyDescent="0.35">
      <c r="A248" s="13"/>
      <c r="B248" s="4">
        <v>56.16</v>
      </c>
      <c r="C248" s="4">
        <v>59.33</v>
      </c>
      <c r="D248" s="4">
        <v>247</v>
      </c>
      <c r="F248" s="13">
        <v>221</v>
      </c>
      <c r="G248" s="13">
        <v>59.444021214145806</v>
      </c>
      <c r="H248" s="13">
        <v>-4.0212141458084716E-3</v>
      </c>
      <c r="I248" s="13">
        <f t="shared" si="3"/>
        <v>4.0212141458084716E-3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1:24" ht="18" x14ac:dyDescent="0.35">
      <c r="A249" s="13"/>
      <c r="B249" s="4">
        <v>59.33</v>
      </c>
      <c r="C249" s="4">
        <v>56.9</v>
      </c>
      <c r="D249" s="4">
        <v>248</v>
      </c>
      <c r="F249" s="13">
        <v>222</v>
      </c>
      <c r="G249" s="13">
        <v>62.252832595984195</v>
      </c>
      <c r="H249" s="13">
        <v>-2.7628325959841931</v>
      </c>
      <c r="I249" s="13">
        <f t="shared" si="3"/>
        <v>2.7628325959841931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1:24" ht="18" x14ac:dyDescent="0.35">
      <c r="A250" s="13"/>
      <c r="B250" s="4">
        <v>56.9</v>
      </c>
      <c r="C250" s="4">
        <v>53.12</v>
      </c>
      <c r="D250" s="4">
        <v>249</v>
      </c>
      <c r="F250" s="13">
        <v>223</v>
      </c>
      <c r="G250" s="13">
        <v>63.956436345434653</v>
      </c>
      <c r="H250" s="13">
        <v>-1.596436345434654</v>
      </c>
      <c r="I250" s="13">
        <f t="shared" si="3"/>
        <v>1.596436345434654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1:24" ht="18" x14ac:dyDescent="0.35">
      <c r="A251" s="13"/>
      <c r="B251" s="4">
        <v>53.12</v>
      </c>
      <c r="C251" s="4">
        <v>53.27</v>
      </c>
      <c r="D251" s="4">
        <v>250</v>
      </c>
      <c r="F251" s="13">
        <v>224</v>
      </c>
      <c r="G251" s="13">
        <v>63.664797997476811</v>
      </c>
      <c r="H251" s="13">
        <v>0.43520200252318375</v>
      </c>
      <c r="I251" s="13">
        <f t="shared" si="3"/>
        <v>0.43520200252318375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1:24" ht="18" x14ac:dyDescent="0.35">
      <c r="A252" s="13"/>
      <c r="B252" s="4">
        <v>53.27</v>
      </c>
      <c r="C252" s="4">
        <v>53.49</v>
      </c>
      <c r="D252" s="4">
        <v>251</v>
      </c>
      <c r="F252" s="13">
        <v>225</v>
      </c>
      <c r="G252" s="13">
        <v>65.114106185492886</v>
      </c>
      <c r="H252" s="13">
        <v>-1.3141061854928893</v>
      </c>
      <c r="I252" s="13">
        <f t="shared" si="3"/>
        <v>1.3141061854928893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1:24" ht="18" x14ac:dyDescent="0.35">
      <c r="A253" s="13"/>
      <c r="B253" s="4">
        <v>53.49</v>
      </c>
      <c r="C253" s="4">
        <v>55.2</v>
      </c>
      <c r="D253" s="4">
        <v>252</v>
      </c>
      <c r="F253" s="13">
        <v>226</v>
      </c>
      <c r="G253" s="13">
        <v>62.788103346059906</v>
      </c>
      <c r="H253" s="13">
        <v>2.4918966539400955</v>
      </c>
      <c r="I253" s="13">
        <f t="shared" si="3"/>
        <v>2.4918966539400955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1:24" ht="18" x14ac:dyDescent="0.35">
      <c r="A254" s="13"/>
      <c r="B254" s="4">
        <v>55.2</v>
      </c>
      <c r="C254" s="4">
        <v>55.17</v>
      </c>
      <c r="D254" s="4">
        <v>253</v>
      </c>
      <c r="F254" s="13">
        <v>227</v>
      </c>
      <c r="G254" s="13">
        <v>61.723797715282188</v>
      </c>
      <c r="H254" s="13">
        <v>1.1762022847178102</v>
      </c>
      <c r="I254" s="13">
        <f t="shared" si="3"/>
        <v>1.1762022847178102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1:24" ht="18" x14ac:dyDescent="0.35">
      <c r="A255" s="13"/>
      <c r="B255" s="4">
        <v>55.17</v>
      </c>
      <c r="C255" s="4">
        <v>56.69</v>
      </c>
      <c r="D255" s="4">
        <v>254</v>
      </c>
      <c r="F255" s="13">
        <v>228</v>
      </c>
      <c r="G255" s="13">
        <v>62.009214679810086</v>
      </c>
      <c r="H255" s="13">
        <v>-0.19921467981008334</v>
      </c>
      <c r="I255" s="13">
        <f t="shared" si="3"/>
        <v>0.19921467981008334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1:24" ht="18" x14ac:dyDescent="0.35">
      <c r="A256" s="13"/>
      <c r="B256" s="4">
        <v>56.69</v>
      </c>
      <c r="C256" s="4">
        <v>56.85</v>
      </c>
      <c r="D256" s="4">
        <v>255</v>
      </c>
      <c r="F256" s="13">
        <v>229</v>
      </c>
      <c r="G256" s="13">
        <v>60.661271692047841</v>
      </c>
      <c r="H256" s="13">
        <v>1.4387283079521609</v>
      </c>
      <c r="I256" s="13">
        <f t="shared" si="3"/>
        <v>1.4387283079521609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1:24" ht="18" x14ac:dyDescent="0.35">
      <c r="A257" s="13"/>
      <c r="B257" s="4">
        <v>56.85</v>
      </c>
      <c r="C257" s="4">
        <v>56.9</v>
      </c>
      <c r="D257" s="4">
        <v>256</v>
      </c>
      <c r="F257" s="13">
        <v>230</v>
      </c>
      <c r="G257" s="13">
        <v>56.956204461759143</v>
      </c>
      <c r="H257" s="13">
        <v>3.7637955382408563</v>
      </c>
      <c r="I257" s="13">
        <f t="shared" si="3"/>
        <v>3.7637955382408563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1:24" ht="18" x14ac:dyDescent="0.35">
      <c r="A258" s="13"/>
      <c r="B258" s="4">
        <v>56.9</v>
      </c>
      <c r="C258" s="4">
        <v>58.07</v>
      </c>
      <c r="D258" s="4">
        <v>257</v>
      </c>
      <c r="F258" s="13">
        <v>231</v>
      </c>
      <c r="G258" s="13">
        <v>53.084867056686406</v>
      </c>
      <c r="H258" s="13">
        <v>3.8451329433135939</v>
      </c>
      <c r="I258" s="13">
        <f t="shared" si="3"/>
        <v>3.8451329433135939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1:24" ht="18" x14ac:dyDescent="0.35">
      <c r="A259" s="13"/>
      <c r="B259" s="4">
        <v>58.07</v>
      </c>
      <c r="C259" s="4">
        <v>57.64</v>
      </c>
      <c r="D259" s="4">
        <v>258</v>
      </c>
      <c r="F259" s="13">
        <v>232</v>
      </c>
      <c r="G259" s="13">
        <v>52.646519730977957</v>
      </c>
      <c r="H259" s="13">
        <v>0.32348026902204197</v>
      </c>
      <c r="I259" s="13">
        <f t="shared" si="3"/>
        <v>0.32348026902204197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1:24" ht="18" x14ac:dyDescent="0.35">
      <c r="A260" s="13"/>
      <c r="B260" s="4">
        <v>57.64</v>
      </c>
      <c r="C260" s="4">
        <v>59.25</v>
      </c>
      <c r="D260" s="4">
        <v>259</v>
      </c>
      <c r="F260" s="13">
        <v>233</v>
      </c>
      <c r="G260" s="13">
        <v>54.829372807747077</v>
      </c>
      <c r="H260" s="13">
        <v>-2.3093728077470743</v>
      </c>
      <c r="I260" s="13">
        <f t="shared" si="3"/>
        <v>2.3093728077470743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1:24" ht="18" x14ac:dyDescent="0.35">
      <c r="A261" s="13"/>
      <c r="B261" s="4">
        <v>59.25</v>
      </c>
      <c r="C261" s="4">
        <v>60.75</v>
      </c>
      <c r="D261" s="4">
        <v>260</v>
      </c>
      <c r="F261" s="13">
        <v>234</v>
      </c>
      <c r="G261" s="13">
        <v>58.381509676855224</v>
      </c>
      <c r="H261" s="13">
        <v>-3.6315096768552237</v>
      </c>
      <c r="I261" s="13">
        <f t="shared" si="3"/>
        <v>3.6315096768552237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1:24" ht="18" x14ac:dyDescent="0.35">
      <c r="A262" s="13"/>
      <c r="B262" s="4">
        <v>60.75</v>
      </c>
      <c r="C262" s="4">
        <v>61.29</v>
      </c>
      <c r="D262" s="4">
        <v>261</v>
      </c>
      <c r="F262" s="13">
        <v>235</v>
      </c>
      <c r="G262" s="13">
        <v>57.346545841627623</v>
      </c>
      <c r="H262" s="13">
        <v>1.0334541583723791</v>
      </c>
      <c r="I262" s="13">
        <f t="shared" si="3"/>
        <v>1.0334541583723791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1:24" ht="18" x14ac:dyDescent="0.35">
      <c r="A263" s="13"/>
      <c r="B263" s="4">
        <v>61.29</v>
      </c>
      <c r="C263" s="4">
        <v>62.09</v>
      </c>
      <c r="D263" s="4">
        <v>262</v>
      </c>
      <c r="F263" s="13">
        <v>236</v>
      </c>
      <c r="G263" s="13">
        <v>59.011027197011252</v>
      </c>
      <c r="H263" s="13">
        <v>-1.6910271970112518</v>
      </c>
      <c r="I263" s="13">
        <f t="shared" si="3"/>
        <v>1.6910271970112518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1:24" ht="18" x14ac:dyDescent="0.35">
      <c r="A264" s="13"/>
      <c r="B264" s="4">
        <v>62.09</v>
      </c>
      <c r="C264" s="4">
        <v>60.84</v>
      </c>
      <c r="D264" s="4">
        <v>263</v>
      </c>
      <c r="F264" s="13">
        <v>237</v>
      </c>
      <c r="G264" s="13">
        <v>56.782830342745356</v>
      </c>
      <c r="H264" s="13">
        <v>2.2371696572546469</v>
      </c>
      <c r="I264" s="13">
        <f t="shared" si="3"/>
        <v>2.2371696572546469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1:24" ht="18" x14ac:dyDescent="0.35">
      <c r="A265" s="13"/>
      <c r="B265" s="4">
        <v>60.84</v>
      </c>
      <c r="C265" s="4">
        <v>58.29</v>
      </c>
      <c r="D265" s="4">
        <v>264</v>
      </c>
      <c r="F265" s="13">
        <v>238</v>
      </c>
      <c r="G265" s="13">
        <v>56.109748652635922</v>
      </c>
      <c r="H265" s="13">
        <v>0.63025134736408006</v>
      </c>
      <c r="I265" s="13">
        <f t="shared" si="3"/>
        <v>0.63025134736408006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1:24" ht="18" x14ac:dyDescent="0.35">
      <c r="A266" s="13"/>
      <c r="B266" s="4">
        <v>58.29</v>
      </c>
      <c r="C266" s="4">
        <v>56.15</v>
      </c>
      <c r="D266" s="4">
        <v>265</v>
      </c>
      <c r="F266" s="13">
        <v>239</v>
      </c>
      <c r="G266" s="13">
        <v>56.600558186014673</v>
      </c>
      <c r="H266" s="13">
        <v>-0.55055818601467621</v>
      </c>
      <c r="I266" s="13">
        <f t="shared" si="3"/>
        <v>0.55055818601467621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1:24" ht="18" x14ac:dyDescent="0.35">
      <c r="A267" s="13"/>
      <c r="B267" s="4">
        <v>56.15</v>
      </c>
      <c r="C267" s="4">
        <v>52.7</v>
      </c>
      <c r="D267" s="4">
        <v>266</v>
      </c>
      <c r="F267" s="13">
        <v>240</v>
      </c>
      <c r="G267" s="13">
        <v>53.404082078594755</v>
      </c>
      <c r="H267" s="13">
        <v>3.1459179214052426</v>
      </c>
      <c r="I267" s="13">
        <f t="shared" si="3"/>
        <v>3.1459179214052426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1:24" ht="18" x14ac:dyDescent="0.35">
      <c r="A268" s="13"/>
      <c r="B268" s="4">
        <v>52.7</v>
      </c>
      <c r="C268" s="4">
        <v>50.36</v>
      </c>
      <c r="D268" s="4">
        <v>267</v>
      </c>
      <c r="F268" s="13">
        <v>241</v>
      </c>
      <c r="G268" s="13">
        <v>55.391323185029719</v>
      </c>
      <c r="H268" s="13">
        <v>-2.1113231850297183</v>
      </c>
      <c r="I268" s="13">
        <f t="shared" si="3"/>
        <v>2.1113231850297183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1:24" ht="18" x14ac:dyDescent="0.35">
      <c r="A269" s="13"/>
      <c r="B269" s="4">
        <v>50.36</v>
      </c>
      <c r="C269" s="4">
        <v>50.83</v>
      </c>
      <c r="D269" s="4">
        <v>268</v>
      </c>
      <c r="F269" s="13">
        <v>242</v>
      </c>
      <c r="G269" s="13">
        <v>55.578934164390546</v>
      </c>
      <c r="H269" s="13">
        <v>-0.26893416439054363</v>
      </c>
      <c r="I269" s="13">
        <f t="shared" si="3"/>
        <v>0.26893416439054363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1:24" ht="18" x14ac:dyDescent="0.35">
      <c r="A270" s="13"/>
      <c r="B270" s="4">
        <v>50.83</v>
      </c>
      <c r="C270" s="4">
        <v>53.14</v>
      </c>
      <c r="D270" s="4">
        <v>269</v>
      </c>
      <c r="F270" s="13">
        <v>243</v>
      </c>
      <c r="G270" s="13">
        <v>55.297076414949409</v>
      </c>
      <c r="H270" s="13">
        <v>0.20292358505059127</v>
      </c>
      <c r="I270" s="13">
        <f t="shared" si="3"/>
        <v>0.20292358505059127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1:24" ht="18" x14ac:dyDescent="0.35">
      <c r="A271" s="13"/>
      <c r="B271" s="4">
        <v>53.14</v>
      </c>
      <c r="C271" s="4">
        <v>48.36</v>
      </c>
      <c r="D271" s="4">
        <v>270</v>
      </c>
      <c r="F271" s="13">
        <v>244</v>
      </c>
      <c r="G271" s="13">
        <v>55.807447145361571</v>
      </c>
      <c r="H271" s="13">
        <v>-0.59744714536157062</v>
      </c>
      <c r="I271" s="13">
        <f t="shared" si="3"/>
        <v>0.59744714536157062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1:24" ht="18" x14ac:dyDescent="0.35">
      <c r="A272" s="13"/>
      <c r="B272" s="4">
        <v>48.36</v>
      </c>
      <c r="C272" s="4">
        <v>45.57</v>
      </c>
      <c r="D272" s="4">
        <v>271</v>
      </c>
      <c r="F272" s="13">
        <v>245</v>
      </c>
      <c r="G272" s="13">
        <v>56.229792489123362</v>
      </c>
      <c r="H272" s="13">
        <v>-0.49979248912336516</v>
      </c>
      <c r="I272" s="13">
        <f t="shared" si="3"/>
        <v>0.49979248912336516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1:24" ht="18" x14ac:dyDescent="0.35">
      <c r="A273" s="13"/>
      <c r="B273" s="4">
        <v>45.57</v>
      </c>
      <c r="C273" s="4">
        <v>32.39</v>
      </c>
      <c r="D273" s="4">
        <v>272</v>
      </c>
      <c r="F273" s="13">
        <v>246</v>
      </c>
      <c r="G273" s="13">
        <v>59.332021826462977</v>
      </c>
      <c r="H273" s="13">
        <v>-3.1720218264629807</v>
      </c>
      <c r="I273" s="13">
        <f t="shared" si="3"/>
        <v>3.1720218264629807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1:24" ht="18" x14ac:dyDescent="0.35">
      <c r="A274" s="13"/>
      <c r="B274" s="4">
        <v>32.39</v>
      </c>
      <c r="C274" s="4">
        <v>24.19</v>
      </c>
      <c r="D274" s="4">
        <v>273</v>
      </c>
      <c r="F274" s="13">
        <v>247</v>
      </c>
      <c r="G274" s="13">
        <v>56.957115994446468</v>
      </c>
      <c r="H274" s="13">
        <v>2.3728840055535301</v>
      </c>
      <c r="I274" s="13">
        <f t="shared" si="3"/>
        <v>2.3728840055535301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1:24" ht="18" x14ac:dyDescent="0.35">
      <c r="A275" s="13"/>
      <c r="B275" s="4">
        <v>24.19</v>
      </c>
      <c r="C275" s="4">
        <v>19.440000000000001</v>
      </c>
      <c r="D275" s="4">
        <v>274</v>
      </c>
      <c r="F275" s="13">
        <v>248</v>
      </c>
      <c r="G275" s="13">
        <v>53.261829362674469</v>
      </c>
      <c r="H275" s="13">
        <v>3.6381706373255298</v>
      </c>
      <c r="I275" s="13">
        <f t="shared" si="3"/>
        <v>3.6381706373255298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1:24" ht="18" x14ac:dyDescent="0.35">
      <c r="A276" s="13"/>
      <c r="B276" s="4">
        <v>19.440000000000001</v>
      </c>
      <c r="C276" s="4">
        <v>21.69</v>
      </c>
      <c r="D276" s="4">
        <v>275</v>
      </c>
      <c r="F276" s="13">
        <v>249</v>
      </c>
      <c r="G276" s="13">
        <v>53.410317947968466</v>
      </c>
      <c r="H276" s="13">
        <v>-0.2903179479684681</v>
      </c>
      <c r="I276" s="13">
        <f t="shared" si="3"/>
        <v>0.2903179479684681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1:24" ht="18" x14ac:dyDescent="0.35">
      <c r="A277" s="13"/>
      <c r="B277" s="4">
        <v>21.69</v>
      </c>
      <c r="C277" s="4">
        <v>24.41</v>
      </c>
      <c r="D277" s="4">
        <v>276</v>
      </c>
      <c r="F277" s="13">
        <v>250</v>
      </c>
      <c r="G277" s="13">
        <v>53.627270722879402</v>
      </c>
      <c r="H277" s="13">
        <v>-0.35727072287939876</v>
      </c>
      <c r="I277" s="13">
        <f t="shared" si="3"/>
        <v>0.35727072287939876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1:24" ht="18" x14ac:dyDescent="0.35">
      <c r="A278" s="13"/>
      <c r="B278" s="4">
        <v>24.41</v>
      </c>
      <c r="C278" s="4">
        <v>20.12</v>
      </c>
      <c r="D278" s="4">
        <v>277</v>
      </c>
      <c r="F278" s="13">
        <v>251</v>
      </c>
      <c r="G278" s="13">
        <v>55.301532676779743</v>
      </c>
      <c r="H278" s="13">
        <v>-1.8115326767797413</v>
      </c>
      <c r="I278" s="13">
        <f t="shared" si="3"/>
        <v>1.8115326767797413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1:24" ht="18" x14ac:dyDescent="0.35">
      <c r="A279" s="13"/>
      <c r="B279" s="4">
        <v>20.12</v>
      </c>
      <c r="C279" s="4">
        <v>3.32</v>
      </c>
      <c r="D279" s="4">
        <v>278</v>
      </c>
      <c r="F279" s="13">
        <v>252</v>
      </c>
      <c r="G279" s="13">
        <v>55.273970488772996</v>
      </c>
      <c r="H279" s="13">
        <v>-7.3970488772992837E-2</v>
      </c>
      <c r="I279" s="13">
        <f t="shared" si="3"/>
        <v>7.3970488772992837E-2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1:24" ht="18" x14ac:dyDescent="0.35">
      <c r="A280" s="13"/>
      <c r="B280" s="4">
        <v>3.32</v>
      </c>
      <c r="C280" s="4">
        <v>15.71</v>
      </c>
      <c r="D280" s="4">
        <v>279</v>
      </c>
      <c r="F280" s="13">
        <v>253</v>
      </c>
      <c r="G280" s="13">
        <v>56.762401070855894</v>
      </c>
      <c r="H280" s="13">
        <v>-1.5924010708558924</v>
      </c>
      <c r="I280" s="13">
        <f t="shared" si="3"/>
        <v>1.5924010708558924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1:24" ht="18" x14ac:dyDescent="0.35">
      <c r="A281" s="13"/>
      <c r="B281" s="4">
        <v>15.71</v>
      </c>
      <c r="C281" s="4">
        <v>23.46</v>
      </c>
      <c r="D281" s="4">
        <v>280</v>
      </c>
      <c r="F281" s="13">
        <v>254</v>
      </c>
      <c r="G281" s="13">
        <v>56.920670254666589</v>
      </c>
      <c r="H281" s="13">
        <v>-0.23067025466659175</v>
      </c>
      <c r="I281" s="13">
        <f t="shared" si="3"/>
        <v>0.23067025466659175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1:24" ht="18" x14ac:dyDescent="0.35">
      <c r="A282" s="13"/>
      <c r="B282" s="4">
        <v>23.46</v>
      </c>
      <c r="C282" s="4">
        <v>26.4</v>
      </c>
      <c r="D282" s="4">
        <v>281</v>
      </c>
      <c r="F282" s="13">
        <v>255</v>
      </c>
      <c r="G282" s="13">
        <v>56.971352854793508</v>
      </c>
      <c r="H282" s="13">
        <v>-0.12135285479350699</v>
      </c>
      <c r="I282" s="13">
        <f t="shared" si="3"/>
        <v>0.12135285479350699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1:24" ht="18" x14ac:dyDescent="0.35">
      <c r="A283" s="13"/>
      <c r="B283" s="4">
        <v>26.4</v>
      </c>
      <c r="C283" s="4">
        <v>33.1</v>
      </c>
      <c r="D283" s="4">
        <v>282</v>
      </c>
      <c r="F283" s="13">
        <v>256</v>
      </c>
      <c r="G283" s="13">
        <v>58.117462488791645</v>
      </c>
      <c r="H283" s="13">
        <v>-1.2174624887916465</v>
      </c>
      <c r="I283" s="13">
        <f t="shared" si="3"/>
        <v>1.2174624887916465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1:24" ht="18" x14ac:dyDescent="0.35">
      <c r="A284" s="13"/>
      <c r="B284" s="4">
        <v>33.1</v>
      </c>
      <c r="C284" s="4">
        <v>34.19</v>
      </c>
      <c r="D284" s="4">
        <v>283</v>
      </c>
      <c r="F284" s="13">
        <v>257</v>
      </c>
      <c r="G284" s="13">
        <v>57.698676360116607</v>
      </c>
      <c r="H284" s="13">
        <v>0.37132363988339279</v>
      </c>
      <c r="I284" s="13">
        <f t="shared" si="3"/>
        <v>0.37132363988339279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1:24" ht="18" x14ac:dyDescent="0.35">
      <c r="A285" s="13"/>
      <c r="B285" s="4">
        <v>34.19</v>
      </c>
      <c r="C285" s="4">
        <v>37.32</v>
      </c>
      <c r="D285" s="4">
        <v>284</v>
      </c>
      <c r="F285" s="13">
        <v>258</v>
      </c>
      <c r="G285" s="13">
        <v>59.275132328849871</v>
      </c>
      <c r="H285" s="13">
        <v>-1.6351323288498705</v>
      </c>
      <c r="I285" s="13">
        <f t="shared" ref="I285:I348" si="4">ABS(H285)</f>
        <v>1.6351323288498705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1:24" ht="18" x14ac:dyDescent="0.35">
      <c r="A286" s="13"/>
      <c r="B286" s="4">
        <v>37.32</v>
      </c>
      <c r="C286" s="4">
        <v>37.869999999999997</v>
      </c>
      <c r="D286" s="4">
        <v>285</v>
      </c>
      <c r="F286" s="13">
        <v>259</v>
      </c>
      <c r="G286" s="13">
        <v>60.744001713899351</v>
      </c>
      <c r="H286" s="13">
        <v>-1.4940017138993511</v>
      </c>
      <c r="I286" s="13">
        <f t="shared" si="4"/>
        <v>1.4940017138993511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1:24" ht="18" x14ac:dyDescent="0.35">
      <c r="A287" s="13"/>
      <c r="B287" s="4">
        <v>37.869999999999997</v>
      </c>
      <c r="C287" s="4">
        <v>38.35</v>
      </c>
      <c r="D287" s="4">
        <v>286</v>
      </c>
      <c r="F287" s="13">
        <v>260</v>
      </c>
      <c r="G287" s="13">
        <v>61.273933641344932</v>
      </c>
      <c r="H287" s="13">
        <v>-0.52393364134493225</v>
      </c>
      <c r="I287" s="13">
        <f t="shared" si="4"/>
        <v>0.52393364134493225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1:24" ht="18" x14ac:dyDescent="0.35">
      <c r="A288" s="13"/>
      <c r="B288" s="4">
        <v>38.35</v>
      </c>
      <c r="C288" s="4">
        <v>39.22</v>
      </c>
      <c r="D288" s="4">
        <v>287</v>
      </c>
      <c r="F288" s="13">
        <v>261</v>
      </c>
      <c r="G288" s="13">
        <v>62.058161130224903</v>
      </c>
      <c r="H288" s="13">
        <v>-0.76816113022490384</v>
      </c>
      <c r="I288" s="13">
        <f t="shared" si="4"/>
        <v>0.76816113022490384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1:24" ht="18" x14ac:dyDescent="0.35">
      <c r="A289" s="13"/>
      <c r="B289" s="4">
        <v>39.22</v>
      </c>
      <c r="C289" s="4">
        <v>39.85</v>
      </c>
      <c r="D289" s="4">
        <v>288</v>
      </c>
      <c r="F289" s="13">
        <v>262</v>
      </c>
      <c r="G289" s="13">
        <v>60.837365923179867</v>
      </c>
      <c r="H289" s="13">
        <v>1.2526340768201365</v>
      </c>
      <c r="I289" s="13">
        <f t="shared" si="4"/>
        <v>1.2526340768201365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1:24" ht="18" x14ac:dyDescent="0.35">
      <c r="A290" s="13"/>
      <c r="B290" s="4">
        <v>39.85</v>
      </c>
      <c r="C290" s="4">
        <v>40.44</v>
      </c>
      <c r="D290" s="4">
        <v>289</v>
      </c>
      <c r="F290" s="13">
        <v>263</v>
      </c>
      <c r="G290" s="13">
        <v>58.345092908962862</v>
      </c>
      <c r="H290" s="13">
        <v>2.4949070910371418</v>
      </c>
      <c r="I290" s="13">
        <f t="shared" si="4"/>
        <v>2.4949070910371418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1:24" ht="18" x14ac:dyDescent="0.35">
      <c r="A291" s="13"/>
      <c r="B291" s="4">
        <v>40.44</v>
      </c>
      <c r="C291" s="4">
        <v>40.57</v>
      </c>
      <c r="D291" s="4">
        <v>290</v>
      </c>
      <c r="F291" s="13">
        <v>264</v>
      </c>
      <c r="G291" s="13">
        <v>56.253824433930873</v>
      </c>
      <c r="H291" s="13">
        <v>2.0361755660691259</v>
      </c>
      <c r="I291" s="13">
        <f t="shared" si="4"/>
        <v>2.0361755660691259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1:24" ht="18" x14ac:dyDescent="0.35">
      <c r="A292" s="13"/>
      <c r="B292" s="4">
        <v>40.57</v>
      </c>
      <c r="C292" s="4">
        <v>41.34</v>
      </c>
      <c r="D292" s="4">
        <v>291</v>
      </c>
      <c r="F292" s="13">
        <v>265</v>
      </c>
      <c r="G292" s="13">
        <v>52.881297553210217</v>
      </c>
      <c r="H292" s="13">
        <v>3.2687024467897814</v>
      </c>
      <c r="I292" s="13">
        <f t="shared" si="4"/>
        <v>3.2687024467897814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1:24" ht="18" x14ac:dyDescent="0.35">
      <c r="A293" s="13"/>
      <c r="B293" s="4">
        <v>41.34</v>
      </c>
      <c r="C293" s="4">
        <v>40.69</v>
      </c>
      <c r="D293" s="4">
        <v>292</v>
      </c>
      <c r="F293" s="13">
        <v>266</v>
      </c>
      <c r="G293" s="13">
        <v>50.594417107844066</v>
      </c>
      <c r="H293" s="13">
        <v>2.1055828921559367</v>
      </c>
      <c r="I293" s="13">
        <f t="shared" si="4"/>
        <v>2.1055828921559367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1:24" ht="18" x14ac:dyDescent="0.35">
      <c r="A294" s="13"/>
      <c r="B294" s="4">
        <v>40.69</v>
      </c>
      <c r="C294" s="4">
        <v>41.57</v>
      </c>
      <c r="D294" s="4">
        <v>293</v>
      </c>
      <c r="F294" s="13">
        <v>267</v>
      </c>
      <c r="G294" s="13">
        <v>51.055884845672701</v>
      </c>
      <c r="H294" s="13">
        <v>-0.69588484567270115</v>
      </c>
      <c r="I294" s="13">
        <f t="shared" si="4"/>
        <v>0.69588484567270115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1:24" ht="18" x14ac:dyDescent="0.35">
      <c r="A295" s="13"/>
      <c r="B295" s="4">
        <v>41.57</v>
      </c>
      <c r="C295" s="4">
        <v>42.08</v>
      </c>
      <c r="D295" s="4">
        <v>294</v>
      </c>
      <c r="F295" s="13">
        <v>268</v>
      </c>
      <c r="G295" s="13">
        <v>53.316982710575473</v>
      </c>
      <c r="H295" s="13">
        <v>-2.4869827105754752</v>
      </c>
      <c r="I295" s="13">
        <f t="shared" si="4"/>
        <v>2.4869827105754752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1:24" ht="18" x14ac:dyDescent="0.35">
      <c r="A296" s="13"/>
      <c r="B296" s="4">
        <v>42.08</v>
      </c>
      <c r="C296" s="4">
        <v>42.73</v>
      </c>
      <c r="D296" s="4">
        <v>295</v>
      </c>
      <c r="F296" s="13">
        <v>269</v>
      </c>
      <c r="G296" s="13">
        <v>48.643636227132745</v>
      </c>
      <c r="H296" s="13">
        <v>4.4963637728672552</v>
      </c>
      <c r="I296" s="13">
        <f t="shared" si="4"/>
        <v>4.4963637728672552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1:24" ht="18" x14ac:dyDescent="0.35">
      <c r="A297" s="13"/>
      <c r="B297" s="4">
        <v>42.73</v>
      </c>
      <c r="C297" s="4">
        <v>42.93</v>
      </c>
      <c r="D297" s="4">
        <v>296</v>
      </c>
      <c r="F297" s="13">
        <v>270</v>
      </c>
      <c r="G297" s="13">
        <v>45.916628848514769</v>
      </c>
      <c r="H297" s="13">
        <v>2.4433711514852305</v>
      </c>
      <c r="I297" s="13">
        <f t="shared" si="4"/>
        <v>2.4433711514852305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1:24" ht="18" x14ac:dyDescent="0.35">
      <c r="A298" s="13"/>
      <c r="B298" s="4">
        <v>42.93</v>
      </c>
      <c r="C298" s="4">
        <v>41.84</v>
      </c>
      <c r="D298" s="4">
        <v>297</v>
      </c>
      <c r="F298" s="13">
        <v>271</v>
      </c>
      <c r="G298" s="13">
        <v>33.027579611037865</v>
      </c>
      <c r="H298" s="13">
        <v>12.542420388962135</v>
      </c>
      <c r="I298" s="13">
        <f t="shared" si="4"/>
        <v>12.542420388962135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1:24" ht="18" x14ac:dyDescent="0.35">
      <c r="A299" s="13"/>
      <c r="B299" s="4">
        <v>41.84</v>
      </c>
      <c r="C299" s="4">
        <v>37.380000000000003</v>
      </c>
      <c r="D299" s="4">
        <v>298</v>
      </c>
      <c r="F299" s="13">
        <v>272</v>
      </c>
      <c r="G299" s="13">
        <v>25.009268434881207</v>
      </c>
      <c r="H299" s="13">
        <v>7.3807315651187935</v>
      </c>
      <c r="I299" s="13">
        <f t="shared" si="4"/>
        <v>7.3807315651187935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1:24" ht="18" x14ac:dyDescent="0.35">
      <c r="A300" s="13"/>
      <c r="B300" s="4">
        <v>37.380000000000003</v>
      </c>
      <c r="C300" s="4">
        <v>39.549999999999997</v>
      </c>
      <c r="D300" s="4">
        <v>299</v>
      </c>
      <c r="F300" s="13">
        <v>273</v>
      </c>
      <c r="G300" s="13">
        <v>20.365263746988596</v>
      </c>
      <c r="H300" s="13">
        <v>3.8247362530114053</v>
      </c>
      <c r="I300" s="13">
        <f t="shared" si="4"/>
        <v>3.8247362530114053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1:24" ht="18" x14ac:dyDescent="0.35">
      <c r="A301" s="13"/>
      <c r="B301" s="4">
        <v>39.549999999999997</v>
      </c>
      <c r="C301" s="4">
        <v>39.78</v>
      </c>
      <c r="D301" s="4">
        <v>300</v>
      </c>
      <c r="F301" s="13">
        <v>274</v>
      </c>
      <c r="G301" s="13">
        <v>22.567678020791131</v>
      </c>
      <c r="H301" s="13">
        <v>-3.1276780207911301</v>
      </c>
      <c r="I301" s="13">
        <f t="shared" si="4"/>
        <v>3.1276780207911301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1:24" ht="18" x14ac:dyDescent="0.35">
      <c r="A302" s="13"/>
      <c r="B302" s="4">
        <v>39.78</v>
      </c>
      <c r="C302" s="4">
        <v>38.99</v>
      </c>
      <c r="D302" s="4">
        <v>301</v>
      </c>
      <c r="F302" s="13">
        <v>275</v>
      </c>
      <c r="G302" s="13">
        <v>25.229780424878911</v>
      </c>
      <c r="H302" s="13">
        <v>-3.5397804248789093</v>
      </c>
      <c r="I302" s="13">
        <f t="shared" si="4"/>
        <v>3.5397804248789093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1:24" ht="18" x14ac:dyDescent="0.35">
      <c r="A303" s="13"/>
      <c r="B303" s="4">
        <v>38.99</v>
      </c>
      <c r="C303" s="4">
        <v>40.19</v>
      </c>
      <c r="D303" s="4">
        <v>302</v>
      </c>
      <c r="F303" s="13">
        <v>276</v>
      </c>
      <c r="G303" s="13">
        <v>21.035683268754838</v>
      </c>
      <c r="H303" s="13">
        <v>3.3743167312451625</v>
      </c>
      <c r="I303" s="13">
        <f t="shared" si="4"/>
        <v>3.3743167312451625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1:24" ht="18" x14ac:dyDescent="0.35">
      <c r="A304" s="13"/>
      <c r="B304" s="4">
        <v>40.19</v>
      </c>
      <c r="C304" s="4">
        <v>40.33</v>
      </c>
      <c r="D304" s="4">
        <v>303</v>
      </c>
      <c r="F304" s="13">
        <v>277</v>
      </c>
      <c r="G304" s="13">
        <v>4.6060573682298616</v>
      </c>
      <c r="H304" s="13">
        <v>15.513942631770139</v>
      </c>
      <c r="I304" s="13">
        <f t="shared" si="4"/>
        <v>15.513942631770139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1:24" ht="18" x14ac:dyDescent="0.35">
      <c r="A305" s="13"/>
      <c r="B305" s="4">
        <v>40.33</v>
      </c>
      <c r="C305" s="4">
        <v>40.43</v>
      </c>
      <c r="D305" s="4">
        <v>304</v>
      </c>
      <c r="F305" s="13">
        <v>278</v>
      </c>
      <c r="G305" s="13">
        <v>16.725998537973652</v>
      </c>
      <c r="H305" s="13">
        <v>-13.405998537973652</v>
      </c>
      <c r="I305" s="13">
        <f t="shared" si="4"/>
        <v>13.405998537973652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1:24" ht="18" x14ac:dyDescent="0.35">
      <c r="A306" s="13"/>
      <c r="B306" s="4">
        <v>40.43</v>
      </c>
      <c r="C306" s="4">
        <v>37.32</v>
      </c>
      <c r="D306" s="4">
        <v>305</v>
      </c>
      <c r="F306" s="13">
        <v>279</v>
      </c>
      <c r="G306" s="13">
        <v>24.307741995965227</v>
      </c>
      <c r="H306" s="13">
        <v>-8.5977419959652259</v>
      </c>
      <c r="I306" s="13">
        <f t="shared" si="4"/>
        <v>8.5977419959652259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1:24" ht="18" x14ac:dyDescent="0.35">
      <c r="A307" s="13"/>
      <c r="B307" s="4">
        <v>37.32</v>
      </c>
      <c r="C307" s="4">
        <v>37.71</v>
      </c>
      <c r="D307" s="4">
        <v>306</v>
      </c>
      <c r="F307" s="13">
        <v>280</v>
      </c>
      <c r="G307" s="13">
        <v>27.185017567420569</v>
      </c>
      <c r="H307" s="13">
        <v>-3.7250175674205686</v>
      </c>
      <c r="I307" s="13">
        <f t="shared" si="4"/>
        <v>3.7250175674205686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1:24" ht="18" x14ac:dyDescent="0.35">
      <c r="A308" s="13"/>
      <c r="B308" s="4">
        <v>37.71</v>
      </c>
      <c r="C308" s="4">
        <v>40.659999999999997</v>
      </c>
      <c r="D308" s="4">
        <v>307</v>
      </c>
      <c r="F308" s="13">
        <v>281</v>
      </c>
      <c r="G308" s="13">
        <v>33.73979818115788</v>
      </c>
      <c r="H308" s="13">
        <v>-7.3397981811578816</v>
      </c>
      <c r="I308" s="13">
        <f t="shared" si="4"/>
        <v>7.3397981811578816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1:24" ht="18" x14ac:dyDescent="0.35">
      <c r="A309" s="13"/>
      <c r="B309" s="4">
        <v>40.659999999999997</v>
      </c>
      <c r="C309" s="4">
        <v>41.52</v>
      </c>
      <c r="D309" s="4">
        <v>308</v>
      </c>
      <c r="F309" s="13">
        <v>282</v>
      </c>
      <c r="G309" s="13">
        <v>34.807663027022357</v>
      </c>
      <c r="H309" s="13">
        <v>-1.7076630270223561</v>
      </c>
      <c r="I309" s="13">
        <f t="shared" si="4"/>
        <v>1.7076630270223561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1:24" ht="18" x14ac:dyDescent="0.35">
      <c r="A310" s="13"/>
      <c r="B310" s="4">
        <v>41.52</v>
      </c>
      <c r="C310" s="4">
        <v>44.4</v>
      </c>
      <c r="D310" s="4">
        <v>309</v>
      </c>
      <c r="F310" s="13">
        <v>283</v>
      </c>
      <c r="G310" s="13">
        <v>37.870769970295136</v>
      </c>
      <c r="H310" s="13">
        <v>-3.6807699702951382</v>
      </c>
      <c r="I310" s="13">
        <f t="shared" si="4"/>
        <v>3.6807699702951382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1:24" ht="18" x14ac:dyDescent="0.35">
      <c r="A311" s="13"/>
      <c r="B311" s="4">
        <v>44.4</v>
      </c>
      <c r="C311" s="4">
        <v>45.37</v>
      </c>
      <c r="D311" s="4">
        <v>310</v>
      </c>
      <c r="F311" s="13">
        <v>284</v>
      </c>
      <c r="G311" s="13">
        <v>38.410482496257416</v>
      </c>
      <c r="H311" s="13">
        <v>-1.0904824962574153</v>
      </c>
      <c r="I311" s="13">
        <f t="shared" si="4"/>
        <v>1.0904824962574153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1:24" ht="18" x14ac:dyDescent="0.35">
      <c r="A312" s="13"/>
      <c r="B312" s="4">
        <v>45.37</v>
      </c>
      <c r="C312" s="4">
        <v>46.04</v>
      </c>
      <c r="D312" s="4">
        <v>311</v>
      </c>
      <c r="F312" s="13">
        <v>285</v>
      </c>
      <c r="G312" s="13">
        <v>38.881730832602756</v>
      </c>
      <c r="H312" s="13">
        <v>-1.0117308326027583</v>
      </c>
      <c r="I312" s="13">
        <f t="shared" si="4"/>
        <v>1.0117308326027583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1:24" ht="18" x14ac:dyDescent="0.35">
      <c r="A313" s="13"/>
      <c r="B313" s="4">
        <v>46.04</v>
      </c>
      <c r="C313" s="4">
        <v>47.97</v>
      </c>
      <c r="D313" s="4">
        <v>312</v>
      </c>
      <c r="F313" s="13">
        <v>286</v>
      </c>
      <c r="G313" s="13">
        <v>39.734422511099673</v>
      </c>
      <c r="H313" s="13">
        <v>-1.3844225110996717</v>
      </c>
      <c r="I313" s="13">
        <f t="shared" si="4"/>
        <v>1.3844225110996717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1:24" ht="18" x14ac:dyDescent="0.35">
      <c r="A314" s="13"/>
      <c r="B314" s="4">
        <v>47.97</v>
      </c>
      <c r="C314" s="4">
        <v>47.73</v>
      </c>
      <c r="D314" s="4">
        <v>313</v>
      </c>
      <c r="F314" s="13">
        <v>287</v>
      </c>
      <c r="G314" s="13">
        <v>40.352379825195619</v>
      </c>
      <c r="H314" s="13">
        <v>-1.1323798251956205</v>
      </c>
      <c r="I314" s="13">
        <f t="shared" si="4"/>
        <v>1.1323798251956205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1:24" ht="18" x14ac:dyDescent="0.35">
      <c r="A315" s="13"/>
      <c r="B315" s="4">
        <v>47.73</v>
      </c>
      <c r="C315" s="4">
        <v>47.98</v>
      </c>
      <c r="D315" s="4">
        <v>314</v>
      </c>
      <c r="F315" s="13">
        <v>288</v>
      </c>
      <c r="G315" s="13">
        <v>40.931214745224729</v>
      </c>
      <c r="H315" s="13">
        <v>-1.0812147452247274</v>
      </c>
      <c r="I315" s="13">
        <f t="shared" si="4"/>
        <v>1.0812147452247274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1:24" ht="18" x14ac:dyDescent="0.35">
      <c r="A316" s="13"/>
      <c r="B316" s="4">
        <v>47.98</v>
      </c>
      <c r="C316" s="4">
        <v>50.09</v>
      </c>
      <c r="D316" s="4">
        <v>315</v>
      </c>
      <c r="F316" s="13">
        <v>289</v>
      </c>
      <c r="G316" s="13">
        <v>41.060142133485307</v>
      </c>
      <c r="H316" s="13">
        <v>-0.62014213348530944</v>
      </c>
      <c r="I316" s="13">
        <f t="shared" si="4"/>
        <v>0.62014213348530944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1:24" ht="18" x14ac:dyDescent="0.35">
      <c r="A317" s="13"/>
      <c r="B317" s="4">
        <v>50.09</v>
      </c>
      <c r="C317" s="4">
        <v>52.75</v>
      </c>
      <c r="D317" s="4">
        <v>316</v>
      </c>
      <c r="F317" s="13">
        <v>290</v>
      </c>
      <c r="G317" s="13">
        <v>41.815027826815154</v>
      </c>
      <c r="H317" s="13">
        <v>-1.2450278268151536</v>
      </c>
      <c r="I317" s="13">
        <f t="shared" si="4"/>
        <v>1.2450278268151536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1:24" ht="18" x14ac:dyDescent="0.35">
      <c r="A318" s="13"/>
      <c r="B318" s="4">
        <v>52.75</v>
      </c>
      <c r="C318" s="4">
        <v>52.82</v>
      </c>
      <c r="D318" s="4">
        <v>317</v>
      </c>
      <c r="F318" s="13">
        <v>291</v>
      </c>
      <c r="G318" s="13">
        <v>41.181068530772549</v>
      </c>
      <c r="H318" s="13">
        <v>0.15893146922745416</v>
      </c>
      <c r="I318" s="13">
        <f t="shared" si="4"/>
        <v>0.15893146922745416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1:24" ht="18" x14ac:dyDescent="0.35">
      <c r="A319" s="13"/>
      <c r="B319" s="4">
        <v>52.82</v>
      </c>
      <c r="C319" s="4">
        <v>52.52</v>
      </c>
      <c r="D319" s="4">
        <v>318</v>
      </c>
      <c r="F319" s="13">
        <v>292</v>
      </c>
      <c r="G319" s="13">
        <v>42.043540807786179</v>
      </c>
      <c r="H319" s="13">
        <v>-1.3535408077861817</v>
      </c>
      <c r="I319" s="13">
        <f t="shared" si="4"/>
        <v>1.3535408077861817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1:24" ht="18" x14ac:dyDescent="0.35">
      <c r="A320" s="13"/>
      <c r="B320" s="4">
        <v>52.52</v>
      </c>
      <c r="C320" s="4">
        <v>55.39</v>
      </c>
      <c r="D320" s="4">
        <v>319</v>
      </c>
      <c r="F320" s="13">
        <v>293</v>
      </c>
      <c r="G320" s="13">
        <v>42.544130939681629</v>
      </c>
      <c r="H320" s="13">
        <v>-0.97413093968162912</v>
      </c>
      <c r="I320" s="13">
        <f t="shared" si="4"/>
        <v>0.97413093968162912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1:24" ht="18" x14ac:dyDescent="0.35">
      <c r="A321" s="13"/>
      <c r="B321" s="4">
        <v>55.39</v>
      </c>
      <c r="C321" s="4">
        <v>58.54</v>
      </c>
      <c r="D321" s="4">
        <v>320</v>
      </c>
      <c r="F321" s="13">
        <v>294</v>
      </c>
      <c r="G321" s="13">
        <v>43.181649450810987</v>
      </c>
      <c r="H321" s="13">
        <v>-1.1016494508109886</v>
      </c>
      <c r="I321" s="13">
        <f t="shared" si="4"/>
        <v>1.1016494508109886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1:24" ht="18" x14ac:dyDescent="0.35">
      <c r="A322" s="13"/>
      <c r="B322" s="4">
        <v>58.54</v>
      </c>
      <c r="C322" s="4">
        <v>60.17</v>
      </c>
      <c r="D322" s="4">
        <v>321</v>
      </c>
      <c r="F322" s="13">
        <v>295</v>
      </c>
      <c r="G322" s="13">
        <v>43.379041028688519</v>
      </c>
      <c r="H322" s="13">
        <v>-0.6490410286885222</v>
      </c>
      <c r="I322" s="13">
        <f t="shared" si="4"/>
        <v>0.6490410286885222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1:24" ht="18" x14ac:dyDescent="0.35">
      <c r="A323" s="13"/>
      <c r="B323" s="4">
        <v>60.17</v>
      </c>
      <c r="C323" s="4">
        <v>62.3</v>
      </c>
      <c r="D323" s="4">
        <v>322</v>
      </c>
      <c r="F323" s="13">
        <v>296</v>
      </c>
      <c r="G323" s="13">
        <v>42.314735397910802</v>
      </c>
      <c r="H323" s="13">
        <v>0.61526460208919787</v>
      </c>
      <c r="I323" s="13">
        <f t="shared" si="4"/>
        <v>0.61526460208919787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1:24" ht="18" x14ac:dyDescent="0.35">
      <c r="A324" s="13"/>
      <c r="B324" s="4">
        <v>62.3</v>
      </c>
      <c r="C324" s="4">
        <v>62.29</v>
      </c>
      <c r="D324" s="4">
        <v>323</v>
      </c>
      <c r="F324" s="13">
        <v>297</v>
      </c>
      <c r="G324" s="13">
        <v>37.954368067002697</v>
      </c>
      <c r="H324" s="13">
        <v>3.8856319329973061</v>
      </c>
      <c r="I324" s="13">
        <f t="shared" si="4"/>
        <v>3.8856319329973061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1:24" ht="18" x14ac:dyDescent="0.35">
      <c r="A325" s="13"/>
      <c r="B325" s="4">
        <v>62.29</v>
      </c>
      <c r="C325" s="4">
        <v>65.02</v>
      </c>
      <c r="D325" s="4">
        <v>324</v>
      </c>
      <c r="F325" s="13">
        <v>298</v>
      </c>
      <c r="G325" s="13">
        <v>40.07853755267157</v>
      </c>
      <c r="H325" s="13">
        <v>-2.6985375526715671</v>
      </c>
      <c r="I325" s="13">
        <f t="shared" si="4"/>
        <v>2.6985375526715671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1:24" ht="18" x14ac:dyDescent="0.35">
      <c r="A326" s="13"/>
      <c r="B326" s="4">
        <v>65.02</v>
      </c>
      <c r="C326" s="4">
        <v>63.22</v>
      </c>
      <c r="D326" s="4">
        <v>325</v>
      </c>
      <c r="F326" s="13">
        <v>299</v>
      </c>
      <c r="G326" s="13">
        <v>40.305270926099219</v>
      </c>
      <c r="H326" s="13">
        <v>-0.75527092609922164</v>
      </c>
      <c r="I326" s="13">
        <f t="shared" si="4"/>
        <v>0.75527092609922164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1:24" ht="18" x14ac:dyDescent="0.35">
      <c r="A327" s="13"/>
      <c r="B327" s="4">
        <v>63.22</v>
      </c>
      <c r="C327" s="4">
        <v>59.95</v>
      </c>
      <c r="D327" s="4">
        <v>326</v>
      </c>
      <c r="F327" s="13">
        <v>300</v>
      </c>
      <c r="G327" s="13">
        <v>39.534383250822721</v>
      </c>
      <c r="H327" s="13">
        <v>0.24561674917728027</v>
      </c>
      <c r="I327" s="13">
        <f t="shared" si="4"/>
        <v>0.24561674917728027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1:24" ht="18" x14ac:dyDescent="0.35">
      <c r="A328" s="13"/>
      <c r="B328" s="4">
        <v>59.95</v>
      </c>
      <c r="C328" s="4">
        <v>60.66</v>
      </c>
      <c r="D328" s="4">
        <v>327</v>
      </c>
      <c r="F328" s="13">
        <v>301</v>
      </c>
      <c r="G328" s="13">
        <v>40.709834680370982</v>
      </c>
      <c r="H328" s="13">
        <v>-1.7198346803709796</v>
      </c>
      <c r="I328" s="13">
        <f t="shared" si="4"/>
        <v>1.7198346803709796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1:24" ht="18" x14ac:dyDescent="0.35">
      <c r="A329" s="13"/>
      <c r="B329" s="4">
        <v>60.66</v>
      </c>
      <c r="C329" s="4">
        <v>59.35</v>
      </c>
      <c r="D329" s="4">
        <v>328</v>
      </c>
      <c r="F329" s="13">
        <v>302</v>
      </c>
      <c r="G329" s="13">
        <v>40.848542667148259</v>
      </c>
      <c r="H329" s="13">
        <v>-0.65854266714826082</v>
      </c>
      <c r="I329" s="13">
        <f t="shared" si="4"/>
        <v>0.65854266714826082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1:24" ht="18" x14ac:dyDescent="0.35">
      <c r="A330" s="13"/>
      <c r="B330" s="4">
        <v>59.35</v>
      </c>
      <c r="C330" s="4">
        <v>61.93</v>
      </c>
      <c r="D330" s="4">
        <v>329</v>
      </c>
      <c r="F330" s="13">
        <v>303</v>
      </c>
      <c r="G330" s="13">
        <v>40.94812825985872</v>
      </c>
      <c r="H330" s="13">
        <v>-0.61812825985872166</v>
      </c>
      <c r="I330" s="13">
        <f t="shared" si="4"/>
        <v>0.61812825985872166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1:24" ht="18" x14ac:dyDescent="0.35">
      <c r="A331" s="13"/>
      <c r="B331" s="4">
        <v>61.93</v>
      </c>
      <c r="C331" s="4">
        <v>62.18</v>
      </c>
      <c r="D331" s="4">
        <v>330</v>
      </c>
      <c r="F331" s="13">
        <v>304</v>
      </c>
      <c r="G331" s="13">
        <v>37.908141728706106</v>
      </c>
      <c r="H331" s="13">
        <v>2.5218582712938939</v>
      </c>
      <c r="I331" s="13">
        <f t="shared" si="4"/>
        <v>2.5218582712938939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1:24" ht="18" x14ac:dyDescent="0.35">
      <c r="A332" s="13"/>
      <c r="B332" s="4">
        <v>62.18</v>
      </c>
      <c r="C332" s="4">
        <v>63.47</v>
      </c>
      <c r="D332" s="4">
        <v>331</v>
      </c>
      <c r="F332" s="13">
        <v>305</v>
      </c>
      <c r="G332" s="13">
        <v>38.291364678401081</v>
      </c>
      <c r="H332" s="13">
        <v>-0.97136467840108054</v>
      </c>
      <c r="I332" s="13">
        <f t="shared" si="4"/>
        <v>0.97136467840108054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1:24" ht="18" x14ac:dyDescent="0.35">
      <c r="A333" s="13"/>
      <c r="B333" s="4">
        <v>63.47</v>
      </c>
      <c r="C333" s="4">
        <v>65.099999999999994</v>
      </c>
      <c r="D333" s="4">
        <v>332</v>
      </c>
      <c r="F333" s="13">
        <v>306</v>
      </c>
      <c r="G333" s="13">
        <v>41.178420848373122</v>
      </c>
      <c r="H333" s="13">
        <v>-3.4684208483731211</v>
      </c>
      <c r="I333" s="13">
        <f t="shared" si="4"/>
        <v>3.4684208483731211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1:24" ht="18" x14ac:dyDescent="0.35">
      <c r="A334" s="13"/>
      <c r="B334" s="4">
        <v>65.099999999999994</v>
      </c>
      <c r="C334" s="4">
        <v>65.069999999999993</v>
      </c>
      <c r="D334" s="4">
        <v>333</v>
      </c>
      <c r="F334" s="13">
        <v>307</v>
      </c>
      <c r="G334" s="13">
        <v>42.021331928353334</v>
      </c>
      <c r="H334" s="13">
        <v>-1.3613319283533372</v>
      </c>
      <c r="I334" s="13">
        <f t="shared" si="4"/>
        <v>1.3613319283533372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1:24" ht="18" x14ac:dyDescent="0.35">
      <c r="A335" s="13"/>
      <c r="B335" s="4">
        <v>65.069999999999993</v>
      </c>
      <c r="C335" s="4">
        <v>64.11</v>
      </c>
      <c r="D335" s="4">
        <v>334</v>
      </c>
      <c r="F335" s="13">
        <v>308</v>
      </c>
      <c r="G335" s="13">
        <v>44.839923908708435</v>
      </c>
      <c r="H335" s="13">
        <v>-3.3199239087084322</v>
      </c>
      <c r="I335" s="13">
        <f t="shared" si="4"/>
        <v>3.3199239087084322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1:24" ht="18" x14ac:dyDescent="0.35">
      <c r="A336" s="13"/>
      <c r="B336" s="4">
        <v>64.11</v>
      </c>
      <c r="C336" s="4">
        <v>66.400000000000006</v>
      </c>
      <c r="D336" s="4">
        <v>335</v>
      </c>
      <c r="F336" s="13">
        <v>309</v>
      </c>
      <c r="G336" s="13">
        <v>45.790421572372423</v>
      </c>
      <c r="H336" s="13">
        <v>-1.3904215723724249</v>
      </c>
      <c r="I336" s="13">
        <f t="shared" si="4"/>
        <v>1.3904215723724249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1:24" ht="18" x14ac:dyDescent="0.35">
      <c r="A337" s="13"/>
      <c r="B337" s="4">
        <v>66.400000000000006</v>
      </c>
      <c r="C337" s="4">
        <v>68.739999999999995</v>
      </c>
      <c r="D337" s="4">
        <v>336</v>
      </c>
      <c r="F337" s="13">
        <v>310</v>
      </c>
      <c r="G337" s="13">
        <v>46.447501280535199</v>
      </c>
      <c r="H337" s="13">
        <v>-1.077501280535202</v>
      </c>
      <c r="I337" s="13">
        <f t="shared" si="4"/>
        <v>1.077501280535202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1:24" ht="18" x14ac:dyDescent="0.35">
      <c r="A338" s="13"/>
      <c r="B338" s="4">
        <v>68.739999999999995</v>
      </c>
      <c r="C338" s="4">
        <v>70.11</v>
      </c>
      <c r="D338" s="4">
        <v>337</v>
      </c>
      <c r="F338" s="13">
        <v>311</v>
      </c>
      <c r="G338" s="13">
        <v>48.336936401803094</v>
      </c>
      <c r="H338" s="13">
        <v>-2.2969364018030944</v>
      </c>
      <c r="I338" s="13">
        <f t="shared" si="4"/>
        <v>2.2969364018030944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1:24" ht="18" x14ac:dyDescent="0.35">
      <c r="A339" s="13"/>
      <c r="B339" s="4">
        <v>70.11</v>
      </c>
      <c r="C339" s="4">
        <v>71.55</v>
      </c>
      <c r="D339" s="4">
        <v>338</v>
      </c>
      <c r="F339" s="13">
        <v>312</v>
      </c>
      <c r="G339" s="13">
        <v>48.103981644945499</v>
      </c>
      <c r="H339" s="13">
        <v>-0.13398164494550002</v>
      </c>
      <c r="I339" s="13">
        <f t="shared" si="4"/>
        <v>0.13398164494550002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1:24" ht="18" x14ac:dyDescent="0.35">
      <c r="A340" s="13"/>
      <c r="B340" s="4">
        <v>71.55</v>
      </c>
      <c r="C340" s="4">
        <v>73.48</v>
      </c>
      <c r="D340" s="4">
        <v>339</v>
      </c>
      <c r="F340" s="13">
        <v>313</v>
      </c>
      <c r="G340" s="13">
        <v>48.350276215406559</v>
      </c>
      <c r="H340" s="13">
        <v>-0.62027621540656241</v>
      </c>
      <c r="I340" s="13">
        <f t="shared" si="4"/>
        <v>0.62027621540656241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1:24" ht="18" x14ac:dyDescent="0.35">
      <c r="A341" s="13"/>
      <c r="B341" s="4">
        <v>73.48</v>
      </c>
      <c r="C341" s="4">
        <v>74.069999999999993</v>
      </c>
      <c r="D341" s="4">
        <v>340</v>
      </c>
      <c r="F341" s="13">
        <v>314</v>
      </c>
      <c r="G341" s="13">
        <v>50.415762109975198</v>
      </c>
      <c r="H341" s="13">
        <v>-2.4357621099752009</v>
      </c>
      <c r="I341" s="13">
        <f t="shared" si="4"/>
        <v>2.4357621099752009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1:24" ht="18" x14ac:dyDescent="0.35">
      <c r="A342" s="13"/>
      <c r="B342" s="4">
        <v>74.069999999999993</v>
      </c>
      <c r="C342" s="4">
        <v>73.349999999999994</v>
      </c>
      <c r="D342" s="4">
        <v>341</v>
      </c>
      <c r="F342" s="13">
        <v>315</v>
      </c>
      <c r="G342" s="13">
        <v>53.019180922962732</v>
      </c>
      <c r="H342" s="13">
        <v>-2.929180922962729</v>
      </c>
      <c r="I342" s="13">
        <f t="shared" si="4"/>
        <v>2.929180922962729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1:24" ht="18" x14ac:dyDescent="0.35">
      <c r="A343" s="13"/>
      <c r="B343" s="4">
        <v>73.349999999999994</v>
      </c>
      <c r="C343" s="4">
        <v>73.19</v>
      </c>
      <c r="D343" s="4">
        <v>342</v>
      </c>
      <c r="F343" s="13">
        <v>316</v>
      </c>
      <c r="G343" s="13">
        <v>53.089424720123056</v>
      </c>
      <c r="H343" s="13">
        <v>-0.33942472012305558</v>
      </c>
      <c r="I343" s="13">
        <f t="shared" si="4"/>
        <v>0.33942472012305558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1:24" ht="18" x14ac:dyDescent="0.35">
      <c r="A344" s="13"/>
      <c r="B344" s="4">
        <v>73.19</v>
      </c>
      <c r="C344" s="4">
        <v>69.680000000000007</v>
      </c>
      <c r="D344" s="4">
        <v>343</v>
      </c>
      <c r="F344" s="13">
        <v>317</v>
      </c>
      <c r="G344" s="13">
        <v>52.797786372165227</v>
      </c>
      <c r="H344" s="13">
        <v>2.221362783477332E-2</v>
      </c>
      <c r="I344" s="13">
        <f t="shared" si="4"/>
        <v>2.221362783477332E-2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1:24" ht="18" x14ac:dyDescent="0.35">
      <c r="A345" s="13"/>
      <c r="B345" s="4">
        <v>69.680000000000007</v>
      </c>
      <c r="C345" s="4">
        <v>72.75</v>
      </c>
      <c r="D345" s="4">
        <v>344</v>
      </c>
      <c r="F345" s="13">
        <v>318</v>
      </c>
      <c r="G345" s="13">
        <v>55.606597754003609</v>
      </c>
      <c r="H345" s="13">
        <v>-3.0865977540036056</v>
      </c>
      <c r="I345" s="13">
        <f t="shared" si="4"/>
        <v>3.0865977540036056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1:24" ht="18" x14ac:dyDescent="0.35">
      <c r="A346" s="13"/>
      <c r="B346" s="4">
        <v>72.75</v>
      </c>
      <c r="C346" s="4">
        <v>69.5</v>
      </c>
      <c r="D346" s="4">
        <v>345</v>
      </c>
      <c r="F346" s="13">
        <v>319</v>
      </c>
      <c r="G346" s="13">
        <v>58.689265894309806</v>
      </c>
      <c r="H346" s="13">
        <v>-3.299265894309805</v>
      </c>
      <c r="I346" s="13">
        <f t="shared" si="4"/>
        <v>3.299265894309805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1:24" ht="18" x14ac:dyDescent="0.35">
      <c r="A347" s="13"/>
      <c r="B347" s="4">
        <v>69.5</v>
      </c>
      <c r="C347" s="4">
        <v>68.33</v>
      </c>
      <c r="D347" s="4">
        <v>346</v>
      </c>
      <c r="F347" s="13">
        <v>320</v>
      </c>
      <c r="G347" s="13">
        <v>60.285283060076488</v>
      </c>
      <c r="H347" s="13">
        <v>-1.7452830600764884</v>
      </c>
      <c r="I347" s="13">
        <f t="shared" si="4"/>
        <v>1.7452830600764884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1:24" ht="18" x14ac:dyDescent="0.35">
      <c r="A348" s="13"/>
      <c r="B348" s="4">
        <v>68.33</v>
      </c>
      <c r="C348" s="4">
        <v>65.05</v>
      </c>
      <c r="D348" s="4">
        <v>347</v>
      </c>
      <c r="F348" s="13">
        <v>321</v>
      </c>
      <c r="G348" s="13">
        <v>62.37033015167853</v>
      </c>
      <c r="H348" s="13">
        <v>-2.2003301516785285</v>
      </c>
      <c r="I348" s="13">
        <f t="shared" si="4"/>
        <v>2.2003301516785285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1:24" ht="18" x14ac:dyDescent="0.35">
      <c r="A349" s="13"/>
      <c r="B349" s="4">
        <v>65.05</v>
      </c>
      <c r="C349" s="4">
        <v>67.59</v>
      </c>
      <c r="D349" s="4">
        <v>348</v>
      </c>
      <c r="F349" s="13">
        <v>322</v>
      </c>
      <c r="G349" s="13">
        <v>62.362329160705201</v>
      </c>
      <c r="H349" s="13">
        <v>-6.232916070520389E-2</v>
      </c>
      <c r="I349" s="13">
        <f t="shared" ref="I349:I412" si="5">ABS(H349)</f>
        <v>6.232916070520389E-2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1:24" ht="18" x14ac:dyDescent="0.35">
      <c r="A350" s="13"/>
      <c r="B350" s="4">
        <v>67.59</v>
      </c>
      <c r="C350" s="4">
        <v>69.150000000000006</v>
      </c>
      <c r="D350" s="4">
        <v>349</v>
      </c>
      <c r="F350" s="13">
        <v>323</v>
      </c>
      <c r="G350" s="13">
        <v>65.034212163309689</v>
      </c>
      <c r="H350" s="13">
        <v>-2.7442121633096903</v>
      </c>
      <c r="I350" s="13">
        <f t="shared" si="5"/>
        <v>2.7442121633096903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1:24" ht="18" x14ac:dyDescent="0.35">
      <c r="A351" s="13"/>
      <c r="B351" s="4">
        <v>69.150000000000006</v>
      </c>
      <c r="C351" s="4">
        <v>68.98</v>
      </c>
      <c r="D351" s="4">
        <v>350</v>
      </c>
      <c r="F351" s="13">
        <v>324</v>
      </c>
      <c r="G351" s="13">
        <v>63.275484037845743</v>
      </c>
      <c r="H351" s="13">
        <v>1.744515962154253</v>
      </c>
      <c r="I351" s="13">
        <f t="shared" si="5"/>
        <v>1.744515962154253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1:24" ht="18" x14ac:dyDescent="0.35">
      <c r="A352" s="13"/>
      <c r="B352" s="4">
        <v>68.98</v>
      </c>
      <c r="C352" s="4">
        <v>71.69</v>
      </c>
      <c r="D352" s="4">
        <v>351</v>
      </c>
      <c r="F352" s="13">
        <v>325</v>
      </c>
      <c r="G352" s="13">
        <v>60.079007930425817</v>
      </c>
      <c r="H352" s="13">
        <v>3.1409920695741818</v>
      </c>
      <c r="I352" s="13">
        <f t="shared" si="5"/>
        <v>3.1409920695741818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1:24" ht="18" x14ac:dyDescent="0.35">
      <c r="A353" s="13"/>
      <c r="B353" s="4">
        <v>71.69</v>
      </c>
      <c r="C353" s="4">
        <v>72.180000000000007</v>
      </c>
      <c r="D353" s="4">
        <v>352</v>
      </c>
      <c r="F353" s="13">
        <v>326</v>
      </c>
      <c r="G353" s="13">
        <v>60.775210032655423</v>
      </c>
      <c r="H353" s="13">
        <v>-0.82521003265541992</v>
      </c>
      <c r="I353" s="13">
        <f t="shared" si="5"/>
        <v>0.82521003265541992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1:24" ht="18" x14ac:dyDescent="0.35">
      <c r="A354" s="13"/>
      <c r="B354" s="4">
        <v>72.180000000000007</v>
      </c>
      <c r="C354" s="4">
        <v>75.45</v>
      </c>
      <c r="D354" s="4">
        <v>353</v>
      </c>
      <c r="F354" s="13">
        <v>327</v>
      </c>
      <c r="G354" s="13">
        <v>59.495731234510139</v>
      </c>
      <c r="H354" s="13">
        <v>1.164268765489858</v>
      </c>
      <c r="I354" s="13">
        <f t="shared" si="5"/>
        <v>1.164268765489858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1:24" ht="18" x14ac:dyDescent="0.35">
      <c r="A355" s="13"/>
      <c r="B355" s="4">
        <v>75.45</v>
      </c>
      <c r="C355" s="4">
        <v>78.5</v>
      </c>
      <c r="D355" s="4">
        <v>354</v>
      </c>
      <c r="F355" s="13">
        <v>328</v>
      </c>
      <c r="G355" s="13">
        <v>62.020905259364014</v>
      </c>
      <c r="H355" s="13">
        <v>-2.6709052593640124</v>
      </c>
      <c r="I355" s="13">
        <f t="shared" si="5"/>
        <v>2.6709052593640124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1:24" ht="18" x14ac:dyDescent="0.35">
      <c r="A356" s="13"/>
      <c r="B356" s="4">
        <v>78.5</v>
      </c>
      <c r="C356" s="4">
        <v>81.180000000000007</v>
      </c>
      <c r="D356" s="4">
        <v>355</v>
      </c>
      <c r="F356" s="13">
        <v>329</v>
      </c>
      <c r="G356" s="13">
        <v>62.267199829825074</v>
      </c>
      <c r="H356" s="13">
        <v>-0.33719982982507446</v>
      </c>
      <c r="I356" s="13">
        <f t="shared" si="5"/>
        <v>0.33719982982507446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1:24" ht="18" x14ac:dyDescent="0.35">
      <c r="A357" s="13"/>
      <c r="B357" s="4">
        <v>81.180000000000007</v>
      </c>
      <c r="C357" s="4">
        <v>83.48</v>
      </c>
      <c r="D357" s="4">
        <v>356</v>
      </c>
      <c r="F357" s="13">
        <v>330</v>
      </c>
      <c r="G357" s="13">
        <v>63.530676646023707</v>
      </c>
      <c r="H357" s="13">
        <v>-1.3506766460237074</v>
      </c>
      <c r="I357" s="13">
        <f t="shared" si="5"/>
        <v>1.3506766460237074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1:24" ht="18" x14ac:dyDescent="0.35">
      <c r="A358" s="13"/>
      <c r="B358" s="4">
        <v>83.48</v>
      </c>
      <c r="C358" s="4">
        <v>83.84</v>
      </c>
      <c r="D358" s="4">
        <v>357</v>
      </c>
      <c r="F358" s="13">
        <v>331</v>
      </c>
      <c r="G358" s="13">
        <v>65.126693811790389</v>
      </c>
      <c r="H358" s="13">
        <v>-1.6566938117903902</v>
      </c>
      <c r="I358" s="13">
        <f t="shared" si="5"/>
        <v>1.6566938117903902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1:24" ht="18" x14ac:dyDescent="0.35">
      <c r="A359" s="13"/>
      <c r="B359" s="4">
        <v>83.84</v>
      </c>
      <c r="C359" s="4">
        <v>81.790000000000006</v>
      </c>
      <c r="D359" s="4">
        <v>358</v>
      </c>
      <c r="F359" s="13">
        <v>332</v>
      </c>
      <c r="G359" s="13">
        <v>65.099131623783649</v>
      </c>
      <c r="H359" s="13">
        <v>8.6837621634572315E-4</v>
      </c>
      <c r="I359" s="13">
        <f t="shared" si="5"/>
        <v>8.6837621634572315E-4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1:24" ht="18" x14ac:dyDescent="0.35">
      <c r="A360" s="13"/>
      <c r="B360" s="4">
        <v>81.790000000000006</v>
      </c>
      <c r="C360" s="4">
        <v>81.93</v>
      </c>
      <c r="D360" s="4">
        <v>359</v>
      </c>
      <c r="F360" s="13">
        <v>333</v>
      </c>
      <c r="G360" s="13">
        <v>64.161973773723119</v>
      </c>
      <c r="H360" s="13">
        <v>0.90802622627687413</v>
      </c>
      <c r="I360" s="13">
        <f t="shared" si="5"/>
        <v>0.90802622627687413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1:24" ht="18" x14ac:dyDescent="0.35">
      <c r="A361" s="13"/>
      <c r="B361" s="4">
        <v>81.93</v>
      </c>
      <c r="C361" s="4">
        <v>78.989999999999995</v>
      </c>
      <c r="D361" s="4">
        <v>360</v>
      </c>
      <c r="F361" s="13">
        <v>334</v>
      </c>
      <c r="G361" s="13">
        <v>66.403510441592488</v>
      </c>
      <c r="H361" s="13">
        <v>-2.2935104415924883</v>
      </c>
      <c r="I361" s="13">
        <f t="shared" si="5"/>
        <v>2.2935104415924883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1:24" ht="18" x14ac:dyDescent="0.35">
      <c r="A362" s="13"/>
      <c r="B362" s="4">
        <v>78.989999999999995</v>
      </c>
      <c r="C362" s="4">
        <v>77.790000000000006</v>
      </c>
      <c r="D362" s="4">
        <v>361</v>
      </c>
      <c r="F362" s="13">
        <v>335</v>
      </c>
      <c r="G362" s="13">
        <v>68.693950102045378</v>
      </c>
      <c r="H362" s="13">
        <v>-2.2939501020453719</v>
      </c>
      <c r="I362" s="13">
        <f t="shared" si="5"/>
        <v>2.2939501020453719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1:24" ht="18" x14ac:dyDescent="0.35">
      <c r="A363" s="13"/>
      <c r="B363" s="4">
        <v>77.790000000000006</v>
      </c>
      <c r="C363" s="4">
        <v>66.89</v>
      </c>
      <c r="D363" s="4">
        <v>362</v>
      </c>
      <c r="F363" s="13">
        <v>336</v>
      </c>
      <c r="G363" s="13">
        <v>70.035671706377684</v>
      </c>
      <c r="H363" s="13">
        <v>-1.2956717063776892</v>
      </c>
      <c r="I363" s="13">
        <f t="shared" si="5"/>
        <v>1.2956717063776892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1:24" ht="18" x14ac:dyDescent="0.35">
      <c r="A364" s="13"/>
      <c r="B364" s="4">
        <v>66.89</v>
      </c>
      <c r="C364" s="4">
        <v>71.31</v>
      </c>
      <c r="D364" s="4">
        <v>363</v>
      </c>
      <c r="F364" s="13">
        <v>337</v>
      </c>
      <c r="G364" s="13">
        <v>71.445857500326909</v>
      </c>
      <c r="H364" s="13">
        <v>-1.3358575003269095</v>
      </c>
      <c r="I364" s="13">
        <f t="shared" si="5"/>
        <v>1.3358575003269095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1:24" ht="18" x14ac:dyDescent="0.35">
      <c r="A365" s="13"/>
      <c r="B365" s="4">
        <v>71.31</v>
      </c>
      <c r="C365" s="4">
        <v>71.180000000000007</v>
      </c>
      <c r="D365" s="4">
        <v>364</v>
      </c>
      <c r="F365" s="13">
        <v>338</v>
      </c>
      <c r="G365" s="13">
        <v>73.335292621594817</v>
      </c>
      <c r="H365" s="13">
        <v>-1.7852926215948202</v>
      </c>
      <c r="I365" s="13">
        <f t="shared" si="5"/>
        <v>1.7852926215948202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1:24" ht="18" x14ac:dyDescent="0.35">
      <c r="A366" s="13"/>
      <c r="B366" s="4">
        <v>71.180000000000007</v>
      </c>
      <c r="C366" s="4">
        <v>71.63</v>
      </c>
      <c r="D366" s="4">
        <v>365</v>
      </c>
      <c r="F366" s="13">
        <v>339</v>
      </c>
      <c r="G366" s="13">
        <v>73.914127541623927</v>
      </c>
      <c r="H366" s="13">
        <v>-0.43412754162392275</v>
      </c>
      <c r="I366" s="13">
        <f t="shared" si="5"/>
        <v>0.43412754162392275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1:24" ht="18" x14ac:dyDescent="0.35">
      <c r="A367" s="13"/>
      <c r="B367" s="4">
        <v>71.63</v>
      </c>
      <c r="C367" s="4">
        <v>76.05</v>
      </c>
      <c r="D367" s="4">
        <v>366</v>
      </c>
      <c r="F367" s="13">
        <v>340</v>
      </c>
      <c r="G367" s="13">
        <v>73.211704055964375</v>
      </c>
      <c r="H367" s="13">
        <v>0.85829594403561771</v>
      </c>
      <c r="I367" s="13">
        <f t="shared" si="5"/>
        <v>0.85829594403561771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1:24" ht="18" x14ac:dyDescent="0.35">
      <c r="A368" s="13"/>
      <c r="B368" s="4">
        <v>76.05</v>
      </c>
      <c r="C368" s="4">
        <v>77.86</v>
      </c>
      <c r="D368" s="4">
        <v>367</v>
      </c>
      <c r="F368" s="13">
        <v>341</v>
      </c>
      <c r="G368" s="13">
        <v>73.056994087240426</v>
      </c>
      <c r="H368" s="13">
        <v>0.29300591275956833</v>
      </c>
      <c r="I368" s="13">
        <f t="shared" si="5"/>
        <v>0.29300591275956833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1:24" ht="18" x14ac:dyDescent="0.35">
      <c r="A369" s="13"/>
      <c r="B369" s="4">
        <v>77.86</v>
      </c>
      <c r="C369" s="4">
        <v>81.52</v>
      </c>
      <c r="D369" s="4">
        <v>368</v>
      </c>
      <c r="F369" s="13">
        <v>342</v>
      </c>
      <c r="G369" s="13">
        <v>69.625783615419536</v>
      </c>
      <c r="H369" s="13">
        <v>3.5642163845804617</v>
      </c>
      <c r="I369" s="13">
        <f t="shared" si="5"/>
        <v>3.5642163845804617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1:24" ht="18" x14ac:dyDescent="0.35">
      <c r="A370" s="13"/>
      <c r="B370" s="4">
        <v>81.52</v>
      </c>
      <c r="C370" s="4">
        <v>85.93</v>
      </c>
      <c r="D370" s="4">
        <v>369</v>
      </c>
      <c r="F370" s="13">
        <v>343</v>
      </c>
      <c r="G370" s="13">
        <v>72.630206967592073</v>
      </c>
      <c r="H370" s="13">
        <v>-2.9502069675920666</v>
      </c>
      <c r="I370" s="13">
        <f t="shared" si="5"/>
        <v>2.9502069675920666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1:24" ht="18" x14ac:dyDescent="0.35">
      <c r="A371" s="13"/>
      <c r="B371" s="4">
        <v>85.93</v>
      </c>
      <c r="C371" s="4">
        <v>86.94</v>
      </c>
      <c r="D371" s="4">
        <v>370</v>
      </c>
      <c r="F371" s="13">
        <v>344</v>
      </c>
      <c r="G371" s="13">
        <v>69.453292057205559</v>
      </c>
      <c r="H371" s="13">
        <v>3.2967079427944412</v>
      </c>
      <c r="I371" s="13">
        <f t="shared" si="5"/>
        <v>3.2967079427944412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1:24" ht="18" x14ac:dyDescent="0.35">
      <c r="A372" s="13"/>
      <c r="B372" s="4">
        <v>86.94</v>
      </c>
      <c r="C372" s="4">
        <v>89.6</v>
      </c>
      <c r="D372" s="4">
        <v>371</v>
      </c>
      <c r="F372" s="13">
        <v>345</v>
      </c>
      <c r="G372" s="13">
        <v>68.310741638294175</v>
      </c>
      <c r="H372" s="13">
        <v>1.189258361705825</v>
      </c>
      <c r="I372" s="13">
        <f t="shared" si="5"/>
        <v>1.189258361705825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1:24" ht="18" x14ac:dyDescent="0.35">
      <c r="A373" s="13"/>
      <c r="B373" s="4">
        <v>89.6</v>
      </c>
      <c r="C373" s="4">
        <v>90.61</v>
      </c>
      <c r="D373" s="4">
        <v>372</v>
      </c>
      <c r="F373" s="13">
        <v>346</v>
      </c>
      <c r="G373" s="13">
        <v>65.104484932357551</v>
      </c>
      <c r="H373" s="13">
        <v>3.2255150676424478</v>
      </c>
      <c r="I373" s="13">
        <f t="shared" si="5"/>
        <v>3.2255150676424478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1:24" ht="18" x14ac:dyDescent="0.35">
      <c r="A374" s="13"/>
      <c r="B374" s="4">
        <v>90.61</v>
      </c>
      <c r="C374" s="4">
        <v>92.89</v>
      </c>
      <c r="D374" s="4">
        <v>373</v>
      </c>
      <c r="F374" s="13">
        <v>347</v>
      </c>
      <c r="G374" s="13">
        <v>67.59053656314461</v>
      </c>
      <c r="H374" s="13">
        <v>-2.5405365631446131</v>
      </c>
      <c r="I374" s="13">
        <f t="shared" si="5"/>
        <v>2.5405365631446131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1:24" ht="18" x14ac:dyDescent="0.35">
      <c r="A375" s="13"/>
      <c r="B375" s="4">
        <v>92.89</v>
      </c>
      <c r="C375" s="4">
        <v>92.18</v>
      </c>
      <c r="D375" s="4">
        <v>374</v>
      </c>
      <c r="F375" s="13">
        <v>348</v>
      </c>
      <c r="G375" s="13">
        <v>69.118089539294331</v>
      </c>
      <c r="H375" s="13">
        <v>-1.5280895392943279</v>
      </c>
      <c r="I375" s="13">
        <f t="shared" si="5"/>
        <v>1.5280895392943279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1:24" ht="18" x14ac:dyDescent="0.35">
      <c r="A376" s="13"/>
      <c r="B376" s="4">
        <v>92.18</v>
      </c>
      <c r="C376" s="4">
        <v>106.8</v>
      </c>
      <c r="D376" s="4">
        <v>375</v>
      </c>
      <c r="F376" s="13">
        <v>349</v>
      </c>
      <c r="G376" s="13">
        <v>68.953598972053683</v>
      </c>
      <c r="H376" s="13">
        <v>0.19640102794632242</v>
      </c>
      <c r="I376" s="13">
        <f t="shared" si="5"/>
        <v>0.19640102794632242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1:24" ht="18" x14ac:dyDescent="0.35">
      <c r="A377" s="13"/>
      <c r="B377" s="4">
        <v>106.8</v>
      </c>
      <c r="C377" s="4">
        <v>113.39</v>
      </c>
      <c r="D377" s="4">
        <v>376</v>
      </c>
      <c r="F377" s="13">
        <v>350</v>
      </c>
      <c r="G377" s="13">
        <v>71.605920777624746</v>
      </c>
      <c r="H377" s="13">
        <v>-2.6259207776247422</v>
      </c>
      <c r="I377" s="13">
        <f t="shared" si="5"/>
        <v>2.6259207776247422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1:24" ht="18" x14ac:dyDescent="0.35">
      <c r="A378" s="13"/>
      <c r="B378" s="4">
        <v>113.39</v>
      </c>
      <c r="C378" s="4">
        <v>100.43</v>
      </c>
      <c r="D378" s="4">
        <v>377</v>
      </c>
      <c r="F378" s="13">
        <v>351</v>
      </c>
      <c r="G378" s="13">
        <v>72.086949712486785</v>
      </c>
      <c r="H378" s="13">
        <v>-0.39694971248678712</v>
      </c>
      <c r="I378" s="13">
        <f t="shared" si="5"/>
        <v>0.39694971248678712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1:24" ht="18" x14ac:dyDescent="0.35">
      <c r="A379" s="13"/>
      <c r="B379" s="4">
        <v>100.43</v>
      </c>
      <c r="C379" s="4">
        <v>113.69</v>
      </c>
      <c r="D379" s="4">
        <v>378</v>
      </c>
      <c r="F379" s="13">
        <v>352</v>
      </c>
      <c r="G379" s="13">
        <v>75.286985034993478</v>
      </c>
      <c r="H379" s="13">
        <v>-3.1069850349934711</v>
      </c>
      <c r="I379" s="13">
        <f t="shared" si="5"/>
        <v>3.1069850349934711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1:24" ht="18" x14ac:dyDescent="0.35">
      <c r="A380" s="13"/>
      <c r="B380" s="4">
        <v>113.69</v>
      </c>
      <c r="C380" s="4">
        <v>103.89</v>
      </c>
      <c r="D380" s="4">
        <v>379</v>
      </c>
      <c r="F380" s="13">
        <v>353</v>
      </c>
      <c r="G380" s="13">
        <v>78.271847190132604</v>
      </c>
      <c r="H380" s="13">
        <v>-2.8218471901326012</v>
      </c>
      <c r="I380" s="13">
        <f t="shared" si="5"/>
        <v>2.8218471901326012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1:24" ht="18" x14ac:dyDescent="0.35">
      <c r="A381" s="13"/>
      <c r="B381" s="4">
        <v>103.89</v>
      </c>
      <c r="C381" s="4">
        <v>99.21</v>
      </c>
      <c r="D381" s="4">
        <v>380</v>
      </c>
      <c r="F381" s="13">
        <v>354</v>
      </c>
      <c r="G381" s="13">
        <v>80.894827200153557</v>
      </c>
      <c r="H381" s="13">
        <v>-2.3948272001535571</v>
      </c>
      <c r="I381" s="13">
        <f t="shared" si="5"/>
        <v>2.3948272001535571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1:24" ht="18" x14ac:dyDescent="0.35">
      <c r="A382" s="13"/>
      <c r="B382" s="4">
        <v>99.21</v>
      </c>
      <c r="C382" s="4">
        <v>101.46</v>
      </c>
      <c r="D382" s="4">
        <v>381</v>
      </c>
      <c r="F382" s="13">
        <v>355</v>
      </c>
      <c r="G382" s="13">
        <v>83.14614446653961</v>
      </c>
      <c r="H382" s="13">
        <v>-1.9661444665396033</v>
      </c>
      <c r="I382" s="13">
        <f t="shared" si="5"/>
        <v>1.9661444665396033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1:24" ht="18" x14ac:dyDescent="0.35">
      <c r="A383" s="13"/>
      <c r="B383" s="4">
        <v>101.46</v>
      </c>
      <c r="C383" s="4">
        <v>104.02</v>
      </c>
      <c r="D383" s="4">
        <v>382</v>
      </c>
      <c r="F383" s="13">
        <v>356</v>
      </c>
      <c r="G383" s="13">
        <v>83.500025620684468</v>
      </c>
      <c r="H383" s="13">
        <v>-2.0025620684464229E-2</v>
      </c>
      <c r="I383" s="13">
        <f t="shared" si="5"/>
        <v>2.0025620684464229E-2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1:24" ht="18" x14ac:dyDescent="0.35">
      <c r="A384" s="13"/>
      <c r="B384" s="4">
        <v>104.02</v>
      </c>
      <c r="C384" s="4">
        <v>102.85</v>
      </c>
      <c r="D384" s="4">
        <v>383</v>
      </c>
      <c r="F384" s="13">
        <v>357</v>
      </c>
      <c r="G384" s="13">
        <v>81.496782532302845</v>
      </c>
      <c r="H384" s="13">
        <v>2.3432174676971584</v>
      </c>
      <c r="I384" s="13">
        <f t="shared" si="5"/>
        <v>2.3432174676971584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1:24" ht="18" x14ac:dyDescent="0.35">
      <c r="A385" s="13"/>
      <c r="B385" s="4">
        <v>102.85</v>
      </c>
      <c r="C385" s="4">
        <v>106.69</v>
      </c>
      <c r="D385" s="4">
        <v>384</v>
      </c>
      <c r="F385" s="13">
        <v>358</v>
      </c>
      <c r="G385" s="13">
        <v>81.635490519080122</v>
      </c>
      <c r="H385" s="13">
        <v>0.15450948091988437</v>
      </c>
      <c r="I385" s="13">
        <f t="shared" si="5"/>
        <v>0.15450948091988437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1:24" ht="18" x14ac:dyDescent="0.35">
      <c r="A386" s="13"/>
      <c r="B386" s="4">
        <v>106.69</v>
      </c>
      <c r="C386" s="4">
        <v>105</v>
      </c>
      <c r="D386" s="4">
        <v>385</v>
      </c>
      <c r="F386" s="13">
        <v>359</v>
      </c>
      <c r="G386" s="13">
        <v>78.761774162711532</v>
      </c>
      <c r="H386" s="13">
        <v>3.1682258372884746</v>
      </c>
      <c r="I386" s="13">
        <f t="shared" si="5"/>
        <v>3.1682258372884746</v>
      </c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1:24" ht="18" x14ac:dyDescent="0.35">
      <c r="A387" s="13"/>
      <c r="B387" s="4">
        <v>105</v>
      </c>
      <c r="C387" s="4">
        <v>112.18</v>
      </c>
      <c r="D387" s="4">
        <v>386</v>
      </c>
      <c r="F387" s="13">
        <v>360</v>
      </c>
      <c r="G387" s="13">
        <v>77.589881948250039</v>
      </c>
      <c r="H387" s="13">
        <v>1.4001180517499563</v>
      </c>
      <c r="I387" s="13">
        <f t="shared" si="5"/>
        <v>1.4001180517499563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1:24" ht="18" x14ac:dyDescent="0.35">
      <c r="A388" s="13"/>
      <c r="B388" s="4">
        <v>112.18</v>
      </c>
      <c r="C388" s="4">
        <v>113.38</v>
      </c>
      <c r="D388" s="4">
        <v>387</v>
      </c>
      <c r="F388" s="13">
        <v>361</v>
      </c>
      <c r="G388" s="13">
        <v>66.9308091725824</v>
      </c>
      <c r="H388" s="13">
        <v>10.859190827417606</v>
      </c>
      <c r="I388" s="13">
        <f t="shared" si="5"/>
        <v>10.859190827417606</v>
      </c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1:24" ht="18" x14ac:dyDescent="0.35">
      <c r="A389" s="13"/>
      <c r="B389" s="4">
        <v>113.38</v>
      </c>
      <c r="C389" s="4">
        <v>116.37</v>
      </c>
      <c r="D389" s="4">
        <v>388</v>
      </c>
      <c r="F389" s="13">
        <v>362</v>
      </c>
      <c r="G389" s="13">
        <v>71.255613324510421</v>
      </c>
      <c r="H389" s="13">
        <v>-4.3656133245104201</v>
      </c>
      <c r="I389" s="13">
        <f t="shared" si="5"/>
        <v>4.3656133245104201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1:24" ht="18" x14ac:dyDescent="0.35">
      <c r="A390" s="13"/>
      <c r="B390" s="4">
        <v>116.37</v>
      </c>
      <c r="C390" s="4">
        <v>120.43</v>
      </c>
      <c r="D390" s="4">
        <v>389</v>
      </c>
      <c r="F390" s="13">
        <v>363</v>
      </c>
      <c r="G390" s="13">
        <v>71.130245151336609</v>
      </c>
      <c r="H390" s="13">
        <v>0.17975484866339286</v>
      </c>
      <c r="I390" s="13">
        <f t="shared" si="5"/>
        <v>0.17975484866339286</v>
      </c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1:24" ht="18" x14ac:dyDescent="0.35">
      <c r="A391" s="13"/>
      <c r="B391" s="4">
        <v>120.43</v>
      </c>
      <c r="C391" s="4">
        <v>116.46</v>
      </c>
      <c r="D391" s="4">
        <v>390</v>
      </c>
      <c r="F391" s="13">
        <v>364</v>
      </c>
      <c r="G391" s="13">
        <v>71.572151692131825</v>
      </c>
      <c r="H391" s="13">
        <v>-0.39215169213181866</v>
      </c>
      <c r="I391" s="13">
        <f t="shared" si="5"/>
        <v>0.39215169213181866</v>
      </c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1:24" ht="18" x14ac:dyDescent="0.35">
      <c r="A392" s="13"/>
      <c r="B392" s="4">
        <v>116.46</v>
      </c>
      <c r="C392" s="4">
        <v>107.88</v>
      </c>
      <c r="D392" s="4">
        <v>391</v>
      </c>
      <c r="F392" s="13">
        <v>365</v>
      </c>
      <c r="G392" s="13">
        <v>75.896955844059846</v>
      </c>
      <c r="H392" s="13">
        <v>-4.2669558440598507</v>
      </c>
      <c r="I392" s="13">
        <f t="shared" si="5"/>
        <v>4.2669558440598507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1:24" ht="18" x14ac:dyDescent="0.35">
      <c r="A393" s="13"/>
      <c r="B393" s="4">
        <v>107.88</v>
      </c>
      <c r="C393" s="4">
        <v>110.96</v>
      </c>
      <c r="D393" s="4">
        <v>392</v>
      </c>
      <c r="F393" s="13">
        <v>366</v>
      </c>
      <c r="G393" s="13">
        <v>77.669023783127258</v>
      </c>
      <c r="H393" s="13">
        <v>-1.6190237831272611</v>
      </c>
      <c r="I393" s="13">
        <f t="shared" si="5"/>
        <v>1.6190237831272611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1:24" ht="18" x14ac:dyDescent="0.35">
      <c r="A394" s="13"/>
      <c r="B394" s="4">
        <v>110.96</v>
      </c>
      <c r="C394" s="4">
        <v>103.32</v>
      </c>
      <c r="D394" s="4">
        <v>393</v>
      </c>
      <c r="F394" s="13">
        <v>367</v>
      </c>
      <c r="G394" s="13">
        <v>81.250502447785522</v>
      </c>
      <c r="H394" s="13">
        <v>-3.3905024477855221</v>
      </c>
      <c r="I394" s="13">
        <f t="shared" si="5"/>
        <v>3.3905024477855221</v>
      </c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1:24" ht="18" x14ac:dyDescent="0.35">
      <c r="A395" s="13"/>
      <c r="B395" s="4">
        <v>103.32</v>
      </c>
      <c r="C395" s="4">
        <v>99.92</v>
      </c>
      <c r="D395" s="4">
        <v>394</v>
      </c>
      <c r="F395" s="13">
        <v>368</v>
      </c>
      <c r="G395" s="13">
        <v>85.565526001196858</v>
      </c>
      <c r="H395" s="13">
        <v>-4.0455260011968619</v>
      </c>
      <c r="I395" s="13">
        <f t="shared" si="5"/>
        <v>4.0455260011968619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1:24" ht="18" x14ac:dyDescent="0.35">
      <c r="A396" s="13"/>
      <c r="B396" s="4">
        <v>99.92</v>
      </c>
      <c r="C396" s="4">
        <v>102.24</v>
      </c>
      <c r="D396" s="4">
        <v>395</v>
      </c>
      <c r="F396" s="13">
        <v>369</v>
      </c>
      <c r="G396" s="13">
        <v>86.555146058927662</v>
      </c>
      <c r="H396" s="13">
        <v>-0.62514605892765474</v>
      </c>
      <c r="I396" s="13">
        <f t="shared" si="5"/>
        <v>0.62514605892765474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1:24" ht="18" x14ac:dyDescent="0.35">
      <c r="A397" s="13"/>
      <c r="B397" s="4">
        <v>102.24</v>
      </c>
      <c r="C397" s="4">
        <v>99.6</v>
      </c>
      <c r="D397" s="4">
        <v>396</v>
      </c>
      <c r="F397" s="13">
        <v>370</v>
      </c>
      <c r="G397" s="13">
        <v>89.158564871915203</v>
      </c>
      <c r="H397" s="13">
        <v>-2.2185648719152056</v>
      </c>
      <c r="I397" s="13">
        <f t="shared" si="5"/>
        <v>2.2185648719152056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1:24" ht="18" x14ac:dyDescent="0.35">
      <c r="A398" s="13"/>
      <c r="B398" s="4">
        <v>99.6</v>
      </c>
      <c r="C398" s="4">
        <v>94.01</v>
      </c>
      <c r="D398" s="4">
        <v>397</v>
      </c>
      <c r="F398" s="13">
        <v>371</v>
      </c>
      <c r="G398" s="13">
        <v>90.148184929646035</v>
      </c>
      <c r="H398" s="13">
        <v>-0.54818492964604104</v>
      </c>
      <c r="I398" s="13">
        <f t="shared" si="5"/>
        <v>0.54818492964604104</v>
      </c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1:24" ht="18" x14ac:dyDescent="0.35">
      <c r="A399" s="13"/>
      <c r="B399" s="4">
        <v>94.01</v>
      </c>
      <c r="C399" s="4">
        <v>94.65</v>
      </c>
      <c r="D399" s="4">
        <v>398</v>
      </c>
      <c r="F399" s="13">
        <v>372</v>
      </c>
      <c r="G399" s="13">
        <v>92.379940998998691</v>
      </c>
      <c r="H399" s="13">
        <v>-1.7699409989986918</v>
      </c>
      <c r="I399" s="13">
        <f t="shared" si="5"/>
        <v>1.7699409989986918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1:24" ht="18" x14ac:dyDescent="0.35">
      <c r="A400" s="13"/>
      <c r="B400" s="4">
        <v>94.65</v>
      </c>
      <c r="C400" s="4">
        <v>91.81</v>
      </c>
      <c r="D400" s="4">
        <v>399</v>
      </c>
      <c r="F400" s="13">
        <v>373</v>
      </c>
      <c r="G400" s="13">
        <v>91.687298111855853</v>
      </c>
      <c r="H400" s="13">
        <v>1.2027018881441478</v>
      </c>
      <c r="I400" s="13">
        <f t="shared" si="5"/>
        <v>1.2027018881441478</v>
      </c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1:24" ht="18" x14ac:dyDescent="0.35">
      <c r="A401" s="13"/>
      <c r="B401" s="4">
        <v>91.81</v>
      </c>
      <c r="C401" s="4">
        <v>94.47</v>
      </c>
      <c r="D401" s="4">
        <v>400</v>
      </c>
      <c r="F401" s="13">
        <v>374</v>
      </c>
      <c r="G401" s="13">
        <v>105.98831275082537</v>
      </c>
      <c r="H401" s="13">
        <v>-13.808312750825365</v>
      </c>
      <c r="I401" s="13">
        <f t="shared" si="5"/>
        <v>13.808312750825365</v>
      </c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1:24" ht="18" x14ac:dyDescent="0.35">
      <c r="A402" s="13"/>
      <c r="B402" s="4">
        <v>94.47</v>
      </c>
      <c r="C402" s="4">
        <v>90.79</v>
      </c>
      <c r="D402" s="4">
        <v>401</v>
      </c>
      <c r="F402" s="13">
        <v>375</v>
      </c>
      <c r="G402" s="13">
        <v>112.43550678087891</v>
      </c>
      <c r="H402" s="13">
        <v>-5.635506780878913</v>
      </c>
      <c r="I402" s="13">
        <f t="shared" si="5"/>
        <v>5.635506780878913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1:24" ht="18" x14ac:dyDescent="0.35">
      <c r="A403" s="13"/>
      <c r="B403" s="4">
        <v>90.79</v>
      </c>
      <c r="C403" s="4">
        <v>85.29</v>
      </c>
      <c r="D403" s="4">
        <v>402</v>
      </c>
      <c r="F403" s="13">
        <v>376</v>
      </c>
      <c r="G403" s="13">
        <v>99.761630710769552</v>
      </c>
      <c r="H403" s="13">
        <v>13.628369289230449</v>
      </c>
      <c r="I403" s="13">
        <f t="shared" si="5"/>
        <v>13.628369289230449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1:24" ht="18" x14ac:dyDescent="0.35">
      <c r="A404" s="13"/>
      <c r="B404" s="4">
        <v>85.29</v>
      </c>
      <c r="C404" s="4">
        <v>87.24</v>
      </c>
      <c r="D404" s="4">
        <v>403</v>
      </c>
      <c r="F404" s="13">
        <v>377</v>
      </c>
      <c r="G404" s="13">
        <v>112.73248395146688</v>
      </c>
      <c r="H404" s="13">
        <v>-12.302483951466868</v>
      </c>
      <c r="I404" s="13">
        <f t="shared" si="5"/>
        <v>12.302483951466868</v>
      </c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1:24" ht="18" x14ac:dyDescent="0.35">
      <c r="A405" s="13"/>
      <c r="B405" s="4">
        <v>87.24</v>
      </c>
      <c r="C405" s="4">
        <v>83.46</v>
      </c>
      <c r="D405" s="4">
        <v>404</v>
      </c>
      <c r="F405" s="13">
        <v>378</v>
      </c>
      <c r="G405" s="13">
        <v>103.14927701263706</v>
      </c>
      <c r="H405" s="13">
        <v>10.54072298736294</v>
      </c>
      <c r="I405" s="13">
        <f t="shared" si="5"/>
        <v>10.54072298736294</v>
      </c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1:24" ht="18" x14ac:dyDescent="0.35">
      <c r="A406" s="13"/>
      <c r="B406" s="4">
        <v>83.46</v>
      </c>
      <c r="C406" s="4">
        <v>80.08</v>
      </c>
      <c r="D406" s="4">
        <v>405</v>
      </c>
      <c r="F406" s="13">
        <v>379</v>
      </c>
      <c r="G406" s="13">
        <v>98.573736514361386</v>
      </c>
      <c r="H406" s="13">
        <v>5.3162634856386148</v>
      </c>
      <c r="I406" s="13">
        <f t="shared" si="5"/>
        <v>5.3162634856386148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1:24" ht="18" x14ac:dyDescent="0.35">
      <c r="A407" s="13"/>
      <c r="B407" s="4">
        <v>80.08</v>
      </c>
      <c r="C407" s="4">
        <v>88.22</v>
      </c>
      <c r="D407" s="4">
        <v>406</v>
      </c>
      <c r="F407" s="13">
        <v>380</v>
      </c>
      <c r="G407" s="13">
        <v>100.77615078816392</v>
      </c>
      <c r="H407" s="13">
        <v>-1.5661507881639238</v>
      </c>
      <c r="I407" s="13">
        <f t="shared" si="5"/>
        <v>1.5661507881639238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1:24" ht="18" x14ac:dyDescent="0.35">
      <c r="A408" s="13"/>
      <c r="B408" s="4">
        <v>88.22</v>
      </c>
      <c r="C408" s="4">
        <v>88.97</v>
      </c>
      <c r="D408" s="4">
        <v>407</v>
      </c>
      <c r="F408" s="13">
        <v>381</v>
      </c>
      <c r="G408" s="13">
        <v>103.28176361598439</v>
      </c>
      <c r="H408" s="13">
        <v>-1.8217636159843948</v>
      </c>
      <c r="I408" s="13">
        <f t="shared" si="5"/>
        <v>1.8217636159843948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1:24" ht="18" x14ac:dyDescent="0.35">
      <c r="A409" s="13"/>
      <c r="B409" s="4">
        <v>88.97</v>
      </c>
      <c r="C409" s="4">
        <v>85.36</v>
      </c>
      <c r="D409" s="4">
        <v>408</v>
      </c>
      <c r="F409" s="13">
        <v>382</v>
      </c>
      <c r="G409" s="13">
        <v>102.139213197073</v>
      </c>
      <c r="H409" s="13">
        <v>1.8807868029269912</v>
      </c>
      <c r="I409" s="13">
        <f t="shared" si="5"/>
        <v>1.8807868029269912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1:24" ht="18" x14ac:dyDescent="0.35">
      <c r="A410" s="13"/>
      <c r="B410" s="4">
        <v>85.36</v>
      </c>
      <c r="C410" s="4">
        <v>87.87</v>
      </c>
      <c r="D410" s="4">
        <v>409</v>
      </c>
      <c r="F410" s="13">
        <v>383</v>
      </c>
      <c r="G410" s="13">
        <v>105.896742635032</v>
      </c>
      <c r="H410" s="13">
        <v>-3.0467426350320039</v>
      </c>
      <c r="I410" s="13">
        <f t="shared" si="5"/>
        <v>3.0467426350320039</v>
      </c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1:24" ht="18" x14ac:dyDescent="0.35">
      <c r="A411" s="13"/>
      <c r="B411" s="4">
        <v>87.87</v>
      </c>
      <c r="C411" s="4">
        <v>89.14</v>
      </c>
      <c r="D411" s="4">
        <v>410</v>
      </c>
      <c r="F411" s="13">
        <v>384</v>
      </c>
      <c r="G411" s="13">
        <v>104.24560109325185</v>
      </c>
      <c r="H411" s="13">
        <v>2.4443989067481482</v>
      </c>
      <c r="I411" s="13">
        <f t="shared" si="5"/>
        <v>2.4443989067481482</v>
      </c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1:24" ht="18" x14ac:dyDescent="0.35">
      <c r="A412" s="13"/>
      <c r="B412" s="4">
        <v>89.14</v>
      </c>
      <c r="C412" s="4">
        <v>88.41</v>
      </c>
      <c r="D412" s="4">
        <v>411</v>
      </c>
      <c r="F412" s="13">
        <v>385</v>
      </c>
      <c r="G412" s="13">
        <v>111.26985043579111</v>
      </c>
      <c r="H412" s="13">
        <v>-6.2698504357911133</v>
      </c>
      <c r="I412" s="13">
        <f t="shared" si="5"/>
        <v>6.2698504357911133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1:24" ht="18" x14ac:dyDescent="0.35">
      <c r="A413" s="13"/>
      <c r="B413" s="4">
        <v>88.41</v>
      </c>
      <c r="C413" s="4">
        <v>84.02</v>
      </c>
      <c r="D413" s="4">
        <v>412</v>
      </c>
      <c r="F413" s="13">
        <v>386</v>
      </c>
      <c r="G413" s="13">
        <v>112.44530186533937</v>
      </c>
      <c r="H413" s="13">
        <v>-0.26530186533936728</v>
      </c>
      <c r="I413" s="13">
        <f t="shared" ref="I413:I476" si="6">ABS(H413)</f>
        <v>0.26530186533936728</v>
      </c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1:24" ht="18" x14ac:dyDescent="0.35">
      <c r="A414" s="13"/>
      <c r="B414" s="4">
        <v>84.02</v>
      </c>
      <c r="C414" s="4">
        <v>78.739999999999995</v>
      </c>
      <c r="D414" s="4">
        <v>413</v>
      </c>
      <c r="F414" s="13">
        <v>387</v>
      </c>
      <c r="G414" s="13">
        <v>115.37148042937825</v>
      </c>
      <c r="H414" s="13">
        <v>-1.9914804293782566</v>
      </c>
      <c r="I414" s="13">
        <f t="shared" si="6"/>
        <v>1.9914804293782566</v>
      </c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1:24" ht="18" x14ac:dyDescent="0.35">
      <c r="A415" s="13"/>
      <c r="B415" s="4">
        <v>78.739999999999995</v>
      </c>
      <c r="C415" s="4">
        <v>79.290000000000006</v>
      </c>
      <c r="D415" s="4">
        <v>414</v>
      </c>
      <c r="F415" s="13">
        <v>388</v>
      </c>
      <c r="G415" s="13">
        <v>119.34418303470481</v>
      </c>
      <c r="H415" s="13">
        <v>-2.9741830347048079</v>
      </c>
      <c r="I415" s="13">
        <f t="shared" si="6"/>
        <v>2.9741830347048079</v>
      </c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1:24" ht="18" x14ac:dyDescent="0.35">
      <c r="A416" s="13"/>
      <c r="B416" s="4">
        <v>79.290000000000006</v>
      </c>
      <c r="C416" s="4">
        <v>73.06</v>
      </c>
      <c r="D416" s="4">
        <v>415</v>
      </c>
      <c r="F416" s="13">
        <v>389</v>
      </c>
      <c r="G416" s="13">
        <v>115.46306503111536</v>
      </c>
      <c r="H416" s="13">
        <v>4.9669349688846438</v>
      </c>
      <c r="I416" s="13">
        <f t="shared" si="6"/>
        <v>4.9669349688846438</v>
      </c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1:24" ht="18" x14ac:dyDescent="0.35">
      <c r="A417" s="13"/>
      <c r="B417" s="4">
        <v>73.06</v>
      </c>
      <c r="C417" s="4">
        <v>75.12</v>
      </c>
      <c r="D417" s="4">
        <v>416</v>
      </c>
      <c r="F417" s="13">
        <v>390</v>
      </c>
      <c r="G417" s="13">
        <v>107.07309111132383</v>
      </c>
      <c r="H417" s="13">
        <v>9.3869088886761602</v>
      </c>
      <c r="I417" s="13">
        <f t="shared" si="6"/>
        <v>9.3869088886761602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1:24" ht="18" x14ac:dyDescent="0.35">
      <c r="A418" s="13"/>
      <c r="B418" s="4">
        <v>75.12</v>
      </c>
      <c r="C418" s="4">
        <v>77.28</v>
      </c>
      <c r="D418" s="4">
        <v>417</v>
      </c>
      <c r="F418" s="13">
        <v>391</v>
      </c>
      <c r="G418" s="13">
        <v>110.08729506201308</v>
      </c>
      <c r="H418" s="13">
        <v>-2.2072950620130882</v>
      </c>
      <c r="I418" s="13">
        <f t="shared" si="6"/>
        <v>2.2072950620130882</v>
      </c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1:24" ht="18" x14ac:dyDescent="0.35">
      <c r="A419" s="13"/>
      <c r="B419" s="4">
        <v>77.28</v>
      </c>
      <c r="C419" s="4">
        <v>79.23</v>
      </c>
      <c r="D419" s="4">
        <v>418</v>
      </c>
      <c r="F419" s="13">
        <v>392</v>
      </c>
      <c r="G419" s="13">
        <v>102.61669740279204</v>
      </c>
      <c r="H419" s="13">
        <v>8.343302597207952</v>
      </c>
      <c r="I419" s="13">
        <f t="shared" si="6"/>
        <v>8.343302597207952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1:24" ht="18" x14ac:dyDescent="0.35">
      <c r="A420" s="13"/>
      <c r="B420" s="4">
        <v>79.23</v>
      </c>
      <c r="C420" s="4">
        <v>74.27</v>
      </c>
      <c r="D420" s="4">
        <v>419</v>
      </c>
      <c r="F420" s="13">
        <v>393</v>
      </c>
      <c r="G420" s="13">
        <v>99.293073514654935</v>
      </c>
      <c r="H420" s="13">
        <v>4.0269264853450579</v>
      </c>
      <c r="I420" s="13">
        <f t="shared" si="6"/>
        <v>4.0269264853450579</v>
      </c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1:24" ht="18" x14ac:dyDescent="0.35">
      <c r="A421" s="13"/>
      <c r="B421" s="4">
        <v>74.27</v>
      </c>
      <c r="C421" s="4">
        <v>77.099999999999994</v>
      </c>
      <c r="D421" s="4">
        <v>420</v>
      </c>
      <c r="F421" s="13">
        <v>394</v>
      </c>
      <c r="G421" s="13">
        <v>101.5639519780744</v>
      </c>
      <c r="H421" s="13">
        <v>-1.6439519780743979</v>
      </c>
      <c r="I421" s="13">
        <f t="shared" si="6"/>
        <v>1.6439519780743979</v>
      </c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1:24" ht="18" x14ac:dyDescent="0.35">
      <c r="A422" s="13"/>
      <c r="B422" s="4">
        <v>77.099999999999994</v>
      </c>
      <c r="C422" s="4">
        <v>80.34</v>
      </c>
      <c r="D422" s="4">
        <v>421</v>
      </c>
      <c r="F422" s="13">
        <v>395</v>
      </c>
      <c r="G422" s="13">
        <v>98.98365357720705</v>
      </c>
      <c r="H422" s="13">
        <v>3.2563464227929444</v>
      </c>
      <c r="I422" s="13">
        <f t="shared" si="6"/>
        <v>3.2563464227929444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1:24" ht="18" x14ac:dyDescent="0.35">
      <c r="A423" s="13"/>
      <c r="B423" s="4">
        <v>80.34</v>
      </c>
      <c r="C423" s="4">
        <v>80.33</v>
      </c>
      <c r="D423" s="4">
        <v>422</v>
      </c>
      <c r="F423" s="13">
        <v>396</v>
      </c>
      <c r="G423" s="13">
        <v>93.51807861391103</v>
      </c>
      <c r="H423" s="13">
        <v>6.0819213860889647</v>
      </c>
      <c r="I423" s="13">
        <f t="shared" si="6"/>
        <v>6.0819213860889647</v>
      </c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1:24" ht="18" x14ac:dyDescent="0.35">
      <c r="A424" s="13"/>
      <c r="B424" s="4">
        <v>80.33</v>
      </c>
      <c r="C424" s="4">
        <v>76.510000000000005</v>
      </c>
      <c r="D424" s="4">
        <v>423</v>
      </c>
      <c r="F424" s="13">
        <v>397</v>
      </c>
      <c r="G424" s="13">
        <v>94.145816526523689</v>
      </c>
      <c r="H424" s="13">
        <v>-0.13581652652368348</v>
      </c>
      <c r="I424" s="13">
        <f t="shared" si="6"/>
        <v>0.13581652652368348</v>
      </c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1:24" ht="18" x14ac:dyDescent="0.35">
      <c r="A425" s="13"/>
      <c r="B425" s="4">
        <v>76.510000000000005</v>
      </c>
      <c r="C425" s="4">
        <v>77.510000000000005</v>
      </c>
      <c r="D425" s="4">
        <v>424</v>
      </c>
      <c r="F425" s="13">
        <v>398</v>
      </c>
      <c r="G425" s="13">
        <v>91.36990615532217</v>
      </c>
      <c r="H425" s="13">
        <v>3.280093844677836</v>
      </c>
      <c r="I425" s="13">
        <f t="shared" si="6"/>
        <v>3.280093844677836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1:24" ht="18" x14ac:dyDescent="0.35">
      <c r="A426" s="13"/>
      <c r="B426" s="4">
        <v>77.510000000000005</v>
      </c>
      <c r="C426" s="4">
        <v>78.510000000000005</v>
      </c>
      <c r="D426" s="4">
        <v>425</v>
      </c>
      <c r="F426" s="13">
        <v>399</v>
      </c>
      <c r="G426" s="13">
        <v>93.973324968309697</v>
      </c>
      <c r="H426" s="13">
        <v>-2.1633249683096949</v>
      </c>
      <c r="I426" s="13">
        <f t="shared" si="6"/>
        <v>2.1633249683096949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1:24" ht="18" x14ac:dyDescent="0.35">
      <c r="A427" s="13"/>
      <c r="B427" s="4">
        <v>78.510000000000005</v>
      </c>
      <c r="C427" s="4">
        <v>75.42</v>
      </c>
      <c r="D427" s="4">
        <v>426</v>
      </c>
      <c r="F427" s="13">
        <v>400</v>
      </c>
      <c r="G427" s="13">
        <v>90.37584432170479</v>
      </c>
      <c r="H427" s="13">
        <v>4.0941556782952091</v>
      </c>
      <c r="I427" s="13">
        <f t="shared" si="6"/>
        <v>4.0941556782952091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1:24" ht="18" x14ac:dyDescent="0.35">
      <c r="A428" s="13"/>
      <c r="B428" s="4">
        <v>75.42</v>
      </c>
      <c r="C428" s="4">
        <v>77.540000000000006</v>
      </c>
      <c r="D428" s="4">
        <v>427</v>
      </c>
      <c r="F428" s="13">
        <v>401</v>
      </c>
      <c r="G428" s="13">
        <v>84.998294745059113</v>
      </c>
      <c r="H428" s="13">
        <v>5.7917052549408936</v>
      </c>
      <c r="I428" s="13">
        <f t="shared" si="6"/>
        <v>5.7917052549408936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1:24" ht="18" x14ac:dyDescent="0.35">
      <c r="A429" s="13"/>
      <c r="B429" s="4">
        <v>77.540000000000006</v>
      </c>
      <c r="C429" s="4">
        <v>77.31</v>
      </c>
      <c r="D429" s="4">
        <v>428</v>
      </c>
      <c r="F429" s="13">
        <v>402</v>
      </c>
      <c r="G429" s="13">
        <v>86.907291063360418</v>
      </c>
      <c r="H429" s="13">
        <v>-1.6172910633604118</v>
      </c>
      <c r="I429" s="13">
        <f t="shared" si="6"/>
        <v>1.6172910633604118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1:24" ht="18" x14ac:dyDescent="0.35">
      <c r="A430" s="13"/>
      <c r="B430" s="4">
        <v>77.31</v>
      </c>
      <c r="C430" s="4">
        <v>69.599999999999994</v>
      </c>
      <c r="D430" s="4">
        <v>429</v>
      </c>
      <c r="F430" s="13">
        <v>403</v>
      </c>
      <c r="G430" s="13">
        <v>83.212004431588412</v>
      </c>
      <c r="H430" s="13">
        <v>4.0279955684115833</v>
      </c>
      <c r="I430" s="13">
        <f t="shared" si="6"/>
        <v>4.0279955684115833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1:24" ht="18" x14ac:dyDescent="0.35">
      <c r="A431" s="13"/>
      <c r="B431" s="4">
        <v>69.599999999999994</v>
      </c>
      <c r="C431" s="4">
        <v>69.33</v>
      </c>
      <c r="D431" s="4">
        <v>430</v>
      </c>
      <c r="F431" s="13">
        <v>404</v>
      </c>
      <c r="G431" s="13">
        <v>79.907941740484716</v>
      </c>
      <c r="H431" s="13">
        <v>3.5520582595152774</v>
      </c>
      <c r="I431" s="13">
        <f t="shared" si="6"/>
        <v>3.5520582595152774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1:24" ht="18" x14ac:dyDescent="0.35">
      <c r="A432" s="13"/>
      <c r="B432" s="4">
        <v>69.33</v>
      </c>
      <c r="C432" s="4">
        <v>73.790000000000006</v>
      </c>
      <c r="D432" s="4">
        <v>431</v>
      </c>
      <c r="F432" s="13">
        <v>405</v>
      </c>
      <c r="G432" s="13">
        <v>87.871128540627879</v>
      </c>
      <c r="H432" s="13">
        <v>-7.7911285406278807</v>
      </c>
      <c r="I432" s="13">
        <f t="shared" si="6"/>
        <v>7.7911285406278807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1:24" ht="18" x14ac:dyDescent="0.35">
      <c r="A433" s="13"/>
      <c r="B433" s="4">
        <v>73.790000000000006</v>
      </c>
      <c r="C433" s="4">
        <v>80.62</v>
      </c>
      <c r="D433" s="4">
        <v>432</v>
      </c>
      <c r="F433" s="13">
        <v>406</v>
      </c>
      <c r="G433" s="13">
        <v>88.606453036924307</v>
      </c>
      <c r="H433" s="13">
        <v>-0.38645303692430844</v>
      </c>
      <c r="I433" s="13">
        <f t="shared" si="6"/>
        <v>0.38645303692430844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1:24" ht="18" x14ac:dyDescent="0.35">
      <c r="A434" s="13"/>
      <c r="B434" s="4">
        <v>80.62</v>
      </c>
      <c r="C434" s="4">
        <v>81.87</v>
      </c>
      <c r="D434" s="4">
        <v>433</v>
      </c>
      <c r="F434" s="13">
        <v>407</v>
      </c>
      <c r="G434" s="13">
        <v>85.077436579936347</v>
      </c>
      <c r="H434" s="13">
        <v>3.8925634200636523</v>
      </c>
      <c r="I434" s="13">
        <f t="shared" si="6"/>
        <v>3.8925634200636523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1:24" ht="18" x14ac:dyDescent="0.35">
      <c r="A435" s="13"/>
      <c r="B435" s="4">
        <v>81.87</v>
      </c>
      <c r="C435" s="4">
        <v>79.22</v>
      </c>
      <c r="D435" s="4">
        <v>434</v>
      </c>
      <c r="F435" s="13">
        <v>408</v>
      </c>
      <c r="G435" s="13">
        <v>87.534146415173268</v>
      </c>
      <c r="H435" s="13">
        <v>-2.1741464151732686</v>
      </c>
      <c r="I435" s="13">
        <f t="shared" si="6"/>
        <v>2.1741464151732686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1:24" ht="18" x14ac:dyDescent="0.35">
      <c r="A436" s="13"/>
      <c r="B436" s="4">
        <v>79.22</v>
      </c>
      <c r="C436" s="4">
        <v>76.31</v>
      </c>
      <c r="D436" s="4">
        <v>435</v>
      </c>
      <c r="F436" s="13">
        <v>409</v>
      </c>
      <c r="G436" s="13">
        <v>88.778062034338475</v>
      </c>
      <c r="H436" s="13">
        <v>-0.90806203433847088</v>
      </c>
      <c r="I436" s="13">
        <f t="shared" si="6"/>
        <v>0.90806203433847088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1:24" ht="18" x14ac:dyDescent="0.35">
      <c r="A437" s="13"/>
      <c r="B437" s="4">
        <v>76.31</v>
      </c>
      <c r="C437" s="4">
        <v>71.16</v>
      </c>
      <c r="D437" s="4">
        <v>436</v>
      </c>
      <c r="F437" s="13">
        <v>410</v>
      </c>
      <c r="G437" s="13">
        <v>88.065857950162211</v>
      </c>
      <c r="H437" s="13">
        <v>1.0741420498377892</v>
      </c>
      <c r="I437" s="13">
        <f t="shared" si="6"/>
        <v>1.0741420498377892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1:24" ht="18" x14ac:dyDescent="0.35">
      <c r="A438" s="13"/>
      <c r="B438" s="4">
        <v>71.16</v>
      </c>
      <c r="C438" s="4">
        <v>72.03</v>
      </c>
      <c r="D438" s="4">
        <v>437</v>
      </c>
      <c r="F438" s="13">
        <v>411</v>
      </c>
      <c r="G438" s="13">
        <v>83.773954808871068</v>
      </c>
      <c r="H438" s="13">
        <v>4.6360451911289289</v>
      </c>
      <c r="I438" s="13">
        <f t="shared" si="6"/>
        <v>4.6360451911289289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1:24" ht="18" x14ac:dyDescent="0.35">
      <c r="A439" s="13"/>
      <c r="B439" s="4">
        <v>72.03</v>
      </c>
      <c r="C439" s="4">
        <v>71.62</v>
      </c>
      <c r="D439" s="4">
        <v>438</v>
      </c>
      <c r="F439" s="13">
        <v>412</v>
      </c>
      <c r="G439" s="13">
        <v>78.611578399592958</v>
      </c>
      <c r="H439" s="13">
        <v>5.4084216004070385</v>
      </c>
      <c r="I439" s="13">
        <f t="shared" si="6"/>
        <v>5.4084216004070385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1:24" ht="18" x14ac:dyDescent="0.35">
      <c r="A440" s="13"/>
      <c r="B440" s="4">
        <v>71.62</v>
      </c>
      <c r="C440" s="4">
        <v>72.62</v>
      </c>
      <c r="D440" s="4">
        <v>439</v>
      </c>
      <c r="F440" s="13">
        <v>413</v>
      </c>
      <c r="G440" s="13">
        <v>79.151290925555259</v>
      </c>
      <c r="H440" s="13">
        <v>-0.4112909255552637</v>
      </c>
      <c r="I440" s="13">
        <f t="shared" si="6"/>
        <v>0.4112909255552637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1:24" ht="18" x14ac:dyDescent="0.35">
      <c r="A441" s="13"/>
      <c r="B441" s="4">
        <v>72.62</v>
      </c>
      <c r="C441" s="4">
        <v>69.849999999999994</v>
      </c>
      <c r="D441" s="4">
        <v>440</v>
      </c>
      <c r="F441" s="13">
        <v>414</v>
      </c>
      <c r="G441" s="13">
        <v>73.059757657189962</v>
      </c>
      <c r="H441" s="13">
        <v>6.230242342810044</v>
      </c>
      <c r="I441" s="13">
        <f t="shared" si="6"/>
        <v>6.230242342810044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1:24" ht="18" x14ac:dyDescent="0.35">
      <c r="A442" s="13"/>
      <c r="B442" s="4">
        <v>69.849999999999994</v>
      </c>
      <c r="C442" s="4">
        <v>71.56</v>
      </c>
      <c r="D442" s="4">
        <v>441</v>
      </c>
      <c r="F442" s="13">
        <v>415</v>
      </c>
      <c r="G442" s="13">
        <v>75.076340559175037</v>
      </c>
      <c r="H442" s="13">
        <v>-2.0163405591750347</v>
      </c>
      <c r="I442" s="13">
        <f t="shared" si="6"/>
        <v>2.0163405591750347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1:24" ht="18" x14ac:dyDescent="0.35">
      <c r="A443" s="13"/>
      <c r="B443" s="4">
        <v>71.56</v>
      </c>
      <c r="C443" s="4">
        <v>69.42</v>
      </c>
      <c r="D443" s="4">
        <v>442</v>
      </c>
      <c r="F443" s="13">
        <v>416</v>
      </c>
      <c r="G443" s="13">
        <v>77.190729446327211</v>
      </c>
      <c r="H443" s="13">
        <v>-2.0707294463272063</v>
      </c>
      <c r="I443" s="13">
        <f t="shared" si="6"/>
        <v>2.0707294463272063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1:24" ht="18" x14ac:dyDescent="0.35">
      <c r="A444" s="13"/>
      <c r="B444" s="4">
        <v>69.42</v>
      </c>
      <c r="C444" s="4">
        <v>70.41</v>
      </c>
      <c r="D444" s="4">
        <v>443</v>
      </c>
      <c r="F444" s="13">
        <v>417</v>
      </c>
      <c r="G444" s="13">
        <v>79.099725764628531</v>
      </c>
      <c r="H444" s="13">
        <v>-1.8197257646285294</v>
      </c>
      <c r="I444" s="13">
        <f t="shared" si="6"/>
        <v>1.8197257646285294</v>
      </c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1:24" ht="18" x14ac:dyDescent="0.35">
      <c r="A445" s="13"/>
      <c r="B445" s="4">
        <v>70.41</v>
      </c>
      <c r="C445" s="4">
        <v>69.36</v>
      </c>
      <c r="D445" s="4">
        <v>444</v>
      </c>
      <c r="F445" s="13">
        <v>418</v>
      </c>
      <c r="G445" s="13">
        <v>74.250328507885058</v>
      </c>
      <c r="H445" s="13">
        <v>4.9796714921149459</v>
      </c>
      <c r="I445" s="13">
        <f t="shared" si="6"/>
        <v>4.9796714921149459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1:24" ht="18" x14ac:dyDescent="0.35">
      <c r="A446" s="13"/>
      <c r="B446" s="4">
        <v>69.36</v>
      </c>
      <c r="C446" s="4">
        <v>71.790000000000006</v>
      </c>
      <c r="D446" s="4">
        <v>445</v>
      </c>
      <c r="F446" s="13">
        <v>419</v>
      </c>
      <c r="G446" s="13">
        <v>77.020017495656603</v>
      </c>
      <c r="H446" s="13">
        <v>-2.750017495656607</v>
      </c>
      <c r="I446" s="13">
        <f t="shared" si="6"/>
        <v>2.750017495656607</v>
      </c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1:24" ht="18" x14ac:dyDescent="0.35">
      <c r="A447" s="13"/>
      <c r="B447" s="4">
        <v>71.790000000000006</v>
      </c>
      <c r="C447" s="4">
        <v>75.2</v>
      </c>
      <c r="D447" s="4">
        <v>446</v>
      </c>
      <c r="F447" s="13">
        <v>420</v>
      </c>
      <c r="G447" s="13">
        <v>80.190711022613186</v>
      </c>
      <c r="H447" s="13">
        <v>-3.090711022613192</v>
      </c>
      <c r="I447" s="13">
        <f t="shared" si="6"/>
        <v>3.090711022613192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1:24" ht="18" x14ac:dyDescent="0.35">
      <c r="A448" s="13"/>
      <c r="B448" s="4">
        <v>75.2</v>
      </c>
      <c r="C448" s="4">
        <v>75.61</v>
      </c>
      <c r="D448" s="4">
        <v>447</v>
      </c>
      <c r="F448" s="13">
        <v>421</v>
      </c>
      <c r="G448" s="13">
        <v>80.182710031639857</v>
      </c>
      <c r="H448" s="13">
        <v>0.1572899683601463</v>
      </c>
      <c r="I448" s="13">
        <f t="shared" si="6"/>
        <v>0.1572899683601463</v>
      </c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1:24" ht="18" x14ac:dyDescent="0.35">
      <c r="A449" s="13"/>
      <c r="B449" s="4">
        <v>75.61</v>
      </c>
      <c r="C449" s="4">
        <v>79.680000000000007</v>
      </c>
      <c r="D449" s="4">
        <v>448</v>
      </c>
      <c r="F449" s="13">
        <v>422</v>
      </c>
      <c r="G449" s="13">
        <v>76.448301005801042</v>
      </c>
      <c r="H449" s="13">
        <v>3.8816989941989561</v>
      </c>
      <c r="I449" s="13">
        <f t="shared" si="6"/>
        <v>3.8816989941989561</v>
      </c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1:24" ht="18" x14ac:dyDescent="0.35">
      <c r="A450" s="13"/>
      <c r="B450" s="4">
        <v>79.680000000000007</v>
      </c>
      <c r="C450" s="4">
        <v>81.400000000000006</v>
      </c>
      <c r="D450" s="4">
        <v>449</v>
      </c>
      <c r="F450" s="13">
        <v>423</v>
      </c>
      <c r="G450" s="13">
        <v>77.428140465015147</v>
      </c>
      <c r="H450" s="13">
        <v>-0.91814046501514213</v>
      </c>
      <c r="I450" s="13">
        <f t="shared" si="6"/>
        <v>0.91814046501514213</v>
      </c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1:24" ht="18" x14ac:dyDescent="0.35">
      <c r="A451" s="13"/>
      <c r="B451" s="4">
        <v>81.400000000000006</v>
      </c>
      <c r="C451" s="4">
        <v>83.04</v>
      </c>
      <c r="D451" s="4">
        <v>450</v>
      </c>
      <c r="F451" s="13">
        <v>424</v>
      </c>
      <c r="G451" s="13">
        <v>78.407979924229267</v>
      </c>
      <c r="H451" s="13">
        <v>-0.89797992422926143</v>
      </c>
      <c r="I451" s="13">
        <f t="shared" si="6"/>
        <v>0.89797992422926143</v>
      </c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1:24" ht="18" x14ac:dyDescent="0.35">
      <c r="A452" s="13"/>
      <c r="B452" s="4">
        <v>83.04</v>
      </c>
      <c r="C452" s="4">
        <v>80.930000000000007</v>
      </c>
      <c r="D452" s="4">
        <v>451</v>
      </c>
      <c r="F452" s="13">
        <v>425</v>
      </c>
      <c r="G452" s="13">
        <v>75.387554590110071</v>
      </c>
      <c r="H452" s="13">
        <v>3.1224454098899344</v>
      </c>
      <c r="I452" s="13">
        <f t="shared" si="6"/>
        <v>3.1224454098899344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1:24" ht="18" x14ac:dyDescent="0.35">
      <c r="A453" s="13"/>
      <c r="B453" s="4">
        <v>80.930000000000007</v>
      </c>
      <c r="C453" s="4">
        <v>79.97</v>
      </c>
      <c r="D453" s="4">
        <v>452</v>
      </c>
      <c r="F453" s="13">
        <v>426</v>
      </c>
      <c r="G453" s="13">
        <v>77.462821083195394</v>
      </c>
      <c r="H453" s="13">
        <v>-2.0428210831953919</v>
      </c>
      <c r="I453" s="13">
        <f t="shared" si="6"/>
        <v>2.0428210831953919</v>
      </c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1:24" ht="18" x14ac:dyDescent="0.35">
      <c r="A454" s="13"/>
      <c r="B454" s="4">
        <v>79.97</v>
      </c>
      <c r="C454" s="4">
        <v>82.5</v>
      </c>
      <c r="D454" s="4">
        <v>453</v>
      </c>
      <c r="F454" s="13">
        <v>427</v>
      </c>
      <c r="G454" s="13">
        <v>77.239646924854512</v>
      </c>
      <c r="H454" s="13">
        <v>0.30035307514549459</v>
      </c>
      <c r="I454" s="13">
        <f t="shared" si="6"/>
        <v>0.30035307514549459</v>
      </c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1:24" ht="18" x14ac:dyDescent="0.35">
      <c r="A455" s="13"/>
      <c r="B455" s="4">
        <v>82.5</v>
      </c>
      <c r="C455" s="4">
        <v>87.17</v>
      </c>
      <c r="D455" s="4">
        <v>454</v>
      </c>
      <c r="F455" s="13">
        <v>428</v>
      </c>
      <c r="G455" s="13">
        <v>69.700585076016523</v>
      </c>
      <c r="H455" s="13">
        <v>7.6094149239834792</v>
      </c>
      <c r="I455" s="13">
        <f t="shared" si="6"/>
        <v>7.6094149239834792</v>
      </c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1:24" ht="18" x14ac:dyDescent="0.35">
      <c r="A456" s="13"/>
      <c r="B456" s="4">
        <v>87.17</v>
      </c>
      <c r="C456" s="4">
        <v>89.14</v>
      </c>
      <c r="D456" s="4">
        <v>455</v>
      </c>
      <c r="F456" s="13">
        <v>429</v>
      </c>
      <c r="G456" s="13">
        <v>69.438288523608804</v>
      </c>
      <c r="H456" s="13">
        <v>0.16171147639118999</v>
      </c>
      <c r="I456" s="13">
        <f t="shared" si="6"/>
        <v>0.16171147639118999</v>
      </c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1:24" ht="18" x14ac:dyDescent="0.35">
      <c r="A457" s="13"/>
      <c r="B457" s="4">
        <v>89.14</v>
      </c>
      <c r="C457" s="4">
        <v>90.28</v>
      </c>
      <c r="D457" s="4">
        <v>456</v>
      </c>
      <c r="F457" s="13">
        <v>430</v>
      </c>
      <c r="G457" s="13">
        <v>73.802215069603662</v>
      </c>
      <c r="H457" s="13">
        <v>-4.4722150696036636</v>
      </c>
      <c r="I457" s="13">
        <f t="shared" si="6"/>
        <v>4.4722150696036636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1:24" ht="18" x14ac:dyDescent="0.35">
      <c r="A458" s="13"/>
      <c r="B458" s="4">
        <v>90.28</v>
      </c>
      <c r="C458" s="4">
        <v>91.44</v>
      </c>
      <c r="D458" s="4">
        <v>457</v>
      </c>
      <c r="F458" s="13">
        <v>431</v>
      </c>
      <c r="G458" s="13">
        <v>80.484143464058164</v>
      </c>
      <c r="H458" s="13">
        <v>-6.6941434640581576</v>
      </c>
      <c r="I458" s="13">
        <f t="shared" si="6"/>
        <v>6.6941434640581576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1:24" ht="18" x14ac:dyDescent="0.35">
      <c r="A459" s="13"/>
      <c r="B459" s="4">
        <v>91.44</v>
      </c>
      <c r="C459" s="4">
        <v>85.5</v>
      </c>
      <c r="D459" s="4">
        <v>458</v>
      </c>
      <c r="F459" s="13">
        <v>432</v>
      </c>
      <c r="G459" s="13">
        <v>81.708497886189974</v>
      </c>
      <c r="H459" s="13">
        <v>-1.0884978861899697</v>
      </c>
      <c r="I459" s="13">
        <f t="shared" si="6"/>
        <v>1.0884978861899697</v>
      </c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1:24" ht="18" x14ac:dyDescent="0.35">
      <c r="A460" s="13"/>
      <c r="B460" s="4">
        <v>85.5</v>
      </c>
      <c r="C460" s="4">
        <v>85.03</v>
      </c>
      <c r="D460" s="4">
        <v>459</v>
      </c>
      <c r="F460" s="13">
        <v>433</v>
      </c>
      <c r="G460" s="13">
        <v>79.118418886805884</v>
      </c>
      <c r="H460" s="13">
        <v>2.7515811131941206</v>
      </c>
      <c r="I460" s="13">
        <f t="shared" si="6"/>
        <v>2.7515811131941206</v>
      </c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1:24" ht="18" x14ac:dyDescent="0.35">
      <c r="A461" s="13"/>
      <c r="B461" s="4">
        <v>85.03</v>
      </c>
      <c r="C461" s="4">
        <v>88.03</v>
      </c>
      <c r="D461" s="4">
        <v>460</v>
      </c>
      <c r="F461" s="13">
        <v>434</v>
      </c>
      <c r="G461" s="13">
        <v>76.274044325987433</v>
      </c>
      <c r="H461" s="13">
        <v>2.9459556740125663</v>
      </c>
      <c r="I461" s="13">
        <f t="shared" si="6"/>
        <v>2.9459556740125663</v>
      </c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1:24" ht="18" x14ac:dyDescent="0.35">
      <c r="A462" s="13"/>
      <c r="B462" s="4">
        <v>88.03</v>
      </c>
      <c r="C462" s="4">
        <v>85.2</v>
      </c>
      <c r="D462" s="4">
        <v>461</v>
      </c>
      <c r="F462" s="13">
        <v>435</v>
      </c>
      <c r="G462" s="13">
        <v>71.238815697426517</v>
      </c>
      <c r="H462" s="13">
        <v>5.0711843025734851</v>
      </c>
      <c r="I462" s="13">
        <f t="shared" si="6"/>
        <v>5.0711843025734851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1:24" ht="18" x14ac:dyDescent="0.35">
      <c r="A463" s="13"/>
      <c r="B463" s="4">
        <v>85.2</v>
      </c>
      <c r="C463" s="4">
        <v>81.99</v>
      </c>
      <c r="D463" s="4">
        <v>462</v>
      </c>
      <c r="F463" s="13">
        <v>436</v>
      </c>
      <c r="G463" s="13">
        <v>72.091507375923456</v>
      </c>
      <c r="H463" s="13">
        <v>-0.93150737592345934</v>
      </c>
      <c r="I463" s="13">
        <f t="shared" si="6"/>
        <v>0.93150737592345934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1:24" ht="18" x14ac:dyDescent="0.35">
      <c r="A464" s="13"/>
      <c r="B464" s="4">
        <v>81.99</v>
      </c>
      <c r="C464" s="4">
        <v>77.92</v>
      </c>
      <c r="D464" s="4">
        <v>463</v>
      </c>
      <c r="F464" s="13">
        <v>437</v>
      </c>
      <c r="G464" s="13">
        <v>71.69228244428183</v>
      </c>
      <c r="H464" s="13">
        <v>0.33771755571817152</v>
      </c>
      <c r="I464" s="13">
        <f t="shared" si="6"/>
        <v>0.33771755571817152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1:24" ht="18" x14ac:dyDescent="0.35">
      <c r="A465" s="13"/>
      <c r="B465" s="4">
        <v>77.92</v>
      </c>
      <c r="C465" s="4">
        <v>76.98</v>
      </c>
      <c r="D465" s="4">
        <v>464</v>
      </c>
      <c r="F465" s="13">
        <v>438</v>
      </c>
      <c r="G465" s="13">
        <v>72.672121903495935</v>
      </c>
      <c r="H465" s="13">
        <v>-1.0521219034959302</v>
      </c>
      <c r="I465" s="13">
        <f t="shared" si="6"/>
        <v>1.0521219034959302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1:24" ht="18" x14ac:dyDescent="0.35">
      <c r="A466" s="13"/>
      <c r="B466" s="4">
        <v>76.98</v>
      </c>
      <c r="C466" s="4">
        <v>77.02</v>
      </c>
      <c r="D466" s="4">
        <v>465</v>
      </c>
      <c r="F466" s="13">
        <v>439</v>
      </c>
      <c r="G466" s="13">
        <v>69.964675721911377</v>
      </c>
      <c r="H466" s="13">
        <v>2.6553242780886279</v>
      </c>
      <c r="I466" s="13">
        <f t="shared" si="6"/>
        <v>2.6553242780886279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1:24" ht="18" x14ac:dyDescent="0.35">
      <c r="A467" s="13"/>
      <c r="B467" s="4">
        <v>77.02</v>
      </c>
      <c r="C467" s="4">
        <v>75.489999999999995</v>
      </c>
      <c r="D467" s="4">
        <v>466</v>
      </c>
      <c r="F467" s="13">
        <v>440</v>
      </c>
      <c r="G467" s="13">
        <v>71.638937675811718</v>
      </c>
      <c r="H467" s="13">
        <v>-1.7889376758117237</v>
      </c>
      <c r="I467" s="13">
        <f t="shared" si="6"/>
        <v>1.7889376758117237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1:24" ht="18" x14ac:dyDescent="0.35">
      <c r="A468" s="13"/>
      <c r="B468" s="4">
        <v>75.489999999999995</v>
      </c>
      <c r="C468" s="4">
        <v>70.709999999999994</v>
      </c>
      <c r="D468" s="4">
        <v>467</v>
      </c>
      <c r="F468" s="13">
        <v>441</v>
      </c>
      <c r="G468" s="13">
        <v>69.547669200779723</v>
      </c>
      <c r="H468" s="13">
        <v>2.0123307992202797</v>
      </c>
      <c r="I468" s="13">
        <f t="shared" si="6"/>
        <v>2.0123307992202797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1:24" ht="18" x14ac:dyDescent="0.35">
      <c r="A469" s="13"/>
      <c r="B469" s="4">
        <v>70.709999999999994</v>
      </c>
      <c r="C469" s="4">
        <v>70.11</v>
      </c>
      <c r="D469" s="4">
        <v>468</v>
      </c>
      <c r="F469" s="13">
        <v>442</v>
      </c>
      <c r="G469" s="13">
        <v>70.517728061477129</v>
      </c>
      <c r="H469" s="13">
        <v>-1.0977280614771274</v>
      </c>
      <c r="I469" s="13">
        <f t="shared" si="6"/>
        <v>1.0977280614771274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1:24" ht="18" x14ac:dyDescent="0.35">
      <c r="A470" s="13"/>
      <c r="B470" s="4">
        <v>70.11</v>
      </c>
      <c r="C470" s="4">
        <v>73.23</v>
      </c>
      <c r="D470" s="4">
        <v>469</v>
      </c>
      <c r="F470" s="13">
        <v>443</v>
      </c>
      <c r="G470" s="13">
        <v>69.492544824766242</v>
      </c>
      <c r="H470" s="13">
        <v>0.91745517523375497</v>
      </c>
      <c r="I470" s="13">
        <f t="shared" si="6"/>
        <v>0.91745517523375497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1:24" ht="18" x14ac:dyDescent="0.35">
      <c r="A471" s="13"/>
      <c r="B471" s="4">
        <v>73.23</v>
      </c>
      <c r="C471" s="4">
        <v>73.52</v>
      </c>
      <c r="D471" s="4">
        <v>470</v>
      </c>
      <c r="F471" s="13">
        <v>444</v>
      </c>
      <c r="G471" s="13">
        <v>71.871009871869504</v>
      </c>
      <c r="H471" s="13">
        <v>-2.5110098718695042</v>
      </c>
      <c r="I471" s="13">
        <f t="shared" si="6"/>
        <v>2.5110098718695042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1:24" ht="18" x14ac:dyDescent="0.35">
      <c r="F472" s="13">
        <v>445</v>
      </c>
      <c r="G472" s="13">
        <v>75.20797357361009</v>
      </c>
      <c r="H472" s="13">
        <v>-3.4179735736100838</v>
      </c>
      <c r="I472" s="13">
        <f t="shared" si="6"/>
        <v>3.4179735736100838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1:24" ht="18" x14ac:dyDescent="0.35">
      <c r="F473" s="13">
        <v>446</v>
      </c>
      <c r="G473" s="13">
        <v>75.610757720338469</v>
      </c>
      <c r="H473" s="13">
        <v>-0.41075772033846647</v>
      </c>
      <c r="I473" s="13">
        <f t="shared" si="6"/>
        <v>0.41075772033846647</v>
      </c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1:24" ht="18" x14ac:dyDescent="0.35">
      <c r="F474" s="13">
        <v>447</v>
      </c>
      <c r="G474" s="13">
        <v>79.593240924181757</v>
      </c>
      <c r="H474" s="13">
        <v>-3.9832409241817572</v>
      </c>
      <c r="I474" s="13">
        <f t="shared" si="6"/>
        <v>3.9832409241817572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1:24" ht="18" x14ac:dyDescent="0.35">
      <c r="F475" s="13">
        <v>448</v>
      </c>
      <c r="G475" s="13">
        <v>81.277283476598797</v>
      </c>
      <c r="H475" s="13">
        <v>-1.5972834765987898</v>
      </c>
      <c r="I475" s="13">
        <f t="shared" si="6"/>
        <v>1.5972834765987898</v>
      </c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1:24" ht="18" x14ac:dyDescent="0.35">
      <c r="F476" s="13">
        <v>449</v>
      </c>
      <c r="G476" s="13">
        <v>82.883081240882177</v>
      </c>
      <c r="H476" s="13">
        <v>-1.4830812408821714</v>
      </c>
      <c r="I476" s="13">
        <f t="shared" si="6"/>
        <v>1.4830812408821714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1:24" ht="18" x14ac:dyDescent="0.35">
      <c r="F477" s="13">
        <v>450</v>
      </c>
      <c r="G477" s="13">
        <v>80.82115456140032</v>
      </c>
      <c r="H477" s="13">
        <v>2.2188454385996863</v>
      </c>
      <c r="I477" s="13">
        <f t="shared" ref="I477:I496" si="7">ABS(H477)</f>
        <v>2.2188454385996863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1:24" ht="18" x14ac:dyDescent="0.35">
      <c r="F478" s="13">
        <v>451</v>
      </c>
      <c r="G478" s="13">
        <v>79.883996711339776</v>
      </c>
      <c r="H478" s="13">
        <v>1.0460032886602306</v>
      </c>
      <c r="I478" s="13">
        <f t="shared" si="7"/>
        <v>1.0460032886602306</v>
      </c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1:24" ht="18" x14ac:dyDescent="0.35">
      <c r="F479" s="13">
        <v>452</v>
      </c>
      <c r="G479" s="13">
        <v>82.360267743610109</v>
      </c>
      <c r="H479" s="13">
        <v>-2.3902677436101101</v>
      </c>
      <c r="I479" s="13">
        <f t="shared" si="7"/>
        <v>2.3902677436101101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1:24" ht="18" x14ac:dyDescent="0.35">
      <c r="F480" s="13">
        <v>453</v>
      </c>
      <c r="G480" s="13">
        <v>86.929586858455835</v>
      </c>
      <c r="H480" s="13">
        <v>-4.4295868584558349</v>
      </c>
      <c r="I480" s="13">
        <f t="shared" si="7"/>
        <v>4.4295868584558349</v>
      </c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6:24" ht="18" x14ac:dyDescent="0.35">
      <c r="F481" s="13">
        <v>454</v>
      </c>
      <c r="G481" s="13">
        <v>88.858144373790566</v>
      </c>
      <c r="H481" s="13">
        <v>-1.6881443737905641</v>
      </c>
      <c r="I481" s="13">
        <f t="shared" si="7"/>
        <v>1.6881443737905641</v>
      </c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6:24" ht="18" x14ac:dyDescent="0.35">
      <c r="F482" s="13">
        <v>455</v>
      </c>
      <c r="G482" s="13">
        <v>89.974912212238578</v>
      </c>
      <c r="H482" s="13">
        <v>-0.83491221223857792</v>
      </c>
      <c r="I482" s="13">
        <f t="shared" si="7"/>
        <v>0.83491221223857792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6:24" ht="18" x14ac:dyDescent="0.35">
      <c r="F483" s="13">
        <v>456</v>
      </c>
      <c r="G483" s="13">
        <v>91.111241247720002</v>
      </c>
      <c r="H483" s="13">
        <v>-0.8312412477200013</v>
      </c>
      <c r="I483" s="13">
        <f t="shared" si="7"/>
        <v>0.8312412477200013</v>
      </c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6:24" ht="18" x14ac:dyDescent="0.35">
      <c r="F484" s="13">
        <v>457</v>
      </c>
      <c r="G484" s="13">
        <v>85.30334533633922</v>
      </c>
      <c r="H484" s="13">
        <v>6.1366546636607779</v>
      </c>
      <c r="I484" s="13">
        <f t="shared" si="7"/>
        <v>6.1366546636607779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6:24" ht="18" x14ac:dyDescent="0.35">
      <c r="F485" s="13">
        <v>458</v>
      </c>
      <c r="G485" s="13">
        <v>84.845436813597345</v>
      </c>
      <c r="H485" s="13">
        <v>0.65456318640265465</v>
      </c>
      <c r="I485" s="13">
        <f t="shared" si="7"/>
        <v>0.65456318640265465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6:24" ht="18" x14ac:dyDescent="0.35">
      <c r="F486" s="13">
        <v>459</v>
      </c>
      <c r="G486" s="13">
        <v>87.781395976152936</v>
      </c>
      <c r="H486" s="13">
        <v>-2.751395976152935</v>
      </c>
      <c r="I486" s="13">
        <f t="shared" si="7"/>
        <v>2.751395976152935</v>
      </c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6:24" ht="18" x14ac:dyDescent="0.35">
      <c r="F487" s="13">
        <v>460</v>
      </c>
      <c r="G487" s="13">
        <v>85.015266203468144</v>
      </c>
      <c r="H487" s="13">
        <v>3.014733796531857</v>
      </c>
      <c r="I487" s="13">
        <f t="shared" si="7"/>
        <v>3.014733796531857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6:24" ht="18" x14ac:dyDescent="0.35">
      <c r="F488" s="13">
        <v>461</v>
      </c>
      <c r="G488" s="13">
        <v>81.877473687148452</v>
      </c>
      <c r="H488" s="13">
        <v>3.3225263128515508</v>
      </c>
      <c r="I488" s="13">
        <f t="shared" si="7"/>
        <v>3.3225263128515508</v>
      </c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6:24" ht="18" x14ac:dyDescent="0.35">
      <c r="F489" s="13">
        <v>462</v>
      </c>
      <c r="G489" s="13">
        <v>77.898549698391946</v>
      </c>
      <c r="H489" s="13">
        <v>4.0914503016080488</v>
      </c>
      <c r="I489" s="13">
        <f t="shared" si="7"/>
        <v>4.0914503016080488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6:24" ht="18" x14ac:dyDescent="0.35">
      <c r="F490" s="13">
        <v>463</v>
      </c>
      <c r="G490" s="13">
        <v>76.980953045364842</v>
      </c>
      <c r="H490" s="13">
        <v>0.93904695463515964</v>
      </c>
      <c r="I490" s="13">
        <f t="shared" si="7"/>
        <v>0.93904695463515964</v>
      </c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6:24" ht="18" x14ac:dyDescent="0.35">
      <c r="F491" s="13">
        <v>464</v>
      </c>
      <c r="G491" s="13">
        <v>77.021855046975048</v>
      </c>
      <c r="H491" s="13">
        <v>-4.1855046975044274E-2</v>
      </c>
      <c r="I491" s="13">
        <f t="shared" si="7"/>
        <v>4.1855046975044274E-2</v>
      </c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6:24" ht="18" x14ac:dyDescent="0.35">
      <c r="F492" s="13">
        <v>465</v>
      </c>
      <c r="G492" s="13">
        <v>75.527203081462204</v>
      </c>
      <c r="H492" s="13">
        <v>1.4927969185377918</v>
      </c>
      <c r="I492" s="13">
        <f t="shared" si="7"/>
        <v>1.4927969185377918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6:24" ht="18" x14ac:dyDescent="0.35">
      <c r="F493" s="13">
        <v>466</v>
      </c>
      <c r="G493" s="13">
        <v>70.853856598019448</v>
      </c>
      <c r="H493" s="13">
        <v>4.6361434019805472</v>
      </c>
      <c r="I493" s="13">
        <f t="shared" si="7"/>
        <v>4.6361434019805472</v>
      </c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6:24" ht="18" x14ac:dyDescent="0.35">
      <c r="F494" s="13">
        <v>467</v>
      </c>
      <c r="G494" s="13">
        <v>70.268800294560407</v>
      </c>
      <c r="H494" s="13">
        <v>0.44119970543958686</v>
      </c>
      <c r="I494" s="13">
        <f t="shared" si="7"/>
        <v>0.44119970543958686</v>
      </c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6:24" ht="18" x14ac:dyDescent="0.35">
      <c r="F495" s="13">
        <v>468</v>
      </c>
      <c r="G495" s="13">
        <v>73.32212663931648</v>
      </c>
      <c r="H495" s="13">
        <v>-3.2121266393164802</v>
      </c>
      <c r="I495" s="13">
        <f t="shared" si="7"/>
        <v>3.2121266393164802</v>
      </c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6:24" ht="18.600000000000001" thickBot="1" x14ac:dyDescent="0.4">
      <c r="F496" s="24">
        <v>469</v>
      </c>
      <c r="G496" s="24">
        <v>73.607543603844363</v>
      </c>
      <c r="H496" s="24">
        <v>-0.3775436038443587</v>
      </c>
      <c r="I496" s="13">
        <f t="shared" si="7"/>
        <v>0.3775436038443587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6:24" ht="18" x14ac:dyDescent="0.35"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6:24" ht="18" x14ac:dyDescent="0.35"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</sheetData>
  <mergeCells count="1">
    <mergeCell ref="I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Исходные данные</vt:lpstr>
      <vt:lpstr>Регрессия</vt:lpstr>
      <vt:lpstr>AR(1)</vt:lpstr>
      <vt:lpstr>DW</vt:lpstr>
      <vt:lpstr>AR(2)</vt:lpstr>
      <vt:lpstr>AR(1) со вр.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Арина Рощина</dc:creator>
  <cp:lastModifiedBy>Арина Рощина</cp:lastModifiedBy>
  <dcterms:created xsi:type="dcterms:W3CDTF">2025-12-14T11:33:45Z</dcterms:created>
  <dcterms:modified xsi:type="dcterms:W3CDTF">2026-05-01T14:41:29Z</dcterms:modified>
</cp:coreProperties>
</file>